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tables/table4.xml" ContentType="application/vnd.openxmlformats-officedocument.spreadsheetml.table+xml"/>
  <Override PartName="/xl/queryTables/queryTable3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5.xml" ContentType="application/vnd.openxmlformats-officedocument.spreadsheetml.table+xml"/>
  <Override PartName="/xl/queryTables/queryTable4.xml" ContentType="application/vnd.openxmlformats-officedocument.spreadsheetml.queryTable+xml"/>
  <Override PartName="/xl/tables/table6.xml" ContentType="application/vnd.openxmlformats-officedocument.spreadsheetml.table+xml"/>
  <Override PartName="/xl/queryTables/queryTable5.xml" ContentType="application/vnd.openxmlformats-officedocument.spreadsheetml.queryTable+xml"/>
  <Override PartName="/xl/tables/table7.xml" ContentType="application/vnd.openxmlformats-officedocument.spreadsheetml.table+xml"/>
  <Override PartName="/xl/queryTables/queryTable6.xml" ContentType="application/vnd.openxmlformats-officedocument.spreadsheetml.query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queryTables/queryTable7.xml" ContentType="application/vnd.openxmlformats-officedocument.spreadsheetml.queryTable+xml"/>
  <Override PartName="/xl/tables/table10.xml" ContentType="application/vnd.openxmlformats-officedocument.spreadsheetml.table+xml"/>
  <Override PartName="/xl/queryTables/queryTable8.xml" ContentType="application/vnd.openxmlformats-officedocument.spreadsheetml.queryTable+xml"/>
  <Override PartName="/xl/tables/table11.xml" ContentType="application/vnd.openxmlformats-officedocument.spreadsheetml.table+xml"/>
  <Override PartName="/xl/queryTables/queryTable9.xml" ContentType="application/vnd.openxmlformats-officedocument.spreadsheetml.queryTable+xml"/>
  <Override PartName="/xl/tables/table12.xml" ContentType="application/vnd.openxmlformats-officedocument.spreadsheetml.table+xml"/>
  <Override PartName="/xl/queryTables/queryTable10.xml" ContentType="application/vnd.openxmlformats-officedocument.spreadsheetml.queryTable+xml"/>
  <Override PartName="/xl/drawings/drawing2.xml" ContentType="application/vnd.openxmlformats-officedocument.drawing+xml"/>
  <Override PartName="/xl/ctrlProps/ctrlProp3.xml" ContentType="application/vnd.ms-excel.controlproperties+xml"/>
  <Override PartName="/xl/tables/table13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shrey\HR-Data-Quality-Platform-Hybrid\workbook\"/>
    </mc:Choice>
  </mc:AlternateContent>
  <xr:revisionPtr revIDLastSave="0" documentId="8_{50EA45C1-0E23-474A-83CB-1CC981AC4946}" xr6:coauthVersionLast="47" xr6:coauthVersionMax="47" xr10:uidLastSave="{00000000-0000-0000-0000-000000000000}"/>
  <bookViews>
    <workbookView xWindow="-78" yWindow="0" windowWidth="13770" windowHeight="12318" tabRatio="868" xr2:uid="{75A27EA5-5131-4F80-9918-BA73F1122801}"/>
  </bookViews>
  <sheets>
    <sheet name="Sheet1" sheetId="20" r:id="rId1"/>
    <sheet name="Raw_Data" sheetId="1" r:id="rId2"/>
    <sheet name="Equipment_Data" sheetId="6" r:id="rId3"/>
    <sheet name="Cleaned_Data" sheetId="2" r:id="rId4"/>
    <sheet name="Correction_App_Source" sheetId="10" r:id="rId5"/>
    <sheet name="Missing_Data_Action" sheetId="8" r:id="rId6"/>
    <sheet name="Missing_Data_Action_Current" sheetId="19" r:id="rId7"/>
    <sheet name="tbl_corrections_form_responses" sheetId="14" r:id="rId8"/>
    <sheet name="Corrections_Form_Responses" sheetId="9" r:id="rId9"/>
    <sheet name="EmployeeID_Corrections_Query" sheetId="18" r:id="rId10"/>
    <sheet name="Department_Corrections_Query" sheetId="17" r:id="rId11"/>
    <sheet name="Corrections_Log_Query" sheetId="16" r:id="rId12"/>
    <sheet name="Final_Resolved_Data" sheetId="15" r:id="rId13"/>
    <sheet name="Validated_Data" sheetId="5" r:id="rId14"/>
    <sheet name="Correction_Mini_App" sheetId="13" r:id="rId15"/>
    <sheet name="Data_Quality_Checks" sheetId="3" r:id="rId16"/>
    <sheet name="HR_Dashboard_Original_Intake" sheetId="4" r:id="rId17"/>
  </sheets>
  <definedNames>
    <definedName name="_xleta.FILTER" hidden="1" xlm="1">#NAME?</definedName>
    <definedName name="Employee_List" comment="Helper function for a list of all employee names">Correction_App_Source!$A$2:$A$1048576</definedName>
    <definedName name="ExternalData_1" localSheetId="3" hidden="1">Cleaned_Data!$A$1:$K$1501</definedName>
    <definedName name="ExternalData_1" localSheetId="11" hidden="1">'Corrections_Log_Query'!$A$1:$C$3</definedName>
    <definedName name="ExternalData_1" localSheetId="7" hidden="1">tbl_corrections_form_responses!$A$1:$I$2</definedName>
    <definedName name="ExternalData_2" localSheetId="4" hidden="1">Correction_App_Source!$A$1:$G$44</definedName>
    <definedName name="ExternalData_2" localSheetId="10" hidden="1">Department_Corrections_Query!$A$1:$B$2</definedName>
    <definedName name="ExternalData_2" localSheetId="2" hidden="1">Equipment_Data!$A$1:$K$2978</definedName>
    <definedName name="ExternalData_2" localSheetId="12" hidden="1">Final_Resolved_Data!$A$1:$K$1501</definedName>
    <definedName name="ExternalData_2" localSheetId="5" hidden="1">Missing_Data_Action!$A$1:$D$92</definedName>
    <definedName name="ExternalData_3" localSheetId="9" hidden="1">EmployeeID_Corrections_Query!$A$1:$B$2</definedName>
    <definedName name="ExternalData_3" localSheetId="6" hidden="1">Missing_Data_Action_Current!$A$1:$D$64</definedName>
  </definedNames>
  <calcPr calcId="191029"/>
  <pivotCaches>
    <pivotCache cacheId="0" r:id="rId18"/>
    <pivotCache cacheId="1" r:id="rId19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2" i="4" l="1"/>
  <c r="B9" i="3"/>
  <c r="B8" i="3"/>
  <c r="B7" i="3"/>
  <c r="B6" i="3"/>
  <c r="B5" i="3" a="1"/>
  <c r="B5" i="3" s="1"/>
  <c r="C2" i="4" s="1"/>
  <c r="B4" i="3"/>
  <c r="B2" i="4" s="1"/>
  <c r="B3" i="3"/>
  <c r="B7" i="13"/>
  <c r="B8" i="13"/>
  <c r="B9" i="13"/>
  <c r="B5" i="13"/>
  <c r="B6" i="13"/>
  <c r="D2" i="4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63628A9-BC3C-45A5-898F-D650EC0EBE90}" keepAlive="1" name="Query - Correction_App_Source_Query" description="Connection to the 'Correction_App_Source_Query' query in the workbook." type="5" refreshedVersion="8" background="1" saveData="1">
    <dbPr connection="Provider=Microsoft.Mashup.OleDb.1;Data Source=$Workbook$;Location=Correction_App_Source_Query;Extended Properties=&quot;&quot;" command="SELECT * FROM [Correction_App_Source_Query]"/>
  </connection>
  <connection id="2" xr16:uid="{ADBC2E74-C968-44AD-883F-09AF93DAC62B}" keepAlive="1" name="Query - Corrections_Log_Query" description="Connection to the 'Corrections_Log_Query' query in the workbook." type="5" refreshedVersion="8" background="1" saveData="1">
    <dbPr connection="Provider=Microsoft.Mashup.OleDb.1;Data Source=$Workbook$;Location=Corrections_Log_Query;Extended Properties=&quot;&quot;" command="SELECT * FROM [Corrections_Log_Query]"/>
  </connection>
  <connection id="3" xr16:uid="{F589B5B8-5BCF-418E-9BAE-638A34561BF6}" keepAlive="1" name="Query - Department_Corrections_Query" description="Connection to the 'Department_Corrections_Query' query in the workbook." type="5" refreshedVersion="8" background="1" saveData="1">
    <dbPr connection="Provider=Microsoft.Mashup.OleDb.1;Data Source=$Workbook$;Location=Department_Corrections_Query;Extended Properties=&quot;&quot;" command="SELECT * FROM [Department_Corrections_Query]"/>
  </connection>
  <connection id="4" xr16:uid="{81F99485-0549-4B26-BE21-EE640755F06E}" keepAlive="1" name="Query - EmployeeID_Corrections_Query" description="Connection to the 'EmployeeID_Corrections_Query' query in the workbook." type="5" refreshedVersion="8" background="1" saveData="1">
    <dbPr connection="Provider=Microsoft.Mashup.OleDb.1;Data Source=$Workbook$;Location=EmployeeID_Corrections_Query;Extended Properties=&quot;&quot;" command="SELECT * FROM [EmployeeID_Corrections_Query]"/>
  </connection>
  <connection id="5" xr16:uid="{D549315B-694A-4DBF-9464-D27F4844EB12}" keepAlive="1" name="Query - Equipment_Breakdown" description="Connection to the 'Equipment_Breakdown' query in the workbook." type="5" refreshedVersion="8" background="1" saveData="1">
    <dbPr connection="Provider=Microsoft.Mashup.OleDb.1;Data Source=$Workbook$;Location=Equipment_Breakdown;Extended Properties=&quot;&quot;" command="SELECT * FROM [Equipment_Breakdown]"/>
  </connection>
  <connection id="6" xr16:uid="{9699412F-0572-4D10-AA91-8D8D217ADE37}" keepAlive="1" name="Query - Final_Resolved_Data_Query" description="Connection to the 'Final_Resolved_Data_Query' query in the workbook." type="5" refreshedVersion="8" background="1" saveData="1">
    <dbPr connection="Provider=Microsoft.Mashup.OleDb.1;Data Source=$Workbook$;Location=Final_Resolved_Data_Query;Extended Properties=&quot;&quot;" command="SELECT * FROM [Final_Resolved_Data_Query]"/>
  </connection>
  <connection id="7" xr16:uid="{39EACBBC-5B07-407D-B366-24620AAAB702}" keepAlive="1" name="Query - Missing_Data_Action_Final_Query" description="Connection to the 'Missing_Data_Action_Final_Query' query in the workbook." type="5" refreshedVersion="8" background="1" saveData="1">
    <dbPr connection="Provider=Microsoft.Mashup.OleDb.1;Data Source=$Workbook$;Location=Missing_Data_Action_Final_Query;Extended Properties=&quot;&quot;" command="SELECT * FROM [Missing_Data_Action_Final_Query]"/>
  </connection>
  <connection id="8" xr16:uid="{349F012B-6961-4EAA-BBE9-93EA08C1295F}" keepAlive="1" name="Query - Missing_Data_Action_Query" description="Connection to the 'Missing_Data_Action_Query' query in the workbook." type="5" refreshedVersion="8" background="1" saveData="1">
    <dbPr connection="Provider=Microsoft.Mashup.OleDb.1;Data Source=$Workbook$;Location=Missing_Data_Action_Query;Extended Properties=&quot;&quot;" command="SELECT * FROM [Missing_Data_Action_Query]"/>
  </connection>
  <connection id="9" xr16:uid="{5381753E-7437-4F15-837A-70F45D4B3FCD}" keepAlive="1" name="Query - tbl_clean_hr_query" description="Connection to the 'tbl_clean_hr_query' query in the workbook." type="5" refreshedVersion="0" background="1" saveData="1">
    <dbPr connection="Provider=Microsoft.Mashup.OleDb.1;Data Source=$Workbook$;Location=tbl_clean_hr_query;Extended Properties=&quot;&quot;" command="SELECT * FROM [tbl_clean_hr_query]"/>
  </connection>
  <connection id="10" xr16:uid="{C12AE8E0-852F-4975-B37B-E88F53652940}" keepAlive="1" name="Query - tbl_corrections_form_responses" description="Connection to the 'tbl_corrections_form_responses' query in the workbook." type="5" refreshedVersion="8" background="1" saveData="1">
    <dbPr connection="Provider=Microsoft.Mashup.OleDb.1;Data Source=$Workbook$;Location=tbl_corrections_form_responses;Extended Properties=&quot;&quot;" command="SELECT * FROM [tbl_corrections_form_responses]"/>
  </connection>
  <connection id="11" xr16:uid="{3B2111A6-FB72-45CB-B078-40B505340F95}" keepAlive="1" name="Query - tbl_raw_hr" description="Connection to the 'tbl_raw_hr' query in the workbook." type="5" refreshedVersion="8" background="1" saveData="1">
    <dbPr connection="Provider=Microsoft.Mashup.OleDb.1;Data Source=$Workbook$;Location=tbl_raw_hr;Extended Properties=&quot;&quot;" command="SELECT * FROM [tbl_raw_hr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<sst xmlns="http://schemas.openxmlformats.org/spreadsheetml/2006/main" count="54022" uniqueCount="6142">
  <si>
    <t>Employee Name</t>
  </si>
  <si>
    <t>Employee ID</t>
  </si>
  <si>
    <t>Department</t>
  </si>
  <si>
    <t>Start Date</t>
  </si>
  <si>
    <t>Equipment Required</t>
  </si>
  <si>
    <t>Manager Name</t>
  </si>
  <si>
    <t>Training Required</t>
  </si>
  <si>
    <t>Email</t>
  </si>
  <si>
    <t>Phone</t>
  </si>
  <si>
    <t>Submission Timestamp</t>
  </si>
  <si>
    <t>Data Issue Flag</t>
  </si>
  <si>
    <t>Allison Hill</t>
  </si>
  <si>
    <t>engineering</t>
  </si>
  <si>
    <t>Docking Station; Keyboard; Laptop</t>
  </si>
  <si>
    <t>Noah Rhodes</t>
  </si>
  <si>
    <t>Yes</t>
  </si>
  <si>
    <t>garzaanthony@example.org</t>
  </si>
  <si>
    <t>538.990.8386</t>
  </si>
  <si>
    <t>Rhonda Smith</t>
  </si>
  <si>
    <t>IT</t>
  </si>
  <si>
    <t>Keyboard</t>
  </si>
  <si>
    <t>Melissa Peterson</t>
  </si>
  <si>
    <t>No</t>
  </si>
  <si>
    <t>jasongallagher@example.org</t>
  </si>
  <si>
    <t>361-855-9407</t>
  </si>
  <si>
    <t>Edward Fuller</t>
  </si>
  <si>
    <t xml:space="preserve"> I.T. </t>
  </si>
  <si>
    <t>Docking Station; Headset</t>
  </si>
  <si>
    <t>Heidi Lee</t>
  </si>
  <si>
    <t>williamsjeremy@example.com</t>
  </si>
  <si>
    <t>731-564-7525</t>
  </si>
  <si>
    <t>Mia Sutton</t>
  </si>
  <si>
    <t xml:space="preserve"> Finance </t>
  </si>
  <si>
    <t>Mark Ferguson</t>
  </si>
  <si>
    <t>frankgray@example.net</t>
  </si>
  <si>
    <t>001-783-550-3056x413</t>
  </si>
  <si>
    <t>Jennifer Rocha</t>
  </si>
  <si>
    <t>Engineering</t>
  </si>
  <si>
    <t>Headset</t>
  </si>
  <si>
    <t>Derek Wright</t>
  </si>
  <si>
    <t>julie69@example.com</t>
  </si>
  <si>
    <t>(332)887-1012x269</t>
  </si>
  <si>
    <t>Zachary Rice</t>
  </si>
  <si>
    <t>Headset; Monitor; Security Badge</t>
  </si>
  <si>
    <t>Shannon Smith</t>
  </si>
  <si>
    <t>maldonadoamanda@example.com</t>
  </si>
  <si>
    <t>001-551-446-2704x82814</t>
  </si>
  <si>
    <t>Christopher Ashley</t>
  </si>
  <si>
    <t xml:space="preserve"> Marketing </t>
  </si>
  <si>
    <t>Docking Station; Keyboard</t>
  </si>
  <si>
    <t>Tamara George</t>
  </si>
  <si>
    <t>xsmith@example.com</t>
  </si>
  <si>
    <t>403.491.1718</t>
  </si>
  <si>
    <t>Theresa Martin</t>
  </si>
  <si>
    <t>Lisa Brandt</t>
  </si>
  <si>
    <t>jenniferross@example.net</t>
  </si>
  <si>
    <t>+1-557-587-1331x5098</t>
  </si>
  <si>
    <t>Michael Brown</t>
  </si>
  <si>
    <t>Keyboard; Security Badge</t>
  </si>
  <si>
    <t>Andre Rivera</t>
  </si>
  <si>
    <t>joshuawashington@example.net</t>
  </si>
  <si>
    <t>(399)873-7631</t>
  </si>
  <si>
    <t>Jason Shields</t>
  </si>
  <si>
    <t xml:space="preserve"> Hr </t>
  </si>
  <si>
    <t>Matthew Lucas</t>
  </si>
  <si>
    <t>powellmatthew@example.org</t>
  </si>
  <si>
    <t>933.587.2624</t>
  </si>
  <si>
    <t>Angela Morton</t>
  </si>
  <si>
    <t>HR</t>
  </si>
  <si>
    <t>Security Badge</t>
  </si>
  <si>
    <t>Annette Pearson</t>
  </si>
  <si>
    <t>novaksara@example.org</t>
  </si>
  <si>
    <t>(267)873-6026</t>
  </si>
  <si>
    <t>Richard Gibson</t>
  </si>
  <si>
    <t>Tyler Cowan</t>
  </si>
  <si>
    <t>smoore@example.org</t>
  </si>
  <si>
    <t>4982050097</t>
  </si>
  <si>
    <t>Angela Lopez</t>
  </si>
  <si>
    <t>Megan Young</t>
  </si>
  <si>
    <t>davidashley@example.net</t>
  </si>
  <si>
    <t>+1-509-616-9985x435</t>
  </si>
  <si>
    <t>Michael Evans</t>
  </si>
  <si>
    <t>it</t>
  </si>
  <si>
    <t>Keyboard; Laptop; Security Badge</t>
  </si>
  <si>
    <t>Paul Jones</t>
  </si>
  <si>
    <t>khowell@example.org</t>
  </si>
  <si>
    <t>783-684-2513</t>
  </si>
  <si>
    <t>Roy Warner</t>
  </si>
  <si>
    <t xml:space="preserve"> Operations </t>
  </si>
  <si>
    <t>Headset; Security Badge</t>
  </si>
  <si>
    <t>Victoria Valdez</t>
  </si>
  <si>
    <t>contrerasangela@example.net</t>
  </si>
  <si>
    <t>524-711-8244</t>
  </si>
  <si>
    <t>Mark Baker</t>
  </si>
  <si>
    <t>operations</t>
  </si>
  <si>
    <t>Taylor Mathis Jr.</t>
  </si>
  <si>
    <t>ccalderon@example.org</t>
  </si>
  <si>
    <t>724-427-8680x11280</t>
  </si>
  <si>
    <t>Andrew Diaz</t>
  </si>
  <si>
    <t>It</t>
  </si>
  <si>
    <t>Valerie Williams</t>
  </si>
  <si>
    <t>jason31@example.com</t>
  </si>
  <si>
    <t>001-686-492-3226x02563</t>
  </si>
  <si>
    <t>Ashley Brennan</t>
  </si>
  <si>
    <t>Courtney Velasquez</t>
  </si>
  <si>
    <t>ybailey@example.org</t>
  </si>
  <si>
    <t>803.765.4145</t>
  </si>
  <si>
    <t>Ashley Waller</t>
  </si>
  <si>
    <t>Docking Station; Laptop; Monitor</t>
  </si>
  <si>
    <t>Victor Baker</t>
  </si>
  <si>
    <t>carlsonmichael@example.com</t>
  </si>
  <si>
    <t>(798)816-9340x60883</t>
  </si>
  <si>
    <t>Missing Employee ID</t>
  </si>
  <si>
    <t xml:space="preserve">  Matthew Rivera </t>
  </si>
  <si>
    <t>marketing</t>
  </si>
  <si>
    <t>Monitor</t>
  </si>
  <si>
    <t>Ryan Cortez</t>
  </si>
  <si>
    <t>william65@example.com</t>
  </si>
  <si>
    <t>001-248-623-6629x946</t>
  </si>
  <si>
    <t>Extra Name Spaces</t>
  </si>
  <si>
    <t>Jeffrey Carpenter</t>
  </si>
  <si>
    <t>Laptop; Monitor; Security Badge</t>
  </si>
  <si>
    <t>Julie Ramos</t>
  </si>
  <si>
    <t>williamleon@example.net</t>
  </si>
  <si>
    <t>(514)589-5134</t>
  </si>
  <si>
    <t>Angel Riggs</t>
  </si>
  <si>
    <t>Docking Station; Headset; Keyboard</t>
  </si>
  <si>
    <t>Patricia Gibson</t>
  </si>
  <si>
    <t>jennifercruz@example.com</t>
  </si>
  <si>
    <t>220.516.3287</t>
  </si>
  <si>
    <t>Barbara Anderson</t>
  </si>
  <si>
    <t xml:space="preserve"> Engineering </t>
  </si>
  <si>
    <t>Joseph Hansen</t>
  </si>
  <si>
    <t>stephanie79@example.net</t>
  </si>
  <si>
    <t>968.372.7743x48734</t>
  </si>
  <si>
    <t>Cynthia Rogers</t>
  </si>
  <si>
    <t>Angela Hernandez</t>
  </si>
  <si>
    <t>tbenson@example.org</t>
  </si>
  <si>
    <t>866-858-7603</t>
  </si>
  <si>
    <t>Duplicate Employee ID</t>
  </si>
  <si>
    <t>Lauren Dominguez</t>
  </si>
  <si>
    <t>Docking Station; Laptop</t>
  </si>
  <si>
    <t>Pamela James</t>
  </si>
  <si>
    <t>benderkenneth@example.com</t>
  </si>
  <si>
    <t>(488)993-7346x70656</t>
  </si>
  <si>
    <t>Veronica Ferguson</t>
  </si>
  <si>
    <t>I.T.</t>
  </si>
  <si>
    <t>Leslie Alvarado</t>
  </si>
  <si>
    <t>dayderek@example.com</t>
  </si>
  <si>
    <t>(804)665-3755</t>
  </si>
  <si>
    <t>Sandra King</t>
  </si>
  <si>
    <t>Alec Ryan</t>
  </si>
  <si>
    <t>jeffrey10@example.org</t>
  </si>
  <si>
    <t>530.992.3271</t>
  </si>
  <si>
    <t>Pamela Jackson</t>
  </si>
  <si>
    <t>Laptop</t>
  </si>
  <si>
    <t>Nicole Wilson</t>
  </si>
  <si>
    <t>tamirodriguez@example.org</t>
  </si>
  <si>
    <t>296-763-1931x4919</t>
  </si>
  <si>
    <t>Mary Jones</t>
  </si>
  <si>
    <t>Headset; Keyboard; Monitor</t>
  </si>
  <si>
    <t>Alexandria Fisher</t>
  </si>
  <si>
    <t>xgarcia@example.net</t>
  </si>
  <si>
    <t>626.728.4987x769</t>
  </si>
  <si>
    <t>Sandra Miller</t>
  </si>
  <si>
    <t>Dana Marshall</t>
  </si>
  <si>
    <t>frogers@example.com</t>
  </si>
  <si>
    <t>(273)554-5494</t>
  </si>
  <si>
    <t>Nathan Freeman</t>
  </si>
  <si>
    <t>hr</t>
  </si>
  <si>
    <t>Headset; Laptop</t>
  </si>
  <si>
    <t>Melissa Brewer</t>
  </si>
  <si>
    <t>bwest@example.org</t>
  </si>
  <si>
    <t>736-734-9578x8568</t>
  </si>
  <si>
    <t>Denise King</t>
  </si>
  <si>
    <t>Corey Wilson</t>
  </si>
  <si>
    <t>jamesrodgers@example.com</t>
  </si>
  <si>
    <t>001-498-694-1343x5240</t>
  </si>
  <si>
    <t>Anthony Carter</t>
  </si>
  <si>
    <t>Operations</t>
  </si>
  <si>
    <t>Margaret Mullins</t>
  </si>
  <si>
    <t>salasaudrey@example.com</t>
  </si>
  <si>
    <t>275.420.4711x6719</t>
  </si>
  <si>
    <t>Justin Torres</t>
  </si>
  <si>
    <t>Docking Station; Headset; Laptop</t>
  </si>
  <si>
    <t>Bailey Duran DDS</t>
  </si>
  <si>
    <t>kimberlyjames@example.com</t>
  </si>
  <si>
    <t>496-549-9091x3341</t>
  </si>
  <si>
    <t>Benjamin Smith</t>
  </si>
  <si>
    <t>Docking Station; Monitor</t>
  </si>
  <si>
    <t>Kirk Carter</t>
  </si>
  <si>
    <t>keithcampbell@example.com</t>
  </si>
  <si>
    <t>434-693-6183</t>
  </si>
  <si>
    <t>Andrea Martin</t>
  </si>
  <si>
    <t>finance</t>
  </si>
  <si>
    <t>Paul Carroll</t>
  </si>
  <si>
    <t>scott74@example.net</t>
  </si>
  <si>
    <t>(248)387-7190x6594</t>
  </si>
  <si>
    <t>Michael Valencia</t>
  </si>
  <si>
    <t>Keyboard; Laptop; Monitor</t>
  </si>
  <si>
    <t>Alicia Hubbard</t>
  </si>
  <si>
    <t>barbara27@example.net</t>
  </si>
  <si>
    <t>+1-374-429-6717x5655</t>
  </si>
  <si>
    <t>Michael Roberts</t>
  </si>
  <si>
    <t>Robin Pierce</t>
  </si>
  <si>
    <t>qmiller@example.com</t>
  </si>
  <si>
    <t>768-908-7603</t>
  </si>
  <si>
    <t>Olivia Harris</t>
  </si>
  <si>
    <t>Keyboard; Monitor; Security Badge</t>
  </si>
  <si>
    <t>Tanya Kim</t>
  </si>
  <si>
    <t>omartinez@example.net</t>
  </si>
  <si>
    <t>324.980.8613</t>
  </si>
  <si>
    <t>Maria Moore</t>
  </si>
  <si>
    <t>Docking Station; Headset; Security Badge</t>
  </si>
  <si>
    <t>Dorothy Thornton</t>
  </si>
  <si>
    <t>edavenport@example.org</t>
  </si>
  <si>
    <t>682.263.9821x465</t>
  </si>
  <si>
    <t>Missing Department</t>
  </si>
  <si>
    <t>Edwin Matthews</t>
  </si>
  <si>
    <t>Mrs. Brittany Ryan MD</t>
  </si>
  <si>
    <t>ugibson@example.org</t>
  </si>
  <si>
    <t>001-939-263-6057x662</t>
  </si>
  <si>
    <t>Vincent Rivera</t>
  </si>
  <si>
    <t>Ryan Garcia</t>
  </si>
  <si>
    <t>jsmith@example.com</t>
  </si>
  <si>
    <t>+1-921-274-5961x5865</t>
  </si>
  <si>
    <t>Cynthia Cohen</t>
  </si>
  <si>
    <t>Darren Davis</t>
  </si>
  <si>
    <t>hodgesjane@example.org</t>
  </si>
  <si>
    <t>524.800.5045x562</t>
  </si>
  <si>
    <t>Rebecca Jackson</t>
  </si>
  <si>
    <t>Seth Harvey</t>
  </si>
  <si>
    <t>tyleraguilar@example.org</t>
  </si>
  <si>
    <t>647.840.7482x175</t>
  </si>
  <si>
    <t>Joyce Turner</t>
  </si>
  <si>
    <t>Dr. Ashley James MD</t>
  </si>
  <si>
    <t>victoria40@example.net</t>
  </si>
  <si>
    <t>(640)490-9743x9533</t>
  </si>
  <si>
    <t>Stephanie Lucas</t>
  </si>
  <si>
    <t>Jeremiah Riley</t>
  </si>
  <si>
    <t>christopherphillips@example.net</t>
  </si>
  <si>
    <t>(323)928-5884x24745</t>
  </si>
  <si>
    <t>Brenda Levy</t>
  </si>
  <si>
    <t>Docking Station; Laptop; Security Badge</t>
  </si>
  <si>
    <t>Misty Whitney</t>
  </si>
  <si>
    <t>christopher60@example.com</t>
  </si>
  <si>
    <t>+1-517-954-9651</t>
  </si>
  <si>
    <t>Stephen Hoffman</t>
  </si>
  <si>
    <t>Finance</t>
  </si>
  <si>
    <t>Connie Brown</t>
  </si>
  <si>
    <t>tblankenship@example.net</t>
  </si>
  <si>
    <t>(712)800-4711x38267</t>
  </si>
  <si>
    <t>Molly Mcclure</t>
  </si>
  <si>
    <t>Sandra Gilbert</t>
  </si>
  <si>
    <t>antonio53@example.com</t>
  </si>
  <si>
    <t>935.315.8506x431</t>
  </si>
  <si>
    <t>Maria Harper</t>
  </si>
  <si>
    <t>Richard Sanchez</t>
  </si>
  <si>
    <t>kristinharris@example.net</t>
  </si>
  <si>
    <t>493.435.2904</t>
  </si>
  <si>
    <t>Rebecca Rodriguez</t>
  </si>
  <si>
    <t>Bonnie Howard</t>
  </si>
  <si>
    <t>briannasmith@example.com</t>
  </si>
  <si>
    <t>3269811775</t>
  </si>
  <si>
    <t>Theresa Williams</t>
  </si>
  <si>
    <t>Laptop; Monitor</t>
  </si>
  <si>
    <t>Sharon Boyd</t>
  </si>
  <si>
    <t>bschneider@example.org</t>
  </si>
  <si>
    <t>666.717.7115x9212</t>
  </si>
  <si>
    <t>Kyle Phillips</t>
  </si>
  <si>
    <t>Headset; Laptop; Security Badge</t>
  </si>
  <si>
    <t>Jessica Mcguire</t>
  </si>
  <si>
    <t>farrelldebra@example.net</t>
  </si>
  <si>
    <t>001-736-673-6576x6156</t>
  </si>
  <si>
    <t>Christian Leblanc</t>
  </si>
  <si>
    <t>Ronald Davis</t>
  </si>
  <si>
    <t>garnernathan@example.org</t>
  </si>
  <si>
    <t>+1-809-288-5165</t>
  </si>
  <si>
    <t>Lindsay Bell</t>
  </si>
  <si>
    <t>Christy Douglas</t>
  </si>
  <si>
    <t>melaniebell@example.net</t>
  </si>
  <si>
    <t>(614)293-6899x809</t>
  </si>
  <si>
    <t>Michael Parker</t>
  </si>
  <si>
    <t>Aaron Kane</t>
  </si>
  <si>
    <t>vjones@example.net</t>
  </si>
  <si>
    <t>7186366752</t>
  </si>
  <si>
    <t>Paula Bradley</t>
  </si>
  <si>
    <t>Anthony Moore</t>
  </si>
  <si>
    <t>craigjoseph@example.net</t>
  </si>
  <si>
    <t>(979)676-4381x56149</t>
  </si>
  <si>
    <t>James Greene</t>
  </si>
  <si>
    <t>Eric Clark</t>
  </si>
  <si>
    <t>kathrynroberts@example.org</t>
  </si>
  <si>
    <t>7763226838</t>
  </si>
  <si>
    <t>Patrick Graham</t>
  </si>
  <si>
    <t>Keyboard; Laptop</t>
  </si>
  <si>
    <t>Blake Edwards</t>
  </si>
  <si>
    <t>tberry@example.net</t>
  </si>
  <si>
    <t>(841)860-5297x51613</t>
  </si>
  <si>
    <t>Jennifer Collins</t>
  </si>
  <si>
    <t>Docking Station; Keyboard; Security Badge</t>
  </si>
  <si>
    <t>Gary Jackson</t>
  </si>
  <si>
    <t>schmidtjames@example.com</t>
  </si>
  <si>
    <t>(923)912-4329x212</t>
  </si>
  <si>
    <t>Olivia Cole</t>
  </si>
  <si>
    <t>Kristy Reid</t>
  </si>
  <si>
    <t>michelle52@example.com</t>
  </si>
  <si>
    <t>377-644-9058</t>
  </si>
  <si>
    <t>Andrew Wood</t>
  </si>
  <si>
    <t>Matthew Madden</t>
  </si>
  <si>
    <t>gilbertwilliam@example.com</t>
  </si>
  <si>
    <t>001-480-279-3597</t>
  </si>
  <si>
    <t>Robert Monroe</t>
  </si>
  <si>
    <t>Mrs. Maria Williams</t>
  </si>
  <si>
    <t>hritter@example.net</t>
  </si>
  <si>
    <t>+1-725-354-6659x051</t>
  </si>
  <si>
    <t>Jasmine King</t>
  </si>
  <si>
    <t>Docking Station</t>
  </si>
  <si>
    <t>Tracey Morrison</t>
  </si>
  <si>
    <t>mathewaguilar@example.org</t>
  </si>
  <si>
    <t>(346)829-1486x528</t>
  </si>
  <si>
    <t>Alicia Parker</t>
  </si>
  <si>
    <t>Gloria Miranda</t>
  </si>
  <si>
    <t>jeremytaylor@example.org</t>
  </si>
  <si>
    <t>418-488-0592x9622</t>
  </si>
  <si>
    <t>Amanda Diaz</t>
  </si>
  <si>
    <t>Tracy Bishop</t>
  </si>
  <si>
    <t>pyoung@example.com</t>
  </si>
  <si>
    <t>435.697.7468x8623</t>
  </si>
  <si>
    <t>John Watson</t>
  </si>
  <si>
    <t>Michelle Black</t>
  </si>
  <si>
    <t>mitchellkathryn@example.com</t>
  </si>
  <si>
    <t>782.561.3750x606</t>
  </si>
  <si>
    <t>Brad Walker</t>
  </si>
  <si>
    <t>Laptop; Security Badge</t>
  </si>
  <si>
    <t>Brett Espinoza</t>
  </si>
  <si>
    <t>lacey20@example.com</t>
  </si>
  <si>
    <t>827.379.0104x3289</t>
  </si>
  <si>
    <t>Cynthia Martinez</t>
  </si>
  <si>
    <t>Mark Dean</t>
  </si>
  <si>
    <t>rodriguezrebecca@example.net</t>
  </si>
  <si>
    <t>+1-708-593-2460</t>
  </si>
  <si>
    <t>Chelsea Barnett</t>
  </si>
  <si>
    <t>Headset; Keyboard; Laptop</t>
  </si>
  <si>
    <t>Heather Ashley</t>
  </si>
  <si>
    <t>myerstheodore@example.net</t>
  </si>
  <si>
    <t>(754)705-1531x9520</t>
  </si>
  <si>
    <t>Carrie Maxwell</t>
  </si>
  <si>
    <t>Michael Welch</t>
  </si>
  <si>
    <t>bryanparsons@example.com</t>
  </si>
  <si>
    <t>8439030548</t>
  </si>
  <si>
    <t>Paul Lee</t>
  </si>
  <si>
    <t>Richard Glenn</t>
  </si>
  <si>
    <t>joshua56@example.com</t>
  </si>
  <si>
    <t>001-876-452-7758x4161</t>
  </si>
  <si>
    <t>Erica Miller</t>
  </si>
  <si>
    <t>Keyboard; Monitor</t>
  </si>
  <si>
    <t>Elizabeth Morrison</t>
  </si>
  <si>
    <t>cjackson@example.com</t>
  </si>
  <si>
    <t>205.496.4016x582</t>
  </si>
  <si>
    <t>Megan Kim</t>
  </si>
  <si>
    <t>David Brewer</t>
  </si>
  <si>
    <t>patrick90@example.net</t>
  </si>
  <si>
    <t>(775)857-1928</t>
  </si>
  <si>
    <t>Donald Horne</t>
  </si>
  <si>
    <t>Cody Holmes</t>
  </si>
  <si>
    <t>greenjorge@example.com</t>
  </si>
  <si>
    <t>494.973.1217</t>
  </si>
  <si>
    <t>Rita Ponce DVM</t>
  </si>
  <si>
    <t>Michelle Pierce</t>
  </si>
  <si>
    <t>patricia22@example.com</t>
  </si>
  <si>
    <t>431.332.3705x89578</t>
  </si>
  <si>
    <t>James Love</t>
  </si>
  <si>
    <t>Jason Ortiz</t>
  </si>
  <si>
    <t>martinezlogan@example.org</t>
  </si>
  <si>
    <t>378.452.8922x680</t>
  </si>
  <si>
    <t>Christopher Donovan</t>
  </si>
  <si>
    <t>Travis Stone</t>
  </si>
  <si>
    <t>meghan43@example.net</t>
  </si>
  <si>
    <t>+1-442-449-8182</t>
  </si>
  <si>
    <t>Michelle Jacobs</t>
  </si>
  <si>
    <t>Kristy Bryan</t>
  </si>
  <si>
    <t>millerstacy@example.net</t>
  </si>
  <si>
    <t>839-669-0784x473</t>
  </si>
  <si>
    <t>Michael Moore</t>
  </si>
  <si>
    <t>John Peterson</t>
  </si>
  <si>
    <t>larryhiggins@example.net</t>
  </si>
  <si>
    <t>(962)558-8153x714</t>
  </si>
  <si>
    <t>Anthony Dougherty</t>
  </si>
  <si>
    <t>Jennifer Estes</t>
  </si>
  <si>
    <t>lisapeck@example.net</t>
  </si>
  <si>
    <t>532-578-7747x01687</t>
  </si>
  <si>
    <t>Amber Campbell</t>
  </si>
  <si>
    <t>Sarah Chambers</t>
  </si>
  <si>
    <t>amanda16@example.org</t>
  </si>
  <si>
    <t>656-350-6098x358</t>
  </si>
  <si>
    <t>Jerry Pierce</t>
  </si>
  <si>
    <t>Lisa Carr</t>
  </si>
  <si>
    <t>theresalong@example.com</t>
  </si>
  <si>
    <t>+1-252-239-8680</t>
  </si>
  <si>
    <t>Gary Wells</t>
  </si>
  <si>
    <t>Larry Robertson</t>
  </si>
  <si>
    <t>sarah52@example.com</t>
  </si>
  <si>
    <t>+1-749-758-8879x470</t>
  </si>
  <si>
    <t>Veronica Silva</t>
  </si>
  <si>
    <t>Molly Watts</t>
  </si>
  <si>
    <t>carlsonjoseph@example.net</t>
  </si>
  <si>
    <t>001-399-530-9728x96230</t>
  </si>
  <si>
    <t>Erik Hernandez</t>
  </si>
  <si>
    <t>Headset; Monitor</t>
  </si>
  <si>
    <t>Jennifer Hampton</t>
  </si>
  <si>
    <t>vsalas@example.net</t>
  </si>
  <si>
    <t>7284385786</t>
  </si>
  <si>
    <t>Joseph Payne</t>
  </si>
  <si>
    <t>Sharon Becker</t>
  </si>
  <si>
    <t>chelsea33@example.com</t>
  </si>
  <si>
    <t>+1-743-644-3757</t>
  </si>
  <si>
    <t>Kenneth Daniels</t>
  </si>
  <si>
    <t>Monitor; Security Badge</t>
  </si>
  <si>
    <t>Jennifer Reed</t>
  </si>
  <si>
    <t>kellyroberts@example.net</t>
  </si>
  <si>
    <t>657-447-3384</t>
  </si>
  <si>
    <t>Patrick Allen</t>
  </si>
  <si>
    <t>Taylor Perez</t>
  </si>
  <si>
    <t>briangutierrez@example.net</t>
  </si>
  <si>
    <t>212.308.2677x3454</t>
  </si>
  <si>
    <t>Crystal Rodgers</t>
  </si>
  <si>
    <t>Amanda Dorsey</t>
  </si>
  <si>
    <t>lkhan@example.org</t>
  </si>
  <si>
    <t>(972)440-0499x1547</t>
  </si>
  <si>
    <t>Julie Lee</t>
  </si>
  <si>
    <t>Christopher Stevens</t>
  </si>
  <si>
    <t>jennifer05@example.com</t>
  </si>
  <si>
    <t>001-832-396-6851</t>
  </si>
  <si>
    <t>Charles Morris</t>
  </si>
  <si>
    <t>Dean Young</t>
  </si>
  <si>
    <t>stephanie49@example.net</t>
  </si>
  <si>
    <t>001-404-853-0174</t>
  </si>
  <si>
    <t>Tammy Barron</t>
  </si>
  <si>
    <t>Melissa Fowler</t>
  </si>
  <si>
    <t>michael33@example.org</t>
  </si>
  <si>
    <t>927.795.6878x3391</t>
  </si>
  <si>
    <t>Justin Brown</t>
  </si>
  <si>
    <t>Kathy Armstrong</t>
  </si>
  <si>
    <t>franklinbond@example.com</t>
  </si>
  <si>
    <t>439-871-8707</t>
  </si>
  <si>
    <t>Anthony Ford</t>
  </si>
  <si>
    <t>Miranda Foster</t>
  </si>
  <si>
    <t>reesebeth@example.org</t>
  </si>
  <si>
    <t>(851)980-1704x62265</t>
  </si>
  <si>
    <t>Susan Bennett</t>
  </si>
  <si>
    <t>Mary Ryan</t>
  </si>
  <si>
    <t>david86@example.net</t>
  </si>
  <si>
    <t>(830)504-7868</t>
  </si>
  <si>
    <t>Gregory Hill</t>
  </si>
  <si>
    <t>Molly Rodriguez</t>
  </si>
  <si>
    <t>bmendez@example.org</t>
  </si>
  <si>
    <t>211.890.7903</t>
  </si>
  <si>
    <t>Joshua Webster</t>
  </si>
  <si>
    <t>Brenda Holder</t>
  </si>
  <si>
    <t>lisadennis@example.com</t>
  </si>
  <si>
    <t>001-695-634-2836</t>
  </si>
  <si>
    <t>Travis Hobbs</t>
  </si>
  <si>
    <t>Lori Simmons</t>
  </si>
  <si>
    <t>wwilliams@example.net</t>
  </si>
  <si>
    <t>+1-668-456-6246x28733</t>
  </si>
  <si>
    <t>Suzanne Hart</t>
  </si>
  <si>
    <t>Headset; Keyboard</t>
  </si>
  <si>
    <t>Kristin Anderson</t>
  </si>
  <si>
    <t>jonathanrivera@example.org</t>
  </si>
  <si>
    <t>551.583.0469x901</t>
  </si>
  <si>
    <t xml:space="preserve">  Sean Cook </t>
  </si>
  <si>
    <t>Alexis Giles</t>
  </si>
  <si>
    <t>burgesskaren@example.org</t>
  </si>
  <si>
    <t>001-693-663-8546x785</t>
  </si>
  <si>
    <t>Stephen Owens</t>
  </si>
  <si>
    <t>Miranda Gill</t>
  </si>
  <si>
    <t>robin55@example.com</t>
  </si>
  <si>
    <t>8936204899</t>
  </si>
  <si>
    <t>Gary James</t>
  </si>
  <si>
    <t>Kathryn Pena</t>
  </si>
  <si>
    <t>jonathan77@example.com</t>
  </si>
  <si>
    <t>(252)328-7280</t>
  </si>
  <si>
    <t>Mary Duran</t>
  </si>
  <si>
    <t>Ryan Hall</t>
  </si>
  <si>
    <t>albertwagner@example.com</t>
  </si>
  <si>
    <t>8992770088</t>
  </si>
  <si>
    <t>Nathan Nichols</t>
  </si>
  <si>
    <t>Jonathan Wolfe</t>
  </si>
  <si>
    <t>ldrake@example.org</t>
  </si>
  <si>
    <t>682-833-9845</t>
  </si>
  <si>
    <t>Tyler Stevens</t>
  </si>
  <si>
    <t>valdezmichele@example.org</t>
  </si>
  <si>
    <t>366-968-7002</t>
  </si>
  <si>
    <t>Maria Rivera</t>
  </si>
  <si>
    <t>Headset; Keyboard; Security Badge</t>
  </si>
  <si>
    <t>Valerie Jacobson</t>
  </si>
  <si>
    <t>hallrachel@example.net</t>
  </si>
  <si>
    <t>001-474-701-4890</t>
  </si>
  <si>
    <t>Daniel Thomas</t>
  </si>
  <si>
    <t>Samantha Hickman</t>
  </si>
  <si>
    <t>francisco39@example.com</t>
  </si>
  <si>
    <t>+1-885-762-1850x16315</t>
  </si>
  <si>
    <t>Donald Riddle</t>
  </si>
  <si>
    <t>Henry Pugh MD</t>
  </si>
  <si>
    <t>nmiller@example.com</t>
  </si>
  <si>
    <t>711.342.6265</t>
  </si>
  <si>
    <t>Tommy Wallace</t>
  </si>
  <si>
    <t>Ashley Miller</t>
  </si>
  <si>
    <t>jcole@example.net</t>
  </si>
  <si>
    <t>(810)315-8199x56046</t>
  </si>
  <si>
    <t>Kristin Haney</t>
  </si>
  <si>
    <t>Joseph Jennings</t>
  </si>
  <si>
    <t>dominicturner@example.com</t>
  </si>
  <si>
    <t>(712)664-6471</t>
  </si>
  <si>
    <t>Michelle Simpson</t>
  </si>
  <si>
    <t>Judith Taylor</t>
  </si>
  <si>
    <t>rushmartin@example.net</t>
  </si>
  <si>
    <t>(457)856-9245x9375</t>
  </si>
  <si>
    <t>Doris Neal</t>
  </si>
  <si>
    <t>Kenneth Sanchez MD</t>
  </si>
  <si>
    <t>kdiaz@example.org</t>
  </si>
  <si>
    <t>001-382-880-7374</t>
  </si>
  <si>
    <t>Brenda Turner</t>
  </si>
  <si>
    <t>Christian Henderson</t>
  </si>
  <si>
    <t>mjones@example.com</t>
  </si>
  <si>
    <t>001-368-386-8058</t>
  </si>
  <si>
    <t>Mary Kelly</t>
  </si>
  <si>
    <t>Headset; Laptop; Monitor</t>
  </si>
  <si>
    <t>Amanda Terrell</t>
  </si>
  <si>
    <t>vrasmussen@example.com</t>
  </si>
  <si>
    <t>501-943-8889</t>
  </si>
  <si>
    <t>Joel Frazier</t>
  </si>
  <si>
    <t>Marketing</t>
  </si>
  <si>
    <t>Brittany Cuevas</t>
  </si>
  <si>
    <t>agarcia@example.org</t>
  </si>
  <si>
    <t>725-945-7387</t>
  </si>
  <si>
    <t>Nathan Chavez</t>
  </si>
  <si>
    <t>Andrew Page</t>
  </si>
  <si>
    <t>sweeneydeborah@example.net</t>
  </si>
  <si>
    <t>(938)528-2586</t>
  </si>
  <si>
    <t>Lori Lopez</t>
  </si>
  <si>
    <t>Jennifer Mclaughlin</t>
  </si>
  <si>
    <t>shannonjordan@example.org</t>
  </si>
  <si>
    <t>001-933-341-9182x553</t>
  </si>
  <si>
    <t>Scott Rose</t>
  </si>
  <si>
    <t>Linda Carr</t>
  </si>
  <si>
    <t>baileymegan@example.net</t>
  </si>
  <si>
    <t>(649)391-2513</t>
  </si>
  <si>
    <t>Michael Dixon</t>
  </si>
  <si>
    <t>Chad Reyes</t>
  </si>
  <si>
    <t>tommymedina@example.net</t>
  </si>
  <si>
    <t>(282)774-2257</t>
  </si>
  <si>
    <t>Kari Lee</t>
  </si>
  <si>
    <t>Justin Delgado</t>
  </si>
  <si>
    <t>acohen@example.net</t>
  </si>
  <si>
    <t>672.419.0340x438</t>
  </si>
  <si>
    <t>Krystal Barton</t>
  </si>
  <si>
    <t>Jorge Armstrong III</t>
  </si>
  <si>
    <t>amber07@example.net</t>
  </si>
  <si>
    <t>361.934.0745</t>
  </si>
  <si>
    <t>Autumn Cain</t>
  </si>
  <si>
    <t>Docking Station; Keyboard; Monitor</t>
  </si>
  <si>
    <t>Oscar Norris</t>
  </si>
  <si>
    <t>imartin@example.org</t>
  </si>
  <si>
    <t>709.658.4982</t>
  </si>
  <si>
    <t>Derek Hodge</t>
  </si>
  <si>
    <t>Miss Anna Estes</t>
  </si>
  <si>
    <t>rsellers@example.net</t>
  </si>
  <si>
    <t>(623)825-3672</t>
  </si>
  <si>
    <t xml:space="preserve">  Bernard Norton </t>
  </si>
  <si>
    <t>Jennifer Brady</t>
  </si>
  <si>
    <t>shawn75@example.net</t>
  </si>
  <si>
    <t>5179518636</t>
  </si>
  <si>
    <t>Ronald Morgan</t>
  </si>
  <si>
    <t>Kylie Washington</t>
  </si>
  <si>
    <t>patricia00@example.org</t>
  </si>
  <si>
    <t>+1-670-312-7706x3242</t>
  </si>
  <si>
    <t xml:space="preserve">  Danielle Watson </t>
  </si>
  <si>
    <t>Carol Sanders</t>
  </si>
  <si>
    <t>jessica36@example.net</t>
  </si>
  <si>
    <t>910-237-1293</t>
  </si>
  <si>
    <t>Greg Martinez</t>
  </si>
  <si>
    <t>Melissa Woods</t>
  </si>
  <si>
    <t>patrickcross@example.org</t>
  </si>
  <si>
    <t>255-442-6221</t>
  </si>
  <si>
    <t>Nathan Fuller</t>
  </si>
  <si>
    <t>Docking Station; Headset; Monitor</t>
  </si>
  <si>
    <t>Jason Parks</t>
  </si>
  <si>
    <t>christophergarcia@example.org</t>
  </si>
  <si>
    <t>001-565-665-2341</t>
  </si>
  <si>
    <t>Melissa Abbott</t>
  </si>
  <si>
    <t>Elizabeth Holmes</t>
  </si>
  <si>
    <t>juliephillips@example.org</t>
  </si>
  <si>
    <t>276.713.7918</t>
  </si>
  <si>
    <t>Bonnie Valencia</t>
  </si>
  <si>
    <t>Holly Vega</t>
  </si>
  <si>
    <t>xbest@example.org</t>
  </si>
  <si>
    <t>6918043006</t>
  </si>
  <si>
    <t>James Davidson</t>
  </si>
  <si>
    <t>Brittany Miller</t>
  </si>
  <si>
    <t>dixonjames@example.org</t>
  </si>
  <si>
    <t>+1-556-391-4630</t>
  </si>
  <si>
    <t>Audrey Salazar</t>
  </si>
  <si>
    <t>Maxwell Barrett</t>
  </si>
  <si>
    <t>davidzimmerman@example.net</t>
  </si>
  <si>
    <t>4276588425</t>
  </si>
  <si>
    <t>Bailey Yoder</t>
  </si>
  <si>
    <t>Jeffrey Warren</t>
  </si>
  <si>
    <t>jennifer91@example.com</t>
  </si>
  <si>
    <t>385.507.9252x419</t>
  </si>
  <si>
    <t>April Trevino</t>
  </si>
  <si>
    <t>Angel Cox</t>
  </si>
  <si>
    <t>haroldhorne@example.org</t>
  </si>
  <si>
    <t>+1-763-353-6541</t>
  </si>
  <si>
    <t>Stephanie White</t>
  </si>
  <si>
    <t>Vicki Finley</t>
  </si>
  <si>
    <t>wileymichelle@example.com</t>
  </si>
  <si>
    <t>918-570-5349x49375</t>
  </si>
  <si>
    <t>Kimberly Flynn</t>
  </si>
  <si>
    <t>Timothy Johnson</t>
  </si>
  <si>
    <t>cynthia05@example.org</t>
  </si>
  <si>
    <t>001-564-813-8367x02410</t>
  </si>
  <si>
    <t>Jacqueline Villegas</t>
  </si>
  <si>
    <t>Brendan Anderson</t>
  </si>
  <si>
    <t>kjones@example.org</t>
  </si>
  <si>
    <t>(423)344-5655x74313</t>
  </si>
  <si>
    <t>Christopher Owens</t>
  </si>
  <si>
    <t>Joshua Oconnell</t>
  </si>
  <si>
    <t>shannonford@example.org</t>
  </si>
  <si>
    <t>524-790-3521</t>
  </si>
  <si>
    <t>Anthony Evans</t>
  </si>
  <si>
    <t>Carrie Crane</t>
  </si>
  <si>
    <t>jhawkins@example.org</t>
  </si>
  <si>
    <t>571-821-0032</t>
  </si>
  <si>
    <t>Mark Newman</t>
  </si>
  <si>
    <t>Deanna Hess</t>
  </si>
  <si>
    <t>osbornjames@example.net</t>
  </si>
  <si>
    <t>921.251.0702x966</t>
  </si>
  <si>
    <t>Jeffery Gomez</t>
  </si>
  <si>
    <t>Denise Griffin</t>
  </si>
  <si>
    <t>austinharvey@example.org</t>
  </si>
  <si>
    <t>+1-547-268-7014x6263</t>
  </si>
  <si>
    <t>Rachael Howard DDS</t>
  </si>
  <si>
    <t>Dr. Jonathan Price</t>
  </si>
  <si>
    <t>anthonyharper@example.org</t>
  </si>
  <si>
    <t>001-240-578-5932x13348</t>
  </si>
  <si>
    <t>Vickie Price</t>
  </si>
  <si>
    <t>Wendy Thompson</t>
  </si>
  <si>
    <t>brittanydrake@example.net</t>
  </si>
  <si>
    <t>(490)959-9293x784</t>
  </si>
  <si>
    <t>Anthony Guzman</t>
  </si>
  <si>
    <t>John Rivera</t>
  </si>
  <si>
    <t>lindsaypeterson@example.org</t>
  </si>
  <si>
    <t>700-629-2185x15691</t>
  </si>
  <si>
    <t>William Oconnor</t>
  </si>
  <si>
    <t>Mark Freeman</t>
  </si>
  <si>
    <t>grant89@example.com</t>
  </si>
  <si>
    <t>892.264.4220</t>
  </si>
  <si>
    <t>Evan Lamb</t>
  </si>
  <si>
    <t>Margaret Garcia</t>
  </si>
  <si>
    <t>vtaylor@example.org</t>
  </si>
  <si>
    <t>555.521.5704</t>
  </si>
  <si>
    <t>Hayley Buchanan</t>
  </si>
  <si>
    <t>Amber Kim</t>
  </si>
  <si>
    <t>acosta@example.com</t>
  </si>
  <si>
    <t>(258)761-7932x7104</t>
  </si>
  <si>
    <t>Brian Peterson</t>
  </si>
  <si>
    <t>Candace Jones</t>
  </si>
  <si>
    <t>morgantricia@example.com</t>
  </si>
  <si>
    <t>001-806-629-6201x533</t>
  </si>
  <si>
    <t>Elizabeth Davis</t>
  </si>
  <si>
    <t>Joshua Henry</t>
  </si>
  <si>
    <t>wardronald@example.com</t>
  </si>
  <si>
    <t>+1-997-931-0324x17146</t>
  </si>
  <si>
    <t>Deborah May</t>
  </si>
  <si>
    <t>Jacob James</t>
  </si>
  <si>
    <t>seanbaker@example.com</t>
  </si>
  <si>
    <t>534-290-2115x869</t>
  </si>
  <si>
    <t>Sabrina Barnes</t>
  </si>
  <si>
    <t>Docking Station; Monitor; Security Badge</t>
  </si>
  <si>
    <t>Sharon Wells</t>
  </si>
  <si>
    <t>thomasmiller@example.net</t>
  </si>
  <si>
    <t>4894899217</t>
  </si>
  <si>
    <t>Rhonda Martinez</t>
  </si>
  <si>
    <t>William Graham</t>
  </si>
  <si>
    <t>maryscott@example.net</t>
  </si>
  <si>
    <t>916-286-8548</t>
  </si>
  <si>
    <t>Lisa Mills</t>
  </si>
  <si>
    <t>Jason Hernandez</t>
  </si>
  <si>
    <t>buckleyanna@example.org</t>
  </si>
  <si>
    <t>885-464-6799x7024</t>
  </si>
  <si>
    <t>Melanie Morales</t>
  </si>
  <si>
    <t>Shawn Vaughn</t>
  </si>
  <si>
    <t>reesesamantha@example.com</t>
  </si>
  <si>
    <t>6549447132</t>
  </si>
  <si>
    <t>Erica Daniel</t>
  </si>
  <si>
    <t>Ann Alexander</t>
  </si>
  <si>
    <t>wfigueroa@example.net</t>
  </si>
  <si>
    <t>(408)521-4862x890</t>
  </si>
  <si>
    <t>Christina Brown</t>
  </si>
  <si>
    <t>Anthony Ward</t>
  </si>
  <si>
    <t>joshuacolon@example.net</t>
  </si>
  <si>
    <t>(710)435-7972x7985</t>
  </si>
  <si>
    <t>Deanna Rivas</t>
  </si>
  <si>
    <t>Alexander Williams</t>
  </si>
  <si>
    <t>mercedesholland@example.net</t>
  </si>
  <si>
    <t>246.580.0722</t>
  </si>
  <si>
    <t>Robert Torres</t>
  </si>
  <si>
    <t>Maria Coleman</t>
  </si>
  <si>
    <t>dyork@example.com</t>
  </si>
  <si>
    <t>774.689.6910</t>
  </si>
  <si>
    <t>Brian Brown</t>
  </si>
  <si>
    <t>Margaret Hensley MD</t>
  </si>
  <si>
    <t>jacob83@example.org</t>
  </si>
  <si>
    <t>+1-565-720-7446x660</t>
  </si>
  <si>
    <t>Courtney Nichols</t>
  </si>
  <si>
    <t>Susan Powers</t>
  </si>
  <si>
    <t>megan82@example.com</t>
  </si>
  <si>
    <t>772-548-2513</t>
  </si>
  <si>
    <t>Elizabeth French</t>
  </si>
  <si>
    <t>David Carter</t>
  </si>
  <si>
    <t>ruizmichelle@example.net</t>
  </si>
  <si>
    <t>001-691-873-8168</t>
  </si>
  <si>
    <t>Scott Taylor</t>
  </si>
  <si>
    <t>Jason Hudson</t>
  </si>
  <si>
    <t>tthomas@example.org</t>
  </si>
  <si>
    <t>001-917-352-5007x43292</t>
  </si>
  <si>
    <t>Jeffrey Jordan</t>
  </si>
  <si>
    <t>John Smith</t>
  </si>
  <si>
    <t>jessicadodson@example.com</t>
  </si>
  <si>
    <t>001-683-400-3354x21689</t>
  </si>
  <si>
    <t>Angel Fry</t>
  </si>
  <si>
    <t>Joseph Warren</t>
  </si>
  <si>
    <t>ibarron@example.com</t>
  </si>
  <si>
    <t>453.326.0332x3098</t>
  </si>
  <si>
    <t>Matthew Johnson</t>
  </si>
  <si>
    <t>Dawn Nichols</t>
  </si>
  <si>
    <t>wheelerbrandon@example.org</t>
  </si>
  <si>
    <t>+1-200-616-7618x4723</t>
  </si>
  <si>
    <t>Brian Meyer</t>
  </si>
  <si>
    <t>Mercedes Barnes</t>
  </si>
  <si>
    <t>huntchristine@example.com</t>
  </si>
  <si>
    <t>717-839-3483</t>
  </si>
  <si>
    <t>Andrew Crawford</t>
  </si>
  <si>
    <t>Timothy Rivera</t>
  </si>
  <si>
    <t>smithchristopher@example.org</t>
  </si>
  <si>
    <t>001-972-618-1143</t>
  </si>
  <si>
    <t>Anthony Li</t>
  </si>
  <si>
    <t>Sarah Ward</t>
  </si>
  <si>
    <t>ronald11@example.org</t>
  </si>
  <si>
    <t>7227557941</t>
  </si>
  <si>
    <t>James Rivers</t>
  </si>
  <si>
    <t>James Jefferson</t>
  </si>
  <si>
    <t>zbanks@example.org</t>
  </si>
  <si>
    <t>920-421-6979</t>
  </si>
  <si>
    <t>Peggy Carr</t>
  </si>
  <si>
    <t>Docking Station; Security Badge</t>
  </si>
  <si>
    <t>Sheryl Acosta</t>
  </si>
  <si>
    <t>timothyfreeman@example.com</t>
  </si>
  <si>
    <t>301.845.0899x358</t>
  </si>
  <si>
    <t>Danielle Reed</t>
  </si>
  <si>
    <t>Janice Combs</t>
  </si>
  <si>
    <t>smithsarah@example.net</t>
  </si>
  <si>
    <t>872.817.5354x0838</t>
  </si>
  <si>
    <t>Angela Wallace</t>
  </si>
  <si>
    <t>Anita Jimenez</t>
  </si>
  <si>
    <t>david70@example.org</t>
  </si>
  <si>
    <t>(960)788-0199x4883</t>
  </si>
  <si>
    <t>Anthony Walker</t>
  </si>
  <si>
    <t>Justin Harvey</t>
  </si>
  <si>
    <t>xmoran@example.net</t>
  </si>
  <si>
    <t>211.430.5548x851</t>
  </si>
  <si>
    <t>Rodney Newton MD</t>
  </si>
  <si>
    <t>Craig Martinez</t>
  </si>
  <si>
    <t>ylewis@example.org</t>
  </si>
  <si>
    <t>001-951-260-9177x982</t>
  </si>
  <si>
    <t>Amber Mcconnell</t>
  </si>
  <si>
    <t>Karen Romero</t>
  </si>
  <si>
    <t>heatherthompson@example.org</t>
  </si>
  <si>
    <t>569-695-8669</t>
  </si>
  <si>
    <t>Grant Phillips</t>
  </si>
  <si>
    <t>Brenda Morrison</t>
  </si>
  <si>
    <t>megan85@example.net</t>
  </si>
  <si>
    <t>001-383-733-9452x2885</t>
  </si>
  <si>
    <t>Lauren Bender</t>
  </si>
  <si>
    <t>Megan English</t>
  </si>
  <si>
    <t>natalie60@example.net</t>
  </si>
  <si>
    <t>606-620-0342</t>
  </si>
  <si>
    <t>Antonio Mueller</t>
  </si>
  <si>
    <t>Joshua Howard</t>
  </si>
  <si>
    <t>rgarcia@example.net</t>
  </si>
  <si>
    <t>+1-838-863-8406</t>
  </si>
  <si>
    <t>Vanessa Edwards</t>
  </si>
  <si>
    <t>Alexandria King</t>
  </si>
  <si>
    <t>ogreer@example.net</t>
  </si>
  <si>
    <t>001-459-389-3347x212</t>
  </si>
  <si>
    <t>Jeffrey Hawkins</t>
  </si>
  <si>
    <t>Kevin Scott</t>
  </si>
  <si>
    <t>steven20@example.org</t>
  </si>
  <si>
    <t>390-494-7985x15832</t>
  </si>
  <si>
    <t>Joshua Davis</t>
  </si>
  <si>
    <t>Daniel Rivera</t>
  </si>
  <si>
    <t>kelly98@example.com</t>
  </si>
  <si>
    <t>+1-201-757-3993</t>
  </si>
  <si>
    <t>Robert Wilson</t>
  </si>
  <si>
    <t>Nathaniel Johnson</t>
  </si>
  <si>
    <t>willie87@example.com</t>
  </si>
  <si>
    <t>2433581128</t>
  </si>
  <si>
    <t>Mark Lewis</t>
  </si>
  <si>
    <t>Sara Harris</t>
  </si>
  <si>
    <t>elucas@example.net</t>
  </si>
  <si>
    <t>+1-520-675-0110x24819</t>
  </si>
  <si>
    <t>Jerry Sullivan</t>
  </si>
  <si>
    <t>James Wilson</t>
  </si>
  <si>
    <t>maychristine@example.net</t>
  </si>
  <si>
    <t>001-301-658-1449</t>
  </si>
  <si>
    <t>Jessica Foster</t>
  </si>
  <si>
    <t>Kara Ferguson</t>
  </si>
  <si>
    <t>julierobles@example.net</t>
  </si>
  <si>
    <t>824-350-8821x0099</t>
  </si>
  <si>
    <t>Paul Berger</t>
  </si>
  <si>
    <t>Jason Brewer</t>
  </si>
  <si>
    <t>eugenewalker@example.com</t>
  </si>
  <si>
    <t>612.390.8781</t>
  </si>
  <si>
    <t>Craig Carpenter</t>
  </si>
  <si>
    <t>Heather Lambert</t>
  </si>
  <si>
    <t>craigharvey@example.org</t>
  </si>
  <si>
    <t>277-759-4929x95562</t>
  </si>
  <si>
    <t>Daniel Singh</t>
  </si>
  <si>
    <t>Ryan Taylor</t>
  </si>
  <si>
    <t>natalie77@example.com</t>
  </si>
  <si>
    <t>001-347-281-2914x28341</t>
  </si>
  <si>
    <t>Lynn Hess</t>
  </si>
  <si>
    <t>Patricia Lewis</t>
  </si>
  <si>
    <t>arnoldamy@example.net</t>
  </si>
  <si>
    <t>725.263.9427x8816</t>
  </si>
  <si>
    <t>Sarah Drake</t>
  </si>
  <si>
    <t>Carol Palmer</t>
  </si>
  <si>
    <t>kmoore@example.net</t>
  </si>
  <si>
    <t>+1-727-850-3731x45303</t>
  </si>
  <si>
    <t>Jesse Williams</t>
  </si>
  <si>
    <t>Mrs. Michele Boyd</t>
  </si>
  <si>
    <t>mary49@example.net</t>
  </si>
  <si>
    <t>001-826-565-9184</t>
  </si>
  <si>
    <t>Heather Parrish</t>
  </si>
  <si>
    <t>Mr. Larry Shaw</t>
  </si>
  <si>
    <t>scotthall@example.net</t>
  </si>
  <si>
    <t>+1-943-922-2591x3651</t>
  </si>
  <si>
    <t>Kevin Holland</t>
  </si>
  <si>
    <t>David Anderson</t>
  </si>
  <si>
    <t>dennishunt@example.net</t>
  </si>
  <si>
    <t>(202)642-8699</t>
  </si>
  <si>
    <t>Claire Obrien</t>
  </si>
  <si>
    <t>John Robinson</t>
  </si>
  <si>
    <t>yburke@example.net</t>
  </si>
  <si>
    <t>001-429-384-2579x91366</t>
  </si>
  <si>
    <t>Joseph Blankenship</t>
  </si>
  <si>
    <t>Samantha Jacobs</t>
  </si>
  <si>
    <t>thomasmendez@example.org</t>
  </si>
  <si>
    <t>+1-881-817-2980</t>
  </si>
  <si>
    <t>Andrew Moreno</t>
  </si>
  <si>
    <t>Robert Clarke</t>
  </si>
  <si>
    <t>zbell@example.net</t>
  </si>
  <si>
    <t>001-591-262-4731x49864</t>
  </si>
  <si>
    <t>Rachel Lane</t>
  </si>
  <si>
    <t>Adam Pena</t>
  </si>
  <si>
    <t>robert12@example.com</t>
  </si>
  <si>
    <t>+1-994-448-6959x4636</t>
  </si>
  <si>
    <t>Justin King</t>
  </si>
  <si>
    <t>Gregory Thornton</t>
  </si>
  <si>
    <t>melissahopkins@example.net</t>
  </si>
  <si>
    <t>272.413.8658</t>
  </si>
  <si>
    <t>Mark Brock</t>
  </si>
  <si>
    <t>Kaitlyn Burke</t>
  </si>
  <si>
    <t>brownjeffrey@example.org</t>
  </si>
  <si>
    <t>+1-206-569-8490x277</t>
  </si>
  <si>
    <t>Tara Holmes</t>
  </si>
  <si>
    <t>Richard Dixon</t>
  </si>
  <si>
    <t>christinacraig@example.com</t>
  </si>
  <si>
    <t>502.214.6566</t>
  </si>
  <si>
    <t>Andrea Davis</t>
  </si>
  <si>
    <t>Ronald Herman</t>
  </si>
  <si>
    <t>michael43@example.net</t>
  </si>
  <si>
    <t>376.390.4268</t>
  </si>
  <si>
    <t>Gina Wilson</t>
  </si>
  <si>
    <t>Deanna Medina</t>
  </si>
  <si>
    <t>heather69@example.com</t>
  </si>
  <si>
    <t>001-735-877-9071x41633</t>
  </si>
  <si>
    <t>Kelli Smith</t>
  </si>
  <si>
    <t>Danielle Davis</t>
  </si>
  <si>
    <t>charles27@example.com</t>
  </si>
  <si>
    <t>(539)542-3733x343</t>
  </si>
  <si>
    <t>Sara Kelly</t>
  </si>
  <si>
    <t>Barbara Miller</t>
  </si>
  <si>
    <t>waustin@example.net</t>
  </si>
  <si>
    <t>4756957947</t>
  </si>
  <si>
    <t>Paul Anderson</t>
  </si>
  <si>
    <t>Jenny Ayers</t>
  </si>
  <si>
    <t>shawphillip@example.net</t>
  </si>
  <si>
    <t>001-727-618-7500x36915</t>
  </si>
  <si>
    <t>Dennis Adams</t>
  </si>
  <si>
    <t>Grace White</t>
  </si>
  <si>
    <t>sclark@example.com</t>
  </si>
  <si>
    <t>(864)872-9293x143</t>
  </si>
  <si>
    <t>Robert Rodgers</t>
  </si>
  <si>
    <t>Adam Fisher</t>
  </si>
  <si>
    <t>wendyatkinson@example.net</t>
  </si>
  <si>
    <t>+1-357-444-8906</t>
  </si>
  <si>
    <t>Robert Woods</t>
  </si>
  <si>
    <t>Joanna Cook</t>
  </si>
  <si>
    <t>michael84@example.com</t>
  </si>
  <si>
    <t>4616593998</t>
  </si>
  <si>
    <t>Michael Freeman</t>
  </si>
  <si>
    <t>Stacy James</t>
  </si>
  <si>
    <t>steven22@example.net</t>
  </si>
  <si>
    <t>869-696-1125x35544</t>
  </si>
  <si>
    <t>Priscilla Mcmillan</t>
  </si>
  <si>
    <t>Kelly Cole</t>
  </si>
  <si>
    <t>ivanjohnson@example.net</t>
  </si>
  <si>
    <t>941.232.6111</t>
  </si>
  <si>
    <t>James Hubbard</t>
  </si>
  <si>
    <t>Dennis Moore</t>
  </si>
  <si>
    <t>pparker@example.net</t>
  </si>
  <si>
    <t>672-928-2005x5778</t>
  </si>
  <si>
    <t>Travis Ryan</t>
  </si>
  <si>
    <t>Joyce Curry</t>
  </si>
  <si>
    <t>omills@example.net</t>
  </si>
  <si>
    <t>257-283-1745x6424</t>
  </si>
  <si>
    <t>Olivia Taylor</t>
  </si>
  <si>
    <t>Joseph Watts</t>
  </si>
  <si>
    <t>earroyo@example.com</t>
  </si>
  <si>
    <t>8648930853</t>
  </si>
  <si>
    <t>Christopher Mclaughlin</t>
  </si>
  <si>
    <t>James Baker</t>
  </si>
  <si>
    <t>hgarrett@example.net</t>
  </si>
  <si>
    <t>001-944-984-6312x241</t>
  </si>
  <si>
    <t>Marcus Lopez</t>
  </si>
  <si>
    <t>Anthony Nichols</t>
  </si>
  <si>
    <t>teresacampbell@example.org</t>
  </si>
  <si>
    <t>001-970-731-2073x564</t>
  </si>
  <si>
    <t>Rick Rivera</t>
  </si>
  <si>
    <t>Tiffany Brown</t>
  </si>
  <si>
    <t>ejones@example.org</t>
  </si>
  <si>
    <t>246.501.3673</t>
  </si>
  <si>
    <t>Ray Boyd</t>
  </si>
  <si>
    <t>Mrs. Melanie Collins</t>
  </si>
  <si>
    <t>eric08@example.net</t>
  </si>
  <si>
    <t>547-843-5031</t>
  </si>
  <si>
    <t>Christopher Hill</t>
  </si>
  <si>
    <t>Richard Smith</t>
  </si>
  <si>
    <t>perkinshannah@example.net</t>
  </si>
  <si>
    <t>+1-725-413-2719x500</t>
  </si>
  <si>
    <t>Rebecca Martinez</t>
  </si>
  <si>
    <t>William Kramer</t>
  </si>
  <si>
    <t>linda73@example.org</t>
  </si>
  <si>
    <t>001-565-424-0778x487</t>
  </si>
  <si>
    <t>Erica Mcdonald</t>
  </si>
  <si>
    <t>Linda Valencia</t>
  </si>
  <si>
    <t>caseymoore@example.com</t>
  </si>
  <si>
    <t>585-770-8620x959</t>
  </si>
  <si>
    <t>Joseph Jimenez</t>
  </si>
  <si>
    <t>chloemorris@example.net</t>
  </si>
  <si>
    <t>211-881-0220x31731</t>
  </si>
  <si>
    <t>Kelly Miles</t>
  </si>
  <si>
    <t>Jacob Obrien</t>
  </si>
  <si>
    <t>smithsamantha@example.net</t>
  </si>
  <si>
    <t>317.605.8650x9480</t>
  </si>
  <si>
    <t>Daniel Stone</t>
  </si>
  <si>
    <t>David Cruz</t>
  </si>
  <si>
    <t>aliciawright@example.net</t>
  </si>
  <si>
    <t>(388)461-9576</t>
  </si>
  <si>
    <t>Krista Wagner</t>
  </si>
  <si>
    <t>Kimberly Greene</t>
  </si>
  <si>
    <t>rachel85@example.com</t>
  </si>
  <si>
    <t>(865)293-9836x84577</t>
  </si>
  <si>
    <t>Victoria Larson</t>
  </si>
  <si>
    <t>Wendy Turner</t>
  </si>
  <si>
    <t>tracey35@example.org</t>
  </si>
  <si>
    <t>001-648-788-9921x07522</t>
  </si>
  <si>
    <t>Danielle Scott</t>
  </si>
  <si>
    <t>Kelly Carroll</t>
  </si>
  <si>
    <t>jessicacummings@example.com</t>
  </si>
  <si>
    <t>(379)219-4096</t>
  </si>
  <si>
    <t>Felicia Hobbs</t>
  </si>
  <si>
    <t>Timothy Martinez</t>
  </si>
  <si>
    <t>julieatkinson@example.org</t>
  </si>
  <si>
    <t>+1-460-248-0589x2583</t>
  </si>
  <si>
    <t>Yolanda Maddox</t>
  </si>
  <si>
    <t>Laura Davis</t>
  </si>
  <si>
    <t>zroberts@example.org</t>
  </si>
  <si>
    <t>(351)879-0864</t>
  </si>
  <si>
    <t>Patricia Anderson</t>
  </si>
  <si>
    <t>Justin Freeman</t>
  </si>
  <si>
    <t>annshea@example.net</t>
  </si>
  <si>
    <t>831.846.5911</t>
  </si>
  <si>
    <t>Connor Cooper</t>
  </si>
  <si>
    <t>Patricia Jackson</t>
  </si>
  <si>
    <t>christina79@example.org</t>
  </si>
  <si>
    <t>603.235.2110x392</t>
  </si>
  <si>
    <t>Gary Singh</t>
  </si>
  <si>
    <t>jamesmills@example.com</t>
  </si>
  <si>
    <t>+1-679-420-6980</t>
  </si>
  <si>
    <t>Curtis Horton</t>
  </si>
  <si>
    <t>John Landry</t>
  </si>
  <si>
    <t>pricejoseph@example.net</t>
  </si>
  <si>
    <t>(310)446-3681x579</t>
  </si>
  <si>
    <t>Walter Castro</t>
  </si>
  <si>
    <t>Amanda Nielsen</t>
  </si>
  <si>
    <t>matthew62@example.org</t>
  </si>
  <si>
    <t>(655)543-8404x608</t>
  </si>
  <si>
    <t>Steven Sandoval</t>
  </si>
  <si>
    <t>James Yu</t>
  </si>
  <si>
    <t>robertberry@example.com</t>
  </si>
  <si>
    <t>495-878-2329x8324</t>
  </si>
  <si>
    <t>Vanessa Thomas DVM</t>
  </si>
  <si>
    <t>Emily Grant</t>
  </si>
  <si>
    <t>whitemary@example.org</t>
  </si>
  <si>
    <t>001-205-666-4742x3122</t>
  </si>
  <si>
    <t>Lisa Carlson</t>
  </si>
  <si>
    <t>Alexander Miller</t>
  </si>
  <si>
    <t>manderson@example.com</t>
  </si>
  <si>
    <t>001-252-667-7223x306</t>
  </si>
  <si>
    <t>Courtney Powers</t>
  </si>
  <si>
    <t>Daniel Thompson</t>
  </si>
  <si>
    <t>fcamacho@example.net</t>
  </si>
  <si>
    <t>273-366-0965x69998</t>
  </si>
  <si>
    <t>Ronald Williams</t>
  </si>
  <si>
    <t>Kelly Foster PhD</t>
  </si>
  <si>
    <t>oblack@example.org</t>
  </si>
  <si>
    <t>647.264.4726</t>
  </si>
  <si>
    <t>Stephanie Ford</t>
  </si>
  <si>
    <t>Ann Mason</t>
  </si>
  <si>
    <t>kimberlypace@example.net</t>
  </si>
  <si>
    <t>+1-526-965-7027</t>
  </si>
  <si>
    <t>Fred Wong</t>
  </si>
  <si>
    <t>Carly Quinn</t>
  </si>
  <si>
    <t>wilsonshannon@example.com</t>
  </si>
  <si>
    <t>286-489-2686</t>
  </si>
  <si>
    <t>Krystal Keller</t>
  </si>
  <si>
    <t>Sean White</t>
  </si>
  <si>
    <t>barneskyle@example.com</t>
  </si>
  <si>
    <t>221-923-0940x7778</t>
  </si>
  <si>
    <t>Kevin Alvarez</t>
  </si>
  <si>
    <t>Bobby Greene</t>
  </si>
  <si>
    <t>nicoleramirez@example.net</t>
  </si>
  <si>
    <t>+1-230-622-0502</t>
  </si>
  <si>
    <t>Brandon Rodriguez</t>
  </si>
  <si>
    <t>Candace Mitchell DDS</t>
  </si>
  <si>
    <t>tammycurry@example.com</t>
  </si>
  <si>
    <t>3146556168</t>
  </si>
  <si>
    <t>Bryan Villarreal</t>
  </si>
  <si>
    <t>Jason Clark</t>
  </si>
  <si>
    <t>cherylrodriguez@example.net</t>
  </si>
  <si>
    <t>+1-781-479-4695x4899</t>
  </si>
  <si>
    <t>Kathleen Daniel</t>
  </si>
  <si>
    <t>Dr. Stephen Hall IV</t>
  </si>
  <si>
    <t>aaronjohnson@example.net</t>
  </si>
  <si>
    <t>539-266-0558</t>
  </si>
  <si>
    <t>Melissa King</t>
  </si>
  <si>
    <t>Eric Pierce</t>
  </si>
  <si>
    <t>wilsonmathew@example.com</t>
  </si>
  <si>
    <t>001-499-902-3557x7027</t>
  </si>
  <si>
    <t>Kimberly Rogers</t>
  </si>
  <si>
    <t>Jennifer Newton</t>
  </si>
  <si>
    <t>annette58@example.net</t>
  </si>
  <si>
    <t>7398551240</t>
  </si>
  <si>
    <t>Sarah Duncan</t>
  </si>
  <si>
    <t>Kurt Hancock</t>
  </si>
  <si>
    <t>janet50@example.com</t>
  </si>
  <si>
    <t>(517)335-7438x42150</t>
  </si>
  <si>
    <t>Alexander Webb</t>
  </si>
  <si>
    <t>Cheryl Mclean</t>
  </si>
  <si>
    <t>kimberly21@example.net</t>
  </si>
  <si>
    <t>+1-923-207-6810x40915</t>
  </si>
  <si>
    <t>Ralph Reese</t>
  </si>
  <si>
    <t>Peter Fowler</t>
  </si>
  <si>
    <t>manuellee@example.com</t>
  </si>
  <si>
    <t>+1-257-314-2241</t>
  </si>
  <si>
    <t>Gregory Flores</t>
  </si>
  <si>
    <t>Michael Campbell</t>
  </si>
  <si>
    <t>georgecollins@example.com</t>
  </si>
  <si>
    <t>+1-270-320-7016</t>
  </si>
  <si>
    <t>Christopher Carlson</t>
  </si>
  <si>
    <t>Sara Lyons</t>
  </si>
  <si>
    <t>larry38@example.org</t>
  </si>
  <si>
    <t>001-679-721-7174x77332</t>
  </si>
  <si>
    <t>Michael Ortega</t>
  </si>
  <si>
    <t>Sonya Chavez</t>
  </si>
  <si>
    <t>jonesdaniel@example.com</t>
  </si>
  <si>
    <t>324.659.9281x615</t>
  </si>
  <si>
    <t>Jennifer Gutierrez</t>
  </si>
  <si>
    <t>Kimberly Dickson</t>
  </si>
  <si>
    <t>njones@example.net</t>
  </si>
  <si>
    <t>001-966-395-8321</t>
  </si>
  <si>
    <t>Julie Peters</t>
  </si>
  <si>
    <t>Casey Blanchard</t>
  </si>
  <si>
    <t>georgegina@example.net</t>
  </si>
  <si>
    <t>001-665-870-1329x02278</t>
  </si>
  <si>
    <t>Jillian Harris</t>
  </si>
  <si>
    <t>Elizabeth Bauer</t>
  </si>
  <si>
    <t>samantha65@example.org</t>
  </si>
  <si>
    <t>001-209-286-2405</t>
  </si>
  <si>
    <t>Samantha Howard</t>
  </si>
  <si>
    <t>Sharon Young</t>
  </si>
  <si>
    <t>tgarrett@example.com</t>
  </si>
  <si>
    <t>(466)683-2723x8656</t>
  </si>
  <si>
    <t>Meagan Taylor MD</t>
  </si>
  <si>
    <t>Nathan Tucker</t>
  </si>
  <si>
    <t>iproctor@example.org</t>
  </si>
  <si>
    <t>(867)996-9278</t>
  </si>
  <si>
    <t>Darius Coleman</t>
  </si>
  <si>
    <t>Jonathan Simon</t>
  </si>
  <si>
    <t>robert89@example.com</t>
  </si>
  <si>
    <t>4096751971</t>
  </si>
  <si>
    <t>Blake Wu</t>
  </si>
  <si>
    <t>John Harmon</t>
  </si>
  <si>
    <t>suttonamber@example.net</t>
  </si>
  <si>
    <t>790-658-0778x7956</t>
  </si>
  <si>
    <t>Andrew Livingston</t>
  </si>
  <si>
    <t>Monica Elliott</t>
  </si>
  <si>
    <t>sotobelinda@example.net</t>
  </si>
  <si>
    <t>3496047128</t>
  </si>
  <si>
    <t>Luis Hill</t>
  </si>
  <si>
    <t>Patrick Munoz</t>
  </si>
  <si>
    <t>donnawood@example.org</t>
  </si>
  <si>
    <t>837-828-0512x927</t>
  </si>
  <si>
    <t>Jeremiah Walsh</t>
  </si>
  <si>
    <t>Nicholas Reed</t>
  </si>
  <si>
    <t>karla10@example.org</t>
  </si>
  <si>
    <t>867.247.8366x742</t>
  </si>
  <si>
    <t>Robert Reyes</t>
  </si>
  <si>
    <t>Joseph Blanchard</t>
  </si>
  <si>
    <t>hardindana@example.com</t>
  </si>
  <si>
    <t>+1-545-744-1496x739</t>
  </si>
  <si>
    <t>Wendy Edwards</t>
  </si>
  <si>
    <t>Adam Jones</t>
  </si>
  <si>
    <t>gdavis@example.net</t>
  </si>
  <si>
    <t>553.344.3009x109</t>
  </si>
  <si>
    <t>Barbara Gates</t>
  </si>
  <si>
    <t>Matthew Yoder</t>
  </si>
  <si>
    <t>pauladominguez@example.com</t>
  </si>
  <si>
    <t>871-774-6542x1406</t>
  </si>
  <si>
    <t>Deanna Hess MD</t>
  </si>
  <si>
    <t>William Gonzalez</t>
  </si>
  <si>
    <t>fwhite@example.org</t>
  </si>
  <si>
    <t>(286)339-1741</t>
  </si>
  <si>
    <t>Nicholas Waters</t>
  </si>
  <si>
    <t>Jonathan Delgado</t>
  </si>
  <si>
    <t>fitzpatrickelizabeth@example.com</t>
  </si>
  <si>
    <t>(856)390-8776</t>
  </si>
  <si>
    <t xml:space="preserve">  April Finley </t>
  </si>
  <si>
    <t>Karen Bradley</t>
  </si>
  <si>
    <t>mathew46@example.org</t>
  </si>
  <si>
    <t>+1-515-685-1743x2806</t>
  </si>
  <si>
    <t>Stephanie Mccoy</t>
  </si>
  <si>
    <t>Bradley Chen</t>
  </si>
  <si>
    <t>donaldlee@example.net</t>
  </si>
  <si>
    <t>001-937-261-8478</t>
  </si>
  <si>
    <t>Anthony French</t>
  </si>
  <si>
    <t>Bruce Roman</t>
  </si>
  <si>
    <t>ibentley@example.org</t>
  </si>
  <si>
    <t>001-293-410-2707x9032</t>
  </si>
  <si>
    <t>Summer Hoover</t>
  </si>
  <si>
    <t>Logan Conley</t>
  </si>
  <si>
    <t>meyersdaniel@example.com</t>
  </si>
  <si>
    <t>+1-493-713-6565x198</t>
  </si>
  <si>
    <t>Rebecca Duran</t>
  </si>
  <si>
    <t>Gabriela Martinez</t>
  </si>
  <si>
    <t>katherinejackson@example.com</t>
  </si>
  <si>
    <t>+1-827-439-0219</t>
  </si>
  <si>
    <t>Brandon Pearson</t>
  </si>
  <si>
    <t>robert72@example.org</t>
  </si>
  <si>
    <t>(448)976-3290</t>
  </si>
  <si>
    <t>Anita Serrano</t>
  </si>
  <si>
    <t>Jason Grant</t>
  </si>
  <si>
    <t>davidmoreno@example.org</t>
  </si>
  <si>
    <t>+1-958-983-7340x312</t>
  </si>
  <si>
    <t>Michael Williams</t>
  </si>
  <si>
    <t>Dominique Hamilton</t>
  </si>
  <si>
    <t>christina70@example.org</t>
  </si>
  <si>
    <t>001-708-822-0781x1379</t>
  </si>
  <si>
    <t>Michael Nguyen</t>
  </si>
  <si>
    <t>Erika Garcia</t>
  </si>
  <si>
    <t>ykane@example.org</t>
  </si>
  <si>
    <t>979-470-6239</t>
  </si>
  <si>
    <t>Chad Cortez</t>
  </si>
  <si>
    <t>Vanessa Harris</t>
  </si>
  <si>
    <t>antoniocarroll@example.com</t>
  </si>
  <si>
    <t>(417)476-2534</t>
  </si>
  <si>
    <t>Kristen Hall</t>
  </si>
  <si>
    <t>Joseph Atkins</t>
  </si>
  <si>
    <t>brittanyhood@example.com</t>
  </si>
  <si>
    <t>4632356939</t>
  </si>
  <si>
    <t>Andrew Esparza</t>
  </si>
  <si>
    <t>Kathy Simmons</t>
  </si>
  <si>
    <t>zmendoza@example.net</t>
  </si>
  <si>
    <t>477-731-8063</t>
  </si>
  <si>
    <t>Matthew Davis</t>
  </si>
  <si>
    <t>Eric Warner</t>
  </si>
  <si>
    <t>braysteven@example.org</t>
  </si>
  <si>
    <t>001-862-657-0165x804</t>
  </si>
  <si>
    <t>Lisa Johnston</t>
  </si>
  <si>
    <t>Michael Oliver</t>
  </si>
  <si>
    <t>jill08@example.net</t>
  </si>
  <si>
    <t>(301)565-7905x528</t>
  </si>
  <si>
    <t>George Fernandez</t>
  </si>
  <si>
    <t>Nancy Goodwin</t>
  </si>
  <si>
    <t>karenhodges@example.com</t>
  </si>
  <si>
    <t>(348)964-0155x778</t>
  </si>
  <si>
    <t>Meghan Patel</t>
  </si>
  <si>
    <t>Marc Marsh</t>
  </si>
  <si>
    <t>lopeznicole@example.org</t>
  </si>
  <si>
    <t>462-941-1241</t>
  </si>
  <si>
    <t>Dan Crane</t>
  </si>
  <si>
    <t>Jason Fleming</t>
  </si>
  <si>
    <t>thomasfisher@example.net</t>
  </si>
  <si>
    <t>+1-904-931-0385x6955</t>
  </si>
  <si>
    <t>Keith Villanueva</t>
  </si>
  <si>
    <t>Richard Perez</t>
  </si>
  <si>
    <t>tara02@example.com</t>
  </si>
  <si>
    <t>272-792-8422x2231</t>
  </si>
  <si>
    <t>Jessica Wood</t>
  </si>
  <si>
    <t>Michael Wade</t>
  </si>
  <si>
    <t>earl78@example.org</t>
  </si>
  <si>
    <t>+1-441-206-7275</t>
  </si>
  <si>
    <t>Kimberly Romero</t>
  </si>
  <si>
    <t>Elizabeth Kemp</t>
  </si>
  <si>
    <t>laurenchandler@example.com</t>
  </si>
  <si>
    <t>317-702-8140x69375</t>
  </si>
  <si>
    <t>Martin Silva</t>
  </si>
  <si>
    <t>Timothy Ramirez</t>
  </si>
  <si>
    <t>millermelissa@example.net</t>
  </si>
  <si>
    <t>+1-818-763-7599x80562</t>
  </si>
  <si>
    <t xml:space="preserve">  Adam Cooper </t>
  </si>
  <si>
    <t>Jeremy Hoffman</t>
  </si>
  <si>
    <t>jessicawallace@example.com</t>
  </si>
  <si>
    <t>942.766.2991x234</t>
  </si>
  <si>
    <t>Tyler Avila</t>
  </si>
  <si>
    <t>Jason Rocha</t>
  </si>
  <si>
    <t>dthompson@example.net</t>
  </si>
  <si>
    <t>001-623-626-4870</t>
  </si>
  <si>
    <t>Patrick Walker DDS</t>
  </si>
  <si>
    <t>Eric Davidson</t>
  </si>
  <si>
    <t>qmartinez@example.com</t>
  </si>
  <si>
    <t>(827)630-1471x95979</t>
  </si>
  <si>
    <t>Karen Benson</t>
  </si>
  <si>
    <t>Jose Johnston</t>
  </si>
  <si>
    <t>francisco02@example.com</t>
  </si>
  <si>
    <t>325.520.4565x044</t>
  </si>
  <si>
    <t>Catherine Davis</t>
  </si>
  <si>
    <t>Kimberly Brennan</t>
  </si>
  <si>
    <t>joseph51@example.net</t>
  </si>
  <si>
    <t>001-852-702-8457</t>
  </si>
  <si>
    <t>Carla Robinson</t>
  </si>
  <si>
    <t>Sandra Pope</t>
  </si>
  <si>
    <t>butlersabrina@example.org</t>
  </si>
  <si>
    <t>(707)454-5279</t>
  </si>
  <si>
    <t>Alyssa Olsen</t>
  </si>
  <si>
    <t>Scott Thomas</t>
  </si>
  <si>
    <t>kyleclark@example.org</t>
  </si>
  <si>
    <t>(311)607-6031x08907</t>
  </si>
  <si>
    <t xml:space="preserve">  Eric Smith </t>
  </si>
  <si>
    <t>Caleb Guzman</t>
  </si>
  <si>
    <t>jackbell@example.org</t>
  </si>
  <si>
    <t>(349)355-2893</t>
  </si>
  <si>
    <t>Pamela Rice</t>
  </si>
  <si>
    <t>Tracey Jackson</t>
  </si>
  <si>
    <t>beltrancorey@example.org</t>
  </si>
  <si>
    <t>875.392.7125x66383</t>
  </si>
  <si>
    <t>Emily Owens</t>
  </si>
  <si>
    <t>Kathleen Ward</t>
  </si>
  <si>
    <t>angela01@example.com</t>
  </si>
  <si>
    <t>516.347.9473x8646</t>
  </si>
  <si>
    <t>Rebekah Crosby</t>
  </si>
  <si>
    <t>Adam Craig</t>
  </si>
  <si>
    <t>sandersalexandra@example.net</t>
  </si>
  <si>
    <t>712-566-9121</t>
  </si>
  <si>
    <t>Kurt Ewing</t>
  </si>
  <si>
    <t>Ryan Hardy</t>
  </si>
  <si>
    <t>kathy99@example.com</t>
  </si>
  <si>
    <t>001-965-979-6784x27114</t>
  </si>
  <si>
    <t>Tommy Johnson</t>
  </si>
  <si>
    <t>Sandra Jimenez</t>
  </si>
  <si>
    <t>stantonpatrick@example.net</t>
  </si>
  <si>
    <t>624-799-1187x73477</t>
  </si>
  <si>
    <t>Kimberly Smith</t>
  </si>
  <si>
    <t>Wanda Beard</t>
  </si>
  <si>
    <t>reyesleonard@example.com</t>
  </si>
  <si>
    <t>870.902.8427x624</t>
  </si>
  <si>
    <t>Laura Henry</t>
  </si>
  <si>
    <t>Kimberly Harrison</t>
  </si>
  <si>
    <t>williammyers@example.com</t>
  </si>
  <si>
    <t>001-269-454-5009</t>
  </si>
  <si>
    <t>Hannah Harmon</t>
  </si>
  <si>
    <t>Steven Peterson</t>
  </si>
  <si>
    <t>pattersonvictoria@example.com</t>
  </si>
  <si>
    <t>(403)233-4911x415</t>
  </si>
  <si>
    <t>Amanda Barrett</t>
  </si>
  <si>
    <t>Jose Fisher</t>
  </si>
  <si>
    <t>dominguezbrianna@example.com</t>
  </si>
  <si>
    <t>(496)659-1713x5785</t>
  </si>
  <si>
    <t>Jeffrey Crawford</t>
  </si>
  <si>
    <t>Rachel Pittman</t>
  </si>
  <si>
    <t>karlwilliams@example.net</t>
  </si>
  <si>
    <t>(839)519-1954x1987</t>
  </si>
  <si>
    <t>Billy Colon</t>
  </si>
  <si>
    <t>Elizabeth Alvarado</t>
  </si>
  <si>
    <t>james64@example.net</t>
  </si>
  <si>
    <t>878.220.8297x37489</t>
  </si>
  <si>
    <t>Helen Hernandez</t>
  </si>
  <si>
    <t>ejenkins@example.net</t>
  </si>
  <si>
    <t>564.342.4936</t>
  </si>
  <si>
    <t>Alexis Robles</t>
  </si>
  <si>
    <t>John Esparza</t>
  </si>
  <si>
    <t>clucas@example.org</t>
  </si>
  <si>
    <t>(942)204-4820</t>
  </si>
  <si>
    <t>Steven Edwards</t>
  </si>
  <si>
    <t>Arthur Friedman</t>
  </si>
  <si>
    <t>emily16@example.net</t>
  </si>
  <si>
    <t>(631)998-1898</t>
  </si>
  <si>
    <t>Erin Silva</t>
  </si>
  <si>
    <t>vshaffer@example.org</t>
  </si>
  <si>
    <t>(732)312-3476x49078</t>
  </si>
  <si>
    <t>Jeff Vega</t>
  </si>
  <si>
    <t>Sherry Giles</t>
  </si>
  <si>
    <t>thomas54@example.org</t>
  </si>
  <si>
    <t>+1-990-803-4864x5183</t>
  </si>
  <si>
    <t>Tyler Pennington</t>
  </si>
  <si>
    <t>Elizabeth Mayer</t>
  </si>
  <si>
    <t>kennethvillarreal@example.org</t>
  </si>
  <si>
    <t>456.604.1776x561</t>
  </si>
  <si>
    <t>Heather Guzman</t>
  </si>
  <si>
    <t>Nancy Chavez</t>
  </si>
  <si>
    <t>gilldanielle@example.org</t>
  </si>
  <si>
    <t>+1-472-806-3459x1123</t>
  </si>
  <si>
    <t>Emma Mendoza</t>
  </si>
  <si>
    <t>Debbie Mcdaniel</t>
  </si>
  <si>
    <t>lauren31@example.com</t>
  </si>
  <si>
    <t>(926)569-3008x931</t>
  </si>
  <si>
    <t>Samuel Williams</t>
  </si>
  <si>
    <t>Lindsay Hernandez</t>
  </si>
  <si>
    <t>george91@example.org</t>
  </si>
  <si>
    <t>001-886-477-1333x447</t>
  </si>
  <si>
    <t>Daniel Lewis</t>
  </si>
  <si>
    <t>Monica Lopez</t>
  </si>
  <si>
    <t>rickythomas@example.com</t>
  </si>
  <si>
    <t>739-873-5971x072</t>
  </si>
  <si>
    <t>Michelle Erickson</t>
  </si>
  <si>
    <t>Dawn Davis</t>
  </si>
  <si>
    <t>williamssarah@example.com</t>
  </si>
  <si>
    <t>(499)200-4896x465</t>
  </si>
  <si>
    <t>Debbie Gordon</t>
  </si>
  <si>
    <t>Sherry Anderson</t>
  </si>
  <si>
    <t>jennifer62@example.com</t>
  </si>
  <si>
    <t>650-627-4564</t>
  </si>
  <si>
    <t>Jessica Martin</t>
  </si>
  <si>
    <t>Katherine Dodson</t>
  </si>
  <si>
    <t>jbrown@example.org</t>
  </si>
  <si>
    <t>920.274.2761</t>
  </si>
  <si>
    <t>William Hoffman</t>
  </si>
  <si>
    <t>Brian Cortez</t>
  </si>
  <si>
    <t>daviddavis@example.com</t>
  </si>
  <si>
    <t>(428)849-9390</t>
  </si>
  <si>
    <t>Danielle Jimenez</t>
  </si>
  <si>
    <t>Gary Mitchell</t>
  </si>
  <si>
    <t>longbrittany@example.org</t>
  </si>
  <si>
    <t>720-417-7749x05097</t>
  </si>
  <si>
    <t>Anthony Schneider</t>
  </si>
  <si>
    <t>Anthony Jones</t>
  </si>
  <si>
    <t>qdavis@example.org</t>
  </si>
  <si>
    <t>461.303.2664</t>
  </si>
  <si>
    <t>Robert Fitzgerald</t>
  </si>
  <si>
    <t>Stephanie Munoz</t>
  </si>
  <si>
    <t>elizabeth58@example.org</t>
  </si>
  <si>
    <t>876.874.9961x6592</t>
  </si>
  <si>
    <t>Jose Mcpherson</t>
  </si>
  <si>
    <t>Maria Reeves</t>
  </si>
  <si>
    <t>prose@example.net</t>
  </si>
  <si>
    <t>647-561-7422</t>
  </si>
  <si>
    <t>Elizabeth Williams</t>
  </si>
  <si>
    <t>Andrew Rodriguez</t>
  </si>
  <si>
    <t>dgutierrez@example.net</t>
  </si>
  <si>
    <t>001-894-254-9180x1722</t>
  </si>
  <si>
    <t>Shawn Evans</t>
  </si>
  <si>
    <t>Jordan Santiago</t>
  </si>
  <si>
    <t>matthew23@example.org</t>
  </si>
  <si>
    <t>394-216-8006</t>
  </si>
  <si>
    <t>John Holt</t>
  </si>
  <si>
    <t>Tracy Guzman</t>
  </si>
  <si>
    <t>nturner@example.com</t>
  </si>
  <si>
    <t>001-564-912-2031x030</t>
  </si>
  <si>
    <t>Marie Graham</t>
  </si>
  <si>
    <t>Rachel Lee</t>
  </si>
  <si>
    <t>kayla27@example.com</t>
  </si>
  <si>
    <t>5125277707</t>
  </si>
  <si>
    <t>Ronald Myers</t>
  </si>
  <si>
    <t>Brian Abbott</t>
  </si>
  <si>
    <t>fpetty@example.net</t>
  </si>
  <si>
    <t>001-998-540-7678</t>
  </si>
  <si>
    <t>Kelsey Henderson</t>
  </si>
  <si>
    <t>Arthur Orozco</t>
  </si>
  <si>
    <t>hsmall@example.com</t>
  </si>
  <si>
    <t>+1-557-760-2437x573</t>
  </si>
  <si>
    <t>Sarah Espinoza</t>
  </si>
  <si>
    <t>Stephen Sharp</t>
  </si>
  <si>
    <t>rmoyer@example.net</t>
  </si>
  <si>
    <t>001-957-329-3417x2232</t>
  </si>
  <si>
    <t>Terri Snyder</t>
  </si>
  <si>
    <t>Justin Kidd</t>
  </si>
  <si>
    <t>nicole52@example.org</t>
  </si>
  <si>
    <t>701.256.1931x83745</t>
  </si>
  <si>
    <t>Kristin Kemp</t>
  </si>
  <si>
    <t>Shelly Munoz</t>
  </si>
  <si>
    <t>mccarthysara@example.com</t>
  </si>
  <si>
    <t>511.799.1808x121</t>
  </si>
  <si>
    <t>Edgar Alexander</t>
  </si>
  <si>
    <t>Morgan Garcia</t>
  </si>
  <si>
    <t>matthew21@example.org</t>
  </si>
  <si>
    <t>860.737.5482x145</t>
  </si>
  <si>
    <t>Danielle Mullins</t>
  </si>
  <si>
    <t>Rachel Taylor</t>
  </si>
  <si>
    <t>agutierrez@example.com</t>
  </si>
  <si>
    <t>250.872.0811x55626</t>
  </si>
  <si>
    <t>Mary May</t>
  </si>
  <si>
    <t>Amy Welch</t>
  </si>
  <si>
    <t>robert84@example.net</t>
  </si>
  <si>
    <t>001-955-704-8926x7389</t>
  </si>
  <si>
    <t>Rachael Sullivan</t>
  </si>
  <si>
    <t>Eric Johnson</t>
  </si>
  <si>
    <t>peter28@example.net</t>
  </si>
  <si>
    <t>631-588-4852x0089</t>
  </si>
  <si>
    <t>Elizabeth Henderson</t>
  </si>
  <si>
    <t>Monique Skinner</t>
  </si>
  <si>
    <t>courtney51@example.org</t>
  </si>
  <si>
    <t>001-717-649-0753x99893</t>
  </si>
  <si>
    <t>Richard Espinoza</t>
  </si>
  <si>
    <t>Michelle Stone</t>
  </si>
  <si>
    <t>danielblack@example.org</t>
  </si>
  <si>
    <t>001-957-312-6611x06273</t>
  </si>
  <si>
    <t>Joseph Chapman</t>
  </si>
  <si>
    <t>Jennifer Baker</t>
  </si>
  <si>
    <t>cfields@example.net</t>
  </si>
  <si>
    <t>962.928.2772x8813</t>
  </si>
  <si>
    <t>Christopher Hansen</t>
  </si>
  <si>
    <t>Barbara Phelps</t>
  </si>
  <si>
    <t>martinezashley@example.org</t>
  </si>
  <si>
    <t>221.654.5447x02296</t>
  </si>
  <si>
    <t>Cindy Fuentes</t>
  </si>
  <si>
    <t>Bryan Bailey PhD</t>
  </si>
  <si>
    <t>tolson@example.net</t>
  </si>
  <si>
    <t>756.379.2287x772</t>
  </si>
  <si>
    <t>Mary Ortiz</t>
  </si>
  <si>
    <t>James Weaver</t>
  </si>
  <si>
    <t>pfitzgerald@example.org</t>
  </si>
  <si>
    <t>(209)548-1813</t>
  </si>
  <si>
    <t>Kathryn Smith</t>
  </si>
  <si>
    <t>Kim Rivers</t>
  </si>
  <si>
    <t>kristin39@example.com</t>
  </si>
  <si>
    <t>789-856-9070</t>
  </si>
  <si>
    <t>Alexander Rice</t>
  </si>
  <si>
    <t>Brandon Petty</t>
  </si>
  <si>
    <t>justinwhite@example.org</t>
  </si>
  <si>
    <t>(246)620-9520</t>
  </si>
  <si>
    <t>Francisco Gutierrez</t>
  </si>
  <si>
    <t>James Carey</t>
  </si>
  <si>
    <t>williamsjohn@example.net</t>
  </si>
  <si>
    <t>001-737-988-6140</t>
  </si>
  <si>
    <t>Ana Johnson</t>
  </si>
  <si>
    <t>Susan Smith</t>
  </si>
  <si>
    <t>sanchezangela@example.org</t>
  </si>
  <si>
    <t>896-971-8325x8238</t>
  </si>
  <si>
    <t>Robert Woodward</t>
  </si>
  <si>
    <t>Marissa Jackson</t>
  </si>
  <si>
    <t>mahoneytimothy@example.net</t>
  </si>
  <si>
    <t>665-339-8402x891</t>
  </si>
  <si>
    <t>Bryce Taylor</t>
  </si>
  <si>
    <t>Diana Reynolds</t>
  </si>
  <si>
    <t>nicole54@example.net</t>
  </si>
  <si>
    <t>943.255.3795x020</t>
  </si>
  <si>
    <t>Megan Gutierrez</t>
  </si>
  <si>
    <t>Michele Farmer</t>
  </si>
  <si>
    <t>cobbdebra@example.org</t>
  </si>
  <si>
    <t>+1-407-215-6956</t>
  </si>
  <si>
    <t>Jacob Lee</t>
  </si>
  <si>
    <t>Patrick Chang</t>
  </si>
  <si>
    <t>james94@example.net</t>
  </si>
  <si>
    <t>237.550.4793</t>
  </si>
  <si>
    <t>Miss Ashley Ramirez</t>
  </si>
  <si>
    <t>Carolyn Lee</t>
  </si>
  <si>
    <t>cameronanderson@example.org</t>
  </si>
  <si>
    <t>(649)938-4308</t>
  </si>
  <si>
    <t>Jeffery Nunez</t>
  </si>
  <si>
    <t>Sarah Morris</t>
  </si>
  <si>
    <t>rhill@example.net</t>
  </si>
  <si>
    <t>275.880.3046x875</t>
  </si>
  <si>
    <t>Brad Armstrong</t>
  </si>
  <si>
    <t>Omar Spence</t>
  </si>
  <si>
    <t>prosario@example.org</t>
  </si>
  <si>
    <t>(754)611-0760</t>
  </si>
  <si>
    <t>John Benjamin</t>
  </si>
  <si>
    <t>Samantha Stone</t>
  </si>
  <si>
    <t>sherryparsons@example.net</t>
  </si>
  <si>
    <t>217.991.1006x512</t>
  </si>
  <si>
    <t>Leslie Reynolds</t>
  </si>
  <si>
    <t>Anthony Williams</t>
  </si>
  <si>
    <t>nmorales@example.com</t>
  </si>
  <si>
    <t>399.707.6769</t>
  </si>
  <si>
    <t>Megan Johnson</t>
  </si>
  <si>
    <t>Leah Rodriguez</t>
  </si>
  <si>
    <t>larsoncarlos@example.org</t>
  </si>
  <si>
    <t>001-428-545-6797</t>
  </si>
  <si>
    <t>Andrew Anderson</t>
  </si>
  <si>
    <t>Kayla Pearson</t>
  </si>
  <si>
    <t>larry82@example.org</t>
  </si>
  <si>
    <t>249.854.5089x2038</t>
  </si>
  <si>
    <t>William Davidson</t>
  </si>
  <si>
    <t>Barry Lopez</t>
  </si>
  <si>
    <t>dneal@example.net</t>
  </si>
  <si>
    <t>001-259-995-9465x217</t>
  </si>
  <si>
    <t>Aaron Walker</t>
  </si>
  <si>
    <t>Marcus Allen</t>
  </si>
  <si>
    <t>lindsay63@example.com</t>
  </si>
  <si>
    <t>(405)601-5081</t>
  </si>
  <si>
    <t>Mark Durham</t>
  </si>
  <si>
    <t>grant42@example.com</t>
  </si>
  <si>
    <t>+1-432-830-2410</t>
  </si>
  <si>
    <t>Stacey Morgan</t>
  </si>
  <si>
    <t>Jesus Wood</t>
  </si>
  <si>
    <t>donna89@example.com</t>
  </si>
  <si>
    <t>001-811-522-3386x559</t>
  </si>
  <si>
    <t>Pamela Matthews</t>
  </si>
  <si>
    <t>Elizabeth Hernandez</t>
  </si>
  <si>
    <t>brianflynn@example.org</t>
  </si>
  <si>
    <t>997.431.7912x86857</t>
  </si>
  <si>
    <t>James Neal</t>
  </si>
  <si>
    <t>Kathleen Adams</t>
  </si>
  <si>
    <t>ylittle@example.net</t>
  </si>
  <si>
    <t>+1-403-733-7363x4669</t>
  </si>
  <si>
    <t>Bradley Walton</t>
  </si>
  <si>
    <t>Joseph Hall</t>
  </si>
  <si>
    <t>marshallchristine@example.com</t>
  </si>
  <si>
    <t>576.665.7546x027</t>
  </si>
  <si>
    <t xml:space="preserve">  Heather Miller </t>
  </si>
  <si>
    <t>Kayla Schneider</t>
  </si>
  <si>
    <t>sara11@example.org</t>
  </si>
  <si>
    <t>(408)635-3544x439</t>
  </si>
  <si>
    <t>Elijah Short</t>
  </si>
  <si>
    <t>Jennifer Sullivan</t>
  </si>
  <si>
    <t>kennedywilliam@example.org</t>
  </si>
  <si>
    <t>(733)537-3898x7751</t>
  </si>
  <si>
    <t>Tom Butler</t>
  </si>
  <si>
    <t>Samuel Johnson</t>
  </si>
  <si>
    <t>barbaraanderson@example.net</t>
  </si>
  <si>
    <t>6757536668</t>
  </si>
  <si>
    <t>Latoya Johnson</t>
  </si>
  <si>
    <t>William Gamble</t>
  </si>
  <si>
    <t>nbaird@example.com</t>
  </si>
  <si>
    <t>686-337-1597</t>
  </si>
  <si>
    <t>Michael Thompson</t>
  </si>
  <si>
    <t>Lindsey Johnson</t>
  </si>
  <si>
    <t>chadmccarty@example.com</t>
  </si>
  <si>
    <t>234.481.7058</t>
  </si>
  <si>
    <t>Theodore Myers</t>
  </si>
  <si>
    <t>Betty Barnes PhD</t>
  </si>
  <si>
    <t>nfriedman@example.org</t>
  </si>
  <si>
    <t>546.972.9949</t>
  </si>
  <si>
    <t>Adam Thomas</t>
  </si>
  <si>
    <t>James Aguirre</t>
  </si>
  <si>
    <t>renee77@example.com</t>
  </si>
  <si>
    <t>001-401-847-5469</t>
  </si>
  <si>
    <t>Steven Quinn</t>
  </si>
  <si>
    <t>Thomas White</t>
  </si>
  <si>
    <t>longsonya@example.org</t>
  </si>
  <si>
    <t>(348)741-3768</t>
  </si>
  <si>
    <t>Brian Miranda</t>
  </si>
  <si>
    <t>Jerry King</t>
  </si>
  <si>
    <t>murraycharles@example.net</t>
  </si>
  <si>
    <t>+1-976-956-3600x41257</t>
  </si>
  <si>
    <t>Joshua Allen</t>
  </si>
  <si>
    <t>Brenda Hoover</t>
  </si>
  <si>
    <t>georgesmith@example.org</t>
  </si>
  <si>
    <t>(441)986-2104</t>
  </si>
  <si>
    <t>Daniel Johnson</t>
  </si>
  <si>
    <t>Cindy Horton</t>
  </si>
  <si>
    <t>myerskyle@example.org</t>
  </si>
  <si>
    <t>+1-200-263-3533x106</t>
  </si>
  <si>
    <t>Corey Caldwell</t>
  </si>
  <si>
    <t>Stephen Robles</t>
  </si>
  <si>
    <t>jenniferwilliams@example.net</t>
  </si>
  <si>
    <t>855-383-9386</t>
  </si>
  <si>
    <t>Brian Morris</t>
  </si>
  <si>
    <t>Matthew Smith</t>
  </si>
  <si>
    <t>stephenjones@example.com</t>
  </si>
  <si>
    <t>+1-495-601-3649x7189</t>
  </si>
  <si>
    <t>Lindsay Jarvis</t>
  </si>
  <si>
    <t>Megan Compton</t>
  </si>
  <si>
    <t>martinreid@example.net</t>
  </si>
  <si>
    <t>571-250-9976x83890</t>
  </si>
  <si>
    <t>Stephanie Parker</t>
  </si>
  <si>
    <t>Nicole Harvey</t>
  </si>
  <si>
    <t>taylorvictor@example.org</t>
  </si>
  <si>
    <t>(663)703-9752</t>
  </si>
  <si>
    <t>Paige Meyer</t>
  </si>
  <si>
    <t>Maria Roberts</t>
  </si>
  <si>
    <t>perezjessica@example.com</t>
  </si>
  <si>
    <t>738.403.3968</t>
  </si>
  <si>
    <t>Corey Walters</t>
  </si>
  <si>
    <t>shawnamartinez@example.org</t>
  </si>
  <si>
    <t>001-483-538-1674</t>
  </si>
  <si>
    <t>Christopher Wright</t>
  </si>
  <si>
    <t>Jerome Reid</t>
  </si>
  <si>
    <t>michelle71@example.com</t>
  </si>
  <si>
    <t>(862)377-6896x2706</t>
  </si>
  <si>
    <t>Tammy Larson</t>
  </si>
  <si>
    <t>Nicholas Scott</t>
  </si>
  <si>
    <t>storres@example.com</t>
  </si>
  <si>
    <t>+1-597-215-2732</t>
  </si>
  <si>
    <t>Jonathan Swanson</t>
  </si>
  <si>
    <t>Timothy Bentley DVM</t>
  </si>
  <si>
    <t>patrick49@example.org</t>
  </si>
  <si>
    <t>(801)869-2364x58750</t>
  </si>
  <si>
    <t>Dana Johnson</t>
  </si>
  <si>
    <t>Lynn Rhodes</t>
  </si>
  <si>
    <t>josegibson@example.net</t>
  </si>
  <si>
    <t>(843)899-2011</t>
  </si>
  <si>
    <t>Valerie Miller</t>
  </si>
  <si>
    <t>Sherri Martin</t>
  </si>
  <si>
    <t>tking@example.net</t>
  </si>
  <si>
    <t>+1-469-646-1195</t>
  </si>
  <si>
    <t>Tara Sanders</t>
  </si>
  <si>
    <t>William Velasquez</t>
  </si>
  <si>
    <t>daviskim@example.com</t>
  </si>
  <si>
    <t>964.562.2522x37281</t>
  </si>
  <si>
    <t>Anthony White</t>
  </si>
  <si>
    <t>Deanna Barrera</t>
  </si>
  <si>
    <t>nalexander@example.org</t>
  </si>
  <si>
    <t>+1-921-941-6141x5093</t>
  </si>
  <si>
    <t>Ashlee Brown</t>
  </si>
  <si>
    <t>Adrienne Aguilar</t>
  </si>
  <si>
    <t>davisalexa@example.org</t>
  </si>
  <si>
    <t>(598)747-7596x5555</t>
  </si>
  <si>
    <t>Jamie Brown</t>
  </si>
  <si>
    <t>Gary Garcia</t>
  </si>
  <si>
    <t>zharrell@example.net</t>
  </si>
  <si>
    <t>(909)818-4357</t>
  </si>
  <si>
    <t xml:space="preserve">  April Little </t>
  </si>
  <si>
    <t>Erica Schultz</t>
  </si>
  <si>
    <t>montesjill@example.net</t>
  </si>
  <si>
    <t>639.576.9156x716</t>
  </si>
  <si>
    <t>Sheila Walter</t>
  </si>
  <si>
    <t>Michelle Johnson</t>
  </si>
  <si>
    <t>trobles@example.net</t>
  </si>
  <si>
    <t>+1-572-471-7833</t>
  </si>
  <si>
    <t>Mary Davis</t>
  </si>
  <si>
    <t>Mike Martin</t>
  </si>
  <si>
    <t>raven43@example.net</t>
  </si>
  <si>
    <t>771-828-7153x991</t>
  </si>
  <si>
    <t>Natalie Hardy</t>
  </si>
  <si>
    <t>Rachel Burch</t>
  </si>
  <si>
    <t>ostokes@example.com</t>
  </si>
  <si>
    <t>741-411-5931</t>
  </si>
  <si>
    <t>Tiffany Ray</t>
  </si>
  <si>
    <t>Antonio Nichols</t>
  </si>
  <si>
    <t>uwhitney@example.com</t>
  </si>
  <si>
    <t>+1-528-999-3160x87524</t>
  </si>
  <si>
    <t>Brittany Campbell</t>
  </si>
  <si>
    <t>Sarah Carey</t>
  </si>
  <si>
    <t>georgekyle@example.net</t>
  </si>
  <si>
    <t>749-473-7460</t>
  </si>
  <si>
    <t>Christine Oconnor</t>
  </si>
  <si>
    <t>Melody Williams</t>
  </si>
  <si>
    <t>melissaluna@example.com</t>
  </si>
  <si>
    <t>+1-620-586-5675x66184</t>
  </si>
  <si>
    <t>Kimberly Davis</t>
  </si>
  <si>
    <t>Rick Glenn</t>
  </si>
  <si>
    <t>hornjenna@example.com</t>
  </si>
  <si>
    <t>+1-329-427-7423x3305</t>
  </si>
  <si>
    <t>William Shelton</t>
  </si>
  <si>
    <t>Anthony Kelly</t>
  </si>
  <si>
    <t>dwhite@example.org</t>
  </si>
  <si>
    <t>459.862.6301x36749</t>
  </si>
  <si>
    <t>Wendy Lambert</t>
  </si>
  <si>
    <t>John Meyers</t>
  </si>
  <si>
    <t>phill@example.com</t>
  </si>
  <si>
    <t>(901)611-1783x099</t>
  </si>
  <si>
    <t>Anna Watkins</t>
  </si>
  <si>
    <t>Zachary Park</t>
  </si>
  <si>
    <t>ashley15@example.org</t>
  </si>
  <si>
    <t>001-382-560-6888x718</t>
  </si>
  <si>
    <t>Catherine Peters</t>
  </si>
  <si>
    <t>david29@example.org</t>
  </si>
  <si>
    <t>+1-821-284-0118x4582</t>
  </si>
  <si>
    <t>Angel Bautista</t>
  </si>
  <si>
    <t>Elaine Ferguson</t>
  </si>
  <si>
    <t>barbaraneal@example.net</t>
  </si>
  <si>
    <t>(598)483-1030x324</t>
  </si>
  <si>
    <t>Cindy Howard</t>
  </si>
  <si>
    <t>Marcus Jones</t>
  </si>
  <si>
    <t>jorge26@example.com</t>
  </si>
  <si>
    <t>746-428-3143</t>
  </si>
  <si>
    <t>Christian Riddle</t>
  </si>
  <si>
    <t>Alexander Munoz</t>
  </si>
  <si>
    <t>nelsonamanda@example.net</t>
  </si>
  <si>
    <t>+1-561-651-5542</t>
  </si>
  <si>
    <t>James Novak</t>
  </si>
  <si>
    <t>Brian Frost</t>
  </si>
  <si>
    <t>alishahutchinson@example.net</t>
  </si>
  <si>
    <t>818.459.4849x1025</t>
  </si>
  <si>
    <t>Patrick Faulkner</t>
  </si>
  <si>
    <t>Linda Atkinson</t>
  </si>
  <si>
    <t>qvargas@example.org</t>
  </si>
  <si>
    <t>+1-482-922-6940x53967</t>
  </si>
  <si>
    <t>Dr. Kathryn Hill</t>
  </si>
  <si>
    <t>Todd Keith</t>
  </si>
  <si>
    <t>kevinhodge@example.com</t>
  </si>
  <si>
    <t>(251)811-3129x01487</t>
  </si>
  <si>
    <t>Tara Taylor</t>
  </si>
  <si>
    <t>Mr. Michael Patel Jr.</t>
  </si>
  <si>
    <t>jensenrhonda@example.net</t>
  </si>
  <si>
    <t>9684538909</t>
  </si>
  <si>
    <t>Sierra Mills</t>
  </si>
  <si>
    <t>Benjamin Franco</t>
  </si>
  <si>
    <t>stephanie67@example.com</t>
  </si>
  <si>
    <t>(951)653-8144</t>
  </si>
  <si>
    <t>Aaron Welch</t>
  </si>
  <si>
    <t>Thomas Hickman</t>
  </si>
  <si>
    <t>wallspatricia@example.com</t>
  </si>
  <si>
    <t>2507975451</t>
  </si>
  <si>
    <t>Charlotte Gomez</t>
  </si>
  <si>
    <t>Johnathan Miller</t>
  </si>
  <si>
    <t>robertgentry@example.org</t>
  </si>
  <si>
    <t>(443)676-5456</t>
  </si>
  <si>
    <t>Jeffrey Franco</t>
  </si>
  <si>
    <t>Hector Hamilton</t>
  </si>
  <si>
    <t>nicole31@example.org</t>
  </si>
  <si>
    <t>902-966-5023x7416</t>
  </si>
  <si>
    <t>Michelle Nguyen</t>
  </si>
  <si>
    <t>Sierra Shaw</t>
  </si>
  <si>
    <t>ganderson@example.org</t>
  </si>
  <si>
    <t>(225)880-3056</t>
  </si>
  <si>
    <t>Douglas Miller</t>
  </si>
  <si>
    <t>Luke Daniel</t>
  </si>
  <si>
    <t>johnwang@example.com</t>
  </si>
  <si>
    <t>001-536-337-1892x392</t>
  </si>
  <si>
    <t>Andrew Mooney</t>
  </si>
  <si>
    <t>Jessica Jensen</t>
  </si>
  <si>
    <t>linomar@example.net</t>
  </si>
  <si>
    <t>733-656-7086x0414</t>
  </si>
  <si>
    <t>Michelle Wright</t>
  </si>
  <si>
    <t>Catherine Smith</t>
  </si>
  <si>
    <t>jason74@example.net</t>
  </si>
  <si>
    <t>362-247-5541</t>
  </si>
  <si>
    <t>Robert Paul</t>
  </si>
  <si>
    <t>john43@example.net</t>
  </si>
  <si>
    <t>(711)629-1093x3711</t>
  </si>
  <si>
    <t>Wanda Harris</t>
  </si>
  <si>
    <t>Amanda Lee</t>
  </si>
  <si>
    <t>patricia85@example.com</t>
  </si>
  <si>
    <t>416.617.6880x294</t>
  </si>
  <si>
    <t>Keith Bauer</t>
  </si>
  <si>
    <t>Natalie Sanders</t>
  </si>
  <si>
    <t>martinkaren@example.com</t>
  </si>
  <si>
    <t>+1-566-294-3202</t>
  </si>
  <si>
    <t>Rachel Gibson</t>
  </si>
  <si>
    <t>Kelly Turner</t>
  </si>
  <si>
    <t>kennethadams@example.org</t>
  </si>
  <si>
    <t>(430)683-4024</t>
  </si>
  <si>
    <t>Amber Whitney</t>
  </si>
  <si>
    <t>Christine Wilson DDS</t>
  </si>
  <si>
    <t>mark84@example.net</t>
  </si>
  <si>
    <t>(669)445-0053</t>
  </si>
  <si>
    <t>Alan Sandoval</t>
  </si>
  <si>
    <t>Teresa Aguilar</t>
  </si>
  <si>
    <t>qbautista@example.net</t>
  </si>
  <si>
    <t>+1-598-837-3543x9627</t>
  </si>
  <si>
    <t xml:space="preserve">  Steven Davis </t>
  </si>
  <si>
    <t>Cody Huffman</t>
  </si>
  <si>
    <t>ashleyharding@example.org</t>
  </si>
  <si>
    <t>+1-540-942-2693x1216</t>
  </si>
  <si>
    <t>Tracy Garcia</t>
  </si>
  <si>
    <t>Monica Morton</t>
  </si>
  <si>
    <t>grayandrew@example.org</t>
  </si>
  <si>
    <t>001-502-431-4290x01851</t>
  </si>
  <si>
    <t>Mr. Jeremy Martin</t>
  </si>
  <si>
    <t>Christopher Brown</t>
  </si>
  <si>
    <t>courtney10@example.org</t>
  </si>
  <si>
    <t>284-518-6203</t>
  </si>
  <si>
    <t>Charles Rios</t>
  </si>
  <si>
    <t>Shawn Cruz</t>
  </si>
  <si>
    <t>vasquezvicki@example.org</t>
  </si>
  <si>
    <t>245-419-5151</t>
  </si>
  <si>
    <t>Joseph Greene</t>
  </si>
  <si>
    <t>Brittany Contreras</t>
  </si>
  <si>
    <t>colleen45@example.org</t>
  </si>
  <si>
    <t>975-341-0225x267</t>
  </si>
  <si>
    <t>Jeffrey Acosta</t>
  </si>
  <si>
    <t>Frank Anderson</t>
  </si>
  <si>
    <t>fgomez@example.com</t>
  </si>
  <si>
    <t>569.852.3668x7887</t>
  </si>
  <si>
    <t>Miguel Rose</t>
  </si>
  <si>
    <t>Roberta Robinson</t>
  </si>
  <si>
    <t>youngaaron@example.org</t>
  </si>
  <si>
    <t>(887)521-0552x472</t>
  </si>
  <si>
    <t>Danny Burgess</t>
  </si>
  <si>
    <t>Michael Thomas</t>
  </si>
  <si>
    <t>hortonroger@example.org</t>
  </si>
  <si>
    <t>001-519-317-9202x521</t>
  </si>
  <si>
    <t>Ronald Butler</t>
  </si>
  <si>
    <t>Julie Taylor</t>
  </si>
  <si>
    <t>theodore57@example.net</t>
  </si>
  <si>
    <t>001-804-812-0092x820</t>
  </si>
  <si>
    <t>Sherri Spencer</t>
  </si>
  <si>
    <t>Tamara Shaw</t>
  </si>
  <si>
    <t>rodneymoore@example.org</t>
  </si>
  <si>
    <t>962.736.9036x28917</t>
  </si>
  <si>
    <t>Jennifer James</t>
  </si>
  <si>
    <t>Jacob Coleman</t>
  </si>
  <si>
    <t>daniel15@example.net</t>
  </si>
  <si>
    <t>001-550-234-2811x39043</t>
  </si>
  <si>
    <t>Bradley Hudson</t>
  </si>
  <si>
    <t>William Webb</t>
  </si>
  <si>
    <t>edwardssherry@example.org</t>
  </si>
  <si>
    <t>(346)483-5652x156</t>
  </si>
  <si>
    <t>Amanda Martin</t>
  </si>
  <si>
    <t>omiller@example.org</t>
  </si>
  <si>
    <t>001-733-622-8898x572</t>
  </si>
  <si>
    <t>Scott Jordan</t>
  </si>
  <si>
    <t>Patricia Hughes</t>
  </si>
  <si>
    <t>wendylawson@example.org</t>
  </si>
  <si>
    <t>001-371-902-4817</t>
  </si>
  <si>
    <t>Timothy Martin</t>
  </si>
  <si>
    <t>Jack Davis</t>
  </si>
  <si>
    <t>jennifermurray@example.com</t>
  </si>
  <si>
    <t>472-919-7054x669</t>
  </si>
  <si>
    <t>Ryan Crane</t>
  </si>
  <si>
    <t>Michael Hunter</t>
  </si>
  <si>
    <t>natalie09@example.net</t>
  </si>
  <si>
    <t>8383021462</t>
  </si>
  <si>
    <t>Shane Caldwell</t>
  </si>
  <si>
    <t>John Nichols</t>
  </si>
  <si>
    <t>lrodriguez@example.net</t>
  </si>
  <si>
    <t>966-536-5155</t>
  </si>
  <si>
    <t>Karen Ramirez</t>
  </si>
  <si>
    <t>Christopher Harrison</t>
  </si>
  <si>
    <t>lukejohnson@example.net</t>
  </si>
  <si>
    <t>001-360-456-7303x06442</t>
  </si>
  <si>
    <t>Jared Evans</t>
  </si>
  <si>
    <t>Shelby Warren</t>
  </si>
  <si>
    <t>jack01@example.com</t>
  </si>
  <si>
    <t>242-535-6778x26596</t>
  </si>
  <si>
    <t>Michael Jensen</t>
  </si>
  <si>
    <t>William Mcmillan</t>
  </si>
  <si>
    <t>alexis72@example.com</t>
  </si>
  <si>
    <t>816-448-0727x91033</t>
  </si>
  <si>
    <t>Cindy Clark</t>
  </si>
  <si>
    <t>Michael Friedman</t>
  </si>
  <si>
    <t>lisa04@example.com</t>
  </si>
  <si>
    <t>917.876.6558x68512</t>
  </si>
  <si>
    <t>Juan Martin</t>
  </si>
  <si>
    <t>Dustin Keller</t>
  </si>
  <si>
    <t>swalters@example.net</t>
  </si>
  <si>
    <t>311-910-9617</t>
  </si>
  <si>
    <t>Renee Contreras</t>
  </si>
  <si>
    <t>Christy Frank</t>
  </si>
  <si>
    <t>ewilson@example.org</t>
  </si>
  <si>
    <t>(876)560-5384x444</t>
  </si>
  <si>
    <t>Terry Johnson</t>
  </si>
  <si>
    <t>Richard Randall</t>
  </si>
  <si>
    <t>matthew96@example.org</t>
  </si>
  <si>
    <t>+1-863-496-0962</t>
  </si>
  <si>
    <t>Evan Moore</t>
  </si>
  <si>
    <t>Michael Martinez</t>
  </si>
  <si>
    <t>welchkristen@example.net</t>
  </si>
  <si>
    <t>282-353-1106x092</t>
  </si>
  <si>
    <t>Allison Gross</t>
  </si>
  <si>
    <t>Miss Paula Lopez</t>
  </si>
  <si>
    <t>kennethnichols@example.org</t>
  </si>
  <si>
    <t>001-364-304-1209x1179</t>
  </si>
  <si>
    <t>Dennis White</t>
  </si>
  <si>
    <t>Ryan Durham</t>
  </si>
  <si>
    <t>peterhenry@example.org</t>
  </si>
  <si>
    <t>(217)313-6657x22402</t>
  </si>
  <si>
    <t>Wendy Webb</t>
  </si>
  <si>
    <t>Kimberly Moore</t>
  </si>
  <si>
    <t>sara39@example.org</t>
  </si>
  <si>
    <t>+1-208-782-3513</t>
  </si>
  <si>
    <t>Bradley Holt</t>
  </si>
  <si>
    <t>Donald Gonzalez</t>
  </si>
  <si>
    <t>baileyandrea@example.com</t>
  </si>
  <si>
    <t>676.486.3423x461</t>
  </si>
  <si>
    <t>Tiffany Freeman</t>
  </si>
  <si>
    <t>Jessica Burgess</t>
  </si>
  <si>
    <t>cindy96@example.com</t>
  </si>
  <si>
    <t>695.851.7208</t>
  </si>
  <si>
    <t>Ronald Newman</t>
  </si>
  <si>
    <t>Heather Johnson</t>
  </si>
  <si>
    <t>lisajordan@example.org</t>
  </si>
  <si>
    <t>(731)535-5251x050</t>
  </si>
  <si>
    <t>Robert Roach</t>
  </si>
  <si>
    <t>Janice Guzman</t>
  </si>
  <si>
    <t>dakotaramirez@example.net</t>
  </si>
  <si>
    <t>+1-819-366-5533x07704</t>
  </si>
  <si>
    <t>Christopher Murphy</t>
  </si>
  <si>
    <t>Kenneth Mitchell</t>
  </si>
  <si>
    <t>buckjustin@example.com</t>
  </si>
  <si>
    <t>8886050171</t>
  </si>
  <si>
    <t>Paul Ross</t>
  </si>
  <si>
    <t>Emily Salazar</t>
  </si>
  <si>
    <t>devans@example.com</t>
  </si>
  <si>
    <t>+1-515-491-0300x2156</t>
  </si>
  <si>
    <t>Nathaniel Burnett</t>
  </si>
  <si>
    <t>greenkristen@example.org</t>
  </si>
  <si>
    <t>4419459642</t>
  </si>
  <si>
    <t>Francisco Hernandez</t>
  </si>
  <si>
    <t>Sarah Woodard</t>
  </si>
  <si>
    <t>hbarnett@example.net</t>
  </si>
  <si>
    <t>697.674.5731</t>
  </si>
  <si>
    <t>Heather Houston</t>
  </si>
  <si>
    <t>Matthew Foley</t>
  </si>
  <si>
    <t>jonestroy@example.org</t>
  </si>
  <si>
    <t>7376637153</t>
  </si>
  <si>
    <t>Mary Abbott</t>
  </si>
  <si>
    <t>Carlos Rangel</t>
  </si>
  <si>
    <t>nhester@example.net</t>
  </si>
  <si>
    <t>363.414.6249</t>
  </si>
  <si>
    <t>Brian Rodriguez</t>
  </si>
  <si>
    <t>Joel Adams</t>
  </si>
  <si>
    <t>cstanley@example.com</t>
  </si>
  <si>
    <t>718-215-6326x868</t>
  </si>
  <si>
    <t>Jacob Williams</t>
  </si>
  <si>
    <t>Timothy Lee</t>
  </si>
  <si>
    <t>richardwheeler@example.net</t>
  </si>
  <si>
    <t>+1-678-561-0313x100</t>
  </si>
  <si>
    <t>Brian Perez</t>
  </si>
  <si>
    <t>Michelle Myers</t>
  </si>
  <si>
    <t>robinsonmadison@example.net</t>
  </si>
  <si>
    <t>973-623-5494x012</t>
  </si>
  <si>
    <t>Melissa Jackson</t>
  </si>
  <si>
    <t>Carol Cook</t>
  </si>
  <si>
    <t>athomas@example.net</t>
  </si>
  <si>
    <t>265.902.4120x9579</t>
  </si>
  <si>
    <t>Kaitlyn Williams</t>
  </si>
  <si>
    <t>aliciajackson@example.org</t>
  </si>
  <si>
    <t>001-211-745-7758x47457</t>
  </si>
  <si>
    <t>Gene Holmes</t>
  </si>
  <si>
    <t>Sharon Anthony</t>
  </si>
  <si>
    <t>rrodriguez@example.net</t>
  </si>
  <si>
    <t>001-502-363-2570x3965</t>
  </si>
  <si>
    <t>Troy Fowler</t>
  </si>
  <si>
    <t>Sherry Shelton</t>
  </si>
  <si>
    <t>harcher@example.org</t>
  </si>
  <si>
    <t>755-369-6443x098</t>
  </si>
  <si>
    <t>Jesse Donaldson</t>
  </si>
  <si>
    <t>Donna Montes</t>
  </si>
  <si>
    <t>jho@example.com</t>
  </si>
  <si>
    <t>+1-228-549-8247x41407</t>
  </si>
  <si>
    <t>Kevin Brown</t>
  </si>
  <si>
    <t>Jeffrey Keller</t>
  </si>
  <si>
    <t>williamsdevin@example.com</t>
  </si>
  <si>
    <t>782.514.2369x14307</t>
  </si>
  <si>
    <t>Mandy Henderson</t>
  </si>
  <si>
    <t>Annette Green</t>
  </si>
  <si>
    <t>carla29@example.com</t>
  </si>
  <si>
    <t>+1-959-423-4268x34414</t>
  </si>
  <si>
    <t>Shawn Kim</t>
  </si>
  <si>
    <t>Jeremy Edwards</t>
  </si>
  <si>
    <t>taylor67@example.com</t>
  </si>
  <si>
    <t>(470)680-6129x43985</t>
  </si>
  <si>
    <t>Ryan Martinez</t>
  </si>
  <si>
    <t>Julie Hines</t>
  </si>
  <si>
    <t>fcombs@example.org</t>
  </si>
  <si>
    <t>215-591-4975x019</t>
  </si>
  <si>
    <t>Kristina Coffey</t>
  </si>
  <si>
    <t>Steven Bowman</t>
  </si>
  <si>
    <t>kevincollins@example.org</t>
  </si>
  <si>
    <t>393.911.0291x8133</t>
  </si>
  <si>
    <t>Jonathan Myers</t>
  </si>
  <si>
    <t>Elizabeth Webb</t>
  </si>
  <si>
    <t>loriskinner@example.net</t>
  </si>
  <si>
    <t>597-991-6202x232</t>
  </si>
  <si>
    <t>Mr. Brett Chapman</t>
  </si>
  <si>
    <t>Donald Cruz</t>
  </si>
  <si>
    <t>marshalllisa@example.org</t>
  </si>
  <si>
    <t>2479196094</t>
  </si>
  <si>
    <t>Terry Estes</t>
  </si>
  <si>
    <t>Nathan Hill</t>
  </si>
  <si>
    <t>michaelfoley@example.net</t>
  </si>
  <si>
    <t>758.968.1225</t>
  </si>
  <si>
    <t xml:space="preserve">  Rachel Ramirez </t>
  </si>
  <si>
    <t>Elizabeth Long</t>
  </si>
  <si>
    <t>ebennett@example.net</t>
  </si>
  <si>
    <t>+1-329-288-4259x95996</t>
  </si>
  <si>
    <t>Nicholas Hall</t>
  </si>
  <si>
    <t>Kathryn Shelton</t>
  </si>
  <si>
    <t>kathleen31@example.org</t>
  </si>
  <si>
    <t>001-266-410-9410x1759</t>
  </si>
  <si>
    <t>Michael Gray</t>
  </si>
  <si>
    <t>Laura Gonzalez MD</t>
  </si>
  <si>
    <t>oshelton@example.org</t>
  </si>
  <si>
    <t>001-726-883-1901x3020</t>
  </si>
  <si>
    <t>Sharon Peterson</t>
  </si>
  <si>
    <t>Tina Chandler</t>
  </si>
  <si>
    <t>nlee@example.net</t>
  </si>
  <si>
    <t>385.459.8217x6619</t>
  </si>
  <si>
    <t>Elizabeth Wilson</t>
  </si>
  <si>
    <t>Kyle Rivera</t>
  </si>
  <si>
    <t>loriroberts@example.com</t>
  </si>
  <si>
    <t>(851)224-1893x8984</t>
  </si>
  <si>
    <t>Stephanie Aguilar</t>
  </si>
  <si>
    <t>Victoria Delgado</t>
  </si>
  <si>
    <t>morganjose@example.com</t>
  </si>
  <si>
    <t>001-302-838-5037x19905</t>
  </si>
  <si>
    <t>Lisa Miller</t>
  </si>
  <si>
    <t>Theresa Nelson</t>
  </si>
  <si>
    <t>garciatyler@example.org</t>
  </si>
  <si>
    <t>+1-256-974-3000x3896</t>
  </si>
  <si>
    <t>Ralph Dominguez</t>
  </si>
  <si>
    <t>Jeffery Taylor</t>
  </si>
  <si>
    <t>nwilson@example.com</t>
  </si>
  <si>
    <t>(235)260-3319x036</t>
  </si>
  <si>
    <t>Danielle Brown</t>
  </si>
  <si>
    <t>Jeffrey Campbell</t>
  </si>
  <si>
    <t>michael34@example.org</t>
  </si>
  <si>
    <t>+1-967-611-1483x753</t>
  </si>
  <si>
    <t>Penny Carter</t>
  </si>
  <si>
    <t>Kelsey Adams</t>
  </si>
  <si>
    <t>brownrachel@example.net</t>
  </si>
  <si>
    <t>+1-774-413-2834x831</t>
  </si>
  <si>
    <t>David Alexander</t>
  </si>
  <si>
    <t>Tiffany Smith</t>
  </si>
  <si>
    <t>nelsonbrianna@example.com</t>
  </si>
  <si>
    <t>904-296-7066</t>
  </si>
  <si>
    <t>James Keller</t>
  </si>
  <si>
    <t>Mary Johnson</t>
  </si>
  <si>
    <t>sharon95@example.com</t>
  </si>
  <si>
    <t>001-993-805-9660x18648</t>
  </si>
  <si>
    <t>Laura Stone</t>
  </si>
  <si>
    <t>James Reese</t>
  </si>
  <si>
    <t>davidsmith@example.net</t>
  </si>
  <si>
    <t>613-684-5960x945</t>
  </si>
  <si>
    <t>Rhonda Franklin</t>
  </si>
  <si>
    <t>Keith Morris</t>
  </si>
  <si>
    <t>melanie77@example.org</t>
  </si>
  <si>
    <t>607.705.7836x091</t>
  </si>
  <si>
    <t>Jessica Scott</t>
  </si>
  <si>
    <t>Debbie Simpson</t>
  </si>
  <si>
    <t>crystalthomas@example.net</t>
  </si>
  <si>
    <t>+1-203-610-2879x5083</t>
  </si>
  <si>
    <t>Alexis Kirk</t>
  </si>
  <si>
    <t>Kimberly Williams</t>
  </si>
  <si>
    <t>michaeljones@example.com</t>
  </si>
  <si>
    <t>381-833-5956</t>
  </si>
  <si>
    <t>Briana Nguyen</t>
  </si>
  <si>
    <t>Frances Russell</t>
  </si>
  <si>
    <t>thomas49@example.org</t>
  </si>
  <si>
    <t>(550)742-9019</t>
  </si>
  <si>
    <t>Priscilla Romero</t>
  </si>
  <si>
    <t>Hailey Lewis</t>
  </si>
  <si>
    <t>sandovaledward@example.net</t>
  </si>
  <si>
    <t>313-298-9868</t>
  </si>
  <si>
    <t>Mary Meyer</t>
  </si>
  <si>
    <t>Cory Johnston</t>
  </si>
  <si>
    <t>marklloyd@example.com</t>
  </si>
  <si>
    <t>775.313.7651</t>
  </si>
  <si>
    <t>Martha Jacobs</t>
  </si>
  <si>
    <t>sarasanchez@example.com</t>
  </si>
  <si>
    <t>+1-992-594-4551x16682</t>
  </si>
  <si>
    <t>Sherri Smith</t>
  </si>
  <si>
    <t>Dennis Spencer</t>
  </si>
  <si>
    <t>inewton@example.org</t>
  </si>
  <si>
    <t>(602)312-8866x52683</t>
  </si>
  <si>
    <t>Roger Rogers</t>
  </si>
  <si>
    <t>Ashley Bowen</t>
  </si>
  <si>
    <t>rodgersmichael@example.com</t>
  </si>
  <si>
    <t>(776)947-2298x12099</t>
  </si>
  <si>
    <t>Jeffrey Romero</t>
  </si>
  <si>
    <t>Theresa Davis</t>
  </si>
  <si>
    <t>trevor09@example.net</t>
  </si>
  <si>
    <t>698.764.5652x20368</t>
  </si>
  <si>
    <t>Dustin Wilson</t>
  </si>
  <si>
    <t>Jeffrey Mcclure</t>
  </si>
  <si>
    <t>sheila49@example.org</t>
  </si>
  <si>
    <t>242.513.8820</t>
  </si>
  <si>
    <t>Ronnie Johnson</t>
  </si>
  <si>
    <t>Tom Duncan</t>
  </si>
  <si>
    <t>dmeyer@example.com</t>
  </si>
  <si>
    <t>317-767-4124</t>
  </si>
  <si>
    <t>Natasha Walker</t>
  </si>
  <si>
    <t>Christopher Rogers</t>
  </si>
  <si>
    <t>gmccoy@example.net</t>
  </si>
  <si>
    <t>001-815-506-1853x80032</t>
  </si>
  <si>
    <t>Deborah Hernandez</t>
  </si>
  <si>
    <t>Morgan Campbell</t>
  </si>
  <si>
    <t>cynthiadavis@example.net</t>
  </si>
  <si>
    <t>001-830-561-7893x2064</t>
  </si>
  <si>
    <t>Kari Sandoval</t>
  </si>
  <si>
    <t>Eric Hall</t>
  </si>
  <si>
    <t>elizabeth76@example.net</t>
  </si>
  <si>
    <t>(887)341-3146x753</t>
  </si>
  <si>
    <t>Tyler Guerrero</t>
  </si>
  <si>
    <t>James Anderson</t>
  </si>
  <si>
    <t>flarsen@example.net</t>
  </si>
  <si>
    <t>(830)944-8360x85456</t>
  </si>
  <si>
    <t>Dean Brown</t>
  </si>
  <si>
    <t>Mr. Mark Williams</t>
  </si>
  <si>
    <t>kortiz@example.org</t>
  </si>
  <si>
    <t>+1-231-299-5298</t>
  </si>
  <si>
    <t>Ann Bush</t>
  </si>
  <si>
    <t>Pamela Tran</t>
  </si>
  <si>
    <t>stonemichael@example.org</t>
  </si>
  <si>
    <t>(586)534-2556</t>
  </si>
  <si>
    <t>Amanda Smith</t>
  </si>
  <si>
    <t>Ashley Sanders</t>
  </si>
  <si>
    <t>swilliams@example.com</t>
  </si>
  <si>
    <t>6333041662</t>
  </si>
  <si>
    <t>Jonathan Warner</t>
  </si>
  <si>
    <t>Alicia Newton</t>
  </si>
  <si>
    <t>codychapman@example.com</t>
  </si>
  <si>
    <t>994.556.8044</t>
  </si>
  <si>
    <t>Wayne Johnston</t>
  </si>
  <si>
    <t>Jeffrey Walker</t>
  </si>
  <si>
    <t>ehoffman@example.com</t>
  </si>
  <si>
    <t>001-588-236-0765x817</t>
  </si>
  <si>
    <t>David Wood</t>
  </si>
  <si>
    <t>Maria Cook</t>
  </si>
  <si>
    <t>davisgary@example.com</t>
  </si>
  <si>
    <t>001-531-226-9789</t>
  </si>
  <si>
    <t>Darlene Collins</t>
  </si>
  <si>
    <t>Chris Morris</t>
  </si>
  <si>
    <t>rsavage@example.net</t>
  </si>
  <si>
    <t>987.387.5357</t>
  </si>
  <si>
    <t>Jessica Jones</t>
  </si>
  <si>
    <t>Adam Meyer</t>
  </si>
  <si>
    <t>martinsamuel@example.org</t>
  </si>
  <si>
    <t>8672287286</t>
  </si>
  <si>
    <t xml:space="preserve">  Jeffrey Phillips </t>
  </si>
  <si>
    <t>Megan Mills</t>
  </si>
  <si>
    <t>anne22@example.com</t>
  </si>
  <si>
    <t>939.258.9477x35228</t>
  </si>
  <si>
    <t>Christopher Ruiz</t>
  </si>
  <si>
    <t>Abigail Miles MD</t>
  </si>
  <si>
    <t>medinamark@example.org</t>
  </si>
  <si>
    <t>+1-679-821-5835x034</t>
  </si>
  <si>
    <t>Elizabeth Weber</t>
  </si>
  <si>
    <t>David Weaver</t>
  </si>
  <si>
    <t>chrishernandez@example.net</t>
  </si>
  <si>
    <t>842.749.1289</t>
  </si>
  <si>
    <t>Sarah Jacobs</t>
  </si>
  <si>
    <t>Nancy Gilbert</t>
  </si>
  <si>
    <t>aclark@example.org</t>
  </si>
  <si>
    <t>319.222.2705</t>
  </si>
  <si>
    <t>Robert Coleman</t>
  </si>
  <si>
    <t>Eric Wolf</t>
  </si>
  <si>
    <t>annbennett@example.com</t>
  </si>
  <si>
    <t>001-475-848-5819x324</t>
  </si>
  <si>
    <t>Katherine Mccormick</t>
  </si>
  <si>
    <t>Kristin Graham</t>
  </si>
  <si>
    <t>gregory57@example.net</t>
  </si>
  <si>
    <t>(763)598-3652x037</t>
  </si>
  <si>
    <t>Eric Davis</t>
  </si>
  <si>
    <t>David Dorsey</t>
  </si>
  <si>
    <t>arthur47@example.com</t>
  </si>
  <si>
    <t>9444090797</t>
  </si>
  <si>
    <t>Shaun Christensen</t>
  </si>
  <si>
    <t>Amanda Johnson</t>
  </si>
  <si>
    <t>janicethompson@example.org</t>
  </si>
  <si>
    <t>661-507-0518</t>
  </si>
  <si>
    <t>Nancy Cook</t>
  </si>
  <si>
    <t>Stephanie Hurst</t>
  </si>
  <si>
    <t>rebeccamatthews@example.com</t>
  </si>
  <si>
    <t>606.560.1382x41270</t>
  </si>
  <si>
    <t>Jennifer Reid</t>
  </si>
  <si>
    <t>Teresa Collins</t>
  </si>
  <si>
    <t>david79@example.net</t>
  </si>
  <si>
    <t>797-211-1212</t>
  </si>
  <si>
    <t>Rachel Robinson</t>
  </si>
  <si>
    <t>Brad Ramsey</t>
  </si>
  <si>
    <t>kylebecker@example.org</t>
  </si>
  <si>
    <t>001-524-606-4242x9563</t>
  </si>
  <si>
    <t>Cassandra Phillips</t>
  </si>
  <si>
    <t>Deborah Burns</t>
  </si>
  <si>
    <t>michael87@example.net</t>
  </si>
  <si>
    <t>+1-620-396-2893x65435</t>
  </si>
  <si>
    <t>Christine Robinson</t>
  </si>
  <si>
    <t>Thomas Holmes</t>
  </si>
  <si>
    <t>thomasmcdonald@example.com</t>
  </si>
  <si>
    <t>(796)790-5150x267</t>
  </si>
  <si>
    <t>Ariel Gentry</t>
  </si>
  <si>
    <t>John Lopez</t>
  </si>
  <si>
    <t>gonzaleschristina@example.net</t>
  </si>
  <si>
    <t>001-966-873-4595</t>
  </si>
  <si>
    <t>Wesley Rich</t>
  </si>
  <si>
    <t>Stephanie Hunter</t>
  </si>
  <si>
    <t>rsimmons@example.net</t>
  </si>
  <si>
    <t>(790)228-2498x3922</t>
  </si>
  <si>
    <t>Ellen Cannon</t>
  </si>
  <si>
    <t>Judy Martin</t>
  </si>
  <si>
    <t>hopkinsjames@example.org</t>
  </si>
  <si>
    <t>941-423-3613x2850</t>
  </si>
  <si>
    <t>John Mcdaniel</t>
  </si>
  <si>
    <t>Susan Barnett</t>
  </si>
  <si>
    <t>wmccarthy@example.org</t>
  </si>
  <si>
    <t>(925)226-5469x6815</t>
  </si>
  <si>
    <t>Lee Tate</t>
  </si>
  <si>
    <t>Gerald Morrow</t>
  </si>
  <si>
    <t>pmelendez@example.org</t>
  </si>
  <si>
    <t>(873)403-4615</t>
  </si>
  <si>
    <t>Dustin Hughes</t>
  </si>
  <si>
    <t>Amanda Mullen</t>
  </si>
  <si>
    <t>zwhite@example.net</t>
  </si>
  <si>
    <t>917.215.1602x52986</t>
  </si>
  <si>
    <t>Dr. James Wise</t>
  </si>
  <si>
    <t>David Walters</t>
  </si>
  <si>
    <t>xshaw@example.com</t>
  </si>
  <si>
    <t>001-758-651-2686x120</t>
  </si>
  <si>
    <t>Robert Luna</t>
  </si>
  <si>
    <t>Anthony Campbell</t>
  </si>
  <si>
    <t>parrishsteve@example.org</t>
  </si>
  <si>
    <t>+1-854-265-4084x245</t>
  </si>
  <si>
    <t>Edward Johnson</t>
  </si>
  <si>
    <t>Nicholas Schmidt</t>
  </si>
  <si>
    <t>fwright@example.net</t>
  </si>
  <si>
    <t>522-976-4579</t>
  </si>
  <si>
    <t>Gabriel Johnson</t>
  </si>
  <si>
    <t>Misty Burnett</t>
  </si>
  <si>
    <t>reyestina@example.org</t>
  </si>
  <si>
    <t>546-260-2416x13944</t>
  </si>
  <si>
    <t>John Hodges</t>
  </si>
  <si>
    <t>Paul Osborne</t>
  </si>
  <si>
    <t>walter09@example.com</t>
  </si>
  <si>
    <t>(644)606-3062</t>
  </si>
  <si>
    <t>Richard Reid</t>
  </si>
  <si>
    <t>Danny Fletcher</t>
  </si>
  <si>
    <t>bryceroberts@example.net</t>
  </si>
  <si>
    <t>+1-779-769-5867x805</t>
  </si>
  <si>
    <t>Jeremy Murray</t>
  </si>
  <si>
    <t>Christine Wolfe</t>
  </si>
  <si>
    <t>cscott@example.net</t>
  </si>
  <si>
    <t>001-617-685-1385</t>
  </si>
  <si>
    <t>Jocelyn Mcdonald</t>
  </si>
  <si>
    <t>Kevin Weber</t>
  </si>
  <si>
    <t>wperry@example.org</t>
  </si>
  <si>
    <t>001-548-373-6826x91163</t>
  </si>
  <si>
    <t>Cassandra Moore</t>
  </si>
  <si>
    <t>Morgan Morales</t>
  </si>
  <si>
    <t>nbell@example.com</t>
  </si>
  <si>
    <t>+1-945-951-5888x636</t>
  </si>
  <si>
    <t>Tim Moore</t>
  </si>
  <si>
    <t>Jennifer Smith</t>
  </si>
  <si>
    <t>kathryn21@example.com</t>
  </si>
  <si>
    <t>001-366-863-0932</t>
  </si>
  <si>
    <t>Erika Wright</t>
  </si>
  <si>
    <t>Kaitlyn Davis</t>
  </si>
  <si>
    <t>andrew96@example.net</t>
  </si>
  <si>
    <t>532.975.3273x52410</t>
  </si>
  <si>
    <t>Michael Wallace</t>
  </si>
  <si>
    <t>Christopher Murray</t>
  </si>
  <si>
    <t>laramary@example.org</t>
  </si>
  <si>
    <t>371.800.6876</t>
  </si>
  <si>
    <t>Sophia Medina</t>
  </si>
  <si>
    <t>Lisa Hays</t>
  </si>
  <si>
    <t>gonzalesmaria@example.org</t>
  </si>
  <si>
    <t>360-456-8761x1249</t>
  </si>
  <si>
    <t>Matthew Thomas</t>
  </si>
  <si>
    <t>John Baker</t>
  </si>
  <si>
    <t>dawn17@example.net</t>
  </si>
  <si>
    <t>434.454.7574x9490</t>
  </si>
  <si>
    <t>Allison Beard</t>
  </si>
  <si>
    <t>Michelle Parker</t>
  </si>
  <si>
    <t>ashleytorres@example.net</t>
  </si>
  <si>
    <t>642.422.9464x303</t>
  </si>
  <si>
    <t>Deanna Griffith</t>
  </si>
  <si>
    <t>Whitney Sullivan</t>
  </si>
  <si>
    <t>teresaschneider@example.net</t>
  </si>
  <si>
    <t>758.556.7287x27601</t>
  </si>
  <si>
    <t>Danny Ramirez</t>
  </si>
  <si>
    <t>Rachel Santos</t>
  </si>
  <si>
    <t>victor90@example.net</t>
  </si>
  <si>
    <t>333.250.6158x14888</t>
  </si>
  <si>
    <t>Joseph Sanchez</t>
  </si>
  <si>
    <t>Catherine Mayer</t>
  </si>
  <si>
    <t>jeremylove@example.org</t>
  </si>
  <si>
    <t>6942841312</t>
  </si>
  <si>
    <t>David Gill</t>
  </si>
  <si>
    <t>Brett Keith</t>
  </si>
  <si>
    <t>florescynthia@example.org</t>
  </si>
  <si>
    <t>217.817.3189x3974</t>
  </si>
  <si>
    <t>Ashley Tanner</t>
  </si>
  <si>
    <t>Chloe Shaffer</t>
  </si>
  <si>
    <t>qgay@example.com</t>
  </si>
  <si>
    <t>+1-547-725-8784x448</t>
  </si>
  <si>
    <t>Justin Parker</t>
  </si>
  <si>
    <t>William Bautista</t>
  </si>
  <si>
    <t>gsmith@example.com</t>
  </si>
  <si>
    <t>522.516.4175x8231</t>
  </si>
  <si>
    <t>Eric Miranda</t>
  </si>
  <si>
    <t>Michael Pennington</t>
  </si>
  <si>
    <t>ashleymoore@example.org</t>
  </si>
  <si>
    <t>862.629.2587</t>
  </si>
  <si>
    <t>Dennis Michael</t>
  </si>
  <si>
    <t>Jacqueline Torres</t>
  </si>
  <si>
    <t>maria57@example.com</t>
  </si>
  <si>
    <t>(596)660-6065x27403</t>
  </si>
  <si>
    <t>James Morris</t>
  </si>
  <si>
    <t>Erika Castro</t>
  </si>
  <si>
    <t>laurenwilliamson@example.com</t>
  </si>
  <si>
    <t>511-632-5797x067</t>
  </si>
  <si>
    <t>Ms. Amy Brown</t>
  </si>
  <si>
    <t>Joshua Kim</t>
  </si>
  <si>
    <t>daniel21@example.com</t>
  </si>
  <si>
    <t>001-662-629-4938x17359</t>
  </si>
  <si>
    <t>Brenda Carrillo</t>
  </si>
  <si>
    <t>Melissa Stevenson</t>
  </si>
  <si>
    <t>rebecca73@example.org</t>
  </si>
  <si>
    <t>873-875-5344x90216</t>
  </si>
  <si>
    <t>Rebecca Decker</t>
  </si>
  <si>
    <t>William Brooks</t>
  </si>
  <si>
    <t>gforbes@example.com</t>
  </si>
  <si>
    <t>+1-374-495-1191</t>
  </si>
  <si>
    <t>Sarah Miller</t>
  </si>
  <si>
    <t>Lisa Kaiser</t>
  </si>
  <si>
    <t>wangryan@example.com</t>
  </si>
  <si>
    <t>872.651.2957x860</t>
  </si>
  <si>
    <t>Ronald Smith</t>
  </si>
  <si>
    <t>Jeffery Green</t>
  </si>
  <si>
    <t>breannasaunders@example.net</t>
  </si>
  <si>
    <t>239.259.2323x421</t>
  </si>
  <si>
    <t>Kimberly Blevins</t>
  </si>
  <si>
    <t>Ethan Hall</t>
  </si>
  <si>
    <t>jamesmartin@example.com</t>
  </si>
  <si>
    <t>935.502.7160</t>
  </si>
  <si>
    <t>Jeremy Ross</t>
  </si>
  <si>
    <t>James Olsen</t>
  </si>
  <si>
    <t>costawilliam@example.net</t>
  </si>
  <si>
    <t>001-381-723-1795x5633</t>
  </si>
  <si>
    <t>Jordan Duffy</t>
  </si>
  <si>
    <t>James Fisher</t>
  </si>
  <si>
    <t>gomezsonya@example.org</t>
  </si>
  <si>
    <t>(243)416-7045x02329</t>
  </si>
  <si>
    <t>Brenda Harrison</t>
  </si>
  <si>
    <t>Kyle Clark</t>
  </si>
  <si>
    <t>nathan62@example.com</t>
  </si>
  <si>
    <t>(928)522-5120</t>
  </si>
  <si>
    <t>Mario Stout</t>
  </si>
  <si>
    <t>Frank Logan</t>
  </si>
  <si>
    <t>anthony70@example.net</t>
  </si>
  <si>
    <t>(360)286-9822</t>
  </si>
  <si>
    <t>Daniel Barnes</t>
  </si>
  <si>
    <t>Wayne Marshall</t>
  </si>
  <si>
    <t>ichase@example.com</t>
  </si>
  <si>
    <t>(790)347-7425</t>
  </si>
  <si>
    <t>Paul Christian</t>
  </si>
  <si>
    <t>Daniel Anderson</t>
  </si>
  <si>
    <t>jeremiahmiller@example.org</t>
  </si>
  <si>
    <t>001-664-491-3342x457</t>
  </si>
  <si>
    <t>James Thomas</t>
  </si>
  <si>
    <t>Sarah Adkins</t>
  </si>
  <si>
    <t>ywelch@example.org</t>
  </si>
  <si>
    <t>(902)903-2650</t>
  </si>
  <si>
    <t>Chelsea Kane</t>
  </si>
  <si>
    <t>Jennifer Haney</t>
  </si>
  <si>
    <t>ihowell@example.com</t>
  </si>
  <si>
    <t>948-355-2457</t>
  </si>
  <si>
    <t>Gloria Stone</t>
  </si>
  <si>
    <t>Jacob May</t>
  </si>
  <si>
    <t>codyhester@example.org</t>
  </si>
  <si>
    <t>384-425-4768</t>
  </si>
  <si>
    <t>Todd Lutz</t>
  </si>
  <si>
    <t>Ryan Walker</t>
  </si>
  <si>
    <t>gonzalezjulie@example.net</t>
  </si>
  <si>
    <t>+1-729-488-0858x382</t>
  </si>
  <si>
    <t>Christopher Walters</t>
  </si>
  <si>
    <t>Sarah Potter</t>
  </si>
  <si>
    <t>amberfriedman@example.com</t>
  </si>
  <si>
    <t>940.764.6867</t>
  </si>
  <si>
    <t>Todd Smith</t>
  </si>
  <si>
    <t>Justin Collins</t>
  </si>
  <si>
    <t>brownrobert@example.org</t>
  </si>
  <si>
    <t>623.462.6693x3513</t>
  </si>
  <si>
    <t>Becky Singh</t>
  </si>
  <si>
    <t>Brittany Ramos</t>
  </si>
  <si>
    <t>kathleen01@example.net</t>
  </si>
  <si>
    <t>381-797-3741x8972</t>
  </si>
  <si>
    <t>Tiffany Williams</t>
  </si>
  <si>
    <t>Dawn Sims</t>
  </si>
  <si>
    <t>trichards@example.net</t>
  </si>
  <si>
    <t>243.381.1995x3766</t>
  </si>
  <si>
    <t>Diana Ramsey</t>
  </si>
  <si>
    <t>David Romero</t>
  </si>
  <si>
    <t>qestrada@example.com</t>
  </si>
  <si>
    <t>801-673-9739</t>
  </si>
  <si>
    <t>Richard Erickson</t>
  </si>
  <si>
    <t>Sara Bennett</t>
  </si>
  <si>
    <t>gwilliams@example.net</t>
  </si>
  <si>
    <t>+1-919-911-3599x6605</t>
  </si>
  <si>
    <t>Kelly Bentley</t>
  </si>
  <si>
    <t>Lori Strickland</t>
  </si>
  <si>
    <t>robinsonhenry@example.net</t>
  </si>
  <si>
    <t>714-960-7455x53470</t>
  </si>
  <si>
    <t>Madison Mack</t>
  </si>
  <si>
    <t>Justin Boyer</t>
  </si>
  <si>
    <t>joy52@example.com</t>
  </si>
  <si>
    <t>355-898-3541</t>
  </si>
  <si>
    <t>Jonathan Lopez</t>
  </si>
  <si>
    <t>Dennis Zimmerman</t>
  </si>
  <si>
    <t>matthew75@example.org</t>
  </si>
  <si>
    <t>(650)413-9488</t>
  </si>
  <si>
    <t>Michael Gonzalez</t>
  </si>
  <si>
    <t>Kyle Mcdowell</t>
  </si>
  <si>
    <t>jphelps@example.net</t>
  </si>
  <si>
    <t>285-562-6149x91537</t>
  </si>
  <si>
    <t>Mary Hill</t>
  </si>
  <si>
    <t>Roy Lucero II</t>
  </si>
  <si>
    <t>scottcain@example.org</t>
  </si>
  <si>
    <t>5438097768</t>
  </si>
  <si>
    <t>Joseph Ross</t>
  </si>
  <si>
    <t>Stephanie Hughes</t>
  </si>
  <si>
    <t>jasmine54@example.com</t>
  </si>
  <si>
    <t>(453)358-5125x389</t>
  </si>
  <si>
    <t>Dr. Katie Alvarez</t>
  </si>
  <si>
    <t>Robert Munoz</t>
  </si>
  <si>
    <t>jennifer83@example.com</t>
  </si>
  <si>
    <t>990-279-7796x120</t>
  </si>
  <si>
    <t>Karen Mccarthy</t>
  </si>
  <si>
    <t>Hector Blevins</t>
  </si>
  <si>
    <t>ashley09@example.com</t>
  </si>
  <si>
    <t>(726)237-4845x39862</t>
  </si>
  <si>
    <t>Amy Webster</t>
  </si>
  <si>
    <t>Patricia Jones</t>
  </si>
  <si>
    <t>morenojessica@example.net</t>
  </si>
  <si>
    <t>339.322.0715</t>
  </si>
  <si>
    <t>Laura Rush</t>
  </si>
  <si>
    <t>Jason Horton</t>
  </si>
  <si>
    <t>melaniewhite@example.com</t>
  </si>
  <si>
    <t>(326)747-1246x335</t>
  </si>
  <si>
    <t>Brandon Scott</t>
  </si>
  <si>
    <t>Amy Hawkins</t>
  </si>
  <si>
    <t>cody08@example.org</t>
  </si>
  <si>
    <t>4565409951</t>
  </si>
  <si>
    <t>Kathleen Nichols</t>
  </si>
  <si>
    <t>Anne Vega</t>
  </si>
  <si>
    <t>carolberry@example.com</t>
  </si>
  <si>
    <t>001-328-727-0908x144</t>
  </si>
  <si>
    <t>Leslie Jackson</t>
  </si>
  <si>
    <t>Corey Moore</t>
  </si>
  <si>
    <t>sharon86@example.com</t>
  </si>
  <si>
    <t>581-853-5237</t>
  </si>
  <si>
    <t>Anthony Haas</t>
  </si>
  <si>
    <t>Dr. Matthew Webster</t>
  </si>
  <si>
    <t>abbottchristopher@example.net</t>
  </si>
  <si>
    <t>689-898-8683x45273</t>
  </si>
  <si>
    <t>James Henry</t>
  </si>
  <si>
    <t>Frank Webb MD</t>
  </si>
  <si>
    <t>xgay@example.com</t>
  </si>
  <si>
    <t>001-208-203-1499x82508</t>
  </si>
  <si>
    <t xml:space="preserve">  Janice Bell </t>
  </si>
  <si>
    <t>Samantha Sutton</t>
  </si>
  <si>
    <t>hrodgers@example.org</t>
  </si>
  <si>
    <t>250.231.7235x13739</t>
  </si>
  <si>
    <t>Christine Norris</t>
  </si>
  <si>
    <t>Abigail Allen</t>
  </si>
  <si>
    <t>tracey63@example.com</t>
  </si>
  <si>
    <t>(802)229-3946x9434</t>
  </si>
  <si>
    <t>Jason Ramirez</t>
  </si>
  <si>
    <t>Ruth Freeman</t>
  </si>
  <si>
    <t>simsrandall@example.net</t>
  </si>
  <si>
    <t>001-672-831-1127x12852</t>
  </si>
  <si>
    <t>Dustin Foley</t>
  </si>
  <si>
    <t>Philip Foster</t>
  </si>
  <si>
    <t>stephaniepeters@example.com</t>
  </si>
  <si>
    <t>228.807.7113</t>
  </si>
  <si>
    <t>Phillip Drake</t>
  </si>
  <si>
    <t>Luis Kim</t>
  </si>
  <si>
    <t>scotthammond@example.net</t>
  </si>
  <si>
    <t>233.850.9025x42573</t>
  </si>
  <si>
    <t>Travis Wagner</t>
  </si>
  <si>
    <t>Mark Rogers</t>
  </si>
  <si>
    <t>cjohnson@example.org</t>
  </si>
  <si>
    <t>298.348.2285</t>
  </si>
  <si>
    <t>Jennifer Ferguson</t>
  </si>
  <si>
    <t>Carolyn Cantu</t>
  </si>
  <si>
    <t>benjamin13@example.org</t>
  </si>
  <si>
    <t>(909)806-9130x9810</t>
  </si>
  <si>
    <t>Luis Cole</t>
  </si>
  <si>
    <t>Melanie Salazar</t>
  </si>
  <si>
    <t>tina77@example.org</t>
  </si>
  <si>
    <t>885.632.4264x250</t>
  </si>
  <si>
    <t>Joe Page</t>
  </si>
  <si>
    <t>Crystal Morales</t>
  </si>
  <si>
    <t>jared66@example.com</t>
  </si>
  <si>
    <t>577.567.5556x283</t>
  </si>
  <si>
    <t>Laura Gould</t>
  </si>
  <si>
    <t>Rachel Cox</t>
  </si>
  <si>
    <t>wkelley@example.com</t>
  </si>
  <si>
    <t>(243)562-7187x496</t>
  </si>
  <si>
    <t>Juan Moore</t>
  </si>
  <si>
    <t>Joseph White</t>
  </si>
  <si>
    <t>njohnson@example.com</t>
  </si>
  <si>
    <t>001-824-792-6932</t>
  </si>
  <si>
    <t>Sean Anderson</t>
  </si>
  <si>
    <t>Emily Fitzpatrick</t>
  </si>
  <si>
    <t>lowekristin@example.org</t>
  </si>
  <si>
    <t>5006515532</t>
  </si>
  <si>
    <t>Heidi Blankenship</t>
  </si>
  <si>
    <t>Sandra Alvarez</t>
  </si>
  <si>
    <t>keithgarcia@example.net</t>
  </si>
  <si>
    <t>(922)661-8962</t>
  </si>
  <si>
    <t>Stephanie Cherry</t>
  </si>
  <si>
    <t>Bridget Wallace</t>
  </si>
  <si>
    <t>taylorparker@example.com</t>
  </si>
  <si>
    <t>720.795.7992x7079</t>
  </si>
  <si>
    <t>Stacey Jones MD</t>
  </si>
  <si>
    <t>James Hernandez</t>
  </si>
  <si>
    <t>suzanneflores@example.net</t>
  </si>
  <si>
    <t>759-670-9962</t>
  </si>
  <si>
    <t>Douglas Meyer</t>
  </si>
  <si>
    <t>Katherine Bullock</t>
  </si>
  <si>
    <t>banksjackie@example.com</t>
  </si>
  <si>
    <t>265.204.7158x029</t>
  </si>
  <si>
    <t>Curtis Harrison</t>
  </si>
  <si>
    <t>Michael Nelson</t>
  </si>
  <si>
    <t>zrogers@example.net</t>
  </si>
  <si>
    <t>(765)325-4837x44171</t>
  </si>
  <si>
    <t>Carl Gill</t>
  </si>
  <si>
    <t>kimberlyshields@example.org</t>
  </si>
  <si>
    <t>001-405-591-2975x1910</t>
  </si>
  <si>
    <t>Tammy Lopez</t>
  </si>
  <si>
    <t>Anna Hamilton</t>
  </si>
  <si>
    <t>jasonlove@example.com</t>
  </si>
  <si>
    <t>283-373-7927x49072</t>
  </si>
  <si>
    <t>Craig Thomas</t>
  </si>
  <si>
    <t>Valerie Graves</t>
  </si>
  <si>
    <t>lopezmelinda@example.org</t>
  </si>
  <si>
    <t>(869)649-6843</t>
  </si>
  <si>
    <t>Nancy Schmidt</t>
  </si>
  <si>
    <t>Tracy King</t>
  </si>
  <si>
    <t>calvinbrown@example.com</t>
  </si>
  <si>
    <t>001-609-761-7015x9591</t>
  </si>
  <si>
    <t>Patrick Castillo</t>
  </si>
  <si>
    <t>Dr. Erik Duarte Jr.</t>
  </si>
  <si>
    <t>bradgomez@example.com</t>
  </si>
  <si>
    <t>756.877.7226x602</t>
  </si>
  <si>
    <t>Lynn Ross MD</t>
  </si>
  <si>
    <t>Mary Thompson</t>
  </si>
  <si>
    <t>jaysmith@example.com</t>
  </si>
  <si>
    <t>(645)530-7624</t>
  </si>
  <si>
    <t>Lawrence Porter</t>
  </si>
  <si>
    <t>Samuel Freeman</t>
  </si>
  <si>
    <t>gomezdaniel@example.com</t>
  </si>
  <si>
    <t>001-679-442-3873x670</t>
  </si>
  <si>
    <t>Eric Montgomery</t>
  </si>
  <si>
    <t>Linda Moreno</t>
  </si>
  <si>
    <t>jenny25@example.net</t>
  </si>
  <si>
    <t>710.775.6335x3574</t>
  </si>
  <si>
    <t>Stephanie Sheppard</t>
  </si>
  <si>
    <t>Laura Pruitt</t>
  </si>
  <si>
    <t>lisawright@example.net</t>
  </si>
  <si>
    <t>605.381.6295x1877</t>
  </si>
  <si>
    <t>Richard Moody</t>
  </si>
  <si>
    <t>Charles Abbott</t>
  </si>
  <si>
    <t>wellsjeffrey@example.org</t>
  </si>
  <si>
    <t>359-678-2457x59833</t>
  </si>
  <si>
    <t>Nancy Lee</t>
  </si>
  <si>
    <t>Diane Gibbs</t>
  </si>
  <si>
    <t>ahaynes@example.com</t>
  </si>
  <si>
    <t>832-440-0615x727</t>
  </si>
  <si>
    <t>Olivia Rodriguez</t>
  </si>
  <si>
    <t>Donald Mccarthy</t>
  </si>
  <si>
    <t>lmitchell@example.org</t>
  </si>
  <si>
    <t>701-805-8752x56806</t>
  </si>
  <si>
    <t>Louis Hodges</t>
  </si>
  <si>
    <t>Erica Avila</t>
  </si>
  <si>
    <t>warebrian@example.net</t>
  </si>
  <si>
    <t>001-727-711-2218x231</t>
  </si>
  <si>
    <t>Jason Potter</t>
  </si>
  <si>
    <t>Joshua Warren DDS</t>
  </si>
  <si>
    <t>jneal@example.org</t>
  </si>
  <si>
    <t>272.214.3308</t>
  </si>
  <si>
    <t>Melissa Mendoza</t>
  </si>
  <si>
    <t>Peter Dodson</t>
  </si>
  <si>
    <t>vincentmorris@example.net</t>
  </si>
  <si>
    <t>+1-560-584-7068x10390</t>
  </si>
  <si>
    <t>Adrienne Miles</t>
  </si>
  <si>
    <t>Isabel Roach</t>
  </si>
  <si>
    <t>randyhernandez@example.org</t>
  </si>
  <si>
    <t>+1-594-748-5862x3945</t>
  </si>
  <si>
    <t>Jenna Santos</t>
  </si>
  <si>
    <t>Jeremy Faulkner</t>
  </si>
  <si>
    <t>hharris@example.org</t>
  </si>
  <si>
    <t>(613)539-4394x5703</t>
  </si>
  <si>
    <t>Emily Robinson</t>
  </si>
  <si>
    <t>Geoffrey Porter</t>
  </si>
  <si>
    <t>dcortez@example.com</t>
  </si>
  <si>
    <t>+1-227-278-9431x910</t>
  </si>
  <si>
    <t>Theresa Conrad</t>
  </si>
  <si>
    <t>James Carroll</t>
  </si>
  <si>
    <t>coltonrichardson@example.net</t>
  </si>
  <si>
    <t>365.614.6040</t>
  </si>
  <si>
    <t>Jesus Randolph</t>
  </si>
  <si>
    <t>Dr. Barbara Fields</t>
  </si>
  <si>
    <t>beardsarah@example.org</t>
  </si>
  <si>
    <t>2119379844</t>
  </si>
  <si>
    <t>Michael Lewis</t>
  </si>
  <si>
    <t>James Johnson</t>
  </si>
  <si>
    <t>arivas@example.org</t>
  </si>
  <si>
    <t>2906144734</t>
  </si>
  <si>
    <t>Chelsea Norris</t>
  </si>
  <si>
    <t>Whitney Williams</t>
  </si>
  <si>
    <t>shansen@example.com</t>
  </si>
  <si>
    <t>404.751.9577</t>
  </si>
  <si>
    <t xml:space="preserve">  Jacqueline Arnold </t>
  </si>
  <si>
    <t>bettywatson@example.com</t>
  </si>
  <si>
    <t>001-942-978-6561x94255</t>
  </si>
  <si>
    <t>Shannon Martin</t>
  </si>
  <si>
    <t>Jonathan Heath</t>
  </si>
  <si>
    <t>carolfernandez@example.net</t>
  </si>
  <si>
    <t>(292)336-1618</t>
  </si>
  <si>
    <t>Dawn Pierce</t>
  </si>
  <si>
    <t>Nancy Sutton</t>
  </si>
  <si>
    <t>tracy55@example.net</t>
  </si>
  <si>
    <t>(386)939-5613x7230</t>
  </si>
  <si>
    <t>Benjamin Clements</t>
  </si>
  <si>
    <t>Jared Bryan</t>
  </si>
  <si>
    <t>lynnjames@example.org</t>
  </si>
  <si>
    <t>3418321147</t>
  </si>
  <si>
    <t>Mary Smith</t>
  </si>
  <si>
    <t>Grace Brooks</t>
  </si>
  <si>
    <t>roy97@example.net</t>
  </si>
  <si>
    <t>+1-390-870-7550x476</t>
  </si>
  <si>
    <t>Lisa Bell</t>
  </si>
  <si>
    <t>Katherine Johnson</t>
  </si>
  <si>
    <t>esteskatherine@example.org</t>
  </si>
  <si>
    <t>248.711.3176x5397</t>
  </si>
  <si>
    <t>Richard Bond</t>
  </si>
  <si>
    <t>Jason Smith</t>
  </si>
  <si>
    <t>brittneyleonard@example.org</t>
  </si>
  <si>
    <t>971.482.7496x80491</t>
  </si>
  <si>
    <t>Elaine Martin</t>
  </si>
  <si>
    <t>Gary Rodriguez</t>
  </si>
  <si>
    <t>tanyajones@example.com</t>
  </si>
  <si>
    <t>530.962.6042x3597</t>
  </si>
  <si>
    <t>Tiffany Wilson</t>
  </si>
  <si>
    <t>Carlos Irwin</t>
  </si>
  <si>
    <t>kimmichael@example.net</t>
  </si>
  <si>
    <t>(308)358-1670x46861</t>
  </si>
  <si>
    <t>Travis Howard</t>
  </si>
  <si>
    <t>Thomas Knox</t>
  </si>
  <si>
    <t>davidmartin@example.net</t>
  </si>
  <si>
    <t>(437)885-8471</t>
  </si>
  <si>
    <t>Andrew Harris</t>
  </si>
  <si>
    <t>Paul Myers</t>
  </si>
  <si>
    <t>brian01@example.net</t>
  </si>
  <si>
    <t>+1-949-580-4253x73377</t>
  </si>
  <si>
    <t>James Schultz</t>
  </si>
  <si>
    <t>Regina Thomas</t>
  </si>
  <si>
    <t>michaelathomas@example.org</t>
  </si>
  <si>
    <t>281.792.3653x4606</t>
  </si>
  <si>
    <t>Alyssa Powers</t>
  </si>
  <si>
    <t>Jeanette Obrien</t>
  </si>
  <si>
    <t>kaitlynanderson@example.net</t>
  </si>
  <si>
    <t>362.439.8471x69061</t>
  </si>
  <si>
    <t>Amanda Ramirez</t>
  </si>
  <si>
    <t>Matthew Hatfield</t>
  </si>
  <si>
    <t>kevin89@example.com</t>
  </si>
  <si>
    <t>378-976-9899x9275</t>
  </si>
  <si>
    <t>Kim Jensen</t>
  </si>
  <si>
    <t>Mark Villa</t>
  </si>
  <si>
    <t>brooke35@example.com</t>
  </si>
  <si>
    <t>693.654.3586</t>
  </si>
  <si>
    <t>Mckenzie Lopez</t>
  </si>
  <si>
    <t>Rachel Pham</t>
  </si>
  <si>
    <t>james58@example.net</t>
  </si>
  <si>
    <t>737-598-2143x39527</t>
  </si>
  <si>
    <t>Mitchell Randolph</t>
  </si>
  <si>
    <t>Glenn Scott</t>
  </si>
  <si>
    <t>kingtammy@example.net</t>
  </si>
  <si>
    <t>(501)634-7789x4896</t>
  </si>
  <si>
    <t>Jeffrey Holden</t>
  </si>
  <si>
    <t>Karen Hughes</t>
  </si>
  <si>
    <t>taylordavid@example.org</t>
  </si>
  <si>
    <t>8145188421</t>
  </si>
  <si>
    <t>Matthew Brown</t>
  </si>
  <si>
    <t>William Ball</t>
  </si>
  <si>
    <t>russell33@example.net</t>
  </si>
  <si>
    <t>+1-494-885-3208x953</t>
  </si>
  <si>
    <t>Luis Best</t>
  </si>
  <si>
    <t>Patrick Irwin</t>
  </si>
  <si>
    <t>lisa11@example.org</t>
  </si>
  <si>
    <t>(833)979-2234x10346</t>
  </si>
  <si>
    <t>Brian Miller</t>
  </si>
  <si>
    <t>Jessica Stevenson</t>
  </si>
  <si>
    <t>wjefferson@example.com</t>
  </si>
  <si>
    <t>2849376855</t>
  </si>
  <si>
    <t>Jasmine Ramos</t>
  </si>
  <si>
    <t>Charles Jones</t>
  </si>
  <si>
    <t>zjackson@example.org</t>
  </si>
  <si>
    <t>955.264.3436</t>
  </si>
  <si>
    <t>Kristine Brewer</t>
  </si>
  <si>
    <t>Micheal Johnson</t>
  </si>
  <si>
    <t>michael07@example.com</t>
  </si>
  <si>
    <t>001-476-516-4534x5472</t>
  </si>
  <si>
    <t>Maria George</t>
  </si>
  <si>
    <t>Sarah Werner</t>
  </si>
  <si>
    <t>brandon31@example.net</t>
  </si>
  <si>
    <t>(919)480-4184</t>
  </si>
  <si>
    <t>Scott Ramirez</t>
  </si>
  <si>
    <t>Crystal Collins</t>
  </si>
  <si>
    <t>hallchristopher@example.org</t>
  </si>
  <si>
    <t>001-524-387-6230</t>
  </si>
  <si>
    <t>Brian Roth</t>
  </si>
  <si>
    <t>Caleb Ford</t>
  </si>
  <si>
    <t>jennifer28@example.org</t>
  </si>
  <si>
    <t>205.824.8088</t>
  </si>
  <si>
    <t>Scott Flowers</t>
  </si>
  <si>
    <t>steven72@example.net</t>
  </si>
  <si>
    <t>632-990-1620</t>
  </si>
  <si>
    <t>Katherine Webster</t>
  </si>
  <si>
    <t>Molly Oneal</t>
  </si>
  <si>
    <t>hhayden@example.com</t>
  </si>
  <si>
    <t>+1-396-748-6287x203</t>
  </si>
  <si>
    <t>Ashley Strong</t>
  </si>
  <si>
    <t>Elijah Johnson</t>
  </si>
  <si>
    <t>bgonzalez@example.org</t>
  </si>
  <si>
    <t>(827)992-4632x03747</t>
  </si>
  <si>
    <t>Jacqueline Harris</t>
  </si>
  <si>
    <t>Tyler Sanchez</t>
  </si>
  <si>
    <t>pennylivingston@example.com</t>
  </si>
  <si>
    <t>(905)276-6194x588</t>
  </si>
  <si>
    <t>Sheila Mendoza</t>
  </si>
  <si>
    <t>Corey Weeks</t>
  </si>
  <si>
    <t>alexgarcia@example.net</t>
  </si>
  <si>
    <t>001-784-900-8385x076</t>
  </si>
  <si>
    <t>Gabriel Richardson</t>
  </si>
  <si>
    <t>Laurie Stephenson</t>
  </si>
  <si>
    <t>ghamilton@example.org</t>
  </si>
  <si>
    <t>+1-889-681-2657x42231</t>
  </si>
  <si>
    <t>Andrew Turner</t>
  </si>
  <si>
    <t>Cheyenne Hudson</t>
  </si>
  <si>
    <t>jlloyd@example.com</t>
  </si>
  <si>
    <t>+1-994-330-1204</t>
  </si>
  <si>
    <t>Thomas Martin</t>
  </si>
  <si>
    <t>Ashley Caldwell</t>
  </si>
  <si>
    <t>christina57@example.com</t>
  </si>
  <si>
    <t>001-688-555-8298</t>
  </si>
  <si>
    <t>Alex Webb</t>
  </si>
  <si>
    <t>Jordan Porter</t>
  </si>
  <si>
    <t>lwilliams@example.com</t>
  </si>
  <si>
    <t>712-883-3372x188</t>
  </si>
  <si>
    <t>Jennifer Rivera</t>
  </si>
  <si>
    <t>Christopher Olson</t>
  </si>
  <si>
    <t>hamptonsara@example.org</t>
  </si>
  <si>
    <t>(866)526-7055x14377</t>
  </si>
  <si>
    <t>Samuel Mitchell</t>
  </si>
  <si>
    <t>Carmen Moore</t>
  </si>
  <si>
    <t>brittney11@example.org</t>
  </si>
  <si>
    <t>202-986-7120</t>
  </si>
  <si>
    <t>Casey Terrell</t>
  </si>
  <si>
    <t>Michael Serrano</t>
  </si>
  <si>
    <t>elizabeth10@example.org</t>
  </si>
  <si>
    <t>351-609-1090x3267</t>
  </si>
  <si>
    <t>Lisa Fox</t>
  </si>
  <si>
    <t>Diane Brown</t>
  </si>
  <si>
    <t>eric81@example.com</t>
  </si>
  <si>
    <t>+1-634-806-5277x584</t>
  </si>
  <si>
    <t>Timothy Bauer</t>
  </si>
  <si>
    <t>Mary Clark</t>
  </si>
  <si>
    <t>jhernandez@example.org</t>
  </si>
  <si>
    <t>309-612-1722</t>
  </si>
  <si>
    <t>Melissa Riley</t>
  </si>
  <si>
    <t>Jessica Martinez</t>
  </si>
  <si>
    <t>sharon37@example.net</t>
  </si>
  <si>
    <t>6528635100</t>
  </si>
  <si>
    <t>Jonathan Barrett</t>
  </si>
  <si>
    <t>Michael Morris</t>
  </si>
  <si>
    <t>lisamcgee@example.net</t>
  </si>
  <si>
    <t>(559)920-2461x75202</t>
  </si>
  <si>
    <t>Susan Le</t>
  </si>
  <si>
    <t>Randy Welch</t>
  </si>
  <si>
    <t>lauren55@example.org</t>
  </si>
  <si>
    <t>878-533-2584</t>
  </si>
  <si>
    <t>Travis Mcbride</t>
  </si>
  <si>
    <t>Nathan Payne</t>
  </si>
  <si>
    <t>vwilliams@example.org</t>
  </si>
  <si>
    <t>(691)276-7993x59374</t>
  </si>
  <si>
    <t>Mary Riley</t>
  </si>
  <si>
    <t>Aaron Perez</t>
  </si>
  <si>
    <t>stephaniecole@example.com</t>
  </si>
  <si>
    <t>6602148860</t>
  </si>
  <si>
    <t>Kevin Ferguson MD</t>
  </si>
  <si>
    <t>Sarah Frost</t>
  </si>
  <si>
    <t>vcastro@example.org</t>
  </si>
  <si>
    <t>+1-330-461-5370</t>
  </si>
  <si>
    <t>Monique Jackson</t>
  </si>
  <si>
    <t>David Martin</t>
  </si>
  <si>
    <t>kharris@example.com</t>
  </si>
  <si>
    <t>244-588-1121</t>
  </si>
  <si>
    <t xml:space="preserve">  Randy Blake </t>
  </si>
  <si>
    <t>Christopher Hubbard</t>
  </si>
  <si>
    <t>david87@example.net</t>
  </si>
  <si>
    <t>879-541-5152</t>
  </si>
  <si>
    <t>Danielle Smith</t>
  </si>
  <si>
    <t>Regina Mcguire</t>
  </si>
  <si>
    <t>gayfrancis@example.com</t>
  </si>
  <si>
    <t>(888)337-5056</t>
  </si>
  <si>
    <t>Patty Powell</t>
  </si>
  <si>
    <t>Marc Webb</t>
  </si>
  <si>
    <t>cherryjulie@example.net</t>
  </si>
  <si>
    <t>001-778-276-5530x07309</t>
  </si>
  <si>
    <t>Taylor Wong MD</t>
  </si>
  <si>
    <t>Tracy Atkins</t>
  </si>
  <si>
    <t>andersoncody@example.net</t>
  </si>
  <si>
    <t>+1-319-227-7885</t>
  </si>
  <si>
    <t>Margaret Sanchez</t>
  </si>
  <si>
    <t>Jessica Williams</t>
  </si>
  <si>
    <t>brownkevin@example.org</t>
  </si>
  <si>
    <t>001-646-624-5618x517</t>
  </si>
  <si>
    <t>Alexander Mitchell</t>
  </si>
  <si>
    <t>Brandon Taylor</t>
  </si>
  <si>
    <t>coxcody@example.com</t>
  </si>
  <si>
    <t>001-355-612-9391x30448</t>
  </si>
  <si>
    <t>Mary Garcia</t>
  </si>
  <si>
    <t>Timothy Collins</t>
  </si>
  <si>
    <t>vdavis@example.com</t>
  </si>
  <si>
    <t>001-302-611-9017x0756</t>
  </si>
  <si>
    <t>Todd Jacobson</t>
  </si>
  <si>
    <t>Geoffrey Lopez</t>
  </si>
  <si>
    <t>mccoyandre@example.org</t>
  </si>
  <si>
    <t>001-522-283-6084x9378</t>
  </si>
  <si>
    <t>Louis Price</t>
  </si>
  <si>
    <t>Eileen Taylor</t>
  </si>
  <si>
    <t>sbartlett@example.com</t>
  </si>
  <si>
    <t>891.564.9701</t>
  </si>
  <si>
    <t>Melissa Ray</t>
  </si>
  <si>
    <t>Lauren Coffey</t>
  </si>
  <si>
    <t>davidwilliams@example.org</t>
  </si>
  <si>
    <t>001-801-362-3419x0310</t>
  </si>
  <si>
    <t>Jeremy Thomas</t>
  </si>
  <si>
    <t>Barbara Wood</t>
  </si>
  <si>
    <t>hgray@example.net</t>
  </si>
  <si>
    <t>873-223-6533x774</t>
  </si>
  <si>
    <t>Jeffrey Moore</t>
  </si>
  <si>
    <t>Sandra Goodman</t>
  </si>
  <si>
    <t>james14@example.org</t>
  </si>
  <si>
    <t>942-560-7819x7543</t>
  </si>
  <si>
    <t>Desiree Woods</t>
  </si>
  <si>
    <t>Christopher Walker</t>
  </si>
  <si>
    <t>andreyoung@example.com</t>
  </si>
  <si>
    <t>(638)882-1458x4148</t>
  </si>
  <si>
    <t>Keith Dyer</t>
  </si>
  <si>
    <t>Douglas Pacheco</t>
  </si>
  <si>
    <t>courtneymadden@example.org</t>
  </si>
  <si>
    <t>(505)486-9507</t>
  </si>
  <si>
    <t>Eric Duran</t>
  </si>
  <si>
    <t>Robert Willis</t>
  </si>
  <si>
    <t>msantiago@example.net</t>
  </si>
  <si>
    <t>001-251-767-9335</t>
  </si>
  <si>
    <t>Peter Patel</t>
  </si>
  <si>
    <t>Jeffrey Hart DDS</t>
  </si>
  <si>
    <t>cunninghamderrick@example.com</t>
  </si>
  <si>
    <t>4375681187</t>
  </si>
  <si>
    <t>Colleen Davis</t>
  </si>
  <si>
    <t>Thomas Ortiz</t>
  </si>
  <si>
    <t>dawn73@example.org</t>
  </si>
  <si>
    <t>239-911-4983x07482</t>
  </si>
  <si>
    <t>Cindy Jenkins</t>
  </si>
  <si>
    <t>Brandon Aguilar</t>
  </si>
  <si>
    <t>aaron55@example.com</t>
  </si>
  <si>
    <t>+1-420-519-0432</t>
  </si>
  <si>
    <t>Morgan Gonzalez</t>
  </si>
  <si>
    <t>Casey Murray</t>
  </si>
  <si>
    <t>iperez@example.org</t>
  </si>
  <si>
    <t>835-246-2127</t>
  </si>
  <si>
    <t>Andrew Thompson</t>
  </si>
  <si>
    <t>Jennifer Miller</t>
  </si>
  <si>
    <t>jasonhernandez@example.org</t>
  </si>
  <si>
    <t>(532)948-8899x57298</t>
  </si>
  <si>
    <t>Levi Norton</t>
  </si>
  <si>
    <t>David Lewis</t>
  </si>
  <si>
    <t>gonzalezkenneth@example.net</t>
  </si>
  <si>
    <t>419.212.0381x876</t>
  </si>
  <si>
    <t>Kimberly Hall</t>
  </si>
  <si>
    <t>Terry Romero</t>
  </si>
  <si>
    <t>allenandrea@example.com</t>
  </si>
  <si>
    <t>581.344.5822x06732</t>
  </si>
  <si>
    <t>Lori Jones</t>
  </si>
  <si>
    <t>Kimberly Rojas</t>
  </si>
  <si>
    <t>steven45@example.org</t>
  </si>
  <si>
    <t>3003001529</t>
  </si>
  <si>
    <t>Karen Trujillo</t>
  </si>
  <si>
    <t>Steven Holland</t>
  </si>
  <si>
    <t>cobbkaitlyn@example.net</t>
  </si>
  <si>
    <t>6254561844</t>
  </si>
  <si>
    <t>Robert Burke</t>
  </si>
  <si>
    <t>Karen Henry</t>
  </si>
  <si>
    <t>hernandezmadison@example.com</t>
  </si>
  <si>
    <t>290.656.7086x70090</t>
  </si>
  <si>
    <t>Jamie Fields</t>
  </si>
  <si>
    <t>Nathaniel Hill</t>
  </si>
  <si>
    <t>richardhart@example.org</t>
  </si>
  <si>
    <t>(224)983-5505x42960</t>
  </si>
  <si>
    <t>Daniel Ortiz</t>
  </si>
  <si>
    <t>Kristin Montgomery</t>
  </si>
  <si>
    <t>bartonkimberly@example.net</t>
  </si>
  <si>
    <t>(321)204-0164</t>
  </si>
  <si>
    <t>Nicholas Hayden</t>
  </si>
  <si>
    <t>Kimberly Wells</t>
  </si>
  <si>
    <t>zacharygray@example.org</t>
  </si>
  <si>
    <t>616.843.2126x94289</t>
  </si>
  <si>
    <t>Alex Suarez</t>
  </si>
  <si>
    <t>Bianca Bowen</t>
  </si>
  <si>
    <t>tlewis@example.com</t>
  </si>
  <si>
    <t>670-264-6255</t>
  </si>
  <si>
    <t>Richard Griffith</t>
  </si>
  <si>
    <t>Joshua Lopez</t>
  </si>
  <si>
    <t>susanpruitt@example.org</t>
  </si>
  <si>
    <t>+1-317-764-6448x98803</t>
  </si>
  <si>
    <t>Michael Stone</t>
  </si>
  <si>
    <t>Desiree Swanson</t>
  </si>
  <si>
    <t>stevendecker@example.org</t>
  </si>
  <si>
    <t>+1-750-340-4333x35384</t>
  </si>
  <si>
    <t>Brandon Greene</t>
  </si>
  <si>
    <t>ygriffith@example.org</t>
  </si>
  <si>
    <t>+1-509-433-9137</t>
  </si>
  <si>
    <t>Frank Perez</t>
  </si>
  <si>
    <t>Sarah Cummings</t>
  </si>
  <si>
    <t>hullcheryl@example.net</t>
  </si>
  <si>
    <t>256.217.8688x0023</t>
  </si>
  <si>
    <t>Felicia Perry</t>
  </si>
  <si>
    <t>Sara Warren</t>
  </si>
  <si>
    <t>sancheznicholas@example.com</t>
  </si>
  <si>
    <t>+1-774-449-1609x3659</t>
  </si>
  <si>
    <t>Angela Munoz</t>
  </si>
  <si>
    <t>Shelby Fowler</t>
  </si>
  <si>
    <t>daniel43@example.org</t>
  </si>
  <si>
    <t>(487)350-9263x2239</t>
  </si>
  <si>
    <t>Donald Morgan</t>
  </si>
  <si>
    <t>David Johnson</t>
  </si>
  <si>
    <t>2503537666</t>
  </si>
  <si>
    <t>Carl Deleon</t>
  </si>
  <si>
    <t>Andrew Lee</t>
  </si>
  <si>
    <t>meyerjames@example.com</t>
  </si>
  <si>
    <t>(691)706-2715x3123</t>
  </si>
  <si>
    <t>Robert Hicks</t>
  </si>
  <si>
    <t>Kenneth Washington</t>
  </si>
  <si>
    <t>jcoleman@example.net</t>
  </si>
  <si>
    <t>(693)284-4013</t>
  </si>
  <si>
    <t>Victoria Deleon</t>
  </si>
  <si>
    <t>David Roy</t>
  </si>
  <si>
    <t>ricklewis@example.net</t>
  </si>
  <si>
    <t>(391)601-5709x085</t>
  </si>
  <si>
    <t>Christopher Smith</t>
  </si>
  <si>
    <t>Wendy Aguilar MD</t>
  </si>
  <si>
    <t>kwang@example.com</t>
  </si>
  <si>
    <t>001-548-499-7184x28596</t>
  </si>
  <si>
    <t>Brian Smith</t>
  </si>
  <si>
    <t>Emily Montgomery</t>
  </si>
  <si>
    <t>stephaniezamora@example.org</t>
  </si>
  <si>
    <t>(834)226-6980</t>
  </si>
  <si>
    <t>Kara Sanders MD</t>
  </si>
  <si>
    <t>Valerie Johnson</t>
  </si>
  <si>
    <t>nthompson@example.com</t>
  </si>
  <si>
    <t>+1-438-293-5953</t>
  </si>
  <si>
    <t>Veronica Clayton</t>
  </si>
  <si>
    <t>Toni Clay</t>
  </si>
  <si>
    <t>jarvisrachel@example.net</t>
  </si>
  <si>
    <t>+1-665-308-2695x826</t>
  </si>
  <si>
    <t>Janet Gray</t>
  </si>
  <si>
    <t>Benjamin Calderon</t>
  </si>
  <si>
    <t>hoffmanlindsey@example.org</t>
  </si>
  <si>
    <t>+1-523-685-9514x34682</t>
  </si>
  <si>
    <t>Denise Nolan</t>
  </si>
  <si>
    <t>Sandra Martin</t>
  </si>
  <si>
    <t>aaroncontreras@example.net</t>
  </si>
  <si>
    <t>(796)261-0168x31139</t>
  </si>
  <si>
    <t>Austin Rose</t>
  </si>
  <si>
    <t>Diana Carter</t>
  </si>
  <si>
    <t>hodgemanuel@example.com</t>
  </si>
  <si>
    <t>(928)939-7620x53440</t>
  </si>
  <si>
    <t>Douglas Martin</t>
  </si>
  <si>
    <t>Joann Taylor</t>
  </si>
  <si>
    <t>ahines@example.net</t>
  </si>
  <si>
    <t>(892)250-8177</t>
  </si>
  <si>
    <t>Ms. Tara Jones</t>
  </si>
  <si>
    <t>Alison Zuniga</t>
  </si>
  <si>
    <t>carlos33@example.org</t>
  </si>
  <si>
    <t>331.925.5235x617</t>
  </si>
  <si>
    <t>Samuel Nolan</t>
  </si>
  <si>
    <t>Brian Morrison</t>
  </si>
  <si>
    <t>jamesjeffery@example.com</t>
  </si>
  <si>
    <t>885.327.7895</t>
  </si>
  <si>
    <t>Jermaine Vance</t>
  </si>
  <si>
    <t>Elizabeth Watkins</t>
  </si>
  <si>
    <t>michellemorris@example.org</t>
  </si>
  <si>
    <t>(348)801-6440x3734</t>
  </si>
  <si>
    <t>Brian Thomas</t>
  </si>
  <si>
    <t>Richard Contreras</t>
  </si>
  <si>
    <t>rosejones@example.org</t>
  </si>
  <si>
    <t>+1-717-998-2134x8629</t>
  </si>
  <si>
    <t>Melissa Kim</t>
  </si>
  <si>
    <t>Sharon Hall</t>
  </si>
  <si>
    <t>nancycharles@example.org</t>
  </si>
  <si>
    <t>+1-956-805-3970</t>
  </si>
  <si>
    <t>Timothy Wilson</t>
  </si>
  <si>
    <t>Antonio Valencia</t>
  </si>
  <si>
    <t>zyoung@example.net</t>
  </si>
  <si>
    <t>001-420-350-6821x22355</t>
  </si>
  <si>
    <t>Meghan Keller MD</t>
  </si>
  <si>
    <t>William Giles</t>
  </si>
  <si>
    <t>richard21@example.net</t>
  </si>
  <si>
    <t>+1-621-592-5967x9089</t>
  </si>
  <si>
    <t>Lee Roberts</t>
  </si>
  <si>
    <t>Alexis Moore</t>
  </si>
  <si>
    <t>rosaleslauren@example.net</t>
  </si>
  <si>
    <t>001-338-369-4842x495</t>
  </si>
  <si>
    <t>Jesse Gardner</t>
  </si>
  <si>
    <t>Robert Durham</t>
  </si>
  <si>
    <t>ldavis@example.org</t>
  </si>
  <si>
    <t>+1-967-667-3820</t>
  </si>
  <si>
    <t>Blake Mendez</t>
  </si>
  <si>
    <t>Mary Murray</t>
  </si>
  <si>
    <t>jcruz@example.net</t>
  </si>
  <si>
    <t>001-568-972-2589</t>
  </si>
  <si>
    <t>Amanda Schneider MD</t>
  </si>
  <si>
    <t>Jennifer Lopez</t>
  </si>
  <si>
    <t>migueldominguez@example.org</t>
  </si>
  <si>
    <t>+1-456-769-5790x01248</t>
  </si>
  <si>
    <t>Debra White</t>
  </si>
  <si>
    <t>Julia Long</t>
  </si>
  <si>
    <t>michaelochoa@example.com</t>
  </si>
  <si>
    <t>(332)789-4633</t>
  </si>
  <si>
    <t>Dean Cohen</t>
  </si>
  <si>
    <t>Chelsea Juarez</t>
  </si>
  <si>
    <t>vthompson@example.com</t>
  </si>
  <si>
    <t>(792)369-3358</t>
  </si>
  <si>
    <t>William Wagner</t>
  </si>
  <si>
    <t>Jeanne Diaz</t>
  </si>
  <si>
    <t>ystone@example.net</t>
  </si>
  <si>
    <t>309-357-4430x34918</t>
  </si>
  <si>
    <t>Linda Martin</t>
  </si>
  <si>
    <t>Roy Cook</t>
  </si>
  <si>
    <t>josephjohnson@example.com</t>
  </si>
  <si>
    <t>764.515.4715</t>
  </si>
  <si>
    <t>Nicholas Diaz</t>
  </si>
  <si>
    <t>Ruth Alvarez</t>
  </si>
  <si>
    <t>allenronald@example.com</t>
  </si>
  <si>
    <t>7094421410</t>
  </si>
  <si>
    <t>Luis Gould</t>
  </si>
  <si>
    <t>Kevin Kennedy</t>
  </si>
  <si>
    <t>jacobsmary@example.com</t>
  </si>
  <si>
    <t>8454238885</t>
  </si>
  <si>
    <t>Taylor Grant</t>
  </si>
  <si>
    <t>Patty Butler</t>
  </si>
  <si>
    <t>michelle98@example.com</t>
  </si>
  <si>
    <t>001-778-874-4227x58548</t>
  </si>
  <si>
    <t>Rebecca Stewart</t>
  </si>
  <si>
    <t>Lisa Thompson</t>
  </si>
  <si>
    <t>kevinmendez@example.org</t>
  </si>
  <si>
    <t>665-702-0002</t>
  </si>
  <si>
    <t>Laurie Johns</t>
  </si>
  <si>
    <t>David Day</t>
  </si>
  <si>
    <t>lloydmiranda@example.org</t>
  </si>
  <si>
    <t>405.357.0836</t>
  </si>
  <si>
    <t>Duane Meyer</t>
  </si>
  <si>
    <t>Janice Harvey</t>
  </si>
  <si>
    <t>sthomas@example.org</t>
  </si>
  <si>
    <t>(377)546-2025x82543</t>
  </si>
  <si>
    <t>Carrie Daniels</t>
  </si>
  <si>
    <t>martinezcatherine@example.net</t>
  </si>
  <si>
    <t>5498106018</t>
  </si>
  <si>
    <t>Christopher Robbins</t>
  </si>
  <si>
    <t>Alexander Martin</t>
  </si>
  <si>
    <t>tpowell@example.org</t>
  </si>
  <si>
    <t>+1-872-425-7754x58472</t>
  </si>
  <si>
    <t>Terri Nguyen</t>
  </si>
  <si>
    <t>Kayla Rowe</t>
  </si>
  <si>
    <t>qreyes@example.net</t>
  </si>
  <si>
    <t>416.308.2717</t>
  </si>
  <si>
    <t>Daniel Ramos</t>
  </si>
  <si>
    <t>Claudia Cunningham</t>
  </si>
  <si>
    <t>suehowe@example.com</t>
  </si>
  <si>
    <t>(322)899-9362</t>
  </si>
  <si>
    <t>Mary Richards</t>
  </si>
  <si>
    <t>Cynthia Pierce</t>
  </si>
  <si>
    <t>peggynguyen@example.com</t>
  </si>
  <si>
    <t>001-939-983-5844x617</t>
  </si>
  <si>
    <t>Robert Roberts</t>
  </si>
  <si>
    <t>Laura Green</t>
  </si>
  <si>
    <t>becky79@example.net</t>
  </si>
  <si>
    <t>001-412-279-9702x9271</t>
  </si>
  <si>
    <t>Melvin Carlson</t>
  </si>
  <si>
    <t>Susan Higgins</t>
  </si>
  <si>
    <t>tracywoodard@example.com</t>
  </si>
  <si>
    <t>(498)783-2201</t>
  </si>
  <si>
    <t>Richard Roy</t>
  </si>
  <si>
    <t>Carrie Ware</t>
  </si>
  <si>
    <t>kathleen79@example.net</t>
  </si>
  <si>
    <t>588.889.7535x852</t>
  </si>
  <si>
    <t>Rebecca Nielsen</t>
  </si>
  <si>
    <t>Robin Williams</t>
  </si>
  <si>
    <t>ramirezkevin@example.com</t>
  </si>
  <si>
    <t>+1-219-495-1715x2391</t>
  </si>
  <si>
    <t>Carol Mcintosh</t>
  </si>
  <si>
    <t>Nicole Beck</t>
  </si>
  <si>
    <t>turnertimothy@example.net</t>
  </si>
  <si>
    <t>001-983-309-3096x7139</t>
  </si>
  <si>
    <t>Monique Wilson</t>
  </si>
  <si>
    <t>davidmcdaniel@example.net</t>
  </si>
  <si>
    <t>367.420.1911x166</t>
  </si>
  <si>
    <t>Amanda Williamson</t>
  </si>
  <si>
    <t>Chad Cooper</t>
  </si>
  <si>
    <t>mrandolph@example.net</t>
  </si>
  <si>
    <t>001-930-649-3665x3802</t>
  </si>
  <si>
    <t>Ashley Duran</t>
  </si>
  <si>
    <t>Brian Mitchell</t>
  </si>
  <si>
    <t>igarrett@example.com</t>
  </si>
  <si>
    <t>2955229462</t>
  </si>
  <si>
    <t>Holly Ponce</t>
  </si>
  <si>
    <t>Sara Jones</t>
  </si>
  <si>
    <t>trujillojason@example.net</t>
  </si>
  <si>
    <t>001-995-329-7013</t>
  </si>
  <si>
    <t>Connor Mcconnell</t>
  </si>
  <si>
    <t>Kimberly Hughes</t>
  </si>
  <si>
    <t>jasonjohnson@example.org</t>
  </si>
  <si>
    <t>001-920-627-0615x9273</t>
  </si>
  <si>
    <t>Kyle Brown</t>
  </si>
  <si>
    <t>Tracey Reynolds</t>
  </si>
  <si>
    <t>gutierrezdavid@example.com</t>
  </si>
  <si>
    <t>715.854.2034x03010</t>
  </si>
  <si>
    <t>Kristy Tate</t>
  </si>
  <si>
    <t>Jay Buchanan</t>
  </si>
  <si>
    <t>woodbrittany@example.com</t>
  </si>
  <si>
    <t>(246)323-4712x476</t>
  </si>
  <si>
    <t>Anthony Wilson</t>
  </si>
  <si>
    <t>Barbara Clark</t>
  </si>
  <si>
    <t>gspencer@example.com</t>
  </si>
  <si>
    <t>(941)372-6808x0815</t>
  </si>
  <si>
    <t>Andre Cortez</t>
  </si>
  <si>
    <t>Michele Ford</t>
  </si>
  <si>
    <t>williamortiz@example.org</t>
  </si>
  <si>
    <t>607.935.1045</t>
  </si>
  <si>
    <t>Robert Thompson</t>
  </si>
  <si>
    <t>Allison Cunningham</t>
  </si>
  <si>
    <t>michaelvillarreal@example.net</t>
  </si>
  <si>
    <t>(776)569-4703x180</t>
  </si>
  <si>
    <t>Dr. Paula Lawson MD</t>
  </si>
  <si>
    <t>Teresa Weeks</t>
  </si>
  <si>
    <t>bpreston@example.org</t>
  </si>
  <si>
    <t>259-218-3270</t>
  </si>
  <si>
    <t>Jennifer Coleman</t>
  </si>
  <si>
    <t>Gary Lawrence</t>
  </si>
  <si>
    <t>popebrent@example.net</t>
  </si>
  <si>
    <t>671.240.0493x8819</t>
  </si>
  <si>
    <t>Michael Zimmerman</t>
  </si>
  <si>
    <t>Christopher Scott</t>
  </si>
  <si>
    <t>mortonkenneth@example.net</t>
  </si>
  <si>
    <t>869.687.3137x9716</t>
  </si>
  <si>
    <t>Terry Moses</t>
  </si>
  <si>
    <t>John Cisneros</t>
  </si>
  <si>
    <t>rcastillo@example.org</t>
  </si>
  <si>
    <t>625.362.3899</t>
  </si>
  <si>
    <t>Jill Smith DDS</t>
  </si>
  <si>
    <t>Carmen Jordan</t>
  </si>
  <si>
    <t>anthonymcdonald@example.net</t>
  </si>
  <si>
    <t>382.511.6020x418</t>
  </si>
  <si>
    <t>Michael Gilbert</t>
  </si>
  <si>
    <t>Kathy Kaiser</t>
  </si>
  <si>
    <t>hlester@example.org</t>
  </si>
  <si>
    <t>608.489.4801x864</t>
  </si>
  <si>
    <t>Bryan Arroyo</t>
  </si>
  <si>
    <t>Kelly Mclaughlin</t>
  </si>
  <si>
    <t>ashleyalexander@example.net</t>
  </si>
  <si>
    <t>(770)982-0048x067</t>
  </si>
  <si>
    <t>Sandra White</t>
  </si>
  <si>
    <t>Justin Evans</t>
  </si>
  <si>
    <t>pdavis@example.net</t>
  </si>
  <si>
    <t>428-979-4296</t>
  </si>
  <si>
    <t>Jenna Harding</t>
  </si>
  <si>
    <t>Sarah Beck</t>
  </si>
  <si>
    <t>adamsbrianna@example.org</t>
  </si>
  <si>
    <t>001-514-419-6156x078</t>
  </si>
  <si>
    <t>Mr. Robert Tran</t>
  </si>
  <si>
    <t>Nathan Gomez</t>
  </si>
  <si>
    <t>zcarpenter@example.net</t>
  </si>
  <si>
    <t>+1-862-240-9649x66834</t>
  </si>
  <si>
    <t>Jorge Hernandez</t>
  </si>
  <si>
    <t>Christian Morgan</t>
  </si>
  <si>
    <t>wthomas@example.net</t>
  </si>
  <si>
    <t>001-536-248-8208x93486</t>
  </si>
  <si>
    <t>Brenda Green</t>
  </si>
  <si>
    <t>William Mullins</t>
  </si>
  <si>
    <t>eguzman@example.com</t>
  </si>
  <si>
    <t>5917141319</t>
  </si>
  <si>
    <t>Victoria Bowman</t>
  </si>
  <si>
    <t>Robert Harris</t>
  </si>
  <si>
    <t>nrodriguez@example.com</t>
  </si>
  <si>
    <t>001-760-252-3045x8816</t>
  </si>
  <si>
    <t>Heather Blanchard</t>
  </si>
  <si>
    <t>Kathleen Baker</t>
  </si>
  <si>
    <t>pattersondebra@example.org</t>
  </si>
  <si>
    <t>001-444-609-6617x718</t>
  </si>
  <si>
    <t>Laura Payne</t>
  </si>
  <si>
    <t>Joshua Solomon</t>
  </si>
  <si>
    <t>clinesteven@example.net</t>
  </si>
  <si>
    <t>(514)717-4681</t>
  </si>
  <si>
    <t>Tamara Sims</t>
  </si>
  <si>
    <t>Kimberly Jensen</t>
  </si>
  <si>
    <t>hollyperkins@example.net</t>
  </si>
  <si>
    <t>+1-687-748-6941x559</t>
  </si>
  <si>
    <t>Amber Martinez</t>
  </si>
  <si>
    <t>Kyle White</t>
  </si>
  <si>
    <t>pvang@example.net</t>
  </si>
  <si>
    <t>(805)511-7160x3988</t>
  </si>
  <si>
    <t>David Daugherty</t>
  </si>
  <si>
    <t>Ariel Riley</t>
  </si>
  <si>
    <t>nathan06@example.com</t>
  </si>
  <si>
    <t>6004994248</t>
  </si>
  <si>
    <t>Thomas Lutz</t>
  </si>
  <si>
    <t>Denise Leach</t>
  </si>
  <si>
    <t>areynolds@example.org</t>
  </si>
  <si>
    <t>964-620-4565x77580</t>
  </si>
  <si>
    <t>Traci Lee</t>
  </si>
  <si>
    <t>Lisa Coleman</t>
  </si>
  <si>
    <t>melodywood@example.com</t>
  </si>
  <si>
    <t>(522)265-4016x5995</t>
  </si>
  <si>
    <t>Timothy Coleman</t>
  </si>
  <si>
    <t>Bailey Hernandez</t>
  </si>
  <si>
    <t>sylviayates@example.com</t>
  </si>
  <si>
    <t>674.362.5916x0112</t>
  </si>
  <si>
    <t>Thomas Christian</t>
  </si>
  <si>
    <t>Danielle Robles</t>
  </si>
  <si>
    <t>aholder@example.net</t>
  </si>
  <si>
    <t>4175986778</t>
  </si>
  <si>
    <t>Carrie Larson</t>
  </si>
  <si>
    <t>Jill Floyd</t>
  </si>
  <si>
    <t>galvanjoshua@example.org</t>
  </si>
  <si>
    <t>001-664-526-1212x038</t>
  </si>
  <si>
    <t>Stacey Peterson</t>
  </si>
  <si>
    <t>Michael Blair</t>
  </si>
  <si>
    <t>murraymichael@example.net</t>
  </si>
  <si>
    <t>(554)782-4218</t>
  </si>
  <si>
    <t>Heidi Goodwin</t>
  </si>
  <si>
    <t>Amber Lowe</t>
  </si>
  <si>
    <t>pscott@example.com</t>
  </si>
  <si>
    <t>975-323-1123x2748</t>
  </si>
  <si>
    <t>Steven Sanders</t>
  </si>
  <si>
    <t>Matthew Newman</t>
  </si>
  <si>
    <t>tracyjohnson@example.net</t>
  </si>
  <si>
    <t>+1-362-817-5080</t>
  </si>
  <si>
    <t>Samantha Scott</t>
  </si>
  <si>
    <t>Cheyenne Hughes</t>
  </si>
  <si>
    <t>markgardner@example.org</t>
  </si>
  <si>
    <t>993-953-4001x816</t>
  </si>
  <si>
    <t>Kayla Jones</t>
  </si>
  <si>
    <t>William Ramirez</t>
  </si>
  <si>
    <t>sabrina54@example.com</t>
  </si>
  <si>
    <t>(208)738-5179x93781</t>
  </si>
  <si>
    <t>Kyle Thomas</t>
  </si>
  <si>
    <t>Jonathan Guerrero</t>
  </si>
  <si>
    <t>klara@example.net</t>
  </si>
  <si>
    <t>(698)982-9045x79271</t>
  </si>
  <si>
    <t>Dawn Hall</t>
  </si>
  <si>
    <t>Shannon Downs</t>
  </si>
  <si>
    <t>lpage@example.com</t>
  </si>
  <si>
    <t>(538)339-7283</t>
  </si>
  <si>
    <t>Brian Lucas</t>
  </si>
  <si>
    <t>Amanda Mora</t>
  </si>
  <si>
    <t>sherryknight@example.org</t>
  </si>
  <si>
    <t>480.298.3221x01023</t>
  </si>
  <si>
    <t>Michael Cruz</t>
  </si>
  <si>
    <t>Brian Kent</t>
  </si>
  <si>
    <t>hespinoza@example.org</t>
  </si>
  <si>
    <t>+1-514-635-6140</t>
  </si>
  <si>
    <t>Marie Davidson</t>
  </si>
  <si>
    <t>Jordan Williams</t>
  </si>
  <si>
    <t>yhill@example.net</t>
  </si>
  <si>
    <t>+1-923-854-6951x0030</t>
  </si>
  <si>
    <t>April Roth</t>
  </si>
  <si>
    <t>Gary Harmon</t>
  </si>
  <si>
    <t>ekim@example.com</t>
  </si>
  <si>
    <t>2068666411</t>
  </si>
  <si>
    <t>Elizabeth Miller</t>
  </si>
  <si>
    <t>Ryan Kaiser</t>
  </si>
  <si>
    <t>valeriesmith@example.com</t>
  </si>
  <si>
    <t>+1-251-269-9497</t>
  </si>
  <si>
    <t>Justin Lee</t>
  </si>
  <si>
    <t>Dale Spencer</t>
  </si>
  <si>
    <t>kferguson@example.net</t>
  </si>
  <si>
    <t>+1-362-969-7083x868</t>
  </si>
  <si>
    <t>Melanie Davidson</t>
  </si>
  <si>
    <t>Angel Johnson</t>
  </si>
  <si>
    <t>001-476-809-3201</t>
  </si>
  <si>
    <t>Pamela Howard</t>
  </si>
  <si>
    <t>Lynn Ray</t>
  </si>
  <si>
    <t>omarturner@example.org</t>
  </si>
  <si>
    <t>+1-709-352-1755</t>
  </si>
  <si>
    <t>Jesus Mccarthy</t>
  </si>
  <si>
    <t>Brenda Phillips</t>
  </si>
  <si>
    <t>kristendavis@example.net</t>
  </si>
  <si>
    <t>+1-482-941-9962x6422</t>
  </si>
  <si>
    <t>Kevin Cole</t>
  </si>
  <si>
    <t>Sierra Gentry</t>
  </si>
  <si>
    <t>jennifer54@example.org</t>
  </si>
  <si>
    <t>485-245-7056</t>
  </si>
  <si>
    <t>Brenda Richard</t>
  </si>
  <si>
    <t>Ronald Page</t>
  </si>
  <si>
    <t>hurleybrandon@example.net</t>
  </si>
  <si>
    <t>(435)764-0723x2472</t>
  </si>
  <si>
    <t>Stacey Ramirez</t>
  </si>
  <si>
    <t>John Pearson</t>
  </si>
  <si>
    <t>eugenegreen@example.com</t>
  </si>
  <si>
    <t>912.361.6850</t>
  </si>
  <si>
    <t>Gregory Hart</t>
  </si>
  <si>
    <t>Tiffany Davis</t>
  </si>
  <si>
    <t>theresa92@example.com</t>
  </si>
  <si>
    <t>915-226-1053</t>
  </si>
  <si>
    <t>Brandy Williams</t>
  </si>
  <si>
    <t>Robert Wheeler</t>
  </si>
  <si>
    <t>smithtimothy@example.net</t>
  </si>
  <si>
    <t>+1-818-594-8543x2987</t>
  </si>
  <si>
    <t>Jennifer Anderson</t>
  </si>
  <si>
    <t>Tyler Miranda</t>
  </si>
  <si>
    <t>fhuff@example.net</t>
  </si>
  <si>
    <t>001-282-473-4813x1045</t>
  </si>
  <si>
    <t>Justin Bishop</t>
  </si>
  <si>
    <t>Clifford Mcdonald</t>
  </si>
  <si>
    <t>jason57@example.com</t>
  </si>
  <si>
    <t>535.526.8064x86067</t>
  </si>
  <si>
    <t>Whitney Macdonald DVM</t>
  </si>
  <si>
    <t>Kimberly Ponce</t>
  </si>
  <si>
    <t>lauren64@example.com</t>
  </si>
  <si>
    <t>(280)855-0774</t>
  </si>
  <si>
    <t>Manuel Gomez</t>
  </si>
  <si>
    <t>James Harris</t>
  </si>
  <si>
    <t>jessicasmith@example.org</t>
  </si>
  <si>
    <t>+1-355-510-7409</t>
  </si>
  <si>
    <t>Bradley Garcia</t>
  </si>
  <si>
    <t>Teresa Davis</t>
  </si>
  <si>
    <t>thomaslinda@example.net</t>
  </si>
  <si>
    <t>360.422.0695x354</t>
  </si>
  <si>
    <t>Dr. Mary White DVM</t>
  </si>
  <si>
    <t>Stephanie Howard</t>
  </si>
  <si>
    <t>smithmichelle@example.net</t>
  </si>
  <si>
    <t>6159153259</t>
  </si>
  <si>
    <t>Lisa Johnson</t>
  </si>
  <si>
    <t>Tyler Vasquez</t>
  </si>
  <si>
    <t>ipadilla@example.com</t>
  </si>
  <si>
    <t>+1-680-559-5031x006</t>
  </si>
  <si>
    <t>Patricia Smith</t>
  </si>
  <si>
    <t>Lauren Smith</t>
  </si>
  <si>
    <t>david03@example.com</t>
  </si>
  <si>
    <t>3895411849</t>
  </si>
  <si>
    <t>Gabrielle Gilbert DVM</t>
  </si>
  <si>
    <t>Heather Wolf</t>
  </si>
  <si>
    <t>reginaparks@example.com</t>
  </si>
  <si>
    <t>(205)261-0067</t>
  </si>
  <si>
    <t>Jeffrey Sloan</t>
  </si>
  <si>
    <t>Amy Payne</t>
  </si>
  <si>
    <t>cwoods@example.net</t>
  </si>
  <si>
    <t>678.742.3394</t>
  </si>
  <si>
    <t>Alicia Long</t>
  </si>
  <si>
    <t>Peter Bradford</t>
  </si>
  <si>
    <t>mark32@example.net</t>
  </si>
  <si>
    <t>(301)973-6542x624</t>
  </si>
  <si>
    <t>Catherine Brown</t>
  </si>
  <si>
    <t>Travis Park</t>
  </si>
  <si>
    <t>jefferywalker@example.com</t>
  </si>
  <si>
    <t>510-209-0605</t>
  </si>
  <si>
    <t>Tina Peters</t>
  </si>
  <si>
    <t>David Smith</t>
  </si>
  <si>
    <t>davisphilip@example.org</t>
  </si>
  <si>
    <t>(990)745-7598</t>
  </si>
  <si>
    <t>Shannon Miller</t>
  </si>
  <si>
    <t>Linda Henderson</t>
  </si>
  <si>
    <t>randallhall@example.org</t>
  </si>
  <si>
    <t>(420)227-5582x14770</t>
  </si>
  <si>
    <t>Ashley Owen</t>
  </si>
  <si>
    <t>Courtney Walton</t>
  </si>
  <si>
    <t>whiteryan@example.org</t>
  </si>
  <si>
    <t>992-215-8189</t>
  </si>
  <si>
    <t>Krystal Hamilton</t>
  </si>
  <si>
    <t>Kathy Lewis</t>
  </si>
  <si>
    <t>martin81@example.net</t>
  </si>
  <si>
    <t>001-259-277-2168</t>
  </si>
  <si>
    <t>Patricia Stark</t>
  </si>
  <si>
    <t>Ralph Lyons</t>
  </si>
  <si>
    <t>carloswerner@example.net</t>
  </si>
  <si>
    <t>(289)372-8454</t>
  </si>
  <si>
    <t>Brenda Bowen DDS</t>
  </si>
  <si>
    <t>Christopher Lewis</t>
  </si>
  <si>
    <t>amanda32@example.net</t>
  </si>
  <si>
    <t>(404)314-4743</t>
  </si>
  <si>
    <t>William Frye</t>
  </si>
  <si>
    <t>Michelle Haynes</t>
  </si>
  <si>
    <t>jillnavarro@example.org</t>
  </si>
  <si>
    <t>9307423227</t>
  </si>
  <si>
    <t>Bethany Liu</t>
  </si>
  <si>
    <t>Mitchell Williams</t>
  </si>
  <si>
    <t>wesleybutler@example.org</t>
  </si>
  <si>
    <t>(346)530-0593x77756</t>
  </si>
  <si>
    <t>Benjamin Johnson</t>
  </si>
  <si>
    <t>Kyle Perry</t>
  </si>
  <si>
    <t>harrisonnicholas@example.net</t>
  </si>
  <si>
    <t>6293831043</t>
  </si>
  <si>
    <t>Jenna Hernandez</t>
  </si>
  <si>
    <t>Sean Mcmillan</t>
  </si>
  <si>
    <t>gtucker@example.org</t>
  </si>
  <si>
    <t>(368)856-6706x362</t>
  </si>
  <si>
    <t>Antonio Perkins</t>
  </si>
  <si>
    <t>Rachel Turner</t>
  </si>
  <si>
    <t>alexanderryan@example.org</t>
  </si>
  <si>
    <t>+1-549-433-9650x49627</t>
  </si>
  <si>
    <t>Janice Hamilton</t>
  </si>
  <si>
    <t>Ann Schmitt</t>
  </si>
  <si>
    <t>javier62@example.net</t>
  </si>
  <si>
    <t>885-442-1880x87991</t>
  </si>
  <si>
    <t>Misty Solomon</t>
  </si>
  <si>
    <t>Mary Duncan</t>
  </si>
  <si>
    <t>mbaker@example.net</t>
  </si>
  <si>
    <t>532-247-2505x83334</t>
  </si>
  <si>
    <t>Cynthia Miller</t>
  </si>
  <si>
    <t>Sarah Rice</t>
  </si>
  <si>
    <t>ujohnson@example.com</t>
  </si>
  <si>
    <t>(576)794-7576x945</t>
  </si>
  <si>
    <t>Jessica Elliott</t>
  </si>
  <si>
    <t>Denise Hughes PhD</t>
  </si>
  <si>
    <t>erivers@example.com</t>
  </si>
  <si>
    <t>242.712.5450</t>
  </si>
  <si>
    <t>Taylor Stark</t>
  </si>
  <si>
    <t>Brandon Peterson</t>
  </si>
  <si>
    <t>ucarlson@example.com</t>
  </si>
  <si>
    <t>001-966-647-2130</t>
  </si>
  <si>
    <t>Jacob Love</t>
  </si>
  <si>
    <t>Mrs. Janice Fitzpatrick</t>
  </si>
  <si>
    <t>brian48@example.net</t>
  </si>
  <si>
    <t>232.961.4543</t>
  </si>
  <si>
    <t>Connie Townsend</t>
  </si>
  <si>
    <t>Tyler Becker</t>
  </si>
  <si>
    <t>johnsondebbie@example.net</t>
  </si>
  <si>
    <t>978-352-2115</t>
  </si>
  <si>
    <t>Kristin Flores</t>
  </si>
  <si>
    <t>Robert Barrett</t>
  </si>
  <si>
    <t>ryanbullock@example.com</t>
  </si>
  <si>
    <t>447-501-7320x865</t>
  </si>
  <si>
    <t>Julie Anderson</t>
  </si>
  <si>
    <t>Michael Russell</t>
  </si>
  <si>
    <t>taylorrodriguez@example.org</t>
  </si>
  <si>
    <t>+1-205-427-8105x5800</t>
  </si>
  <si>
    <t>Mr. Nicholas Jones</t>
  </si>
  <si>
    <t>Joel Bradford</t>
  </si>
  <si>
    <t>davidjohnson@example.com</t>
  </si>
  <si>
    <t>291.536.8172</t>
  </si>
  <si>
    <t>James Reed</t>
  </si>
  <si>
    <t>Kelly Myers</t>
  </si>
  <si>
    <t>burkejacob@example.net</t>
  </si>
  <si>
    <t>+1-973-552-5953x3222</t>
  </si>
  <si>
    <t>Cheryl Boyd</t>
  </si>
  <si>
    <t>April Cox</t>
  </si>
  <si>
    <t>yvazquez@example.org</t>
  </si>
  <si>
    <t>(332)236-6185x076</t>
  </si>
  <si>
    <t>Judy Dixon</t>
  </si>
  <si>
    <t>Jonathan Moyer</t>
  </si>
  <si>
    <t>mariagonzalez@example.org</t>
  </si>
  <si>
    <t>507-412-6158</t>
  </si>
  <si>
    <t>Tracey Vasquez</t>
  </si>
  <si>
    <t>Lorraine Leblanc</t>
  </si>
  <si>
    <t>amanda46@example.com</t>
  </si>
  <si>
    <t>457.442.2332</t>
  </si>
  <si>
    <t>Katie Walters</t>
  </si>
  <si>
    <t>Dorothy Osborn</t>
  </si>
  <si>
    <t>ann92@example.net</t>
  </si>
  <si>
    <t>+1-522-956-0629x53506</t>
  </si>
  <si>
    <t>Dana Wyatt</t>
  </si>
  <si>
    <t>Anthony Sanders</t>
  </si>
  <si>
    <t>phill@example.org</t>
  </si>
  <si>
    <t>453.884.1852x0136</t>
  </si>
  <si>
    <t>Katie Mitchell</t>
  </si>
  <si>
    <t>Kenneth Cortez</t>
  </si>
  <si>
    <t>paul54@example.com</t>
  </si>
  <si>
    <t>3558491215</t>
  </si>
  <si>
    <t>Debra Jones</t>
  </si>
  <si>
    <t>Megan Rivera</t>
  </si>
  <si>
    <t>andre19@example.net</t>
  </si>
  <si>
    <t>(493)295-7875x2070</t>
  </si>
  <si>
    <t>Marcus Pearson</t>
  </si>
  <si>
    <t>taylordorothy@example.org</t>
  </si>
  <si>
    <t>213-993-6967x8976</t>
  </si>
  <si>
    <t>Christopher Henry</t>
  </si>
  <si>
    <t>Mr. Lance Townsend</t>
  </si>
  <si>
    <t>samuelprice@example.org</t>
  </si>
  <si>
    <t>659.588.9786x533</t>
  </si>
  <si>
    <t>Brandon Carrillo</t>
  </si>
  <si>
    <t>Colin Mckay</t>
  </si>
  <si>
    <t>hunter12@example.org</t>
  </si>
  <si>
    <t>(619)615-0576</t>
  </si>
  <si>
    <t>Joy Dorsey</t>
  </si>
  <si>
    <t>Michael Smith</t>
  </si>
  <si>
    <t>ddonaldson@example.com</t>
  </si>
  <si>
    <t>848-567-6497x9741</t>
  </si>
  <si>
    <t>Gregory Vazquez</t>
  </si>
  <si>
    <t>Scott Johnson</t>
  </si>
  <si>
    <t>usanchez@example.net</t>
  </si>
  <si>
    <t>473.909.6496</t>
  </si>
  <si>
    <t>Brian Reid</t>
  </si>
  <si>
    <t>Brenda Dominguez</t>
  </si>
  <si>
    <t>manuelwilliams@example.com</t>
  </si>
  <si>
    <t>001-470-925-5128</t>
  </si>
  <si>
    <t>Daniel Evans</t>
  </si>
  <si>
    <t>Dr. Lisa Hendricks</t>
  </si>
  <si>
    <t>cheryl54@example.com</t>
  </si>
  <si>
    <t>+1-863-545-4434x41491</t>
  </si>
  <si>
    <t>Dana Thornton</t>
  </si>
  <si>
    <t>Desiree Hayes</t>
  </si>
  <si>
    <t>baileynelson@example.com</t>
  </si>
  <si>
    <t>408-982-2309x586</t>
  </si>
  <si>
    <t>Colleen Johnston</t>
  </si>
  <si>
    <t>Maria Khan</t>
  </si>
  <si>
    <t>cory21@example.org</t>
  </si>
  <si>
    <t>001-597-620-2170x75485</t>
  </si>
  <si>
    <t>Rachel Wood</t>
  </si>
  <si>
    <t>Kevin Villarreal</t>
  </si>
  <si>
    <t>benjaminsmith@example.com</t>
  </si>
  <si>
    <t>496-746-1293x900</t>
  </si>
  <si>
    <t>Richard Harris</t>
  </si>
  <si>
    <t>Felicia Long</t>
  </si>
  <si>
    <t>allison96@example.org</t>
  </si>
  <si>
    <t>695-570-8619x93145</t>
  </si>
  <si>
    <t>Garrett Hughes</t>
  </si>
  <si>
    <t>Daniel Weaver</t>
  </si>
  <si>
    <t>brandon34@example.org</t>
  </si>
  <si>
    <t>662.420.3347</t>
  </si>
  <si>
    <t>Daniel Rodriguez</t>
  </si>
  <si>
    <t>Matthew Klein</t>
  </si>
  <si>
    <t>sgordon@example.net</t>
  </si>
  <si>
    <t>+1-368-900-8529x46902</t>
  </si>
  <si>
    <t>Dustin Owens</t>
  </si>
  <si>
    <t>Andrew Clark</t>
  </si>
  <si>
    <t>brian38@example.com</t>
  </si>
  <si>
    <t>4229894665</t>
  </si>
  <si>
    <t>Monica Molina</t>
  </si>
  <si>
    <t>Christina Anderson</t>
  </si>
  <si>
    <t>cindyhall@example.org</t>
  </si>
  <si>
    <t>5252691330</t>
  </si>
  <si>
    <t>David Mcdonald</t>
  </si>
  <si>
    <t>Michael Santiago</t>
  </si>
  <si>
    <t>xlogan@example.org</t>
  </si>
  <si>
    <t>762.579.9553x024</t>
  </si>
  <si>
    <t>Todd Thompson</t>
  </si>
  <si>
    <t>Kevin Hammond</t>
  </si>
  <si>
    <t>bjackson@example.org</t>
  </si>
  <si>
    <t>420-428-4719x017</t>
  </si>
  <si>
    <t>Brandi Williams</t>
  </si>
  <si>
    <t>Jeffrey Johns</t>
  </si>
  <si>
    <t>qhendricks@example.net</t>
  </si>
  <si>
    <t>+1-471-677-5461</t>
  </si>
  <si>
    <t>Ian Weaver</t>
  </si>
  <si>
    <t>Tami Moore</t>
  </si>
  <si>
    <t>vfuller@example.net</t>
  </si>
  <si>
    <t>822-659-0956</t>
  </si>
  <si>
    <t>Suzanne Hardy</t>
  </si>
  <si>
    <t>David Wright</t>
  </si>
  <si>
    <t>shannonhammond@example.org</t>
  </si>
  <si>
    <t>(212)511-0187</t>
  </si>
  <si>
    <t>Vickie Tran</t>
  </si>
  <si>
    <t>Natalie Williams</t>
  </si>
  <si>
    <t>gibsonbrandon@example.com</t>
  </si>
  <si>
    <t>703-392-5199x9452</t>
  </si>
  <si>
    <t>Christopher Thomas MD</t>
  </si>
  <si>
    <t>David Robinson</t>
  </si>
  <si>
    <t>bwhite@example.com</t>
  </si>
  <si>
    <t>222-516-2654x9633</t>
  </si>
  <si>
    <t>Dylan Turner</t>
  </si>
  <si>
    <t>Sandra Torres</t>
  </si>
  <si>
    <t>lromero@example.com</t>
  </si>
  <si>
    <t>7473020596</t>
  </si>
  <si>
    <t>Sheri Lopez</t>
  </si>
  <si>
    <t>Kathleen Hanson</t>
  </si>
  <si>
    <t>raywalters@example.org</t>
  </si>
  <si>
    <t>(995)763-4277</t>
  </si>
  <si>
    <t>Caitlin Howard</t>
  </si>
  <si>
    <t>Jason Blackwell</t>
  </si>
  <si>
    <t>amy29@example.org</t>
  </si>
  <si>
    <t>7598229411</t>
  </si>
  <si>
    <t xml:space="preserve">  Christian Stewart </t>
  </si>
  <si>
    <t>Meredith Morales</t>
  </si>
  <si>
    <t>qsanchez@example.net</t>
  </si>
  <si>
    <t>(362)794-2066</t>
  </si>
  <si>
    <t>Loretta Johnson</t>
  </si>
  <si>
    <t>Gina Lee</t>
  </si>
  <si>
    <t>walkeramanda@example.org</t>
  </si>
  <si>
    <t>4493832112</t>
  </si>
  <si>
    <t>Carrie Jones</t>
  </si>
  <si>
    <t>Kayla Buck</t>
  </si>
  <si>
    <t>dawsonamanda@example.com</t>
  </si>
  <si>
    <t>+1-368-776-4019</t>
  </si>
  <si>
    <t>Joshua Price</t>
  </si>
  <si>
    <t>Nicole Hood DDS</t>
  </si>
  <si>
    <t>nortongregory@example.net</t>
  </si>
  <si>
    <t>378.873.5856x6464</t>
  </si>
  <si>
    <t>Claudia Barrett</t>
  </si>
  <si>
    <t>Charles Conrad</t>
  </si>
  <si>
    <t>haroldlee@example.org</t>
  </si>
  <si>
    <t>310-342-9483x1478</t>
  </si>
  <si>
    <t>Lucas Hernandez</t>
  </si>
  <si>
    <t>Leah Wheeler</t>
  </si>
  <si>
    <t>barbara81@example.net</t>
  </si>
  <si>
    <t>(883)818-0036</t>
  </si>
  <si>
    <t>Michael Jackson</t>
  </si>
  <si>
    <t>Aaron Mayer</t>
  </si>
  <si>
    <t>amberlee@example.com</t>
  </si>
  <si>
    <t>510.250.5243</t>
  </si>
  <si>
    <t>Kristen Martin</t>
  </si>
  <si>
    <t>Robert Jackson</t>
  </si>
  <si>
    <t>brownraymond@example.net</t>
  </si>
  <si>
    <t>(927)863-3283x89633</t>
  </si>
  <si>
    <t>Angela Rogers</t>
  </si>
  <si>
    <t>Mark Daniels</t>
  </si>
  <si>
    <t>dthompson@example.org</t>
  </si>
  <si>
    <t>468.541.0132</t>
  </si>
  <si>
    <t>Michelle Hernandez</t>
  </si>
  <si>
    <t>Sarah Simon</t>
  </si>
  <si>
    <t>michaellopez@example.net</t>
  </si>
  <si>
    <t>+1-818-775-0677x610</t>
  </si>
  <si>
    <t>Carol Walters</t>
  </si>
  <si>
    <t>Kelly Chase</t>
  </si>
  <si>
    <t>john19@example.org</t>
  </si>
  <si>
    <t>597.661.7815x969</t>
  </si>
  <si>
    <t>Jonathan Navarro</t>
  </si>
  <si>
    <t>Mike Dennis</t>
  </si>
  <si>
    <t>sbennett@example.com</t>
  </si>
  <si>
    <t>+1-962-595-9125</t>
  </si>
  <si>
    <t>Jordan Cunningham</t>
  </si>
  <si>
    <t>Gwendolyn Walker</t>
  </si>
  <si>
    <t>emily07@example.net</t>
  </si>
  <si>
    <t>629-390-7472x9669</t>
  </si>
  <si>
    <t>Laura Sanders</t>
  </si>
  <si>
    <t>Aaron Casey</t>
  </si>
  <si>
    <t>rparker@example.com</t>
  </si>
  <si>
    <t>685-399-4641x839</t>
  </si>
  <si>
    <t>David Combs</t>
  </si>
  <si>
    <t>Lori Clark</t>
  </si>
  <si>
    <t>osbornkelly@example.net</t>
  </si>
  <si>
    <t>+1-804-245-0928</t>
  </si>
  <si>
    <t>Christopher Houston</t>
  </si>
  <si>
    <t>Mrs. Brenda Ellis</t>
  </si>
  <si>
    <t>jross@example.net</t>
  </si>
  <si>
    <t>3085248458</t>
  </si>
  <si>
    <t>Shawn Berry</t>
  </si>
  <si>
    <t>Max Williams</t>
  </si>
  <si>
    <t>itorres@example.net</t>
  </si>
  <si>
    <t>599.274.1856</t>
  </si>
  <si>
    <t>Tyler Kramer</t>
  </si>
  <si>
    <t>Amber Lewis</t>
  </si>
  <si>
    <t>jennifer61@example.net</t>
  </si>
  <si>
    <t>001-695-830-5641x84937</t>
  </si>
  <si>
    <t>Anthony Juarez</t>
  </si>
  <si>
    <t>Susan Valdez</t>
  </si>
  <si>
    <t>pmartin@example.org</t>
  </si>
  <si>
    <t>6136651034</t>
  </si>
  <si>
    <t>Darlene Guzman</t>
  </si>
  <si>
    <t>Jennifer Hill</t>
  </si>
  <si>
    <t>stephanie86@example.com</t>
  </si>
  <si>
    <t>(840)962-2155</t>
  </si>
  <si>
    <t>Timothy Tate</t>
  </si>
  <si>
    <t>Scott Martinez</t>
  </si>
  <si>
    <t>riverajason@example.net</t>
  </si>
  <si>
    <t>+1-747-504-7476x4845</t>
  </si>
  <si>
    <t>Erika Davis</t>
  </si>
  <si>
    <t>Crystal Perez</t>
  </si>
  <si>
    <t>burnschristopher@example.org</t>
  </si>
  <si>
    <t>355-331-2900x3622</t>
  </si>
  <si>
    <t>Peggy Young</t>
  </si>
  <si>
    <t>Briana Booker</t>
  </si>
  <si>
    <t>xmoore@example.com</t>
  </si>
  <si>
    <t>+1-783-495-8558</t>
  </si>
  <si>
    <t>Brenda Villarreal</t>
  </si>
  <si>
    <t>sullivantiffany@example.com</t>
  </si>
  <si>
    <t>359.617.1050x8054</t>
  </si>
  <si>
    <t>Eric Ruiz</t>
  </si>
  <si>
    <t>Margaret Kelly</t>
  </si>
  <si>
    <t>kennethrusso@example.net</t>
  </si>
  <si>
    <t>001-541-271-5949x7344</t>
  </si>
  <si>
    <t>John Ferguson</t>
  </si>
  <si>
    <t>Calvin Robinson</t>
  </si>
  <si>
    <t>russocasey@example.org</t>
  </si>
  <si>
    <t>489.326.0878</t>
  </si>
  <si>
    <t>Christopher Daniels</t>
  </si>
  <si>
    <t>Dustin Peters</t>
  </si>
  <si>
    <t>lesliebrown@example.org</t>
  </si>
  <si>
    <t>274-365-3537</t>
  </si>
  <si>
    <t>Sharon Kelly</t>
  </si>
  <si>
    <t>Chelsea Ramirez</t>
  </si>
  <si>
    <t>vcrawford@example.com</t>
  </si>
  <si>
    <t>662.896.9143x362</t>
  </si>
  <si>
    <t>Jessica Bonilla</t>
  </si>
  <si>
    <t>Leonard Andrews</t>
  </si>
  <si>
    <t>norrisdaniel@example.net</t>
  </si>
  <si>
    <t>+1-385-873-9083x521</t>
  </si>
  <si>
    <t>Donna Roberts</t>
  </si>
  <si>
    <t>Jean Fitzgerald</t>
  </si>
  <si>
    <t>christine97@example.net</t>
  </si>
  <si>
    <t>(372)285-7595x828</t>
  </si>
  <si>
    <t>Benjamin Mcgee</t>
  </si>
  <si>
    <t>Joshua Guerrero</t>
  </si>
  <si>
    <t>wilkinskevin@example.net</t>
  </si>
  <si>
    <t>697.617.0598</t>
  </si>
  <si>
    <t>Rita Tyler</t>
  </si>
  <si>
    <t>Christine Crawford</t>
  </si>
  <si>
    <t>alexandramyers@example.net</t>
  </si>
  <si>
    <t>812-330-3885</t>
  </si>
  <si>
    <t>Laura Lynch</t>
  </si>
  <si>
    <t>Dr. Angela Landry</t>
  </si>
  <si>
    <t>barbara09@example.net</t>
  </si>
  <si>
    <t>001-892-517-7905x5286</t>
  </si>
  <si>
    <t>Richard Davis</t>
  </si>
  <si>
    <t>Emily Wagner</t>
  </si>
  <si>
    <t>webstersteven@example.net</t>
  </si>
  <si>
    <t>5533260119</t>
  </si>
  <si>
    <t>Tyler Patel</t>
  </si>
  <si>
    <t>Victoria Parker</t>
  </si>
  <si>
    <t>michael36@example.org</t>
  </si>
  <si>
    <t>001-608-758-1810</t>
  </si>
  <si>
    <t>Chad Lewis</t>
  </si>
  <si>
    <t>James Bullock</t>
  </si>
  <si>
    <t>wharris@example.com</t>
  </si>
  <si>
    <t>(571)535-8969</t>
  </si>
  <si>
    <t>Robert Brown</t>
  </si>
  <si>
    <t>Gene Morris</t>
  </si>
  <si>
    <t>odavis@example.com</t>
  </si>
  <si>
    <t>731.356.6397x925</t>
  </si>
  <si>
    <t>Dylan Long</t>
  </si>
  <si>
    <t>Amanda Anderson</t>
  </si>
  <si>
    <t>thomaswhite@example.org</t>
  </si>
  <si>
    <t>(689)466-6053</t>
  </si>
  <si>
    <t>Jamie Scott</t>
  </si>
  <si>
    <t>Michael Gutierrez</t>
  </si>
  <si>
    <t>barrycindy@example.net</t>
  </si>
  <si>
    <t>553.258.4640x510</t>
  </si>
  <si>
    <t>William Smith</t>
  </si>
  <si>
    <t>Jason Henderson</t>
  </si>
  <si>
    <t>bakerjonathon@example.com</t>
  </si>
  <si>
    <t>218.893.9530x969</t>
  </si>
  <si>
    <t>David Avila DVM</t>
  </si>
  <si>
    <t>Lori Holt</t>
  </si>
  <si>
    <t>hudsonglen@example.net</t>
  </si>
  <si>
    <t>001-949-387-4551x35872</t>
  </si>
  <si>
    <t>Stephen Smith</t>
  </si>
  <si>
    <t>Renee Moyer</t>
  </si>
  <si>
    <t>mccormickkatherine@example.com</t>
  </si>
  <si>
    <t>001-903-743-9881x87387</t>
  </si>
  <si>
    <t>Courtney Young</t>
  </si>
  <si>
    <t>Philip Cole</t>
  </si>
  <si>
    <t>clinton09@example.org</t>
  </si>
  <si>
    <t>+1-715-638-6028x262</t>
  </si>
  <si>
    <t>Tracy Bradshaw</t>
  </si>
  <si>
    <t>Ryan Huffman</t>
  </si>
  <si>
    <t>patriciacarr@example.net</t>
  </si>
  <si>
    <t>+1-657-372-0441x0079</t>
  </si>
  <si>
    <t>Caitlin Watson</t>
  </si>
  <si>
    <t>Sara Day</t>
  </si>
  <si>
    <t>howelljennifer@example.com</t>
  </si>
  <si>
    <t>922-448-7098</t>
  </si>
  <si>
    <t>Victoria Glenn</t>
  </si>
  <si>
    <t>Christine Thompson</t>
  </si>
  <si>
    <t>braunmegan@example.org</t>
  </si>
  <si>
    <t>(240)243-2611</t>
  </si>
  <si>
    <t>James Reynolds</t>
  </si>
  <si>
    <t>Cindy Wells</t>
  </si>
  <si>
    <t>amywest@example.net</t>
  </si>
  <si>
    <t>(802)400-9536</t>
  </si>
  <si>
    <t>Isaac Ortiz</t>
  </si>
  <si>
    <t>Amanda Morgan</t>
  </si>
  <si>
    <t>bjacobs@example.org</t>
  </si>
  <si>
    <t>573-925-9007</t>
  </si>
  <si>
    <t>Paul Johnson</t>
  </si>
  <si>
    <t>Christopher Rodriguez</t>
  </si>
  <si>
    <t>vknight@example.net</t>
  </si>
  <si>
    <t>916.372.2104x5461</t>
  </si>
  <si>
    <t>Kimberly Haney</t>
  </si>
  <si>
    <t>Roy Gibson</t>
  </si>
  <si>
    <t>john02@example.org</t>
  </si>
  <si>
    <t>001-644-322-5216x02523</t>
  </si>
  <si>
    <t>Nicholas Zuniga</t>
  </si>
  <si>
    <t>Lauren Torres</t>
  </si>
  <si>
    <t>esalinas@example.org</t>
  </si>
  <si>
    <t>(390)932-6551x3276</t>
  </si>
  <si>
    <t>Elizabeth Grant</t>
  </si>
  <si>
    <t>Megan Nelson</t>
  </si>
  <si>
    <t>margaret59@example.net</t>
  </si>
  <si>
    <t>(316)402-1191x589</t>
  </si>
  <si>
    <t>Kimberly Sullivan</t>
  </si>
  <si>
    <t>Donna Obrien</t>
  </si>
  <si>
    <t>jscott@example.com</t>
  </si>
  <si>
    <t>262.537.6008x84474</t>
  </si>
  <si>
    <t>Matthew Bray</t>
  </si>
  <si>
    <t>Ashley Johnson</t>
  </si>
  <si>
    <t>christine92@example.org</t>
  </si>
  <si>
    <t>(640)606-9836x92353</t>
  </si>
  <si>
    <t>Debra Blackburn</t>
  </si>
  <si>
    <t>bflores@example.org</t>
  </si>
  <si>
    <t>(702)712-3720</t>
  </si>
  <si>
    <t>Daniel Robinson</t>
  </si>
  <si>
    <t>Albert Stone</t>
  </si>
  <si>
    <t>lauramanning@example.com</t>
  </si>
  <si>
    <t>339.619.0088x991</t>
  </si>
  <si>
    <t>Robert Johnson</t>
  </si>
  <si>
    <t>Sarah Cruz</t>
  </si>
  <si>
    <t>loritaylor@example.com</t>
  </si>
  <si>
    <t>279.789.7906</t>
  </si>
  <si>
    <t>William Tapia</t>
  </si>
  <si>
    <t>Sharon Kelley</t>
  </si>
  <si>
    <t>ycooke@example.org</t>
  </si>
  <si>
    <t>8003998433</t>
  </si>
  <si>
    <t>Miranda Sanchez</t>
  </si>
  <si>
    <t>Timothy Mills</t>
  </si>
  <si>
    <t>floreseileen@example.net</t>
  </si>
  <si>
    <t>+1-354-758-2942x0340</t>
  </si>
  <si>
    <t>Phillip Ramirez</t>
  </si>
  <si>
    <t>Jeremy Brooks</t>
  </si>
  <si>
    <t>justin46@example.com</t>
  </si>
  <si>
    <t>420.410.8240x281</t>
  </si>
  <si>
    <t>Kayla Carlson</t>
  </si>
  <si>
    <t>Tracy Hernandez</t>
  </si>
  <si>
    <t>htaylor@example.com</t>
  </si>
  <si>
    <t>717.945.2735x36423</t>
  </si>
  <si>
    <t>Edward Moore</t>
  </si>
  <si>
    <t>Raymond Clements</t>
  </si>
  <si>
    <t>daniel16@example.org</t>
  </si>
  <si>
    <t>+1-425-559-0461x0079</t>
  </si>
  <si>
    <t>Jeffery Johnson</t>
  </si>
  <si>
    <t>Justin Boyd</t>
  </si>
  <si>
    <t>fmiller@example.net</t>
  </si>
  <si>
    <t>001-723-229-6151x2048</t>
  </si>
  <si>
    <t>Mr. Paul Walker PhD</t>
  </si>
  <si>
    <t>Susan Molina</t>
  </si>
  <si>
    <t>patrick04@example.net</t>
  </si>
  <si>
    <t>(327)763-4601</t>
  </si>
  <si>
    <t>Jacob Ball</t>
  </si>
  <si>
    <t>Victoria Maynard</t>
  </si>
  <si>
    <t>travis24@example.org</t>
  </si>
  <si>
    <t>(986)417-6822x512</t>
  </si>
  <si>
    <t>William Hicks</t>
  </si>
  <si>
    <t>Michele Hughes</t>
  </si>
  <si>
    <t>sarah62@example.org</t>
  </si>
  <si>
    <t>919-376-8784x947</t>
  </si>
  <si>
    <t>Laura Fowler</t>
  </si>
  <si>
    <t>Andrew Proctor</t>
  </si>
  <si>
    <t>drakekevin@example.net</t>
  </si>
  <si>
    <t>442.323.5434x0466</t>
  </si>
  <si>
    <t>George Walsh</t>
  </si>
  <si>
    <t>Lindsey Potter</t>
  </si>
  <si>
    <t>michaelandrews@example.org</t>
  </si>
  <si>
    <t>5643411197</t>
  </si>
  <si>
    <t>Julie Smith</t>
  </si>
  <si>
    <t>Cynthia Perez</t>
  </si>
  <si>
    <t>vincent82@example.net</t>
  </si>
  <si>
    <t>888-649-6806</t>
  </si>
  <si>
    <t>Alicia Bradford</t>
  </si>
  <si>
    <t>Wendy White</t>
  </si>
  <si>
    <t>lisawatson@example.org</t>
  </si>
  <si>
    <t>+1-541-923-0160x49860</t>
  </si>
  <si>
    <t>Micheal May</t>
  </si>
  <si>
    <t>Amy Brown</t>
  </si>
  <si>
    <t>bryanhale@example.org</t>
  </si>
  <si>
    <t>+1-578-699-9011x400</t>
  </si>
  <si>
    <t>Karen Wilson</t>
  </si>
  <si>
    <t>Michael Adkins</t>
  </si>
  <si>
    <t>jgill@example.com</t>
  </si>
  <si>
    <t>3166259084</t>
  </si>
  <si>
    <t>Makayla Underwood</t>
  </si>
  <si>
    <t>Jacob Smith</t>
  </si>
  <si>
    <t>jonessusan@example.com</t>
  </si>
  <si>
    <t>958.221.0728</t>
  </si>
  <si>
    <t>Richard George</t>
  </si>
  <si>
    <t>Darrell Rodriguez</t>
  </si>
  <si>
    <t>brodriguez@example.net</t>
  </si>
  <si>
    <t>001-981-997-2239x964</t>
  </si>
  <si>
    <t xml:space="preserve">  Kimberly Washington </t>
  </si>
  <si>
    <t>Amanda Johns</t>
  </si>
  <si>
    <t>yoderadam@example.com</t>
  </si>
  <si>
    <t>+1-408-655-7800</t>
  </si>
  <si>
    <t>Elaine Lindsey</t>
  </si>
  <si>
    <t>Shawn Maynard</t>
  </si>
  <si>
    <t>taramartinez@example.net</t>
  </si>
  <si>
    <t>9692685746</t>
  </si>
  <si>
    <t>Jeremy Fleming</t>
  </si>
  <si>
    <t>Manuel Wilson</t>
  </si>
  <si>
    <t>heidi21@example.com</t>
  </si>
  <si>
    <t>2165426107</t>
  </si>
  <si>
    <t>Anthony Everett</t>
  </si>
  <si>
    <t>Kelly Scott</t>
  </si>
  <si>
    <t>julianlewis@example.net</t>
  </si>
  <si>
    <t>001-519-283-9248x481</t>
  </si>
  <si>
    <t>Thomas Rodgers</t>
  </si>
  <si>
    <t>Rhonda Cervantes</t>
  </si>
  <si>
    <t>michele02@example.org</t>
  </si>
  <si>
    <t>(716)575-8646x339</t>
  </si>
  <si>
    <t>Brandon Smith</t>
  </si>
  <si>
    <t>Bryan Juarez</t>
  </si>
  <si>
    <t>xfisher@example.org</t>
  </si>
  <si>
    <t>389.961.5738x5512</t>
  </si>
  <si>
    <t>Erin Garcia</t>
  </si>
  <si>
    <t>Jacob Hart</t>
  </si>
  <si>
    <t>petersonjordan@example.com</t>
  </si>
  <si>
    <t>+1-609-872-3602x4465</t>
  </si>
  <si>
    <t>Julie Johnson</t>
  </si>
  <si>
    <t>Brian Murray</t>
  </si>
  <si>
    <t>serranosteven@example.com</t>
  </si>
  <si>
    <t>(247)483-7031x7543</t>
  </si>
  <si>
    <t>Elizabeth Jones</t>
  </si>
  <si>
    <t>Ryan Thornton</t>
  </si>
  <si>
    <t>patrickmartin@example.org</t>
  </si>
  <si>
    <t>846-686-2728x84076</t>
  </si>
  <si>
    <t>Jeremy Stafford</t>
  </si>
  <si>
    <t>Briana Dougherty</t>
  </si>
  <si>
    <t>sherryclark@example.net</t>
  </si>
  <si>
    <t>(276)825-9238x6879</t>
  </si>
  <si>
    <t>Melissa Salinas</t>
  </si>
  <si>
    <t>Taylor Chaney</t>
  </si>
  <si>
    <t>gregorybenson@example.com</t>
  </si>
  <si>
    <t>001-734-905-0892x73961</t>
  </si>
  <si>
    <t>Matthew Morris</t>
  </si>
  <si>
    <t>ebrown@example.net</t>
  </si>
  <si>
    <t>+1-677-455-4261x903</t>
  </si>
  <si>
    <t>Karen Dalton</t>
  </si>
  <si>
    <t>Bianca Chandler</t>
  </si>
  <si>
    <t>brianthompson@example.net</t>
  </si>
  <si>
    <t>(371)911-7576</t>
  </si>
  <si>
    <t>Christopher Chan</t>
  </si>
  <si>
    <t>Stephen Watson</t>
  </si>
  <si>
    <t>joseph86@example.net</t>
  </si>
  <si>
    <t>+1-530-452-1690</t>
  </si>
  <si>
    <t>Steven Burgess</t>
  </si>
  <si>
    <t>Victoria Norton MD</t>
  </si>
  <si>
    <t>jack64@example.com</t>
  </si>
  <si>
    <t>506-380-1770</t>
  </si>
  <si>
    <t>Cory Eaton</t>
  </si>
  <si>
    <t>Grant Smith</t>
  </si>
  <si>
    <t>carterjames@example.org</t>
  </si>
  <si>
    <t>(872)544-6931x72947</t>
  </si>
  <si>
    <t>Abigail Walker</t>
  </si>
  <si>
    <t>Natalie Avila</t>
  </si>
  <si>
    <t>jordan25@example.net</t>
  </si>
  <si>
    <t>001-498-351-9393x2727</t>
  </si>
  <si>
    <t>Kenneth Short</t>
  </si>
  <si>
    <t>Matthew Evans</t>
  </si>
  <si>
    <t>bbrown@example.net</t>
  </si>
  <si>
    <t>(776)252-7284x53974</t>
  </si>
  <si>
    <t>Aaron Villarreal</t>
  </si>
  <si>
    <t>Robert Barnes</t>
  </si>
  <si>
    <t>wchaney@example.com</t>
  </si>
  <si>
    <t>2204801929</t>
  </si>
  <si>
    <t>Blake Watson</t>
  </si>
  <si>
    <t>Elizabeth Cervantes</t>
  </si>
  <si>
    <t>ramirezamy@example.org</t>
  </si>
  <si>
    <t>001-232-425-3332</t>
  </si>
  <si>
    <t>Austin Moore</t>
  </si>
  <si>
    <t>Matthew Rivera</t>
  </si>
  <si>
    <t>wilsonnicole@example.org</t>
  </si>
  <si>
    <t>545-503-6988x84393</t>
  </si>
  <si>
    <t>Elizabeth Sanchez</t>
  </si>
  <si>
    <t>Leslie Anderson</t>
  </si>
  <si>
    <t>reedjulie@example.net</t>
  </si>
  <si>
    <t>+1-831-724-4129x0759</t>
  </si>
  <si>
    <t>Lisa Mendez</t>
  </si>
  <si>
    <t>Bailey Sanchez</t>
  </si>
  <si>
    <t>emorales@example.com</t>
  </si>
  <si>
    <t>349.554.2106x294</t>
  </si>
  <si>
    <t>Gloria Odom</t>
  </si>
  <si>
    <t>Casey Foster</t>
  </si>
  <si>
    <t>warnercory@example.com</t>
  </si>
  <si>
    <t>862.664.7528</t>
  </si>
  <si>
    <t>Steven Thomas</t>
  </si>
  <si>
    <t>Marc Martinez</t>
  </si>
  <si>
    <t>anthonyduncan@example.org</t>
  </si>
  <si>
    <t>+1-784-252-4032x11535</t>
  </si>
  <si>
    <t>Devin Cortez</t>
  </si>
  <si>
    <t>Kevin Garcia</t>
  </si>
  <si>
    <t>elizabethwilliams@example.com</t>
  </si>
  <si>
    <t>597.624.7925x4221</t>
  </si>
  <si>
    <t>Megan Graves</t>
  </si>
  <si>
    <t>Ashley White</t>
  </si>
  <si>
    <t>turneramy@example.com</t>
  </si>
  <si>
    <t>8677693332</t>
  </si>
  <si>
    <t>Shane Bender</t>
  </si>
  <si>
    <t>John Daniels</t>
  </si>
  <si>
    <t>susan40@example.net</t>
  </si>
  <si>
    <t>285-688-3825x67262</t>
  </si>
  <si>
    <t>Calvin Silva</t>
  </si>
  <si>
    <t>Eric Robinson</t>
  </si>
  <si>
    <t>jillian19@example.com</t>
  </si>
  <si>
    <t>(482)722-5018</t>
  </si>
  <si>
    <t>Mary Reid</t>
  </si>
  <si>
    <t>Stephen Evans</t>
  </si>
  <si>
    <t>andrealopez@example.com</t>
  </si>
  <si>
    <t>(401)222-3414</t>
  </si>
  <si>
    <t>Lisa Rios</t>
  </si>
  <si>
    <t>Ronald Ramos</t>
  </si>
  <si>
    <t>robertsmith@example.com</t>
  </si>
  <si>
    <t>2952632174</t>
  </si>
  <si>
    <t>Lisa Williams</t>
  </si>
  <si>
    <t>Laura Sanchez</t>
  </si>
  <si>
    <t>amberthompson@example.org</t>
  </si>
  <si>
    <t>971-919-3600x6082</t>
  </si>
  <si>
    <t>Erica Campbell</t>
  </si>
  <si>
    <t>Michael Butler</t>
  </si>
  <si>
    <t>wellsryan@example.org</t>
  </si>
  <si>
    <t>(643)885-0095x3723</t>
  </si>
  <si>
    <t>Ronald Hopkins</t>
  </si>
  <si>
    <t>Megan Harris</t>
  </si>
  <si>
    <t>kristinwilson@example.net</t>
  </si>
  <si>
    <t>+1-644-316-4231x654</t>
  </si>
  <si>
    <t>Christina White</t>
  </si>
  <si>
    <t>Steven Mills</t>
  </si>
  <si>
    <t>wtapia@example.org</t>
  </si>
  <si>
    <t>(334)994-2904x61755</t>
  </si>
  <si>
    <t>Brandon Mathis</t>
  </si>
  <si>
    <t>Krystal Thompson</t>
  </si>
  <si>
    <t>blakejackson@example.net</t>
  </si>
  <si>
    <t>674.744.1723</t>
  </si>
  <si>
    <t>George Gonzalez</t>
  </si>
  <si>
    <t>Laura West</t>
  </si>
  <si>
    <t>martinmorgan@example.net</t>
  </si>
  <si>
    <t>(836)626-8904x723</t>
  </si>
  <si>
    <t>Adam Bernard</t>
  </si>
  <si>
    <t>Crystal Baxter</t>
  </si>
  <si>
    <t>timothy42@example.org</t>
  </si>
  <si>
    <t>(643)859-9009x3781</t>
  </si>
  <si>
    <t>John Holland</t>
  </si>
  <si>
    <t>Brandon Walker</t>
  </si>
  <si>
    <t>joshua70@example.com</t>
  </si>
  <si>
    <t>001-861-387-5646x7263</t>
  </si>
  <si>
    <t>Edward Benson</t>
  </si>
  <si>
    <t>Rose Francis</t>
  </si>
  <si>
    <t>maysedward@example.com</t>
  </si>
  <si>
    <t>001-229-610-8450x786</t>
  </si>
  <si>
    <t>Heidi Mullins</t>
  </si>
  <si>
    <t>George Johnson</t>
  </si>
  <si>
    <t>seanmelendez@example.net</t>
  </si>
  <si>
    <t>433.406.7730x67182</t>
  </si>
  <si>
    <t>Stephen Alvarez</t>
  </si>
  <si>
    <t>Diana Miller</t>
  </si>
  <si>
    <t>wiseshannon@example.net</t>
  </si>
  <si>
    <t>665.438.5906x73963</t>
  </si>
  <si>
    <t>Melissa Oneill</t>
  </si>
  <si>
    <t>Karen Ross</t>
  </si>
  <si>
    <t>lauren50@example.net</t>
  </si>
  <si>
    <t>+1-849-922-1704x8618</t>
  </si>
  <si>
    <t>James Lopez</t>
  </si>
  <si>
    <t>Benjamin Hines</t>
  </si>
  <si>
    <t>wellssherry@example.net</t>
  </si>
  <si>
    <t>001-328-491-9827</t>
  </si>
  <si>
    <t>Frank Stephenson</t>
  </si>
  <si>
    <t>Robert Ford</t>
  </si>
  <si>
    <t>amclaughlin@example.net</t>
  </si>
  <si>
    <t>(349)542-6942x03983</t>
  </si>
  <si>
    <t>Elizabeth Mayo</t>
  </si>
  <si>
    <t>Alicia Campbell</t>
  </si>
  <si>
    <t>ycole@example.net</t>
  </si>
  <si>
    <t>(619)458-7305</t>
  </si>
  <si>
    <t>Denise Hoffman</t>
  </si>
  <si>
    <t>Patty Hopkins</t>
  </si>
  <si>
    <t>lisaterry@example.net</t>
  </si>
  <si>
    <t>+1-717-281-6780x66431</t>
  </si>
  <si>
    <t>Matthew King</t>
  </si>
  <si>
    <t>Tammy Barrett</t>
  </si>
  <si>
    <t>murphyjames@example.com</t>
  </si>
  <si>
    <t>001-201-370-9264x07030</t>
  </si>
  <si>
    <t>James Rice</t>
  </si>
  <si>
    <t>Jennifer Thompson</t>
  </si>
  <si>
    <t>marissa85@example.org</t>
  </si>
  <si>
    <t>+1-807-228-8959x27411</t>
  </si>
  <si>
    <t>Kevin Rodriguez</t>
  </si>
  <si>
    <t>Stephanie Garrison</t>
  </si>
  <si>
    <t>laurensullivan@example.org</t>
  </si>
  <si>
    <t>9802820391</t>
  </si>
  <si>
    <t>Regina Gamble</t>
  </si>
  <si>
    <t>Michael Khan</t>
  </si>
  <si>
    <t>joseph59@example.com</t>
  </si>
  <si>
    <t>+1-424-758-7012x0424</t>
  </si>
  <si>
    <t>Kyle Richards</t>
  </si>
  <si>
    <t>Brooke Walker</t>
  </si>
  <si>
    <t>john28@example.com</t>
  </si>
  <si>
    <t>001-476-603-9670</t>
  </si>
  <si>
    <t>Evan Richard</t>
  </si>
  <si>
    <t>Elizabeth Bell</t>
  </si>
  <si>
    <t>hollycoleman@example.net</t>
  </si>
  <si>
    <t>001-718-975-4036x48821</t>
  </si>
  <si>
    <t>Mrs. Jaclyn Crosby MD</t>
  </si>
  <si>
    <t>zjohnson@example.com</t>
  </si>
  <si>
    <t>+1-998-464-9125x949</t>
  </si>
  <si>
    <t>Anthony Scott</t>
  </si>
  <si>
    <t>Jasmine Martin</t>
  </si>
  <si>
    <t>ielliott@example.org</t>
  </si>
  <si>
    <t>(466)517-9962x3569</t>
  </si>
  <si>
    <t>Paul Navarro</t>
  </si>
  <si>
    <t>Jennifer Robertson</t>
  </si>
  <si>
    <t>lhayes@example.com</t>
  </si>
  <si>
    <t>001-360-741-3482x08493</t>
  </si>
  <si>
    <t>Joseph Lopez</t>
  </si>
  <si>
    <t>Angela Ritter</t>
  </si>
  <si>
    <t>asmith@example.org</t>
  </si>
  <si>
    <t>340-576-2914x3049</t>
  </si>
  <si>
    <t>Alan Black</t>
  </si>
  <si>
    <t>Erica Santana</t>
  </si>
  <si>
    <t>landerson@example.net</t>
  </si>
  <si>
    <t>+1-765-464-2240</t>
  </si>
  <si>
    <t>Clayton Rogers</t>
  </si>
  <si>
    <t>Kelly Washington</t>
  </si>
  <si>
    <t>zpatterson@example.org</t>
  </si>
  <si>
    <t>+1-448-296-2980x568</t>
  </si>
  <si>
    <t>Matthew Sanchez</t>
  </si>
  <si>
    <t>Joan Ortiz</t>
  </si>
  <si>
    <t>mayerryan@example.com</t>
  </si>
  <si>
    <t>324.504.3474x1253</t>
  </si>
  <si>
    <t>Mr. Samuel Davis</t>
  </si>
  <si>
    <t>John Gonzalez</t>
  </si>
  <si>
    <t>charlesewing@example.com</t>
  </si>
  <si>
    <t>3365192025</t>
  </si>
  <si>
    <t>Cheryl Stevens</t>
  </si>
  <si>
    <t>Nicholas Patrick</t>
  </si>
  <si>
    <t>joshua74@example.net</t>
  </si>
  <si>
    <t>+1-304-276-0786x235</t>
  </si>
  <si>
    <t>Julie Morris</t>
  </si>
  <si>
    <t>Lisa Hartman</t>
  </si>
  <si>
    <t>maddenhailey@example.com</t>
  </si>
  <si>
    <t>773-828-9514</t>
  </si>
  <si>
    <t>David Jacobs</t>
  </si>
  <si>
    <t>michael11@example.com</t>
  </si>
  <si>
    <t>944.296.5391x607</t>
  </si>
  <si>
    <t>Adam Sanchez</t>
  </si>
  <si>
    <t>Alexandria Collins</t>
  </si>
  <si>
    <t>david40@example.org</t>
  </si>
  <si>
    <t>+1-282-521-8039x662</t>
  </si>
  <si>
    <t>Suzanne Stephens</t>
  </si>
  <si>
    <t>Travis Fuller</t>
  </si>
  <si>
    <t>kelleramanda@example.org</t>
  </si>
  <si>
    <t>(865)529-5164</t>
  </si>
  <si>
    <t>Miranda Cooper</t>
  </si>
  <si>
    <t>Curtis Cantu</t>
  </si>
  <si>
    <t>bevans@example.net</t>
  </si>
  <si>
    <t>306.670.8987x09201</t>
  </si>
  <si>
    <t>Angela Gonzalez</t>
  </si>
  <si>
    <t>Brianna Price</t>
  </si>
  <si>
    <t>davisamanda@example.net</t>
  </si>
  <si>
    <t>980-452-6321x19604</t>
  </si>
  <si>
    <t>Erik Burke</t>
  </si>
  <si>
    <t>Adam Woods</t>
  </si>
  <si>
    <t>michael44@example.com</t>
  </si>
  <si>
    <t>001-708-523-1714x6199</t>
  </si>
  <si>
    <t>Jennifer Sparks</t>
  </si>
  <si>
    <t>Yolanda Anderson</t>
  </si>
  <si>
    <t>uwhite@example.net</t>
  </si>
  <si>
    <t>001-796-905-3026x18402</t>
  </si>
  <si>
    <t xml:space="preserve">  Susan Smith </t>
  </si>
  <si>
    <t>Kelly Williams</t>
  </si>
  <si>
    <t>longbob@example.com</t>
  </si>
  <si>
    <t>660.250.2816</t>
  </si>
  <si>
    <t>Laurie Smith</t>
  </si>
  <si>
    <t>Andrew Wilson</t>
  </si>
  <si>
    <t>brianyang@example.net</t>
  </si>
  <si>
    <t>5259209452</t>
  </si>
  <si>
    <t>Laura Horton</t>
  </si>
  <si>
    <t>Scott Andrews</t>
  </si>
  <si>
    <t>tanyawilliams@example.net</t>
  </si>
  <si>
    <t>001-486-202-7574x544</t>
  </si>
  <si>
    <t>Paul Estes</t>
  </si>
  <si>
    <t>Dustin Murphy</t>
  </si>
  <si>
    <t>martinezallen@example.net</t>
  </si>
  <si>
    <t>689-765-5834</t>
  </si>
  <si>
    <t>Jared Camacho</t>
  </si>
  <si>
    <t>Melissa Hernandez</t>
  </si>
  <si>
    <t>djensen@example.com</t>
  </si>
  <si>
    <t>001-266-903-6162x486</t>
  </si>
  <si>
    <t>Jerry Bowman</t>
  </si>
  <si>
    <t>Stephanie Sullivan</t>
  </si>
  <si>
    <t>jamesmarsh@example.org</t>
  </si>
  <si>
    <t>(885)901-5301x731</t>
  </si>
  <si>
    <t>Emily Brown</t>
  </si>
  <si>
    <t>Laura Brooks</t>
  </si>
  <si>
    <t>jonathanjones@example.org</t>
  </si>
  <si>
    <t>001-754-579-4064</t>
  </si>
  <si>
    <t>Robert Benson</t>
  </si>
  <si>
    <t>Mrs. Amy Sharp</t>
  </si>
  <si>
    <t>armstrongjill@example.net</t>
  </si>
  <si>
    <t>598.566.4693x65618</t>
  </si>
  <si>
    <t xml:space="preserve">  Michelle Simpson </t>
  </si>
  <si>
    <t>Kristin Foster</t>
  </si>
  <si>
    <t>brookstaylor@example.org</t>
  </si>
  <si>
    <t>477.418.4301</t>
  </si>
  <si>
    <t>Ian Burns</t>
  </si>
  <si>
    <t>Samuel Thomas</t>
  </si>
  <si>
    <t>rlewis@example.org</t>
  </si>
  <si>
    <t>796.544.0282</t>
  </si>
  <si>
    <t>Robin Donovan</t>
  </si>
  <si>
    <t>Julia Williamson</t>
  </si>
  <si>
    <t>jonathangonzales@example.org</t>
  </si>
  <si>
    <t>+1-323-685-2023x209</t>
  </si>
  <si>
    <t>April Henderson</t>
  </si>
  <si>
    <t>Philip Thompson</t>
  </si>
  <si>
    <t>kelly34@example.com</t>
  </si>
  <si>
    <t>+1-719-498-2907x55154</t>
  </si>
  <si>
    <t>Amy Howe</t>
  </si>
  <si>
    <t>Keith Lynch</t>
  </si>
  <si>
    <t>harrissusan@example.org</t>
  </si>
  <si>
    <t>4064433226</t>
  </si>
  <si>
    <t>John Robinson DVM</t>
  </si>
  <si>
    <t>Nicholas Graves</t>
  </si>
  <si>
    <t>friedmanrichard@example.com</t>
  </si>
  <si>
    <t>001-770-470-3850x3605</t>
  </si>
  <si>
    <t>Rebecca Taylor</t>
  </si>
  <si>
    <t>Nicholas Johnson</t>
  </si>
  <si>
    <t>tmoody@example.net</t>
  </si>
  <si>
    <t>4278406758</t>
  </si>
  <si>
    <t>Chad Carroll</t>
  </si>
  <si>
    <t>Timothy Greer</t>
  </si>
  <si>
    <t>cameronjohn@example.com</t>
  </si>
  <si>
    <t>985.664.6149</t>
  </si>
  <si>
    <t>John Willis</t>
  </si>
  <si>
    <t>Timothy Pollard</t>
  </si>
  <si>
    <t>igoodman@example.net</t>
  </si>
  <si>
    <t>291-649-8609x955</t>
  </si>
  <si>
    <t>Rebecca Clark</t>
  </si>
  <si>
    <t>Patricia Kim</t>
  </si>
  <si>
    <t>davidmcgee@example.net</t>
  </si>
  <si>
    <t>661-721-2898x115</t>
  </si>
  <si>
    <t>Alan Lyons</t>
  </si>
  <si>
    <t>Jerry Figueroa</t>
  </si>
  <si>
    <t>derricklee@example.net</t>
  </si>
  <si>
    <t>447.442.2567x87188</t>
  </si>
  <si>
    <t>Mr. Joshua Abbott</t>
  </si>
  <si>
    <t>hughesbrandon@example.net</t>
  </si>
  <si>
    <t>634-895-6479</t>
  </si>
  <si>
    <t>Michael Robertson</t>
  </si>
  <si>
    <t>Loretta Bradley</t>
  </si>
  <si>
    <t>rlee@example.net</t>
  </si>
  <si>
    <t>209.472.3610</t>
  </si>
  <si>
    <t>Frank Santana</t>
  </si>
  <si>
    <t>acohen@example.com</t>
  </si>
  <si>
    <t>678-265-5575x12476</t>
  </si>
  <si>
    <t>James Griffin</t>
  </si>
  <si>
    <t>Rhonda Stokes</t>
  </si>
  <si>
    <t>kellybrown@example.org</t>
  </si>
  <si>
    <t>(965)645-1224x44189</t>
  </si>
  <si>
    <t>Robert Whitaker</t>
  </si>
  <si>
    <t>Jason Ferguson</t>
  </si>
  <si>
    <t>xsmith@example.org</t>
  </si>
  <si>
    <t>570-817-0363x09442</t>
  </si>
  <si>
    <t>Andrew Steele</t>
  </si>
  <si>
    <t>Kimberly Fitzgerald</t>
  </si>
  <si>
    <t>anthonyfranklin@example.com</t>
  </si>
  <si>
    <t>001-913-449-0961x9797</t>
  </si>
  <si>
    <t>Gabrielle Hernandez</t>
  </si>
  <si>
    <t>Daniel Price</t>
  </si>
  <si>
    <t>alisha45@example.org</t>
  </si>
  <si>
    <t>635.267.4809x573</t>
  </si>
  <si>
    <t>Lauren Burton</t>
  </si>
  <si>
    <t>Brenda Haas</t>
  </si>
  <si>
    <t>jacksonchristina@example.com</t>
  </si>
  <si>
    <t>(603)215-8925</t>
  </si>
  <si>
    <t>Missing Department; Missing Employee ID</t>
  </si>
  <si>
    <t>Ryan Hernandez</t>
  </si>
  <si>
    <t>Justin Alexander</t>
  </si>
  <si>
    <t>iruiz@example.com</t>
  </si>
  <si>
    <t>559.251.4186x482</t>
  </si>
  <si>
    <t>Nicole Anderson</t>
  </si>
  <si>
    <t>Rachel Meyer</t>
  </si>
  <si>
    <t>zhorton@example.com</t>
  </si>
  <si>
    <t>796-823-3260</t>
  </si>
  <si>
    <t>Nicole Martin</t>
  </si>
  <si>
    <t>John Reilly</t>
  </si>
  <si>
    <t>coreyhendrix@example.org</t>
  </si>
  <si>
    <t>001-906-462-9315x181</t>
  </si>
  <si>
    <t>Charles James</t>
  </si>
  <si>
    <t>Gerald Edwards</t>
  </si>
  <si>
    <t>mahoneysarah@example.org</t>
  </si>
  <si>
    <t>(272)437-1798</t>
  </si>
  <si>
    <t>Crystal Shelton</t>
  </si>
  <si>
    <t>Amanda Hess</t>
  </si>
  <si>
    <t>rstewart@example.net</t>
  </si>
  <si>
    <t>+1-670-384-7795</t>
  </si>
  <si>
    <t>Jill Crawford</t>
  </si>
  <si>
    <t>Kevin Jones</t>
  </si>
  <si>
    <t>cameronkaitlyn@example.com</t>
  </si>
  <si>
    <t>815.491.5790x89458</t>
  </si>
  <si>
    <t>Joshua Wagner</t>
  </si>
  <si>
    <t>Jessica Harris</t>
  </si>
  <si>
    <t>callahansusan@example.net</t>
  </si>
  <si>
    <t>361.323.9612x1905</t>
  </si>
  <si>
    <t>Keith Mccormick</t>
  </si>
  <si>
    <t>Jasmine Rios</t>
  </si>
  <si>
    <t>dixondennis@example.org</t>
  </si>
  <si>
    <t>+1-970-466-9010x7923</t>
  </si>
  <si>
    <t>Brianna Tran</t>
  </si>
  <si>
    <t>Courtney Whitehead</t>
  </si>
  <si>
    <t>mstanley@example.com</t>
  </si>
  <si>
    <t>8355067578</t>
  </si>
  <si>
    <t>Cheryl Gomez MD</t>
  </si>
  <si>
    <t>Jessica Singh</t>
  </si>
  <si>
    <t>marybarrett@example.org</t>
  </si>
  <si>
    <t>455-350-5705</t>
  </si>
  <si>
    <t>Lisa Lowe</t>
  </si>
  <si>
    <t>Kellie Page</t>
  </si>
  <si>
    <t>jose45@example.net</t>
  </si>
  <si>
    <t>+1-331-414-1470</t>
  </si>
  <si>
    <t>Vanessa Mcguire</t>
  </si>
  <si>
    <t>Christina Nichols</t>
  </si>
  <si>
    <t>owilson@example.com</t>
  </si>
  <si>
    <t>001-689-610-9779x78023</t>
  </si>
  <si>
    <t>Jose Baker</t>
  </si>
  <si>
    <t>Laura Carter</t>
  </si>
  <si>
    <t>lorihenderson@example.com</t>
  </si>
  <si>
    <t>301-763-2957x3783</t>
  </si>
  <si>
    <t>Kathleen Chavez</t>
  </si>
  <si>
    <t>Lindsay Warner</t>
  </si>
  <si>
    <t>elainehall@example.net</t>
  </si>
  <si>
    <t>(583)402-9158x5423</t>
  </si>
  <si>
    <t>James Haney</t>
  </si>
  <si>
    <t>Joshua Sims</t>
  </si>
  <si>
    <t>amanda96@example.com</t>
  </si>
  <si>
    <t>4733446746</t>
  </si>
  <si>
    <t>Mark Kelly</t>
  </si>
  <si>
    <t>Bradley Burton</t>
  </si>
  <si>
    <t>joy91@example.com</t>
  </si>
  <si>
    <t>370-850-2218</t>
  </si>
  <si>
    <t>Andrea Flowers</t>
  </si>
  <si>
    <t>Zachary Perez</t>
  </si>
  <si>
    <t>mary76@example.net</t>
  </si>
  <si>
    <t>4944837740</t>
  </si>
  <si>
    <t>Donna Walsh</t>
  </si>
  <si>
    <t>Dakota Villa</t>
  </si>
  <si>
    <t>rogerfarrell@example.com</t>
  </si>
  <si>
    <t>001-309-896-2183x6677</t>
  </si>
  <si>
    <t>Jennifer Cisneros MD</t>
  </si>
  <si>
    <t>Nicole Herman MD</t>
  </si>
  <si>
    <t>taylormelinda@example.org</t>
  </si>
  <si>
    <t>(934)899-8013</t>
  </si>
  <si>
    <t>Stephanie Freeman</t>
  </si>
  <si>
    <t>Alexis Wells</t>
  </si>
  <si>
    <t>umendez@example.org</t>
  </si>
  <si>
    <t>+1-344-961-4409x2335</t>
  </si>
  <si>
    <t>James Ward</t>
  </si>
  <si>
    <t>Brenda Lamb</t>
  </si>
  <si>
    <t>rodriguezpatrick@example.com</t>
  </si>
  <si>
    <t>001-426-931-9956x95592</t>
  </si>
  <si>
    <t>Jaime Gilmore</t>
  </si>
  <si>
    <t>saranovak@example.net</t>
  </si>
  <si>
    <t>402-555-1344x48672</t>
  </si>
  <si>
    <t>Elizabeth Fischer</t>
  </si>
  <si>
    <t>Andrea Buckley</t>
  </si>
  <si>
    <t>nicholas15@example.net</t>
  </si>
  <si>
    <t>949.732.5114x9788</t>
  </si>
  <si>
    <t>Cesar Watts</t>
  </si>
  <si>
    <t>Kevin Mitchell</t>
  </si>
  <si>
    <t>bsimpson@example.com</t>
  </si>
  <si>
    <t>383-908-5800</t>
  </si>
  <si>
    <t>Angelica Harris</t>
  </si>
  <si>
    <t>Brandon Brown</t>
  </si>
  <si>
    <t>ryannichols@example.org</t>
  </si>
  <si>
    <t>+1-710-878-1871x0968</t>
  </si>
  <si>
    <t>Gary Gibson</t>
  </si>
  <si>
    <t>Martin Pearson</t>
  </si>
  <si>
    <t>thomasronald@example.net</t>
  </si>
  <si>
    <t>+1-233-415-4230x60023</t>
  </si>
  <si>
    <t>Jessica Rogers</t>
  </si>
  <si>
    <t>Terri Kent</t>
  </si>
  <si>
    <t>leonardruth@example.org</t>
  </si>
  <si>
    <t>(941)214-2066</t>
  </si>
  <si>
    <t>Bernard Flores</t>
  </si>
  <si>
    <t>Brenda Davis</t>
  </si>
  <si>
    <t>pcoleman@example.org</t>
  </si>
  <si>
    <t>001-482-422-2400x5392</t>
  </si>
  <si>
    <t>James Pena</t>
  </si>
  <si>
    <t>Matthew Austin</t>
  </si>
  <si>
    <t>jeffersondaniel@example.org</t>
  </si>
  <si>
    <t>884-333-9133x252</t>
  </si>
  <si>
    <t>Brooke Quinn</t>
  </si>
  <si>
    <t>Ronnie Jenkins</t>
  </si>
  <si>
    <t>mathew34@example.org</t>
  </si>
  <si>
    <t>564.649.7602x49866</t>
  </si>
  <si>
    <t>Anthony Patrick</t>
  </si>
  <si>
    <t>Danielle Christensen</t>
  </si>
  <si>
    <t>pweber@example.com</t>
  </si>
  <si>
    <t>+1-898-752-9735x61526</t>
  </si>
  <si>
    <t>Kristine Jones</t>
  </si>
  <si>
    <t>Steven Horne MD</t>
  </si>
  <si>
    <t>monicadixon@example.net</t>
  </si>
  <si>
    <t>(964)614-7533x69524</t>
  </si>
  <si>
    <t>Jennifer Cortez</t>
  </si>
  <si>
    <t>Gina Hoffman</t>
  </si>
  <si>
    <t>+1-453-624-3679</t>
  </si>
  <si>
    <t>John Moore</t>
  </si>
  <si>
    <t>Matthew Villa</t>
  </si>
  <si>
    <t>juliepayne@example.org</t>
  </si>
  <si>
    <t>843-446-8586x39061</t>
  </si>
  <si>
    <t>John Fowler</t>
  </si>
  <si>
    <t>Nicole Blake</t>
  </si>
  <si>
    <t>perrymichael@example.org</t>
  </si>
  <si>
    <t>+1-981-416-8371x03073</t>
  </si>
  <si>
    <t>John Martin</t>
  </si>
  <si>
    <t>April Davis</t>
  </si>
  <si>
    <t>jolsen@example.net</t>
  </si>
  <si>
    <t>3826649312</t>
  </si>
  <si>
    <t>Craig Tate</t>
  </si>
  <si>
    <t>Jessica White</t>
  </si>
  <si>
    <t>mary92@example.com</t>
  </si>
  <si>
    <t>001-645-263-3917x299</t>
  </si>
  <si>
    <t>Robert Baker</t>
  </si>
  <si>
    <t>Angela Contreras</t>
  </si>
  <si>
    <t>dawnpark@example.com</t>
  </si>
  <si>
    <t>001-549-771-9670x683</t>
  </si>
  <si>
    <t>Brian Garcia</t>
  </si>
  <si>
    <t>Christopher Glover</t>
  </si>
  <si>
    <t>wilsonkimberly@example.org</t>
  </si>
  <si>
    <t>001-694-690-1333</t>
  </si>
  <si>
    <t>Thomas Barnes</t>
  </si>
  <si>
    <t>Dr. Tyler Hill</t>
  </si>
  <si>
    <t>campbellmargaret@example.net</t>
  </si>
  <si>
    <t>001-341-301-6793x014</t>
  </si>
  <si>
    <t>William Lane</t>
  </si>
  <si>
    <t>Mary Miller</t>
  </si>
  <si>
    <t>williamslarry@example.org</t>
  </si>
  <si>
    <t>2283866168</t>
  </si>
  <si>
    <t>Lindsey Wright</t>
  </si>
  <si>
    <t>Troy Carrillo</t>
  </si>
  <si>
    <t>wayne54@example.net</t>
  </si>
  <si>
    <t>920-335-3160x791</t>
  </si>
  <si>
    <t>Joshua Brown</t>
  </si>
  <si>
    <t>John Wyatt</t>
  </si>
  <si>
    <t>gibbsdarren@example.org</t>
  </si>
  <si>
    <t>001-319-640-2470x288</t>
  </si>
  <si>
    <t>Casey Ferguson</t>
  </si>
  <si>
    <t>Elizabeth Taylor</t>
  </si>
  <si>
    <t>epeck@example.net</t>
  </si>
  <si>
    <t>567.385.7646</t>
  </si>
  <si>
    <t>Richard Miller</t>
  </si>
  <si>
    <t>Kathryn Mendez</t>
  </si>
  <si>
    <t>sandovalnicholas@example.net</t>
  </si>
  <si>
    <t>723-221-5401x3153</t>
  </si>
  <si>
    <t>Matthew Church</t>
  </si>
  <si>
    <t>Austin Kelley</t>
  </si>
  <si>
    <t>matthew52@example.net</t>
  </si>
  <si>
    <t>641.702.5471x7989</t>
  </si>
  <si>
    <t>Larry Hunter</t>
  </si>
  <si>
    <t>Ms. Veronica Johnson</t>
  </si>
  <si>
    <t>garzacourtney@example.net</t>
  </si>
  <si>
    <t>967-456-3558x42271</t>
  </si>
  <si>
    <t>Casey Valdez</t>
  </si>
  <si>
    <t>Alexander Reyes</t>
  </si>
  <si>
    <t>alvarezelizabeth@example.org</t>
  </si>
  <si>
    <t>341-230-6862x4087</t>
  </si>
  <si>
    <t>Mark Hess</t>
  </si>
  <si>
    <t>Kyle Chambers</t>
  </si>
  <si>
    <t>tuckeramanda@example.org</t>
  </si>
  <si>
    <t>462.438.1152x2328</t>
  </si>
  <si>
    <t>Gabriel Moore</t>
  </si>
  <si>
    <t>michaelobrien@example.net</t>
  </si>
  <si>
    <t>300-341-0847x9135</t>
  </si>
  <si>
    <t>Hannah Johnson</t>
  </si>
  <si>
    <t>Patricia Lee</t>
  </si>
  <si>
    <t>kpennington@example.net</t>
  </si>
  <si>
    <t>592.206.4157x80978</t>
  </si>
  <si>
    <t>Joshua York</t>
  </si>
  <si>
    <t>Eric Howell</t>
  </si>
  <si>
    <t>john19@example.com</t>
  </si>
  <si>
    <t>001-428-314-4786x74280</t>
  </si>
  <si>
    <t>Megan House</t>
  </si>
  <si>
    <t>James Avila</t>
  </si>
  <si>
    <t>jzavala@example.net</t>
  </si>
  <si>
    <t>001-603-578-9121x397</t>
  </si>
  <si>
    <t>Jennifer Johnston</t>
  </si>
  <si>
    <t>Gary Morris</t>
  </si>
  <si>
    <t>robyn59@example.net</t>
  </si>
  <si>
    <t>708-442-9069x6904</t>
  </si>
  <si>
    <t>Rebecca Patterson</t>
  </si>
  <si>
    <t>Nicholas Price</t>
  </si>
  <si>
    <t>ostevens@example.com</t>
  </si>
  <si>
    <t>001-345-670-1652x76136</t>
  </si>
  <si>
    <t>Kristen Taylor</t>
  </si>
  <si>
    <t>Alex Ramirez</t>
  </si>
  <si>
    <t>nsharp@example.net</t>
  </si>
  <si>
    <t>(796)244-4772</t>
  </si>
  <si>
    <t>Megan Allen</t>
  </si>
  <si>
    <t>wangjoshua@example.com</t>
  </si>
  <si>
    <t>001-724-715-5369x158</t>
  </si>
  <si>
    <t>Ryan Richards</t>
  </si>
  <si>
    <t>Christopher Porter</t>
  </si>
  <si>
    <t>rsmith@example.org</t>
  </si>
  <si>
    <t>(470)533-3295x945</t>
  </si>
  <si>
    <t>Erica Medina</t>
  </si>
  <si>
    <t>Kelly Perez</t>
  </si>
  <si>
    <t>andrew29@example.com</t>
  </si>
  <si>
    <t>(429)291-7217x4292</t>
  </si>
  <si>
    <t>Jason Weaver</t>
  </si>
  <si>
    <t>Susan Howard</t>
  </si>
  <si>
    <t>brittanyyoder@example.com</t>
  </si>
  <si>
    <t>+1-437-206-3250x313</t>
  </si>
  <si>
    <t>Richard Nicholson</t>
  </si>
  <si>
    <t>Chris Butler</t>
  </si>
  <si>
    <t>rodriguezjohn@example.org</t>
  </si>
  <si>
    <t>259.237.9719</t>
  </si>
  <si>
    <t>Alex Erickson</t>
  </si>
  <si>
    <t>Jessica Bennett</t>
  </si>
  <si>
    <t>meaganbennett@example.net</t>
  </si>
  <si>
    <t>+1-547-218-5594x07992</t>
  </si>
  <si>
    <t>Richard Acosta</t>
  </si>
  <si>
    <t>Breanna Young</t>
  </si>
  <si>
    <t>dcurtis@example.com</t>
  </si>
  <si>
    <t>+1-914-256-4743</t>
  </si>
  <si>
    <t>Bailey Phillips</t>
  </si>
  <si>
    <t>Christina Mendez</t>
  </si>
  <si>
    <t>moraelizabeth@example.com</t>
  </si>
  <si>
    <t>(366)750-5276x12092</t>
  </si>
  <si>
    <t>Anthony Bates</t>
  </si>
  <si>
    <t>Lori Moore</t>
  </si>
  <si>
    <t>chadwilson@example.com</t>
  </si>
  <si>
    <t>+1-987-306-7635x3223</t>
  </si>
  <si>
    <t>Laurie Jones</t>
  </si>
  <si>
    <t>Robert Black</t>
  </si>
  <si>
    <t>deborah56@example.org</t>
  </si>
  <si>
    <t>711.542.9430x0037</t>
  </si>
  <si>
    <t>Kimberly Velez</t>
  </si>
  <si>
    <t>David Terry</t>
  </si>
  <si>
    <t>douglaskim@example.net</t>
  </si>
  <si>
    <t>+1-986-869-3278x41783</t>
  </si>
  <si>
    <t>Benjamin Duke</t>
  </si>
  <si>
    <t>Tamara Taylor</t>
  </si>
  <si>
    <t>garciajoshua@example.org</t>
  </si>
  <si>
    <t>(952)466-4267x3512</t>
  </si>
  <si>
    <t>Emily Reed DVM</t>
  </si>
  <si>
    <t>Katherine Davenport</t>
  </si>
  <si>
    <t>wedwards@example.com</t>
  </si>
  <si>
    <t>+1-676-648-7849x622</t>
  </si>
  <si>
    <t>Sandra Smith</t>
  </si>
  <si>
    <t>Charles Smith</t>
  </si>
  <si>
    <t>klane@example.com</t>
  </si>
  <si>
    <t>568-751-2062x76729</t>
  </si>
  <si>
    <t>Lisa Silva</t>
  </si>
  <si>
    <t>Michael Adams</t>
  </si>
  <si>
    <t>charlesjohnston@example.com</t>
  </si>
  <si>
    <t>(950)422-3477x80457</t>
  </si>
  <si>
    <t>Sean Carter</t>
  </si>
  <si>
    <t>Judy Harris</t>
  </si>
  <si>
    <t>claytonchavez@example.net</t>
  </si>
  <si>
    <t>(333)872-0945</t>
  </si>
  <si>
    <t>Ralph Wallace MD</t>
  </si>
  <si>
    <t>Daniel Taylor</t>
  </si>
  <si>
    <t>hgonzalez@example.org</t>
  </si>
  <si>
    <t>(820)608-4842</t>
  </si>
  <si>
    <t>Sheila Harris</t>
  </si>
  <si>
    <t>Christy Sweeney DDS</t>
  </si>
  <si>
    <t>yjohnson@example.net</t>
  </si>
  <si>
    <t>(789)667-1360</t>
  </si>
  <si>
    <t>Donna Graham</t>
  </si>
  <si>
    <t>Brandi Hart</t>
  </si>
  <si>
    <t>samantha49@example.net</t>
  </si>
  <si>
    <t>5137249519</t>
  </si>
  <si>
    <t>Matthew Wu</t>
  </si>
  <si>
    <t>Brian Rivera</t>
  </si>
  <si>
    <t>wrodriguez@example.net</t>
  </si>
  <si>
    <t>001-208-603-8890x441</t>
  </si>
  <si>
    <t>David Bailey</t>
  </si>
  <si>
    <t>Jordan Jones</t>
  </si>
  <si>
    <t>marthalee@example.net</t>
  </si>
  <si>
    <t>+1-214-283-7475x5803</t>
  </si>
  <si>
    <t>Jamie Velazquez</t>
  </si>
  <si>
    <t>Jermaine Tucker</t>
  </si>
  <si>
    <t>cdunn@example.org</t>
  </si>
  <si>
    <t>+1-802-371-6988x371</t>
  </si>
  <si>
    <t>Jose Price</t>
  </si>
  <si>
    <t>Ms. Jenny Miller</t>
  </si>
  <si>
    <t>yserrano@example.com</t>
  </si>
  <si>
    <t>(798)533-2617x050</t>
  </si>
  <si>
    <t>David Schneider</t>
  </si>
  <si>
    <t>Gregory Murphy</t>
  </si>
  <si>
    <t>amywright@example.org</t>
  </si>
  <si>
    <t>499.382.4266</t>
  </si>
  <si>
    <t xml:space="preserve">  Ricardo Olson </t>
  </si>
  <si>
    <t>Andrea Rivera</t>
  </si>
  <si>
    <t>sarah68@example.com</t>
  </si>
  <si>
    <t>+1-930-830-2853x272</t>
  </si>
  <si>
    <t>Justin Holland</t>
  </si>
  <si>
    <t>Benjamin Watson</t>
  </si>
  <si>
    <t>martindavid@example.net</t>
  </si>
  <si>
    <t>(946)413-0873x089</t>
  </si>
  <si>
    <t>Sarah Fowler</t>
  </si>
  <si>
    <t>Courtney Grimes</t>
  </si>
  <si>
    <t>stephanieleon@example.com</t>
  </si>
  <si>
    <t>211.284.2527x863</t>
  </si>
  <si>
    <t>Terry Thomas</t>
  </si>
  <si>
    <t>Charles Mathews</t>
  </si>
  <si>
    <t>jamesleonard@example.com</t>
  </si>
  <si>
    <t>305.977.7196</t>
  </si>
  <si>
    <t>Jacob Bishop</t>
  </si>
  <si>
    <t>James Carrillo</t>
  </si>
  <si>
    <t>mphillips@example.net</t>
  </si>
  <si>
    <t>001-668-433-4400x9522</t>
  </si>
  <si>
    <t>Mrs. Michelle Gonzalez</t>
  </si>
  <si>
    <t>Curtis Neal</t>
  </si>
  <si>
    <t>maryriley@example.com</t>
  </si>
  <si>
    <t>890.270.5473</t>
  </si>
  <si>
    <t>Felicia Kramer</t>
  </si>
  <si>
    <t>Angela Duffy</t>
  </si>
  <si>
    <t>mcgeecole@example.org</t>
  </si>
  <si>
    <t>(626)900-8026x5893</t>
  </si>
  <si>
    <t>Linda Boyer</t>
  </si>
  <si>
    <t>Christina Flores</t>
  </si>
  <si>
    <t>michaelkline@example.net</t>
  </si>
  <si>
    <t>(814)596-7914</t>
  </si>
  <si>
    <t>Michelle Glass</t>
  </si>
  <si>
    <t>Mrs. Diane Decker</t>
  </si>
  <si>
    <t>andrewclark@example.com</t>
  </si>
  <si>
    <t>001-626-465-2824x685</t>
  </si>
  <si>
    <t>Kathleen Anderson MD</t>
  </si>
  <si>
    <t>Melissa Navarro</t>
  </si>
  <si>
    <t>andrewmyers@example.org</t>
  </si>
  <si>
    <t>746-605-1908</t>
  </si>
  <si>
    <t>Charles Rich</t>
  </si>
  <si>
    <t>Matthew Blair</t>
  </si>
  <si>
    <t>vanessaflores@example.com</t>
  </si>
  <si>
    <t>+1-536-393-0100x0908</t>
  </si>
  <si>
    <t>Kelly Acosta</t>
  </si>
  <si>
    <t>Emily Holloway</t>
  </si>
  <si>
    <t>thompsondawn@example.org</t>
  </si>
  <si>
    <t>941-858-9290x93043</t>
  </si>
  <si>
    <t>David Butler</t>
  </si>
  <si>
    <t>Thomas Johnson</t>
  </si>
  <si>
    <t>taylorderrick@example.net</t>
  </si>
  <si>
    <t>(281)759-4747x05311</t>
  </si>
  <si>
    <t>Theresa Craig</t>
  </si>
  <si>
    <t>Alejandra Salazar</t>
  </si>
  <si>
    <t>mspears@example.com</t>
  </si>
  <si>
    <t>+1-584-921-8914x269</t>
  </si>
  <si>
    <t>Dr. Heather Johnson PhD</t>
  </si>
  <si>
    <t>John Mendoza</t>
  </si>
  <si>
    <t>hickstimothy@example.org</t>
  </si>
  <si>
    <t>+1-988-836-3688x50162</t>
  </si>
  <si>
    <t>Christopher Coleman</t>
  </si>
  <si>
    <t>Jose Vazquez</t>
  </si>
  <si>
    <t>hudsongwendolyn@example.com</t>
  </si>
  <si>
    <t>+1-661-565-2289x8907</t>
  </si>
  <si>
    <t>Krystal Rodriguez</t>
  </si>
  <si>
    <t>Marcus Castillo</t>
  </si>
  <si>
    <t>ryanvillegas@example.com</t>
  </si>
  <si>
    <t>(340)983-8580x5014</t>
  </si>
  <si>
    <t>Travis Hughes</t>
  </si>
  <si>
    <t>Mr. Kenneth Ashley</t>
  </si>
  <si>
    <t>brittanyrush@example.com</t>
  </si>
  <si>
    <t>(751)288-7114x8600</t>
  </si>
  <si>
    <t>Larry Green</t>
  </si>
  <si>
    <t>Margaret Mills</t>
  </si>
  <si>
    <t>fhoffman@example.com</t>
  </si>
  <si>
    <t>+1-270-330-2930x1125</t>
  </si>
  <si>
    <t>Jenna Garrett</t>
  </si>
  <si>
    <t>Christopher Webster Jr.</t>
  </si>
  <si>
    <t>edward22@example.org</t>
  </si>
  <si>
    <t>269.231.8062</t>
  </si>
  <si>
    <t>Kathleen Gonzalez</t>
  </si>
  <si>
    <t>Robin Floyd</t>
  </si>
  <si>
    <t>bcurtis@example.org</t>
  </si>
  <si>
    <t>697-853-7405x714</t>
  </si>
  <si>
    <t>Tonya Richardson</t>
  </si>
  <si>
    <t>Richard Crawford</t>
  </si>
  <si>
    <t>leamy@example.com</t>
  </si>
  <si>
    <t>654.845.3451</t>
  </si>
  <si>
    <t>Stephanie Hester</t>
  </si>
  <si>
    <t>Jennifer Pennington</t>
  </si>
  <si>
    <t>elizabethbrennan@example.net</t>
  </si>
  <si>
    <t>948.535.8626</t>
  </si>
  <si>
    <t>James Evans</t>
  </si>
  <si>
    <t>Christian Valencia</t>
  </si>
  <si>
    <t>hkennedy@example.com</t>
  </si>
  <si>
    <t>5896432698</t>
  </si>
  <si>
    <t>Seth Daniel</t>
  </si>
  <si>
    <t>Melissa Delacruz MD</t>
  </si>
  <si>
    <t>hineskrystal@example.com</t>
  </si>
  <si>
    <t>4502928467</t>
  </si>
  <si>
    <t>Craig Jackson</t>
  </si>
  <si>
    <t>Miss Christina Williams</t>
  </si>
  <si>
    <t>vgriffin@example.com</t>
  </si>
  <si>
    <t>(395)845-0380</t>
  </si>
  <si>
    <t>Justin Bell</t>
  </si>
  <si>
    <t>Michael Norris</t>
  </si>
  <si>
    <t>evansmatthew@example.net</t>
  </si>
  <si>
    <t>(981)643-5312</t>
  </si>
  <si>
    <t>Melissa Cohen</t>
  </si>
  <si>
    <t>Nicole Oliver</t>
  </si>
  <si>
    <t>jacob11@example.org</t>
  </si>
  <si>
    <t>959.604.2652</t>
  </si>
  <si>
    <t>Jeffrey Lowe</t>
  </si>
  <si>
    <t>Renee Cooper</t>
  </si>
  <si>
    <t>millstyler@example.net</t>
  </si>
  <si>
    <t>285.354.5146</t>
  </si>
  <si>
    <t>Erika Miller</t>
  </si>
  <si>
    <t>Tammy Cooper</t>
  </si>
  <si>
    <t>larry37@example.net</t>
  </si>
  <si>
    <t>5625728167</t>
  </si>
  <si>
    <t>James Cuevas</t>
  </si>
  <si>
    <t>Brandon Stewart</t>
  </si>
  <si>
    <t>bbrooks@example.net</t>
  </si>
  <si>
    <t>001-926-841-2608x4818</t>
  </si>
  <si>
    <t>Kevin Fitzpatrick</t>
  </si>
  <si>
    <t>David Munoz</t>
  </si>
  <si>
    <t>yallen@example.org</t>
  </si>
  <si>
    <t>+1-495-416-7045x059</t>
  </si>
  <si>
    <t>Michele Barnes</t>
  </si>
  <si>
    <t>Robert Meza</t>
  </si>
  <si>
    <t>juanperez@example.net</t>
  </si>
  <si>
    <t>+1-280-448-5142</t>
  </si>
  <si>
    <t>Robert Morales</t>
  </si>
  <si>
    <t>kristenyoung@example.org</t>
  </si>
  <si>
    <t>327-755-7672x991</t>
  </si>
  <si>
    <t>Steven Boyd</t>
  </si>
  <si>
    <t>deborahwright@example.net</t>
  </si>
  <si>
    <t>(831)402-9771x150</t>
  </si>
  <si>
    <t xml:space="preserve">  Ashley Nunez </t>
  </si>
  <si>
    <t>Cameron Berger</t>
  </si>
  <si>
    <t>lisa73@example.org</t>
  </si>
  <si>
    <t>516.829.1087x39221</t>
  </si>
  <si>
    <t>Angela Morris</t>
  </si>
  <si>
    <t>Joe Strickland</t>
  </si>
  <si>
    <t>mejiamichael@example.net</t>
  </si>
  <si>
    <t>677.707.4599x15304</t>
  </si>
  <si>
    <t>Matthew Newton</t>
  </si>
  <si>
    <t>annpeters@example.org</t>
  </si>
  <si>
    <t>945.802.9586</t>
  </si>
  <si>
    <t>Matthew Williams</t>
  </si>
  <si>
    <t>Richard Kramer</t>
  </si>
  <si>
    <t>ricky75@example.com</t>
  </si>
  <si>
    <t>+1-418-923-6881x0138</t>
  </si>
  <si>
    <t>Anthony Christensen</t>
  </si>
  <si>
    <t>David Brooks</t>
  </si>
  <si>
    <t>gardnererik@example.org</t>
  </si>
  <si>
    <t>538-382-5320</t>
  </si>
  <si>
    <t>Mandy Walker</t>
  </si>
  <si>
    <t>youngannette@example.net</t>
  </si>
  <si>
    <t>+1-417-236-9078x94767</t>
  </si>
  <si>
    <t xml:space="preserve">  Hayden Miller </t>
  </si>
  <si>
    <t>Ariel Williams</t>
  </si>
  <si>
    <t>dgentry@example.org</t>
  </si>
  <si>
    <t>(734)385-0895x12370</t>
  </si>
  <si>
    <t>Sonia Silva</t>
  </si>
  <si>
    <t>Dennis Day</t>
  </si>
  <si>
    <t>jordan56@example.net</t>
  </si>
  <si>
    <t>329.565.5619x2767</t>
  </si>
  <si>
    <t>Nicholas Cochran</t>
  </si>
  <si>
    <t>Megan Mason</t>
  </si>
  <si>
    <t>meghanallen@example.com</t>
  </si>
  <si>
    <t>(912)366-7830x5573</t>
  </si>
  <si>
    <t>Ryan Warren</t>
  </si>
  <si>
    <t>Samantha Williams</t>
  </si>
  <si>
    <t>jeffrios@example.net</t>
  </si>
  <si>
    <t>001-646-314-4662x76330</t>
  </si>
  <si>
    <t>Jim Maxwell</t>
  </si>
  <si>
    <t>Carrie Lambert</t>
  </si>
  <si>
    <t>+1-868-863-6470x465</t>
  </si>
  <si>
    <t>Stephanie Mcintosh</t>
  </si>
  <si>
    <t>Juan Chan</t>
  </si>
  <si>
    <t>aaronramirez@example.org</t>
  </si>
  <si>
    <t>993.263.1592x2912</t>
  </si>
  <si>
    <t>Kyle Ramirez</t>
  </si>
  <si>
    <t>Dennis Bennett</t>
  </si>
  <si>
    <t>bethmiller@example.com</t>
  </si>
  <si>
    <t>(228)324-7183</t>
  </si>
  <si>
    <t>Jill Silva</t>
  </si>
  <si>
    <t>Jennifer Brown DVM</t>
  </si>
  <si>
    <t>erica89@example.net</t>
  </si>
  <si>
    <t>001-484-497-4997x9905</t>
  </si>
  <si>
    <t>Caleb Ramirez</t>
  </si>
  <si>
    <t>Rachel Travis</t>
  </si>
  <si>
    <t>zachary18@example.net</t>
  </si>
  <si>
    <t>+1-510-361-7356</t>
  </si>
  <si>
    <t>Christina Davis DDS</t>
  </si>
  <si>
    <t>Mrs. Heather Meyers</t>
  </si>
  <si>
    <t>mgarcia@example.com</t>
  </si>
  <si>
    <t>+1-263-878-8119x389</t>
  </si>
  <si>
    <t>Theresa Wolfe</t>
  </si>
  <si>
    <t>Daniel Morrow</t>
  </si>
  <si>
    <t>fjones@example.com</t>
  </si>
  <si>
    <t>321.963.3613</t>
  </si>
  <si>
    <t xml:space="preserve">  Kelsey Adams </t>
  </si>
  <si>
    <t>Ryan Collins</t>
  </si>
  <si>
    <t>sanchezemily@example.net</t>
  </si>
  <si>
    <t>(345)485-8356x399</t>
  </si>
  <si>
    <t>Mr. Nicholas Munoz</t>
  </si>
  <si>
    <t>Thomas Waters</t>
  </si>
  <si>
    <t>daniel41@example.net</t>
  </si>
  <si>
    <t>001-825-281-4762x123</t>
  </si>
  <si>
    <t>Joshua Hall</t>
  </si>
  <si>
    <t>Heather Davis</t>
  </si>
  <si>
    <t>jenniferpeters@example.com</t>
  </si>
  <si>
    <t>915.863.0930</t>
  </si>
  <si>
    <t>Nancy Rowe</t>
  </si>
  <si>
    <t>Marie Patterson</t>
  </si>
  <si>
    <t>michael98@example.com</t>
  </si>
  <si>
    <t>(940)589-9217</t>
  </si>
  <si>
    <t>Tracy Frost</t>
  </si>
  <si>
    <t>jasonhowell@example.org</t>
  </si>
  <si>
    <t>(470)672-1734x02422</t>
  </si>
  <si>
    <t>Luis Suarez</t>
  </si>
  <si>
    <t>Crystal Pacheco</t>
  </si>
  <si>
    <t>pnunez@example.org</t>
  </si>
  <si>
    <t>001-636-654-0181x4442</t>
  </si>
  <si>
    <t>William Johnson</t>
  </si>
  <si>
    <t>Dana Copeland</t>
  </si>
  <si>
    <t>adrian94@example.com</t>
  </si>
  <si>
    <t>(351)618-6156x40994</t>
  </si>
  <si>
    <t>Corey Ryan DDS</t>
  </si>
  <si>
    <t>Julie Flores</t>
  </si>
  <si>
    <t>kevinnguyen@example.org</t>
  </si>
  <si>
    <t>+1-690-482-6110x35659</t>
  </si>
  <si>
    <t>Linda Thompson</t>
  </si>
  <si>
    <t>Carrie Castillo</t>
  </si>
  <si>
    <t>qreynolds@example.com</t>
  </si>
  <si>
    <t>+1-322-395-3386x194</t>
  </si>
  <si>
    <t>Kimberly Webster</t>
  </si>
  <si>
    <t>Alexis Oliver</t>
  </si>
  <si>
    <t>kristatorres@example.com</t>
  </si>
  <si>
    <t>+1-624-506-6283x4633</t>
  </si>
  <si>
    <t>Dawn Kennedy</t>
  </si>
  <si>
    <t>Tyler Rose</t>
  </si>
  <si>
    <t>qorr@example.net</t>
  </si>
  <si>
    <t>4868542438</t>
  </si>
  <si>
    <t>Theresa Spencer</t>
  </si>
  <si>
    <t>Jerry Harris</t>
  </si>
  <si>
    <t>lanemichael@example.net</t>
  </si>
  <si>
    <t>+1-689-759-4703x9696</t>
  </si>
  <si>
    <t>Kyle Franco</t>
  </si>
  <si>
    <t>Garrett Green</t>
  </si>
  <si>
    <t>langalexandra@example.org</t>
  </si>
  <si>
    <t>5996542887</t>
  </si>
  <si>
    <t>Dr. Lisa Morales</t>
  </si>
  <si>
    <t>Victor Jordan</t>
  </si>
  <si>
    <t>stephen61@example.com</t>
  </si>
  <si>
    <t>001-506-690-1497x110</t>
  </si>
  <si>
    <t>Tiffany Randolph</t>
  </si>
  <si>
    <t>George Castillo</t>
  </si>
  <si>
    <t>robert50@example.net</t>
  </si>
  <si>
    <t>618-586-0167x44923</t>
  </si>
  <si>
    <t>Isabel Clay</t>
  </si>
  <si>
    <t>Ms. Erin Andrade</t>
  </si>
  <si>
    <t>mario05@example.com</t>
  </si>
  <si>
    <t>(493)775-4024x28617</t>
  </si>
  <si>
    <t>Belinda Haley</t>
  </si>
  <si>
    <t>Erin Baird</t>
  </si>
  <si>
    <t>ambersavage@example.com</t>
  </si>
  <si>
    <t>(226)848-1638x49368</t>
  </si>
  <si>
    <t>Jose Walker</t>
  </si>
  <si>
    <t>Angela Carrillo</t>
  </si>
  <si>
    <t>scottlane@example.net</t>
  </si>
  <si>
    <t>919-230-4852x77586</t>
  </si>
  <si>
    <t>Jasmine Perry</t>
  </si>
  <si>
    <t>Cory Henderson</t>
  </si>
  <si>
    <t>kevin43@example.net</t>
  </si>
  <si>
    <t>+1-546-589-6331x812</t>
  </si>
  <si>
    <t>Michael Davis</t>
  </si>
  <si>
    <t>maryblackwell@example.com</t>
  </si>
  <si>
    <t>757-276-2626x367</t>
  </si>
  <si>
    <t>Stephanie Spencer</t>
  </si>
  <si>
    <t>Katherine Simpson</t>
  </si>
  <si>
    <t>xburch@example.net</t>
  </si>
  <si>
    <t>643-248-5295x377</t>
  </si>
  <si>
    <t>Rachel Alvarez</t>
  </si>
  <si>
    <t>Justin Campbell</t>
  </si>
  <si>
    <t>monica07@example.com</t>
  </si>
  <si>
    <t>951.549.7534x115</t>
  </si>
  <si>
    <t>Christine Howell</t>
  </si>
  <si>
    <t>Andrew Robbins</t>
  </si>
  <si>
    <t>joanna65@example.com</t>
  </si>
  <si>
    <t>(582)734-4538x565</t>
  </si>
  <si>
    <t>Suzanne Hancock</t>
  </si>
  <si>
    <t>Jason Riggs</t>
  </si>
  <si>
    <t>hensleybenjamin@example.com</t>
  </si>
  <si>
    <t>8913103495</t>
  </si>
  <si>
    <t>Michael Harper</t>
  </si>
  <si>
    <t>Nancy Bass</t>
  </si>
  <si>
    <t>millercristian@example.com</t>
  </si>
  <si>
    <t>837.946.6144x77618</t>
  </si>
  <si>
    <t>Diana Murray</t>
  </si>
  <si>
    <t>Jennifer Curtis</t>
  </si>
  <si>
    <t>jkelley@example.net</t>
  </si>
  <si>
    <t>+1-305-625-6599x508</t>
  </si>
  <si>
    <t>Meredith Holt</t>
  </si>
  <si>
    <t>Christopher Bush</t>
  </si>
  <si>
    <t>shenderson@example.org</t>
  </si>
  <si>
    <t>547-339-8622x14051</t>
  </si>
  <si>
    <t>Jamie Parker</t>
  </si>
  <si>
    <t>Sean Lewis</t>
  </si>
  <si>
    <t>kingjessica@example.net</t>
  </si>
  <si>
    <t>224-474-4203x59441</t>
  </si>
  <si>
    <t>Courtney Wagner</t>
  </si>
  <si>
    <t>Sara Gay</t>
  </si>
  <si>
    <t>fgutierrez@example.com</t>
  </si>
  <si>
    <t>713-513-5183x0258</t>
  </si>
  <si>
    <t>Tony Barnes</t>
  </si>
  <si>
    <t>Robert Bailey</t>
  </si>
  <si>
    <t>dana17@example.net</t>
  </si>
  <si>
    <t>+1-855-799-0984x128</t>
  </si>
  <si>
    <t>Joseph Eaton</t>
  </si>
  <si>
    <t>Jamie Reed</t>
  </si>
  <si>
    <t>jasonharris@example.org</t>
  </si>
  <si>
    <t>001-534-389-1800</t>
  </si>
  <si>
    <t>Sharon Lopez</t>
  </si>
  <si>
    <t>Lawrence Velasquez</t>
  </si>
  <si>
    <t>robin19@example.com</t>
  </si>
  <si>
    <t>001-773-409-1218</t>
  </si>
  <si>
    <t>Corey Davis</t>
  </si>
  <si>
    <t>Nathaniel Davis</t>
  </si>
  <si>
    <t>christopherandrade@example.com</t>
  </si>
  <si>
    <t>(930)915-3030x440</t>
  </si>
  <si>
    <t>Megan Garcia</t>
  </si>
  <si>
    <t>Zachary Yang</t>
  </si>
  <si>
    <t>christina45@example.com</t>
  </si>
  <si>
    <t>366.434.5418x299</t>
  </si>
  <si>
    <t>Louis Stein</t>
  </si>
  <si>
    <t>Christian Butler</t>
  </si>
  <si>
    <t>donovansamantha@example.org</t>
  </si>
  <si>
    <t>4614669100</t>
  </si>
  <si>
    <t>Brandi Singh</t>
  </si>
  <si>
    <t>Charles Holloway</t>
  </si>
  <si>
    <t>edwinmiller@example.com</t>
  </si>
  <si>
    <t>(962)369-9620x834</t>
  </si>
  <si>
    <t>Alexandra Carroll</t>
  </si>
  <si>
    <t>Robert Schultz</t>
  </si>
  <si>
    <t>travis28@example.net</t>
  </si>
  <si>
    <t>903.422.0074x859</t>
  </si>
  <si>
    <t>Corey Ford</t>
  </si>
  <si>
    <t>Leonard Davis</t>
  </si>
  <si>
    <t>jacob05@example.net</t>
  </si>
  <si>
    <t>202.886.0604x80224</t>
  </si>
  <si>
    <t>Sarah Tanner</t>
  </si>
  <si>
    <t>Troy Ross</t>
  </si>
  <si>
    <t>bobby90@example.com</t>
  </si>
  <si>
    <t>289-385-6643</t>
  </si>
  <si>
    <t>Erin Randall</t>
  </si>
  <si>
    <t>Chad Robertson</t>
  </si>
  <si>
    <t>gschmidt@example.com</t>
  </si>
  <si>
    <t>001-465-269-9313x6062</t>
  </si>
  <si>
    <t>Wendy Lloyd</t>
  </si>
  <si>
    <t>Kristi Smith</t>
  </si>
  <si>
    <t>timothy94@example.net</t>
  </si>
  <si>
    <t>001-771-599-0380x35148</t>
  </si>
  <si>
    <t>Tiffany Hudson</t>
  </si>
  <si>
    <t>Kevin Molina</t>
  </si>
  <si>
    <t>steve90@example.com</t>
  </si>
  <si>
    <t>847.928.3951</t>
  </si>
  <si>
    <t>Anthony Elliott</t>
  </si>
  <si>
    <t>Beth Cross</t>
  </si>
  <si>
    <t>486.286.5629x25822</t>
  </si>
  <si>
    <t>Ashley Robinson</t>
  </si>
  <si>
    <t>Daniel Kim</t>
  </si>
  <si>
    <t>ronald46@example.com</t>
  </si>
  <si>
    <t>(778)909-6458x37449</t>
  </si>
  <si>
    <t>Bobby Howard</t>
  </si>
  <si>
    <t>Timothy Morris</t>
  </si>
  <si>
    <t>gabriela59@example.net</t>
  </si>
  <si>
    <t>(389)674-8741</t>
  </si>
  <si>
    <t>Janice Clay</t>
  </si>
  <si>
    <t>Jessica Morris</t>
  </si>
  <si>
    <t>combsdenise@example.net</t>
  </si>
  <si>
    <t>+1-776-845-3496x551</t>
  </si>
  <si>
    <t>Brian Powell</t>
  </si>
  <si>
    <t>Jessica Mcconnell</t>
  </si>
  <si>
    <t>mcintyrebrendan@example.org</t>
  </si>
  <si>
    <t>(482)401-6301x597</t>
  </si>
  <si>
    <t>Brianna Warren</t>
  </si>
  <si>
    <t>Rebecca Lewis</t>
  </si>
  <si>
    <t>timothyortiz@example.org</t>
  </si>
  <si>
    <t>001-284-560-1804</t>
  </si>
  <si>
    <t>Elijah Smith</t>
  </si>
  <si>
    <t>Felicia Robinson</t>
  </si>
  <si>
    <t>nicholasibarra@example.com</t>
  </si>
  <si>
    <t>(871)255-4460x5392</t>
  </si>
  <si>
    <t>Jessica Foley</t>
  </si>
  <si>
    <t>Samantha Powell</t>
  </si>
  <si>
    <t>tylerwilliams@example.com</t>
  </si>
  <si>
    <t>001-936-449-9119x2856</t>
  </si>
  <si>
    <t>Holly Williams</t>
  </si>
  <si>
    <t>Dr. Tiffany Booker</t>
  </si>
  <si>
    <t>angelavalencia@example.net</t>
  </si>
  <si>
    <t>775.858.2126x2643</t>
  </si>
  <si>
    <t>Jose Roberts</t>
  </si>
  <si>
    <t>Jeremy Lynch</t>
  </si>
  <si>
    <t>guerramaria@example.org</t>
  </si>
  <si>
    <t>+1-699-619-8177x55129</t>
  </si>
  <si>
    <t>Eric Norman</t>
  </si>
  <si>
    <t>Michael Jordan</t>
  </si>
  <si>
    <t>christine28@example.net</t>
  </si>
  <si>
    <t>001-238-959-7477x65659</t>
  </si>
  <si>
    <t>Gabriel Swanson</t>
  </si>
  <si>
    <t>Riley Clark</t>
  </si>
  <si>
    <t>jeffrey68@example.com</t>
  </si>
  <si>
    <t>+1-871-556-9220x94907</t>
  </si>
  <si>
    <t>Brian Clark</t>
  </si>
  <si>
    <t>Julie Mcknight</t>
  </si>
  <si>
    <t>rodriguezstephanie@example.net</t>
  </si>
  <si>
    <t>477-434-9431x487</t>
  </si>
  <si>
    <t>Jacob Hayden</t>
  </si>
  <si>
    <t>David Walker</t>
  </si>
  <si>
    <t>deborah74@example.org</t>
  </si>
  <si>
    <t>(785)757-3952x3285</t>
  </si>
  <si>
    <t>Sandra Craig</t>
  </si>
  <si>
    <t>Tracy Cooper</t>
  </si>
  <si>
    <t>marissa58@example.org</t>
  </si>
  <si>
    <t>+1-666-902-8413x6233</t>
  </si>
  <si>
    <t>Albert Garcia</t>
  </si>
  <si>
    <t>Kevin Daugherty</t>
  </si>
  <si>
    <t>scotttiffany@example.net</t>
  </si>
  <si>
    <t>001-773-241-8559</t>
  </si>
  <si>
    <t>Claire Mcmillan</t>
  </si>
  <si>
    <t>Randall Johnson</t>
  </si>
  <si>
    <t>mjohnson@example.com</t>
  </si>
  <si>
    <t>901-275-9001</t>
  </si>
  <si>
    <t>Julia Gibbs</t>
  </si>
  <si>
    <t>Andrew Daniels</t>
  </si>
  <si>
    <t>sherryedwards@example.net</t>
  </si>
  <si>
    <t>862-915-9389</t>
  </si>
  <si>
    <t>David Bolton</t>
  </si>
  <si>
    <t>Katelyn Allen</t>
  </si>
  <si>
    <t>jacqueline96@example.org</t>
  </si>
  <si>
    <t>307.522.8834x1335</t>
  </si>
  <si>
    <t>Susan Collins</t>
  </si>
  <si>
    <t>nreid@example.org</t>
  </si>
  <si>
    <t>(263)957-9671x48030</t>
  </si>
  <si>
    <t>Crystal Diaz</t>
  </si>
  <si>
    <t>Sarah Castro</t>
  </si>
  <si>
    <t>peterjohnson@example.org</t>
  </si>
  <si>
    <t>326-337-9412x88669</t>
  </si>
  <si>
    <t>Megan Krueger</t>
  </si>
  <si>
    <t>Carol Baker</t>
  </si>
  <si>
    <t>marcomoore@example.com</t>
  </si>
  <si>
    <t>619-878-9259</t>
  </si>
  <si>
    <t>Olivia Hayes</t>
  </si>
  <si>
    <t>Mark Gray</t>
  </si>
  <si>
    <t>isabel25@example.net</t>
  </si>
  <si>
    <t>244-711-8185x13673</t>
  </si>
  <si>
    <t>Daniel Petersen</t>
  </si>
  <si>
    <t>Ariel Watkins</t>
  </si>
  <si>
    <t>umonroe@example.com</t>
  </si>
  <si>
    <t>541.584.7146x22014</t>
  </si>
  <si>
    <t>Derek Brown</t>
  </si>
  <si>
    <t>Cody Jackson</t>
  </si>
  <si>
    <t>rhondasmith@example.org</t>
  </si>
  <si>
    <t>576.947.7090x67618</t>
  </si>
  <si>
    <t>Patrick Brooks</t>
  </si>
  <si>
    <t>Mr. Michael Jones</t>
  </si>
  <si>
    <t>glopez@example.com</t>
  </si>
  <si>
    <t>(604)388-8680</t>
  </si>
  <si>
    <t>Robin Walker</t>
  </si>
  <si>
    <t>Ronald Martin</t>
  </si>
  <si>
    <t>destiny64@example.net</t>
  </si>
  <si>
    <t>(674)219-9160x53906</t>
  </si>
  <si>
    <t>Michelle Christensen</t>
  </si>
  <si>
    <t>Crystal Anderson</t>
  </si>
  <si>
    <t>thorntoncaitlyn@example.net</t>
  </si>
  <si>
    <t>8184158913</t>
  </si>
  <si>
    <t>Bruce Rivera</t>
  </si>
  <si>
    <t>carlwright@example.com</t>
  </si>
  <si>
    <t>001-925-726-0221x6908</t>
  </si>
  <si>
    <t>Kayla Thomas</t>
  </si>
  <si>
    <t>Lindsey Gonzalez</t>
  </si>
  <si>
    <t>amy84@example.org</t>
  </si>
  <si>
    <t>+1-891-506-5735x17454</t>
  </si>
  <si>
    <t>Michelle Martinez</t>
  </si>
  <si>
    <t>Morgan Torres</t>
  </si>
  <si>
    <t>hernandezamy@example.org</t>
  </si>
  <si>
    <t>295-558-9799</t>
  </si>
  <si>
    <t>Peter Morrison</t>
  </si>
  <si>
    <t>Timothy Miller</t>
  </si>
  <si>
    <t>mlyons@example.org</t>
  </si>
  <si>
    <t>(768)370-9412x460</t>
  </si>
  <si>
    <t>Dawn Lamb</t>
  </si>
  <si>
    <t>Lynn Garza</t>
  </si>
  <si>
    <t>johncruz@example.com</t>
  </si>
  <si>
    <t>887-667-7600</t>
  </si>
  <si>
    <t>Frederick Finley</t>
  </si>
  <si>
    <t>Tara Lloyd</t>
  </si>
  <si>
    <t>qrhodes@example.org</t>
  </si>
  <si>
    <t>873-903-3249</t>
  </si>
  <si>
    <t>Paul Porter</t>
  </si>
  <si>
    <t>Wendy Peterson</t>
  </si>
  <si>
    <t>turnerjuan@example.net</t>
  </si>
  <si>
    <t>8942731815</t>
  </si>
  <si>
    <t>Sarah Martin</t>
  </si>
  <si>
    <t>Kristopher Allison</t>
  </si>
  <si>
    <t>lisa47@example.com</t>
  </si>
  <si>
    <t>911-707-9764</t>
  </si>
  <si>
    <t>Patrick Barnes</t>
  </si>
  <si>
    <t>Jorge Tyler</t>
  </si>
  <si>
    <t>garrettvega@example.org</t>
  </si>
  <si>
    <t>785-840-3909x8468</t>
  </si>
  <si>
    <t>Jeffrey Cummings</t>
  </si>
  <si>
    <t>Catherine Glenn</t>
  </si>
  <si>
    <t>hjones@example.org</t>
  </si>
  <si>
    <t>(887)409-7777x95703</t>
  </si>
  <si>
    <t>Jonathan Lawrence</t>
  </si>
  <si>
    <t>Rhonda Livingston</t>
  </si>
  <si>
    <t>santiagochristopher@example.com</t>
  </si>
  <si>
    <t>001-635-512-8962x20682</t>
  </si>
  <si>
    <t>Corey David</t>
  </si>
  <si>
    <t>Richard Lewis</t>
  </si>
  <si>
    <t>johnnygray@example.com</t>
  </si>
  <si>
    <t>001-706-994-3069x523</t>
  </si>
  <si>
    <t>Jenna Osborne</t>
  </si>
  <si>
    <t>Ann Wagner</t>
  </si>
  <si>
    <t>timothydavenport@example.org</t>
  </si>
  <si>
    <t>(244)688-5487x5311</t>
  </si>
  <si>
    <t>Gregory Collins</t>
  </si>
  <si>
    <t>Robert Nguyen</t>
  </si>
  <si>
    <t>tortiz@example.org</t>
  </si>
  <si>
    <t>(450)278-6887x860</t>
  </si>
  <si>
    <t>Kevin Anderson</t>
  </si>
  <si>
    <t>Stephen Stark</t>
  </si>
  <si>
    <t>winterschristopher@example.net</t>
  </si>
  <si>
    <t>986-563-9928x79872</t>
  </si>
  <si>
    <t>Eric Cox</t>
  </si>
  <si>
    <t>hthompson@example.com</t>
  </si>
  <si>
    <t>+1-296-944-1603x32888</t>
  </si>
  <si>
    <t>Fred Miles</t>
  </si>
  <si>
    <t>John Morgan</t>
  </si>
  <si>
    <t>hernandezandrew@example.net</t>
  </si>
  <si>
    <t>(801)675-4541</t>
  </si>
  <si>
    <t>Lisa Barrett</t>
  </si>
  <si>
    <t>Amy Barron</t>
  </si>
  <si>
    <t>dperry@example.com</t>
  </si>
  <si>
    <t>+1-801-252-6974x4203</t>
  </si>
  <si>
    <t>Dr. Glenn Moss</t>
  </si>
  <si>
    <t>Renee Harris</t>
  </si>
  <si>
    <t>william72@example.org</t>
  </si>
  <si>
    <t>001-483-568-0601x457</t>
  </si>
  <si>
    <t>John Adams</t>
  </si>
  <si>
    <t>Gloria Padilla</t>
  </si>
  <si>
    <t>001-419-267-9720x9251</t>
  </si>
  <si>
    <t>Justin Dunn</t>
  </si>
  <si>
    <t>Beth Perez</t>
  </si>
  <si>
    <t>taracole@example.org</t>
  </si>
  <si>
    <t>793-779-5829x158</t>
  </si>
  <si>
    <t>Angela Kirby</t>
  </si>
  <si>
    <t>Maria Miller</t>
  </si>
  <si>
    <t>teresamckee@example.com</t>
  </si>
  <si>
    <t>474-714-2487x39626</t>
  </si>
  <si>
    <t>Kelly Gardner</t>
  </si>
  <si>
    <t>Cassandra Delgado</t>
  </si>
  <si>
    <t>pluna@example.net</t>
  </si>
  <si>
    <t>(977)424-4343x54978</t>
  </si>
  <si>
    <t>Sharon Cox</t>
  </si>
  <si>
    <t>Stuart Goodwin</t>
  </si>
  <si>
    <t>jeffrey80@example.org</t>
  </si>
  <si>
    <t>+1-890-234-8042x479</t>
  </si>
  <si>
    <t>Michelle Bradley</t>
  </si>
  <si>
    <t>Austin Hale</t>
  </si>
  <si>
    <t>aperez@example.org</t>
  </si>
  <si>
    <t>526-262-2549x2036</t>
  </si>
  <si>
    <t>Angela Bernard</t>
  </si>
  <si>
    <t>Lori Brown</t>
  </si>
  <si>
    <t>sheltoneddie@example.org</t>
  </si>
  <si>
    <t>917-722-6414</t>
  </si>
  <si>
    <t>Wayne Smith</t>
  </si>
  <si>
    <t>Austin Adams</t>
  </si>
  <si>
    <t>jeffrivera@example.net</t>
  </si>
  <si>
    <t>001-947-942-2983x5966</t>
  </si>
  <si>
    <t>Angela Gomez</t>
  </si>
  <si>
    <t>Alicia Jackson</t>
  </si>
  <si>
    <t>khammond@example.net</t>
  </si>
  <si>
    <t>273-265-0032x9909</t>
  </si>
  <si>
    <t>Ryan Russell</t>
  </si>
  <si>
    <t>Maria Turner</t>
  </si>
  <si>
    <t>pgordon@example.net</t>
  </si>
  <si>
    <t>001-455-240-4231x697</t>
  </si>
  <si>
    <t>Jessica Cox</t>
  </si>
  <si>
    <t>Theresa Walker</t>
  </si>
  <si>
    <t>kevinhall@example.net</t>
  </si>
  <si>
    <t>(590)745-3925x2878</t>
  </si>
  <si>
    <t>David Yates</t>
  </si>
  <si>
    <t>Stephanie Sanchez</t>
  </si>
  <si>
    <t>vhall@example.org</t>
  </si>
  <si>
    <t>+1-230-723-6412x2474</t>
  </si>
  <si>
    <t>Robert Moore</t>
  </si>
  <si>
    <t>Gregory Nguyen</t>
  </si>
  <si>
    <t>rossdavid@example.org</t>
  </si>
  <si>
    <t>610-471-5558x70940</t>
  </si>
  <si>
    <t>Matthew Mcdaniel</t>
  </si>
  <si>
    <t>Glen Torres</t>
  </si>
  <si>
    <t>wheelereric@example.com</t>
  </si>
  <si>
    <t>325-538-0781</t>
  </si>
  <si>
    <t>Morgan Blackwell</t>
  </si>
  <si>
    <t>Hannah Paul</t>
  </si>
  <si>
    <t>cheryl41@example.net</t>
  </si>
  <si>
    <t>001-471-457-5571x663</t>
  </si>
  <si>
    <t>Mrs. Alicia Bowers</t>
  </si>
  <si>
    <t>Jason Bruce</t>
  </si>
  <si>
    <t>powersmonique@example.net</t>
  </si>
  <si>
    <t>(663)452-0076x150</t>
  </si>
  <si>
    <t>Lawrence Keller</t>
  </si>
  <si>
    <t>Heather Pearson</t>
  </si>
  <si>
    <t>emurray@example.com</t>
  </si>
  <si>
    <t>236.308.0901</t>
  </si>
  <si>
    <t>Pamela Butler</t>
  </si>
  <si>
    <t>Anthony Robinson</t>
  </si>
  <si>
    <t>toddpalmer@example.net</t>
  </si>
  <si>
    <t>+1-818-593-0461</t>
  </si>
  <si>
    <t>Ashley Rasmussen</t>
  </si>
  <si>
    <t>Joseph Gomez</t>
  </si>
  <si>
    <t>sarah90@example.com</t>
  </si>
  <si>
    <t>+1-209-265-6882x6728</t>
  </si>
  <si>
    <t>Christopher Freeman</t>
  </si>
  <si>
    <t>Misty Lucero</t>
  </si>
  <si>
    <t>nunezsherry@example.com</t>
  </si>
  <si>
    <t>223.573.5640x783</t>
  </si>
  <si>
    <t>James Ramos</t>
  </si>
  <si>
    <t>Paige Silva</t>
  </si>
  <si>
    <t>dakota45@example.com</t>
  </si>
  <si>
    <t>+1-883-867-1467x490</t>
  </si>
  <si>
    <t>Miranda Cole</t>
  </si>
  <si>
    <t>Justin Hines</t>
  </si>
  <si>
    <t>millerkevin@example.com</t>
  </si>
  <si>
    <t>2599563431</t>
  </si>
  <si>
    <t>Timothy Smith</t>
  </si>
  <si>
    <t>Gregory Davenport</t>
  </si>
  <si>
    <t>roy33@example.com</t>
  </si>
  <si>
    <t>001-477-830-3167x871</t>
  </si>
  <si>
    <t>Douglas Castillo</t>
  </si>
  <si>
    <t>taylornicholas@example.com</t>
  </si>
  <si>
    <t>950-805-4908x09983</t>
  </si>
  <si>
    <t>Cynthia Hicks</t>
  </si>
  <si>
    <t>James Myers</t>
  </si>
  <si>
    <t>harrislaura@example.com</t>
  </si>
  <si>
    <t>583.700.0914</t>
  </si>
  <si>
    <t>Eric Giles</t>
  </si>
  <si>
    <t>Mrs. Valerie Ramirez</t>
  </si>
  <si>
    <t>kfrey@example.net</t>
  </si>
  <si>
    <t>(854)466-2897x35189</t>
  </si>
  <si>
    <t>Christopher Strickland</t>
  </si>
  <si>
    <t>Amy Martin</t>
  </si>
  <si>
    <t>benjaminwalker@example.com</t>
  </si>
  <si>
    <t>7562771251</t>
  </si>
  <si>
    <t>Ashley Black</t>
  </si>
  <si>
    <t>Patricia Hunter</t>
  </si>
  <si>
    <t>rogersrobert@example.com</t>
  </si>
  <si>
    <t>6816239278</t>
  </si>
  <si>
    <t>Mr. Kevin James</t>
  </si>
  <si>
    <t>Bradley Taylor</t>
  </si>
  <si>
    <t>jcarr@example.com</t>
  </si>
  <si>
    <t>542-302-2482x4886</t>
  </si>
  <si>
    <t>Joel Murray</t>
  </si>
  <si>
    <t>Andrew Hahn</t>
  </si>
  <si>
    <t>gentryanthony@example.org</t>
  </si>
  <si>
    <t>(269)614-1939x6061</t>
  </si>
  <si>
    <t>Sandra Martinez</t>
  </si>
  <si>
    <t>olsenlinda@example.net</t>
  </si>
  <si>
    <t>(556)692-4768</t>
  </si>
  <si>
    <t>Andrew Green</t>
  </si>
  <si>
    <t>Craig Jones</t>
  </si>
  <si>
    <t>rodriguezmichaela@example.net</t>
  </si>
  <si>
    <t>+1-614-605-1325x1790</t>
  </si>
  <si>
    <t>Jonathan Gutierrez</t>
  </si>
  <si>
    <t>Denise Williams</t>
  </si>
  <si>
    <t>schavez@example.net</t>
  </si>
  <si>
    <t>478.431.0314x56457</t>
  </si>
  <si>
    <t>Matthew Kennedy</t>
  </si>
  <si>
    <t>Anthony Swanson</t>
  </si>
  <si>
    <t>walkermichaela@example.com</t>
  </si>
  <si>
    <t>349-599-8709x339</t>
  </si>
  <si>
    <t>Wayne Mendez</t>
  </si>
  <si>
    <t>Robert Sullivan</t>
  </si>
  <si>
    <t>chad60@example.org</t>
  </si>
  <si>
    <t>(967)853-1805</t>
  </si>
  <si>
    <t>Michael Johnson</t>
  </si>
  <si>
    <t>Joseph Sullivan</t>
  </si>
  <si>
    <t>kenneth12@example.com</t>
  </si>
  <si>
    <t>660.864.0047</t>
  </si>
  <si>
    <t>Eric Hoffman</t>
  </si>
  <si>
    <t>Makayla Velasquez</t>
  </si>
  <si>
    <t>william81@example.com</t>
  </si>
  <si>
    <t>3369100770</t>
  </si>
  <si>
    <t>Dr. Scott Valdez</t>
  </si>
  <si>
    <t>Terry Larson</t>
  </si>
  <si>
    <t>lisavilla@example.com</t>
  </si>
  <si>
    <t>311.617.1960x04902</t>
  </si>
  <si>
    <t>Brandon Bonilla</t>
  </si>
  <si>
    <t>Samuel Henderson</t>
  </si>
  <si>
    <t>jeremy38@example.com</t>
  </si>
  <si>
    <t>+1-596-255-2391x70335</t>
  </si>
  <si>
    <t>Nicole Collins</t>
  </si>
  <si>
    <t>Laurie White</t>
  </si>
  <si>
    <t>nwhitney@example.net</t>
  </si>
  <si>
    <t>(619)977-3173x9462</t>
  </si>
  <si>
    <t>Brittany Hull</t>
  </si>
  <si>
    <t>Robin Carson</t>
  </si>
  <si>
    <t>qhodge@example.org</t>
  </si>
  <si>
    <t>+1-527-368-7141x349</t>
  </si>
  <si>
    <t>Karen Lynch</t>
  </si>
  <si>
    <t>Andrew Smith</t>
  </si>
  <si>
    <t>anita17@example.org</t>
  </si>
  <si>
    <t>579-721-1625x06989</t>
  </si>
  <si>
    <t>Jennifer Morales</t>
  </si>
  <si>
    <t>Kimberly Carlson</t>
  </si>
  <si>
    <t>garciakenneth@example.net</t>
  </si>
  <si>
    <t>+1-855-870-3934x2718</t>
  </si>
  <si>
    <t>Lauren Hernandez</t>
  </si>
  <si>
    <t>Larry Phelps</t>
  </si>
  <si>
    <t>murphychristine@example.org</t>
  </si>
  <si>
    <t>(900)501-1015x6161</t>
  </si>
  <si>
    <t>Rachel Faulkner</t>
  </si>
  <si>
    <t>Lori Miller</t>
  </si>
  <si>
    <t>foleyaaron@example.net</t>
  </si>
  <si>
    <t>001-988-423-8469x9086</t>
  </si>
  <si>
    <t>Timothy Jones</t>
  </si>
  <si>
    <t>Dennis Martinez</t>
  </si>
  <si>
    <t>pfry@example.net</t>
  </si>
  <si>
    <t>(855)561-9221x88220</t>
  </si>
  <si>
    <t>Kelsey Riggs</t>
  </si>
  <si>
    <t>Barbara Cruz</t>
  </si>
  <si>
    <t>mariamoore@example.com</t>
  </si>
  <si>
    <t>816-993-6835x991</t>
  </si>
  <si>
    <t>Adrian Sanchez</t>
  </si>
  <si>
    <t>Kenneth Jones</t>
  </si>
  <si>
    <t>donnamadden@example.org</t>
  </si>
  <si>
    <t>+1-926-671-2693</t>
  </si>
  <si>
    <t>Lori Flores</t>
  </si>
  <si>
    <t>Taylor Edwards</t>
  </si>
  <si>
    <t>qgill@example.com</t>
  </si>
  <si>
    <t>+1-284-836-8681x11433</t>
  </si>
  <si>
    <t>Larry Stone</t>
  </si>
  <si>
    <t>Jonathan Miller</t>
  </si>
  <si>
    <t>logan59@example.net</t>
  </si>
  <si>
    <t>+1-206-627-8790x25912</t>
  </si>
  <si>
    <t>Tiffany Mcdonald</t>
  </si>
  <si>
    <t>Christopher Ramsey</t>
  </si>
  <si>
    <t>bfoster@example.org</t>
  </si>
  <si>
    <t>(735)784-1802</t>
  </si>
  <si>
    <t>Leah Bean</t>
  </si>
  <si>
    <t>Darren Gibson</t>
  </si>
  <si>
    <t>carolynhoward@example.com</t>
  </si>
  <si>
    <t>001-355-319-2474</t>
  </si>
  <si>
    <t>Michael Huerta</t>
  </si>
  <si>
    <t>Joy Robinson</t>
  </si>
  <si>
    <t>whernandez@example.com</t>
  </si>
  <si>
    <t>+1-276-211-2584x2330</t>
  </si>
  <si>
    <t>Tyler Johnson</t>
  </si>
  <si>
    <t>Melissa Lane</t>
  </si>
  <si>
    <t>courtneygamble@example.net</t>
  </si>
  <si>
    <t>(587)332-1078</t>
  </si>
  <si>
    <t>Jeremy Moran</t>
  </si>
  <si>
    <t>Dr. Donna Bailey</t>
  </si>
  <si>
    <t>aaronanderson@example.org</t>
  </si>
  <si>
    <t>+1-970-884-2874x162</t>
  </si>
  <si>
    <t>Christine Foster</t>
  </si>
  <si>
    <t>Mario Cross</t>
  </si>
  <si>
    <t>martin00@example.com</t>
  </si>
  <si>
    <t>408-819-4842</t>
  </si>
  <si>
    <t>Christine Williams</t>
  </si>
  <si>
    <t>Adam Hayes</t>
  </si>
  <si>
    <t>johnjohnson@example.net</t>
  </si>
  <si>
    <t>+1-383-803-4243x7539</t>
  </si>
  <si>
    <t>Brenda Frye</t>
  </si>
  <si>
    <t>Larry Pitts</t>
  </si>
  <si>
    <t>bwalker@example.com</t>
  </si>
  <si>
    <t>+1-668-374-0330x454</t>
  </si>
  <si>
    <t>Jean Graham</t>
  </si>
  <si>
    <t>John Johnson</t>
  </si>
  <si>
    <t>kelly58@example.org</t>
  </si>
  <si>
    <t>451-276-4296</t>
  </si>
  <si>
    <t>Robert Pena</t>
  </si>
  <si>
    <t>tgilbert@example.com</t>
  </si>
  <si>
    <t>431-452-5523</t>
  </si>
  <si>
    <t>Veronica Walls</t>
  </si>
  <si>
    <t>Ryan Lee</t>
  </si>
  <si>
    <t>owong@example.com</t>
  </si>
  <si>
    <t>554.704.7625</t>
  </si>
  <si>
    <t>Brian Wilson</t>
  </si>
  <si>
    <t>Christopher Nguyen</t>
  </si>
  <si>
    <t>ddavenport@example.com</t>
  </si>
  <si>
    <t>001-288-582-6031x748</t>
  </si>
  <si>
    <t>Terry Howard</t>
  </si>
  <si>
    <t>Stephanie Romero</t>
  </si>
  <si>
    <t>iwilson@example.com</t>
  </si>
  <si>
    <t>742-429-3554</t>
  </si>
  <si>
    <t>Noah Gomez</t>
  </si>
  <si>
    <t>Frank Crawford</t>
  </si>
  <si>
    <t>rodriguezjacob@example.com</t>
  </si>
  <si>
    <t>001-983-604-5762</t>
  </si>
  <si>
    <t>Sean Garcia</t>
  </si>
  <si>
    <t>April Hudson DVM</t>
  </si>
  <si>
    <t>tammy97@example.org</t>
  </si>
  <si>
    <t>001-515-622-1336x89600</t>
  </si>
  <si>
    <t>Michael Jones</t>
  </si>
  <si>
    <t>Madison Beasley</t>
  </si>
  <si>
    <t>adrianmcneil@example.com</t>
  </si>
  <si>
    <t>361-713-9979x927</t>
  </si>
  <si>
    <t>Taylor Gaines</t>
  </si>
  <si>
    <t>Connie Meyer</t>
  </si>
  <si>
    <t>hgoodman@example.net</t>
  </si>
  <si>
    <t>(528)958-9868x184</t>
  </si>
  <si>
    <t>David Joseph</t>
  </si>
  <si>
    <t>Alexa Smith</t>
  </si>
  <si>
    <t>tylermitchell@example.net</t>
  </si>
  <si>
    <t>+1-444-857-4441x076</t>
  </si>
  <si>
    <t>Mark Howe</t>
  </si>
  <si>
    <t>David Mack</t>
  </si>
  <si>
    <t>victoria16@example.org</t>
  </si>
  <si>
    <t>001-843-759-8398x5907</t>
  </si>
  <si>
    <t>Emily Romero</t>
  </si>
  <si>
    <t>Michael Rivera</t>
  </si>
  <si>
    <t>grayalicia@example.org</t>
  </si>
  <si>
    <t>207-230-7177x6135</t>
  </si>
  <si>
    <t>Joseph Hughes Jr.</t>
  </si>
  <si>
    <t>Mike Mason</t>
  </si>
  <si>
    <t>alexander36@example.net</t>
  </si>
  <si>
    <t>001-395-428-5023</t>
  </si>
  <si>
    <t>Melinda Long</t>
  </si>
  <si>
    <t>Jimmy Edwards</t>
  </si>
  <si>
    <t>lisa49@example.com</t>
  </si>
  <si>
    <t>(949)903-2234</t>
  </si>
  <si>
    <t>Jeff Salazar</t>
  </si>
  <si>
    <t>Lauren Page</t>
  </si>
  <si>
    <t>micheal70@example.org</t>
  </si>
  <si>
    <t>6066174136</t>
  </si>
  <si>
    <t>Rebecca Elliott</t>
  </si>
  <si>
    <t>danielelliott@example.net</t>
  </si>
  <si>
    <t>+1-412-470-6507x612</t>
  </si>
  <si>
    <t>Kimberly Young</t>
  </si>
  <si>
    <t>Allison Hughes</t>
  </si>
  <si>
    <t>robert53@example.net</t>
  </si>
  <si>
    <t>4458555950</t>
  </si>
  <si>
    <t>Gary Smith</t>
  </si>
  <si>
    <t>Dr. Larry Chambers DVM</t>
  </si>
  <si>
    <t>jessetaylor@example.com</t>
  </si>
  <si>
    <t>499.504.6008</t>
  </si>
  <si>
    <t>James Guerrero</t>
  </si>
  <si>
    <t>Brenda Choi</t>
  </si>
  <si>
    <t>whitegina@example.org</t>
  </si>
  <si>
    <t>2978550617</t>
  </si>
  <si>
    <t>Sydney Johnson</t>
  </si>
  <si>
    <t>Tina Gregory</t>
  </si>
  <si>
    <t>benjaminclark@example.org</t>
  </si>
  <si>
    <t>349-507-6972x162</t>
  </si>
  <si>
    <t>Nicole Meyers</t>
  </si>
  <si>
    <t>Madison Combs</t>
  </si>
  <si>
    <t>beckygray@example.net</t>
  </si>
  <si>
    <t>+1-221-205-3071x226</t>
  </si>
  <si>
    <t>Beth Thomas</t>
  </si>
  <si>
    <t>Joel Goodman</t>
  </si>
  <si>
    <t>shawnbrown@example.com</t>
  </si>
  <si>
    <t>+1-585-478-8728x206</t>
  </si>
  <si>
    <t>Matthew Rivas</t>
  </si>
  <si>
    <t>Allison Miller</t>
  </si>
  <si>
    <t>robertray@example.org</t>
  </si>
  <si>
    <t>846-265-8952x4760</t>
  </si>
  <si>
    <t>Stacey Tapia</t>
  </si>
  <si>
    <t>Michael Scott</t>
  </si>
  <si>
    <t>gregory73@example.com</t>
  </si>
  <si>
    <t>+1-974-277-8840</t>
  </si>
  <si>
    <t>Melissa Nelson</t>
  </si>
  <si>
    <t>John Rowe</t>
  </si>
  <si>
    <t>mcknightchristopher@example.net</t>
  </si>
  <si>
    <t>489.872.8426x80928</t>
  </si>
  <si>
    <t>Andrea Schneider</t>
  </si>
  <si>
    <t>Bryan Johnson</t>
  </si>
  <si>
    <t>james71@example.net</t>
  </si>
  <si>
    <t>960.756.6880x31664</t>
  </si>
  <si>
    <t>Brianna Aguilar</t>
  </si>
  <si>
    <t>Bryce Thompson</t>
  </si>
  <si>
    <t>dennis53@example.com</t>
  </si>
  <si>
    <t>+1-941-260-1991x98480</t>
  </si>
  <si>
    <t>Bailey Smith</t>
  </si>
  <si>
    <t>Misty Morales</t>
  </si>
  <si>
    <t>richardsonbenjamin@example.com</t>
  </si>
  <si>
    <t>+1-910-874-0433x6895</t>
  </si>
  <si>
    <t>Christian Barr</t>
  </si>
  <si>
    <t>Michael Murphy</t>
  </si>
  <si>
    <t>davissara@example.net</t>
  </si>
  <si>
    <t>4072017850</t>
  </si>
  <si>
    <t>Charles Ortega</t>
  </si>
  <si>
    <t>Carla Farmer</t>
  </si>
  <si>
    <t>jacquelinewilliamson@example.org</t>
  </si>
  <si>
    <t>602-997-5997</t>
  </si>
  <si>
    <t>Martha Dalton</t>
  </si>
  <si>
    <t>David Greene</t>
  </si>
  <si>
    <t>brooke74@example.com</t>
  </si>
  <si>
    <t>001-725-526-9420x41641</t>
  </si>
  <si>
    <t>Andrew Leon</t>
  </si>
  <si>
    <t>Holly Lester</t>
  </si>
  <si>
    <t>johnpineda@example.net</t>
  </si>
  <si>
    <t>001-737-766-9976x81608</t>
  </si>
  <si>
    <t>Brandon Flynn MD</t>
  </si>
  <si>
    <t>Rebecca Meyer</t>
  </si>
  <si>
    <t>fblack@example.com</t>
  </si>
  <si>
    <t>299-708-0358x624</t>
  </si>
  <si>
    <t>Derek Johnson</t>
  </si>
  <si>
    <t>Kristin Clark</t>
  </si>
  <si>
    <t>nathaniel35@example.org</t>
  </si>
  <si>
    <t>891.811.1085x184</t>
  </si>
  <si>
    <t>Lisa Barnett</t>
  </si>
  <si>
    <t>Linda Cardenas</t>
  </si>
  <si>
    <t>sanchezmargaret@example.com</t>
  </si>
  <si>
    <t>283-407-3480</t>
  </si>
  <si>
    <t>Scott Baker</t>
  </si>
  <si>
    <t>Walter Simpson</t>
  </si>
  <si>
    <t>alanyork@example.com</t>
  </si>
  <si>
    <t>+1-329-687-8192</t>
  </si>
  <si>
    <t>Michael Lynch</t>
  </si>
  <si>
    <t>Jillian Hughes</t>
  </si>
  <si>
    <t>greg37@example.org</t>
  </si>
  <si>
    <t>284.672.1461x7275</t>
  </si>
  <si>
    <t>Charles Collier</t>
  </si>
  <si>
    <t>Jeremy Bender</t>
  </si>
  <si>
    <t>gharvey@example.net</t>
  </si>
  <si>
    <t>+1-697-998-8775x4458</t>
  </si>
  <si>
    <t>Tracy Young</t>
  </si>
  <si>
    <t>Thomas Howe</t>
  </si>
  <si>
    <t>jenniferperkins@example.net</t>
  </si>
  <si>
    <t>360.559.6275</t>
  </si>
  <si>
    <t>Steven Black</t>
  </si>
  <si>
    <t>Christian Ramirez</t>
  </si>
  <si>
    <t>kristin79@example.org</t>
  </si>
  <si>
    <t>(256)811-5686x22307</t>
  </si>
  <si>
    <t>David Gray</t>
  </si>
  <si>
    <t>jasminecole@example.com</t>
  </si>
  <si>
    <t>830.437.2718</t>
  </si>
  <si>
    <t>Jesus Sawyer</t>
  </si>
  <si>
    <t>Scott Marsh</t>
  </si>
  <si>
    <t>andersoncharles@example.net</t>
  </si>
  <si>
    <t>001-707-682-8780x661</t>
  </si>
  <si>
    <t>Scott Rivera</t>
  </si>
  <si>
    <t>David Hamilton</t>
  </si>
  <si>
    <t>christopher02@example.net</t>
  </si>
  <si>
    <t>+1-882-852-1288</t>
  </si>
  <si>
    <t>Susan Stewart</t>
  </si>
  <si>
    <t>Denise Lawrence</t>
  </si>
  <si>
    <t>gregory82@example.net</t>
  </si>
  <si>
    <t>+1-547-405-2031</t>
  </si>
  <si>
    <t>Kimberly Camacho</t>
  </si>
  <si>
    <t>Ricky Fischer</t>
  </si>
  <si>
    <t>jasonmoore@example.org</t>
  </si>
  <si>
    <t>866.486.4277</t>
  </si>
  <si>
    <t>Joshua Alvarado</t>
  </si>
  <si>
    <t>John Rice</t>
  </si>
  <si>
    <t>ujarvis@example.org</t>
  </si>
  <si>
    <t>(308)277-8347</t>
  </si>
  <si>
    <t>Maxwell Perez</t>
  </si>
  <si>
    <t>Mark Reed</t>
  </si>
  <si>
    <t>timothy56@example.org</t>
  </si>
  <si>
    <t>727.770.0453</t>
  </si>
  <si>
    <t>Julie Brown</t>
  </si>
  <si>
    <t>Joel Mcgee</t>
  </si>
  <si>
    <t>georgecooper@example.com</t>
  </si>
  <si>
    <t>6428402555</t>
  </si>
  <si>
    <t>Molly Graves</t>
  </si>
  <si>
    <t>Kent Cole</t>
  </si>
  <si>
    <t>sbanks@example.org</t>
  </si>
  <si>
    <t>667-888-1596</t>
  </si>
  <si>
    <t>Julia Rose</t>
  </si>
  <si>
    <t>Victoria Cooper</t>
  </si>
  <si>
    <t>phillipstammy@example.net</t>
  </si>
  <si>
    <t>+1-746-773-3229x12489</t>
  </si>
  <si>
    <t>Tamara Kim</t>
  </si>
  <si>
    <t>Samuel Vance</t>
  </si>
  <si>
    <t>ericagreen@example.com</t>
  </si>
  <si>
    <t>001-294-726-4076</t>
  </si>
  <si>
    <t>Bradley Raymond</t>
  </si>
  <si>
    <t>Scott Sanchez</t>
  </si>
  <si>
    <t>bensonjohn@example.net</t>
  </si>
  <si>
    <t>316.228.3356x8905</t>
  </si>
  <si>
    <t>Alice Wilson</t>
  </si>
  <si>
    <t>Christine Ramirez</t>
  </si>
  <si>
    <t>markellis@example.org</t>
  </si>
  <si>
    <t>+1-777-928-7156x5969</t>
  </si>
  <si>
    <t>Lauren Hurst</t>
  </si>
  <si>
    <t>Johnny Carroll</t>
  </si>
  <si>
    <t>theresa05@example.com</t>
  </si>
  <si>
    <t>+1-536-729-1714x8541</t>
  </si>
  <si>
    <t>Melissa Anderson</t>
  </si>
  <si>
    <t>Stephanie Thomas</t>
  </si>
  <si>
    <t>dunlappatricia@example.net</t>
  </si>
  <si>
    <t>+1-982-616-5119x2145</t>
  </si>
  <si>
    <t>Emma Brown</t>
  </si>
  <si>
    <t>Richard Ortega</t>
  </si>
  <si>
    <t>wmccoy@example.net</t>
  </si>
  <si>
    <t>473-308-8240x353</t>
  </si>
  <si>
    <t>Nancy Mitchell</t>
  </si>
  <si>
    <t>Alexandra Park DDS</t>
  </si>
  <si>
    <t>phall@example.org</t>
  </si>
  <si>
    <t>001-741-921-8052</t>
  </si>
  <si>
    <t>Lauren Brown</t>
  </si>
  <si>
    <t>Timothy Mendoza</t>
  </si>
  <si>
    <t>christopher32@example.com</t>
  </si>
  <si>
    <t>760-918-9113x4348</t>
  </si>
  <si>
    <t>Daniel Wang</t>
  </si>
  <si>
    <t>Melissa Stafford</t>
  </si>
  <si>
    <t>fpayne@example.org</t>
  </si>
  <si>
    <t>334.521.1202x9138</t>
  </si>
  <si>
    <t xml:space="preserve">  Dylan Villarreal </t>
  </si>
  <si>
    <t>Carla Fox</t>
  </si>
  <si>
    <t>hawkinsdeanna@example.net</t>
  </si>
  <si>
    <t>396-264-5231</t>
  </si>
  <si>
    <t>Andrea Robinson</t>
  </si>
  <si>
    <t>Victor Acosta</t>
  </si>
  <si>
    <t>clintonhaley@example.org</t>
  </si>
  <si>
    <t>001-366-970-4171x03891</t>
  </si>
  <si>
    <t>Frank Delacruz</t>
  </si>
  <si>
    <t>Nathan Harrington</t>
  </si>
  <si>
    <t>hinesvalerie@example.com</t>
  </si>
  <si>
    <t>295-960-7148x765</t>
  </si>
  <si>
    <t>Paul Hernandez</t>
  </si>
  <si>
    <t>Marissa Hernandez</t>
  </si>
  <si>
    <t>petersenkatelyn@example.org</t>
  </si>
  <si>
    <t>760-937-8110</t>
  </si>
  <si>
    <t>Tricia Finley</t>
  </si>
  <si>
    <t>Laura Gray</t>
  </si>
  <si>
    <t>bruceross@example.com</t>
  </si>
  <si>
    <t>8055994696</t>
  </si>
  <si>
    <t>Breanna Cannon</t>
  </si>
  <si>
    <t>Joel Johnson</t>
  </si>
  <si>
    <t>harmonlucas@example.org</t>
  </si>
  <si>
    <t>5974140863</t>
  </si>
  <si>
    <t>Gail Nichols</t>
  </si>
  <si>
    <t>scarter@example.net</t>
  </si>
  <si>
    <t>001-988-439-2375x909</t>
  </si>
  <si>
    <t>Samuel Nguyen</t>
  </si>
  <si>
    <t>Melissa Jennings</t>
  </si>
  <si>
    <t>julia55@example.org</t>
  </si>
  <si>
    <t>491.596.0348</t>
  </si>
  <si>
    <t>Joshua Stout</t>
  </si>
  <si>
    <t>Katherine Sanders</t>
  </si>
  <si>
    <t>dustinallen@example.org</t>
  </si>
  <si>
    <t>8438647584</t>
  </si>
  <si>
    <t>Denise Jordan</t>
  </si>
  <si>
    <t>Michael Garcia</t>
  </si>
  <si>
    <t>travisdavis@example.org</t>
  </si>
  <si>
    <t>(631)775-5297x7601</t>
  </si>
  <si>
    <t>Abigail Garcia</t>
  </si>
  <si>
    <t>Debra Lloyd</t>
  </si>
  <si>
    <t>scott81@example.net</t>
  </si>
  <si>
    <t>536-811-6861x1460</t>
  </si>
  <si>
    <t>Jose Jackson</t>
  </si>
  <si>
    <t>Alison Cook</t>
  </si>
  <si>
    <t>jenna46@example.com</t>
  </si>
  <si>
    <t>626-283-6843x771</t>
  </si>
  <si>
    <t>Shawn Rhodes</t>
  </si>
  <si>
    <t>Emily Braun</t>
  </si>
  <si>
    <t>emily60@example.org</t>
  </si>
  <si>
    <t>401.519.6227</t>
  </si>
  <si>
    <t>Jamie Matthews</t>
  </si>
  <si>
    <t>Melissa Vaughn</t>
  </si>
  <si>
    <t>zmanning@example.org</t>
  </si>
  <si>
    <t>(283)385-0957x0934</t>
  </si>
  <si>
    <t>Thomas Ward</t>
  </si>
  <si>
    <t>Andrea Jenkins</t>
  </si>
  <si>
    <t>melissa03@example.com</t>
  </si>
  <si>
    <t>748.343.7700x62795</t>
  </si>
  <si>
    <t>Christopher Blevins</t>
  </si>
  <si>
    <t>Louis Hughes</t>
  </si>
  <si>
    <t>kelly17@example.net</t>
  </si>
  <si>
    <t>001-356-927-5280x016</t>
  </si>
  <si>
    <t>Eric Carpenter</t>
  </si>
  <si>
    <t>Melissa Flores</t>
  </si>
  <si>
    <t>jimcraig@example.com</t>
  </si>
  <si>
    <t>001-238-332-6489x710</t>
  </si>
  <si>
    <t xml:space="preserve">  John Church </t>
  </si>
  <si>
    <t>Michael Dean</t>
  </si>
  <si>
    <t>shane13@example.org</t>
  </si>
  <si>
    <t>594-584-1423x552</t>
  </si>
  <si>
    <t>Mr. Robert Marquez</t>
  </si>
  <si>
    <t>Mary Berry</t>
  </si>
  <si>
    <t>kellerbrandon@example.org</t>
  </si>
  <si>
    <t>(956)247-7115x88218</t>
  </si>
  <si>
    <t>Kelly Wheeler</t>
  </si>
  <si>
    <t>Nathan Smith</t>
  </si>
  <si>
    <t>wilsonrobert@example.org</t>
  </si>
  <si>
    <t>764-646-1198x3097</t>
  </si>
  <si>
    <t>Randall Marks</t>
  </si>
  <si>
    <t>Tyler Li DDS</t>
  </si>
  <si>
    <t>tara23@example.com</t>
  </si>
  <si>
    <t>001-774-587-7007x8812</t>
  </si>
  <si>
    <t>Timothy Moore</t>
  </si>
  <si>
    <t>Monica Peters</t>
  </si>
  <si>
    <t>piercefrank@example.org</t>
  </si>
  <si>
    <t>(779)590-9666x0286</t>
  </si>
  <si>
    <t>Cindy Duncan</t>
  </si>
  <si>
    <t>Julia Ortiz MD</t>
  </si>
  <si>
    <t>theresamack@example.org</t>
  </si>
  <si>
    <t>9372090703</t>
  </si>
  <si>
    <t>Kayla Quinn</t>
  </si>
  <si>
    <t>Michele Hamilton</t>
  </si>
  <si>
    <t>frankjimenez@example.net</t>
  </si>
  <si>
    <t>8989348492</t>
  </si>
  <si>
    <t>Kimberly Grimes</t>
  </si>
  <si>
    <t>Casey Ortiz</t>
  </si>
  <si>
    <t>phelpslauren@example.net</t>
  </si>
  <si>
    <t>456-357-2676x541</t>
  </si>
  <si>
    <t>Kevin Jimenez</t>
  </si>
  <si>
    <t>April Calhoun</t>
  </si>
  <si>
    <t>leematthew@example.org</t>
  </si>
  <si>
    <t>001-720-426-2693x03264</t>
  </si>
  <si>
    <t>Jacqueline Ramos</t>
  </si>
  <si>
    <t>Logan Baldwin</t>
  </si>
  <si>
    <t>duartesteven@example.com</t>
  </si>
  <si>
    <t>001-906-735-1685x22476</t>
  </si>
  <si>
    <t>Grant Grant</t>
  </si>
  <si>
    <t>Mr. Kevin Johnson</t>
  </si>
  <si>
    <t>mary36@example.net</t>
  </si>
  <si>
    <t>001-769-833-2763x34228</t>
  </si>
  <si>
    <t>Steven Wall</t>
  </si>
  <si>
    <t>tylerthompson@example.com</t>
  </si>
  <si>
    <t>001-593-610-3370x08942</t>
  </si>
  <si>
    <t>Amanda Paul</t>
  </si>
  <si>
    <t>Craig Hall</t>
  </si>
  <si>
    <t>feliciachen@example.net</t>
  </si>
  <si>
    <t>538.945.6125x78047</t>
  </si>
  <si>
    <t>Joseph Page</t>
  </si>
  <si>
    <t>Nicole Mcdaniel</t>
  </si>
  <si>
    <t>woodsrobert@example.net</t>
  </si>
  <si>
    <t>(580)964-5544x2157</t>
  </si>
  <si>
    <t>Brooke Roberts</t>
  </si>
  <si>
    <t>Micheal Soto</t>
  </si>
  <si>
    <t>mgonzalez@example.com</t>
  </si>
  <si>
    <t>985.993.4288x39039</t>
  </si>
  <si>
    <t>Megan Holmes</t>
  </si>
  <si>
    <t>Daniel Steele</t>
  </si>
  <si>
    <t>youngcody@example.net</t>
  </si>
  <si>
    <t>(896)855-1025x066</t>
  </si>
  <si>
    <t>Pamela Powell</t>
  </si>
  <si>
    <t>William Snyder</t>
  </si>
  <si>
    <t>tdavis@example.net</t>
  </si>
  <si>
    <t>001-386-232-8959</t>
  </si>
  <si>
    <t>George Collins</t>
  </si>
  <si>
    <t>Jane Hernandez</t>
  </si>
  <si>
    <t>michael63@example.net</t>
  </si>
  <si>
    <t>643.296.3994x959</t>
  </si>
  <si>
    <t>Justin Flores</t>
  </si>
  <si>
    <t>Jennifer Graham</t>
  </si>
  <si>
    <t>james70@example.net</t>
  </si>
  <si>
    <t>430.702.1027x3663</t>
  </si>
  <si>
    <t>Samantha Jackson</t>
  </si>
  <si>
    <t>justinwagner@example.com</t>
  </si>
  <si>
    <t>001-339-216-6019</t>
  </si>
  <si>
    <t>Elizabeth Stone</t>
  </si>
  <si>
    <t>Wayne Johnson</t>
  </si>
  <si>
    <t>vclark@example.org</t>
  </si>
  <si>
    <t>(944)878-9378x59541</t>
  </si>
  <si>
    <t xml:space="preserve">  Rachel Jensen </t>
  </si>
  <si>
    <t>Craig Davis</t>
  </si>
  <si>
    <t>xcarter@example.net</t>
  </si>
  <si>
    <t>+1-658-910-4573x46694</t>
  </si>
  <si>
    <t>Melissa Schmitt</t>
  </si>
  <si>
    <t>Patricia Khan</t>
  </si>
  <si>
    <t>david90@example.net</t>
  </si>
  <si>
    <t>566-951-8378x47719</t>
  </si>
  <si>
    <t>Robert Kelly</t>
  </si>
  <si>
    <t>Jennifer Flores</t>
  </si>
  <si>
    <t>wesleyfoster@example.net</t>
  </si>
  <si>
    <t>502-630-8996x46924</t>
  </si>
  <si>
    <t>Crystal King</t>
  </si>
  <si>
    <t>Gary Barajas</t>
  </si>
  <si>
    <t>loriparks@example.com</t>
  </si>
  <si>
    <t>5387710880</t>
  </si>
  <si>
    <t>Jennifer Roberts</t>
  </si>
  <si>
    <t>Tanner Matthews</t>
  </si>
  <si>
    <t>lewisrichard@example.com</t>
  </si>
  <si>
    <t>276-591-1612x215</t>
  </si>
  <si>
    <t>Rose Sullivan</t>
  </si>
  <si>
    <t>Gregory Kramer</t>
  </si>
  <si>
    <t>littlerebecca@example.org</t>
  </si>
  <si>
    <t>7414589333</t>
  </si>
  <si>
    <t>Jennifer Espinoza</t>
  </si>
  <si>
    <t>Brian Walker</t>
  </si>
  <si>
    <t>leslie00@example.org</t>
  </si>
  <si>
    <t>001-457-638-0101</t>
  </si>
  <si>
    <t>Savannah Davis</t>
  </si>
  <si>
    <t>Susan Hansen</t>
  </si>
  <si>
    <t>padkins@example.org</t>
  </si>
  <si>
    <t>+1-349-399-1365x055</t>
  </si>
  <si>
    <t>Nancy Watkins</t>
  </si>
  <si>
    <t>Laura Patel</t>
  </si>
  <si>
    <t>shawlaura@example.com</t>
  </si>
  <si>
    <t>570-480-4929</t>
  </si>
  <si>
    <t>Theresa Atkinson</t>
  </si>
  <si>
    <t>Tiffany Abbott</t>
  </si>
  <si>
    <t>andre19@example.com</t>
  </si>
  <si>
    <t>729-433-2134</t>
  </si>
  <si>
    <t>Amanda Savage</t>
  </si>
  <si>
    <t>Rhonda Williams</t>
  </si>
  <si>
    <t>acevedomargaret@example.com</t>
  </si>
  <si>
    <t>+1-817-875-8856x27480</t>
  </si>
  <si>
    <t>Michael Kemp</t>
  </si>
  <si>
    <t>Dr. Rachel Yang</t>
  </si>
  <si>
    <t>santossabrina@example.com</t>
  </si>
  <si>
    <t>001-351-865-7121</t>
  </si>
  <si>
    <t>Mason Weaver</t>
  </si>
  <si>
    <t>Mary Anderson</t>
  </si>
  <si>
    <t>nancymendez@example.net</t>
  </si>
  <si>
    <t>430.225.5987</t>
  </si>
  <si>
    <t>Chris Wilson</t>
  </si>
  <si>
    <t>Matthew Greene</t>
  </si>
  <si>
    <t>singletonnicole@example.net</t>
  </si>
  <si>
    <t>(419)268-0450x5211</t>
  </si>
  <si>
    <t>Rebecca Smith</t>
  </si>
  <si>
    <t>Richard Parsons</t>
  </si>
  <si>
    <t>kingjulie@example.com</t>
  </si>
  <si>
    <t>5816971408</t>
  </si>
  <si>
    <t>Gabriel Ramirez</t>
  </si>
  <si>
    <t>Amanda Powell</t>
  </si>
  <si>
    <t>maria80@example.com</t>
  </si>
  <si>
    <t>(774)256-6983</t>
  </si>
  <si>
    <t>Mr. William Miller</t>
  </si>
  <si>
    <t>Luke Smith</t>
  </si>
  <si>
    <t>shawn76@example.org</t>
  </si>
  <si>
    <t>838-647-6691x95301</t>
  </si>
  <si>
    <t>Joseph Mccoy Jr.</t>
  </si>
  <si>
    <t>Megan Bennett DDS</t>
  </si>
  <si>
    <t>taylorkimberly@example.net</t>
  </si>
  <si>
    <t>(229)576-1166x2866</t>
  </si>
  <si>
    <t>Joseph Nelson</t>
  </si>
  <si>
    <t>Sherri Wheeler</t>
  </si>
  <si>
    <t>cwebb@example.org</t>
  </si>
  <si>
    <t>(556)327-7402x1572</t>
  </si>
  <si>
    <t>Brittany Hernandez</t>
  </si>
  <si>
    <t>Dale Hernandez</t>
  </si>
  <si>
    <t>aguerra@example.net</t>
  </si>
  <si>
    <t>289-749-6172x15052</t>
  </si>
  <si>
    <t>Stephanie Rivera</t>
  </si>
  <si>
    <t>Chelsea Wilson</t>
  </si>
  <si>
    <t>nathan60@example.com</t>
  </si>
  <si>
    <t>+1-493-642-3221x091</t>
  </si>
  <si>
    <t>Stacy Perez</t>
  </si>
  <si>
    <t>Robert Stout</t>
  </si>
  <si>
    <t>campbellanthony@example.net</t>
  </si>
  <si>
    <t>383.343.7798x2402</t>
  </si>
  <si>
    <t>Joseph Perez</t>
  </si>
  <si>
    <t>Marcus Knight</t>
  </si>
  <si>
    <t>shawdenise@example.org</t>
  </si>
  <si>
    <t>+1-796-924-2657x89635</t>
  </si>
  <si>
    <t>Douglas Raymond</t>
  </si>
  <si>
    <t>Cameron Lewis</t>
  </si>
  <si>
    <t>wayne82@example.org</t>
  </si>
  <si>
    <t>001-972-454-4225x3511</t>
  </si>
  <si>
    <t>Erin Mercer</t>
  </si>
  <si>
    <t>Jacob Spencer</t>
  </si>
  <si>
    <t>williamruiz@example.org</t>
  </si>
  <si>
    <t>976-676-6608x288</t>
  </si>
  <si>
    <t>Michael Mason</t>
  </si>
  <si>
    <t>Maurice Brown</t>
  </si>
  <si>
    <t>eedwards@example.net</t>
  </si>
  <si>
    <t>868.459.3152</t>
  </si>
  <si>
    <t>Matthew Castillo</t>
  </si>
  <si>
    <t>Steven Miller</t>
  </si>
  <si>
    <t>jeffrey10@example.com</t>
  </si>
  <si>
    <t>744-952-9964</t>
  </si>
  <si>
    <t>Timothy Lewis</t>
  </si>
  <si>
    <t>Lisa Mendoza</t>
  </si>
  <si>
    <t>suttonmichael@example.org</t>
  </si>
  <si>
    <t>249.372.9697</t>
  </si>
  <si>
    <t>Angel Harris</t>
  </si>
  <si>
    <t>Courtney Turner</t>
  </si>
  <si>
    <t>tdiaz@example.net</t>
  </si>
  <si>
    <t>001-258-461-8881x786</t>
  </si>
  <si>
    <t>Kenneth Hernandez</t>
  </si>
  <si>
    <t>Claudia Kim</t>
  </si>
  <si>
    <t>zacharyhenry@example.com</t>
  </si>
  <si>
    <t>001-703-631-2223</t>
  </si>
  <si>
    <t>Tanya Gonzales</t>
  </si>
  <si>
    <t>Daniel Wilson</t>
  </si>
  <si>
    <t>jessica83@example.com</t>
  </si>
  <si>
    <t>+1-274-577-7407</t>
  </si>
  <si>
    <t>Jason Bolton</t>
  </si>
  <si>
    <t>tgray@example.org</t>
  </si>
  <si>
    <t>(582)812-8219</t>
  </si>
  <si>
    <t>Kimberly Castillo</t>
  </si>
  <si>
    <t>Pamela Anderson</t>
  </si>
  <si>
    <t>jeanette39@example.org</t>
  </si>
  <si>
    <t>804.859.6920</t>
  </si>
  <si>
    <t>Jennifer Clay</t>
  </si>
  <si>
    <t>Virginia Davis</t>
  </si>
  <si>
    <t>johnnysloan@example.org</t>
  </si>
  <si>
    <t>484-398-1184x65124</t>
  </si>
  <si>
    <t>James Young</t>
  </si>
  <si>
    <t>Anita Sherman</t>
  </si>
  <si>
    <t>parkerjennifer@example.org</t>
  </si>
  <si>
    <t>(648)411-6595x5859</t>
  </si>
  <si>
    <t>David Berry</t>
  </si>
  <si>
    <t>Brian Hines</t>
  </si>
  <si>
    <t>slee@example.com</t>
  </si>
  <si>
    <t>597-727-6768x77759</t>
  </si>
  <si>
    <t>Jessica Clark</t>
  </si>
  <si>
    <t>Ann Scott</t>
  </si>
  <si>
    <t>richardsjeffrey@example.net</t>
  </si>
  <si>
    <t>5882426723</t>
  </si>
  <si>
    <t>Katherine Sullivan</t>
  </si>
  <si>
    <t>Alexander Davis</t>
  </si>
  <si>
    <t>walkerdaniel@example.com</t>
  </si>
  <si>
    <t>204.342.3647x92149</t>
  </si>
  <si>
    <t>Nicholas Sampson</t>
  </si>
  <si>
    <t>Timothy Waters</t>
  </si>
  <si>
    <t>margaret90@example.com</t>
  </si>
  <si>
    <t>+1-899-915-7380x6799</t>
  </si>
  <si>
    <t>Jasmine White</t>
  </si>
  <si>
    <t>Michael Wilson</t>
  </si>
  <si>
    <t>kathleenellis@example.com</t>
  </si>
  <si>
    <t>932-305-8699x7245</t>
  </si>
  <si>
    <t>Nicole Cox</t>
  </si>
  <si>
    <t>Jill Gonzalez</t>
  </si>
  <si>
    <t>howens@example.org</t>
  </si>
  <si>
    <t>+1-754-891-7732x60968</t>
  </si>
  <si>
    <t>Melissa Dillon</t>
  </si>
  <si>
    <t>Jennifer Brown</t>
  </si>
  <si>
    <t>emily73@example.com</t>
  </si>
  <si>
    <t>567.494.3364x47026</t>
  </si>
  <si>
    <t>Ryan Barrett PhD</t>
  </si>
  <si>
    <t>Heather Long</t>
  </si>
  <si>
    <t>jill87@example.net</t>
  </si>
  <si>
    <t>001-966-694-9471x5534</t>
  </si>
  <si>
    <t>Maria Love</t>
  </si>
  <si>
    <t>Alexander Diaz</t>
  </si>
  <si>
    <t>msimpson@example.net</t>
  </si>
  <si>
    <t>6847896539</t>
  </si>
  <si>
    <t>Cynthia Ballard</t>
  </si>
  <si>
    <t>Julian Mcmahon</t>
  </si>
  <si>
    <t>xwarren@example.org</t>
  </si>
  <si>
    <t>+1-333-585-6932</t>
  </si>
  <si>
    <t>James Cherry</t>
  </si>
  <si>
    <t>Melissa Hill</t>
  </si>
  <si>
    <t>wellsstephen@example.org</t>
  </si>
  <si>
    <t>415-806-3240x510</t>
  </si>
  <si>
    <t>David Patel</t>
  </si>
  <si>
    <t>sandra74@example.net</t>
  </si>
  <si>
    <t>(346)760-3327x39974</t>
  </si>
  <si>
    <t>Rachel Erickson</t>
  </si>
  <si>
    <t>Diane Cabrera</t>
  </si>
  <si>
    <t>wileyandrew@example.net</t>
  </si>
  <si>
    <t>960.978.1951x6484</t>
  </si>
  <si>
    <t>Julie Holmes</t>
  </si>
  <si>
    <t>Sharon Johnson MD</t>
  </si>
  <si>
    <t>jason57@example.net</t>
  </si>
  <si>
    <t>(447)989-3505x260</t>
  </si>
  <si>
    <t>Jamie Rose</t>
  </si>
  <si>
    <t>Peter Brown</t>
  </si>
  <si>
    <t>fieldsrobin@example.net</t>
  </si>
  <si>
    <t>+1-912-692-3613x91237</t>
  </si>
  <si>
    <t>Matthew Meyer</t>
  </si>
  <si>
    <t>Michael Graves</t>
  </si>
  <si>
    <t>reginawright@example.com</t>
  </si>
  <si>
    <t>870.658.0791x06510</t>
  </si>
  <si>
    <t>Andrew Gibson</t>
  </si>
  <si>
    <t>Joshua Brewer</t>
  </si>
  <si>
    <t>rschmidt@example.net</t>
  </si>
  <si>
    <t>703.648.5736</t>
  </si>
  <si>
    <t>Adrienne Carter</t>
  </si>
  <si>
    <t>Carl Lopez</t>
  </si>
  <si>
    <t>mendezjaime@example.com</t>
  </si>
  <si>
    <t>+1-783-664-3167</t>
  </si>
  <si>
    <t>Wendy Oneal</t>
  </si>
  <si>
    <t>Mary Santana</t>
  </si>
  <si>
    <t>andrewforbes@example.net</t>
  </si>
  <si>
    <t>2753605269</t>
  </si>
  <si>
    <t>Caitlin Whitaker</t>
  </si>
  <si>
    <t>Stephanie Lawson</t>
  </si>
  <si>
    <t>ojames@example.org</t>
  </si>
  <si>
    <t>+1-323-756-5403x079</t>
  </si>
  <si>
    <t>Joel Glass</t>
  </si>
  <si>
    <t>wilsonmichelle@example.net</t>
  </si>
  <si>
    <t>+1-453-218-5004x231</t>
  </si>
  <si>
    <t>Melissa Cruz</t>
  </si>
  <si>
    <t>Rhonda Brown</t>
  </si>
  <si>
    <t>caseyantonio@example.org</t>
  </si>
  <si>
    <t>9549847385</t>
  </si>
  <si>
    <t>Stacey Matthews</t>
  </si>
  <si>
    <t>Nicole Nelson</t>
  </si>
  <si>
    <t>danielle53@example.net</t>
  </si>
  <si>
    <t>451-882-7238</t>
  </si>
  <si>
    <t>Sarah Matthews</t>
  </si>
  <si>
    <t>Annette Cooper</t>
  </si>
  <si>
    <t>michael76@example.net</t>
  </si>
  <si>
    <t>615.659.0308x19695</t>
  </si>
  <si>
    <t>Jody Garcia</t>
  </si>
  <si>
    <t>Alexis Erickson</t>
  </si>
  <si>
    <t>william49@example.net</t>
  </si>
  <si>
    <t>650-289-2446</t>
  </si>
  <si>
    <t>Gary Wallace</t>
  </si>
  <si>
    <t>Linda Ward</t>
  </si>
  <si>
    <t>carolyn35@example.com</t>
  </si>
  <si>
    <t>981.608.2277x54777</t>
  </si>
  <si>
    <t>Shane Wood</t>
  </si>
  <si>
    <t>Autumn Robinson</t>
  </si>
  <si>
    <t>shernandez@example.net</t>
  </si>
  <si>
    <t>001-237-697-9007</t>
  </si>
  <si>
    <t>Stephanie Greene</t>
  </si>
  <si>
    <t>Ronnie Carroll</t>
  </si>
  <si>
    <t>qmurray@example.net</t>
  </si>
  <si>
    <t>366-423-9567</t>
  </si>
  <si>
    <t>Kevin Cooper</t>
  </si>
  <si>
    <t>Christopher Cole</t>
  </si>
  <si>
    <t>ubaker@example.org</t>
  </si>
  <si>
    <t>(741)322-7276x5314</t>
  </si>
  <si>
    <t>Christina Garcia</t>
  </si>
  <si>
    <t>Mallory Williams</t>
  </si>
  <si>
    <t>justin55@example.net</t>
  </si>
  <si>
    <t>345.859.5562</t>
  </si>
  <si>
    <t>Tina Alvarado MD</t>
  </si>
  <si>
    <t>Tanya Webb</t>
  </si>
  <si>
    <t>dperry@example.net</t>
  </si>
  <si>
    <t>+1-350-949-1086x043</t>
  </si>
  <si>
    <t>Thomas Becker</t>
  </si>
  <si>
    <t>Pamela Davis</t>
  </si>
  <si>
    <t>oaguilar@example.com</t>
  </si>
  <si>
    <t>+1-760-293-1608</t>
  </si>
  <si>
    <t>Amanda Watson</t>
  </si>
  <si>
    <t>Christina Miller</t>
  </si>
  <si>
    <t>woodjames@example.org</t>
  </si>
  <si>
    <t>(864)500-9333</t>
  </si>
  <si>
    <t>Mr. Theodore Wade PhD</t>
  </si>
  <si>
    <t>Makayla Stone</t>
  </si>
  <si>
    <t>hansenchristina@example.net</t>
  </si>
  <si>
    <t>547-681-6766x3420</t>
  </si>
  <si>
    <t>Anna Carter</t>
  </si>
  <si>
    <t>Jennifer Carter</t>
  </si>
  <si>
    <t>eduardo64@example.com</t>
  </si>
  <si>
    <t>8475832796</t>
  </si>
  <si>
    <t>Richard Murphy</t>
  </si>
  <si>
    <t>Michael Wells</t>
  </si>
  <si>
    <t>joseph92@example.com</t>
  </si>
  <si>
    <t>(387)714-4693x9953</t>
  </si>
  <si>
    <t>Sean Cook</t>
  </si>
  <si>
    <t>Bernard Norton</t>
  </si>
  <si>
    <t>Danielle Watson</t>
  </si>
  <si>
    <t>April Finley</t>
  </si>
  <si>
    <t>Adam Cooper</t>
  </si>
  <si>
    <t>Eric Smith</t>
  </si>
  <si>
    <t>Heather Miller</t>
  </si>
  <si>
    <t>April Little</t>
  </si>
  <si>
    <t>Steven Davis</t>
  </si>
  <si>
    <t>Rachel Ramirez</t>
  </si>
  <si>
    <t>Jeffrey Phillips</t>
  </si>
  <si>
    <t>Janice Bell</t>
  </si>
  <si>
    <t>Jacqueline Arnold</t>
  </si>
  <si>
    <t>Randy Blake</t>
  </si>
  <si>
    <t>Christian Stewart</t>
  </si>
  <si>
    <t>Kimberly Washington</t>
  </si>
  <si>
    <t>Ricardo Olson</t>
  </si>
  <si>
    <t>Ashley Nunez</t>
  </si>
  <si>
    <t>Hayden Miller</t>
  </si>
  <si>
    <t>Dylan Villarreal</t>
  </si>
  <si>
    <t>John Church</t>
  </si>
  <si>
    <t>Rachel Jensen</t>
  </si>
  <si>
    <t>Value</t>
  </si>
  <si>
    <t>Total Records</t>
  </si>
  <si>
    <t>Missing Employee IDs</t>
  </si>
  <si>
    <t>Duplicate Employee IDs</t>
  </si>
  <si>
    <t>Missing Departments</t>
  </si>
  <si>
    <t>Training Required (Yes)</t>
  </si>
  <si>
    <t>Training Required (No)</t>
  </si>
  <si>
    <t>Metrics</t>
  </si>
  <si>
    <t>Total Employees</t>
  </si>
  <si>
    <t>Missing IDs</t>
  </si>
  <si>
    <t>Duplicate IDs</t>
  </si>
  <si>
    <t>% Training Required</t>
  </si>
  <si>
    <t>Row Labels</t>
  </si>
  <si>
    <t>(blank)</t>
  </si>
  <si>
    <t>Grand Total</t>
  </si>
  <si>
    <t>Sum of Employee ID</t>
  </si>
  <si>
    <t>Count of Employee ID</t>
  </si>
  <si>
    <t>Equipment</t>
  </si>
  <si>
    <t>Missing Information</t>
  </si>
  <si>
    <t>Draft Email</t>
  </si>
  <si>
    <t>Employee Email</t>
  </si>
  <si>
    <t>Issue Status</t>
  </si>
  <si>
    <t>Date Contacted</t>
  </si>
  <si>
    <t>Resolved</t>
  </si>
  <si>
    <t>Not Contacted</t>
  </si>
  <si>
    <t>Select Row + Click Button in Header</t>
  </si>
  <si>
    <t>Response ID</t>
  </si>
  <si>
    <t>Missing Field</t>
  </si>
  <si>
    <t>Corrected Value</t>
  </si>
  <si>
    <t>Submitted by</t>
  </si>
  <si>
    <t>Resolution Status</t>
  </si>
  <si>
    <t>Is Resolved</t>
  </si>
  <si>
    <t>HR Correction Mini App</t>
  </si>
  <si>
    <t>Select Employee</t>
  </si>
  <si>
    <t>Correction Entry</t>
  </si>
  <si>
    <t>Department Correction</t>
  </si>
  <si>
    <t>Employee ID Correction</t>
  </si>
  <si>
    <t>Action Type</t>
  </si>
  <si>
    <t>Target Field</t>
  </si>
  <si>
    <t>Submitted By</t>
  </si>
  <si>
    <t>NOTE: Only fill the field that matches the missing information above.</t>
  </si>
  <si>
    <t>*Manually entered for now</t>
  </si>
  <si>
    <t>If record needs broader update, handle it outside this workflow.</t>
  </si>
  <si>
    <t>Shreya G.</t>
  </si>
  <si>
    <t>{2132ED1B-7C42-4BB9-892E-B4584667448E}</t>
  </si>
  <si>
    <t>Fill Missing Data</t>
  </si>
  <si>
    <t>Submitted</t>
  </si>
  <si>
    <t>RESP-20260317-223616-4</t>
  </si>
  <si>
    <t>Original Total Rows With Any Data Issue(s)</t>
  </si>
  <si>
    <t>HR Data Quality Audit Summary - Original Intake</t>
  </si>
  <si>
    <t>Table of Contents</t>
  </si>
  <si>
    <t>#</t>
  </si>
  <si>
    <t>Title</t>
  </si>
  <si>
    <t>Description</t>
  </si>
  <si>
    <t>Raw_Data</t>
  </si>
  <si>
    <t>Equipment_Data</t>
  </si>
  <si>
    <t>Linked side datasheet - not part of main pipeline. Supporting entity data tied to employees.</t>
  </si>
  <si>
    <t>Raw imported employee source table. No transforming/changes here -- stay as close to imported/generated input</t>
  </si>
  <si>
    <t>Cleaned_Data</t>
  </si>
  <si>
    <t>Standardized staging layer. Source records become normalized enough for effective issue detection and other actionable features.</t>
  </si>
  <si>
    <t>Missing_Data_Action</t>
  </si>
  <si>
    <t>Issue detection output. Identifies which records have issues and what those issues are -- detection result.</t>
  </si>
  <si>
    <t>Future issue-generation table or issue detection output</t>
  </si>
  <si>
    <t>Missing_Data_Action_Current</t>
  </si>
  <si>
    <t>Active unresolved work queue. Powers current action items--should not include resolved or historical clutter unless explicitly marked. #4 is what the system detected, but Missing_Data_Action_Current sheet is what currently still needs action/resolving.</t>
  </si>
  <si>
    <t>Future open issues queue view.</t>
  </si>
  <si>
    <t>Correction_App_Source</t>
  </si>
  <si>
    <t>Prepared source layer for the correction UI. Not the same as raw data or submitted corrections--it is the structured current-state dataset the mini app reads from.</t>
  </si>
  <si>
    <t>Introduces System_Record_ID</t>
  </si>
  <si>
    <t>Where the app is made simpler by preparing data ahead of time rather than making the interface sheet do too much. Future backend view feeding correction form UI.</t>
  </si>
  <si>
    <t>tbl_corrections_form_responses</t>
  </si>
  <si>
    <t>Raw table of submitted form responses. Intake source--not cleaned logic. Treat like a submission box.</t>
  </si>
  <si>
    <t>Corrections_Form_Responses</t>
  </si>
  <si>
    <t>Cleaned/processed version of submitted correction responses. Acts as the normalized response processing layer vs #7 which is the raw captured submissions table. Standardizes and validates incoming submissions before they influence resolved data.</t>
  </si>
  <si>
    <t>Processed correction-submissions staging table.</t>
  </si>
  <si>
    <t>EmployeeID_Corrections_Query</t>
  </si>
  <si>
    <t>Specialized processing logic for employee-ID-related corrections. Useful for correcting employee IDs especially when they behave differently from ordinary field corrections.</t>
  </si>
  <si>
    <t>Specialized correction rule path or backend transformation logic.</t>
  </si>
  <si>
    <t>Department_Corrections_Query</t>
  </si>
  <si>
    <t>Specialized processing logic for department-related corrections. Same idea as #9 but for department corrections instead.</t>
  </si>
  <si>
    <t>Field-specific update logic or correction-type handler</t>
  </si>
  <si>
    <t>Corrections_Log_Query</t>
  </si>
  <si>
    <t>Audit/history layer, treated as append-only history as much as possible. Stores what correction was submitted, when, for which record, which field, if it is an older value or a new value, and the status if relevant.</t>
  </si>
  <si>
    <t>Audit log table (NOT an active work table)</t>
  </si>
  <si>
    <t>Validated_Data</t>
  </si>
  <si>
    <t>Current accepted resolved dataset after correction logic has been applied and checked. Best current corrected dataset BEFORE final presentation/reporting logic (how it differs from #13)</t>
  </si>
  <si>
    <t>Resolved current-state table storing operationally valid current truth.</t>
  </si>
  <si>
    <t>Final_Resolved_Data</t>
  </si>
  <si>
    <t>Final reporting-ready output layer. Reporting/output-ready version used downstream rather than just the curernt corrected operational dataset (how it differs from #12)</t>
  </si>
  <si>
    <t>Correction_Mini_App</t>
  </si>
  <si>
    <t>User-facing correction interface sheet--only UI, not logic-heavy backend structure. Move logic into #6, response tables &amp; processing queries. Clean, not overloaded with hidden complexities. Must be easy to use &amp; intuitive.</t>
  </si>
  <si>
    <t>Future correction web app screen.</t>
  </si>
  <si>
    <t>Data_Quality_Checks</t>
  </si>
  <si>
    <t>Quality-monitoring/reporting layer that measures system health--does NOT perform correction logic. Displays missing valueu counts, issue counts by type, resolved vs unresolved matters, correction turnaround indicators, duplicates or invalid-value indicators (later addition).</t>
  </si>
  <si>
    <t>Future monitoring dashboard or BI layer.</t>
  </si>
  <si>
    <t>HR_Dashboard_Original_Intake</t>
  </si>
  <si>
    <t>Business-facing reporting/dashboard layer. Name to change to better represent purpose of visualizing updated current data.</t>
  </si>
  <si>
    <t>Dashboard/analytics front end -- visualizes outcomes, does NOT drive transformation logic.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</si>
</sst>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"/>
    <numFmt numFmtId="165" formatCode="yyyy\-mm\-dd\ hh:mm:ss"/>
  </numFmts>
  <fonts count="10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sz val="20"/>
      <color theme="1"/>
      <name val="Aptos Narrow"/>
      <family val="2"/>
      <scheme val="minor"/>
    </font>
    <font>
      <i/>
      <sz val="11"/>
      <color theme="0" tint="-0.249977111117893"/>
      <name val="Aptos Narrow"/>
      <family val="2"/>
      <scheme val="minor"/>
    </font>
    <font>
      <sz val="9"/>
      <color rgb="FF000000"/>
      <name val="Aptos Narrow"/>
      <family val="2"/>
    </font>
    <font>
      <sz val="11"/>
      <color rgb="FF000000"/>
      <name val="Aptos Narrow"/>
      <family val="2"/>
    </font>
    <font>
      <sz val="22"/>
      <color theme="1"/>
      <name val="Times New Roman"/>
      <family val="1"/>
    </font>
    <font>
      <sz val="10"/>
      <color theme="1"/>
      <name val="Times New Roman"/>
      <family val="1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3" tint="0.89999084444715716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33">
    <xf numFmtId="0" fontId="0" fillId="0" borderId="0" xfId="0"/>
    <xf numFmtId="164" fontId="0" fillId="0" borderId="0" xfId="0" applyNumberFormat="1"/>
    <xf numFmtId="165" fontId="0" fillId="0" borderId="0" xfId="0" applyNumberFormat="1"/>
    <xf numFmtId="14" fontId="0" fillId="0" borderId="0" xfId="0" applyNumberFormat="1"/>
    <xf numFmtId="22" fontId="0" fillId="0" borderId="0" xfId="0" applyNumberFormat="1"/>
    <xf numFmtId="0" fontId="2" fillId="0" borderId="2" xfId="0" applyFont="1" applyBorder="1"/>
    <xf numFmtId="0" fontId="0" fillId="0" borderId="3" xfId="0" applyBorder="1"/>
    <xf numFmtId="0" fontId="2" fillId="0" borderId="6" xfId="0" applyFont="1" applyBorder="1"/>
    <xf numFmtId="0" fontId="0" fillId="0" borderId="7" xfId="0" applyBorder="1"/>
    <xf numFmtId="0" fontId="2" fillId="0" borderId="4" xfId="0" applyFont="1" applyBorder="1" applyAlignment="1">
      <alignment horizontal="left" vertical="center"/>
    </xf>
    <xf numFmtId="0" fontId="0" fillId="0" borderId="5" xfId="0" applyBorder="1" applyAlignment="1">
      <alignment horizontal="left"/>
    </xf>
    <xf numFmtId="0" fontId="4" fillId="0" borderId="1" xfId="0" applyFont="1" applyBorder="1" applyAlignment="1">
      <alignment horizontal="center"/>
    </xf>
    <xf numFmtId="9" fontId="4" fillId="0" borderId="1" xfId="1" applyFont="1" applyBorder="1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0" fontId="2" fillId="0" borderId="1" xfId="0" applyFont="1" applyBorder="1" applyAlignment="1">
      <alignment horizontal="center" vertical="center"/>
    </xf>
    <xf numFmtId="0" fontId="5" fillId="0" borderId="0" xfId="0" applyFont="1"/>
    <xf numFmtId="0" fontId="2" fillId="0" borderId="0" xfId="0" applyFont="1"/>
    <xf numFmtId="0" fontId="3" fillId="0" borderId="0" xfId="0" applyFont="1"/>
    <xf numFmtId="0" fontId="0" fillId="3" borderId="0" xfId="0" applyFill="1"/>
    <xf numFmtId="0" fontId="3" fillId="2" borderId="1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9" fillId="0" borderId="0" xfId="0" applyFont="1"/>
    <xf numFmtId="0" fontId="9" fillId="0" borderId="0" xfId="0" applyFont="1" applyAlignment="1">
      <alignment horizontal="center"/>
    </xf>
    <xf numFmtId="0" fontId="9" fillId="0" borderId="0" xfId="0" applyFont="1" applyAlignment="1">
      <alignment wrapText="1"/>
    </xf>
    <xf numFmtId="0" fontId="9" fillId="0" borderId="0" xfId="0" applyFont="1" applyAlignment="1">
      <alignment horizontal="center" wrapText="1"/>
    </xf>
    <xf numFmtId="0" fontId="0" fillId="0" borderId="0" xfId="0" applyAlignment="1">
      <alignment wrapText="1"/>
    </xf>
    <xf numFmtId="0" fontId="9" fillId="0" borderId="0" xfId="0" applyFont="1" applyAlignment="1">
      <alignment horizontal="left" vertical="center" wrapText="1"/>
    </xf>
    <xf numFmtId="0" fontId="0" fillId="0" borderId="0" xfId="0" applyAlignment="1">
      <alignment vertical="top" wrapText="1"/>
    </xf>
    <xf numFmtId="0" fontId="8" fillId="0" borderId="0" xfId="0" applyFont="1" applyAlignment="1">
      <alignment horizontal="center" vertical="top" wrapText="1"/>
    </xf>
    <xf numFmtId="0" fontId="9" fillId="0" borderId="0" xfId="0" applyFont="1" applyAlignment="1">
      <alignment vertical="top" wrapText="1"/>
    </xf>
    <xf numFmtId="0" fontId="9" fillId="0" borderId="0" xfId="0" applyFont="1" applyAlignment="1">
      <alignment horizontal="center" vertical="top" wrapText="1"/>
    </xf>
    <xf numFmtId="0" fontId="9" fillId="0" borderId="0" xfId="0" applyFont="1" applyAlignment="1">
      <alignment horizontal="left" vertical="top" wrapText="1"/>
    </xf>
  </cellXfs>
  <cellStyles count="2">
    <cellStyle name="Normal" xfId="0" builtinId="0"/>
    <cellStyle name="Percent" xfId="1" builtinId="5"/>
  </cellStyles>
  <dxfs count="68">
    <dxf>
      <fill>
        <patternFill>
          <bgColor theme="9" tint="0.79998168889431442"/>
        </patternFill>
      </fill>
    </dxf>
    <dxf>
      <fill>
        <patternFill patternType="lightTrellis">
          <bgColor theme="2"/>
        </patternFill>
      </fill>
    </dxf>
    <dxf>
      <fill>
        <patternFill>
          <bgColor theme="9" tint="0.79998168889431442"/>
        </patternFill>
      </fill>
    </dxf>
    <dxf>
      <numFmt numFmtId="0" formatCode="General"/>
      <fill>
        <patternFill patternType="lightTrellis">
          <bgColor theme="2"/>
        </patternFill>
      </fill>
    </dxf>
    <dxf>
      <font>
        <b val="0"/>
        <i val="0"/>
        <color rgb="FF7A0000"/>
      </font>
      <fill>
        <patternFill>
          <bgColor rgb="FFFFDAD1"/>
        </patternFill>
      </fill>
    </dxf>
    <dxf>
      <font>
        <color rgb="FFC00000"/>
      </font>
    </dxf>
    <dxf>
      <font>
        <color rgb="FFC00000"/>
      </font>
    </dxf>
    <dxf>
      <font>
        <color theme="6"/>
      </font>
    </dxf>
    <dxf>
      <font>
        <b val="0"/>
        <i val="0"/>
        <color theme="5"/>
      </font>
    </dxf>
    <dxf>
      <font>
        <b val="0"/>
        <i val="0"/>
        <color rgb="FF00B0F0"/>
      </font>
    </dxf>
    <dxf>
      <font>
        <b val="0"/>
        <i val="0"/>
        <color theme="6"/>
      </font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i/>
        <strike val="0"/>
        <outline val="0"/>
        <shadow val="0"/>
        <u val="none"/>
        <vertAlign val="baseline"/>
        <sz val="11"/>
        <color theme="0" tint="-0.249977111117893"/>
        <name val="Aptos Narrow"/>
        <family val="2"/>
        <scheme val="minor"/>
      </font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m/d/yyyy\ 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27" formatCode="m/d/yyyy\ 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m/d/yyyy\ 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m/d/yyyy\ 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5" formatCode="yyyy\-mm\-dd\ hh:mm:ss"/>
    </dxf>
    <dxf>
      <numFmt numFmtId="164" formatCode="yyyy\-mm\-dd"/>
    </dxf>
  </dxfs>
  <tableStyles count="0" defaultTableStyle="TableStyleMedium2" defaultPivotStyle="PivotStyleLight16"/>
  <colors>
    <mruColors>
      <color rgb="FFFF9900"/>
      <color rgb="FF7A0000"/>
      <color rgb="FFFFDAD1"/>
      <color rgb="FFFFCAB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pivotCacheDefinition" Target="pivotCache/pivotCacheDefinition1.xml"/><Relationship Id="rId26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openxmlformats.org/officeDocument/2006/relationships/connections" Target="connection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pivotCacheDefinition" Target="pivotCache/pivotCacheDefinition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Relationship Id="rId27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[hr_data_dashboard_v2.xlsm]HR_Dashboard_Original_Intake!Employees by Department</c:name>
    <c:fmtId val="2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HR_Dashboard_Original_Intake!$B$5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HR_Dashboard_Original_Intake!$A$6:$A$13</c:f>
              <c:strCache>
                <c:ptCount val="7"/>
                <c:pt idx="0">
                  <c:v>Engineering</c:v>
                </c:pt>
                <c:pt idx="1">
                  <c:v>Finance</c:v>
                </c:pt>
                <c:pt idx="2">
                  <c:v>HR</c:v>
                </c:pt>
                <c:pt idx="3">
                  <c:v>IT</c:v>
                </c:pt>
                <c:pt idx="4">
                  <c:v>Marketing</c:v>
                </c:pt>
                <c:pt idx="5">
                  <c:v>Operations</c:v>
                </c:pt>
                <c:pt idx="6">
                  <c:v>(blank)</c:v>
                </c:pt>
              </c:strCache>
            </c:strRef>
          </c:cat>
          <c:val>
            <c:numRef>
              <c:f>HR_Dashboard_Original_Intake!$B$6:$B$13</c:f>
              <c:numCache>
                <c:formatCode>General</c:formatCode>
                <c:ptCount val="7"/>
                <c:pt idx="0">
                  <c:v>229</c:v>
                </c:pt>
                <c:pt idx="1">
                  <c:v>185</c:v>
                </c:pt>
                <c:pt idx="2">
                  <c:v>223</c:v>
                </c:pt>
                <c:pt idx="3">
                  <c:v>377</c:v>
                </c:pt>
                <c:pt idx="4">
                  <c:v>224</c:v>
                </c:pt>
                <c:pt idx="5">
                  <c:v>219</c:v>
                </c:pt>
                <c:pt idx="6">
                  <c:v>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2FE-4ECA-BCD1-9AA4CB829A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35825856"/>
        <c:axId val="335830656"/>
      </c:barChart>
      <c:catAx>
        <c:axId val="3358258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5830656"/>
        <c:crosses val="autoZero"/>
        <c:auto val="1"/>
        <c:lblAlgn val="ctr"/>
        <c:lblOffset val="100"/>
        <c:noMultiLvlLbl val="0"/>
      </c:catAx>
      <c:valAx>
        <c:axId val="335830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58258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[hr_data_dashboard_v2.xlsm]HR_Dashboard_Original_Intake!Training Requirement Distribution</c:name>
    <c:fmtId val="1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Training</a:t>
            </a:r>
            <a:r>
              <a:rPr lang="en-US" baseline="0"/>
              <a:t> Required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tx>
            <c:strRef>
              <c:f>HR_Dashboard_Original_Intake!$F$5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028D-48DD-A359-1D3AF823B9A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028D-48DD-A359-1D3AF823B9A8}"/>
              </c:ext>
            </c:extLst>
          </c:dPt>
          <c:cat>
            <c:strRef>
              <c:f>HR_Dashboard_Original_Intake!$E$6:$E$8</c:f>
              <c:strCache>
                <c:ptCount val="2"/>
                <c:pt idx="0">
                  <c:v>No</c:v>
                </c:pt>
                <c:pt idx="1">
                  <c:v>Yes</c:v>
                </c:pt>
              </c:strCache>
            </c:strRef>
          </c:cat>
          <c:val>
            <c:numRef>
              <c:f>HR_Dashboard_Original_Intake!$F$6:$F$8</c:f>
              <c:numCache>
                <c:formatCode>General</c:formatCode>
                <c:ptCount val="2"/>
                <c:pt idx="0">
                  <c:v>74960680</c:v>
                </c:pt>
                <c:pt idx="1">
                  <c:v>73945830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50-44BE-910C-5A311363C6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[hr_data_dashboard_v2.xlsm]HR_Dashboard_Original_Intake!Equipment Requests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Employee</a:t>
            </a:r>
            <a:r>
              <a:rPr lang="en-US" baseline="0"/>
              <a:t> Equipment Allocation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HR_Dashboard_Original_Intake!$B$15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HR_Dashboard_Original_Intake!$A$16:$A$22</c:f>
              <c:strCache>
                <c:ptCount val="6"/>
                <c:pt idx="0">
                  <c:v>Docking Station</c:v>
                </c:pt>
                <c:pt idx="1">
                  <c:v>Headset</c:v>
                </c:pt>
                <c:pt idx="2">
                  <c:v>Keyboard</c:v>
                </c:pt>
                <c:pt idx="3">
                  <c:v>Laptop</c:v>
                </c:pt>
                <c:pt idx="4">
                  <c:v>Monitor</c:v>
                </c:pt>
                <c:pt idx="5">
                  <c:v>Security Badge</c:v>
                </c:pt>
              </c:strCache>
            </c:strRef>
          </c:cat>
          <c:val>
            <c:numRef>
              <c:f>HR_Dashboard_Original_Intake!$B$16:$B$22</c:f>
              <c:numCache>
                <c:formatCode>General</c:formatCode>
                <c:ptCount val="6"/>
                <c:pt idx="0">
                  <c:v>479</c:v>
                </c:pt>
                <c:pt idx="1">
                  <c:v>494</c:v>
                </c:pt>
                <c:pt idx="2">
                  <c:v>498</c:v>
                </c:pt>
                <c:pt idx="3">
                  <c:v>476</c:v>
                </c:pt>
                <c:pt idx="4">
                  <c:v>470</c:v>
                </c:pt>
                <c:pt idx="5">
                  <c:v>516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845-4778-927F-695A5CA024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1626575"/>
        <c:axId val="51628975"/>
      </c:barChart>
      <c:catAx>
        <c:axId val="51626575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628975"/>
        <c:crosses val="autoZero"/>
        <c:auto val="1"/>
        <c:lblAlgn val="ctr"/>
        <c:lblOffset val="100"/>
        <c:noMultiLvlLbl val="0"/>
      </c:catAx>
      <c:valAx>
        <c:axId val="516289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6265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788670</xdr:colOff>
          <xdr:row>0</xdr:row>
          <xdr:rowOff>7620</xdr:rowOff>
        </xdr:from>
        <xdr:to>
          <xdr:col>4</xdr:col>
          <xdr:colOff>1905000</xdr:colOff>
          <xdr:row>1</xdr:row>
          <xdr:rowOff>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5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ptos Narrow"/>
                </a:rPr>
                <a:t>Draft Selected Email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</xdr:colOff>
          <xdr:row>2</xdr:row>
          <xdr:rowOff>0</xdr:rowOff>
        </xdr:from>
        <xdr:to>
          <xdr:col>10</xdr:col>
          <xdr:colOff>609600</xdr:colOff>
          <xdr:row>4</xdr:row>
          <xdr:rowOff>102870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5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Click Here to Draft All Missing Emails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83820</xdr:colOff>
          <xdr:row>17</xdr:row>
          <xdr:rowOff>102870</xdr:rowOff>
        </xdr:from>
        <xdr:to>
          <xdr:col>1</xdr:col>
          <xdr:colOff>3482340</xdr:colOff>
          <xdr:row>19</xdr:row>
          <xdr:rowOff>110490</xdr:rowOff>
        </xdr:to>
        <xdr:sp macro="" textlink="">
          <xdr:nvSpPr>
            <xdr:cNvPr id="13322" name="Button 10" hidden="1">
              <a:extLst>
                <a:ext uri="{63B3BB69-23CF-44E3-9099-C40C66FF867C}">
                  <a14:compatExt spid="_x0000_s13322"/>
                </a:ext>
                <a:ext uri="{FF2B5EF4-FFF2-40B4-BE49-F238E27FC236}">
                  <a16:creationId xmlns:a16="http://schemas.microsoft.com/office/drawing/2014/main" id="{00000000-0008-0000-0C00-00000A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Click Here to Submit Correction Form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80011</xdr:colOff>
      <xdr:row>3</xdr:row>
      <xdr:rowOff>133350</xdr:rowOff>
    </xdr:from>
    <xdr:to>
      <xdr:col>3</xdr:col>
      <xdr:colOff>1341121</xdr:colOff>
      <xdr:row>17</xdr:row>
      <xdr:rowOff>121920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10CF2A9-BDFC-6114-CAF5-828517300A6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43815</xdr:colOff>
      <xdr:row>9</xdr:row>
      <xdr:rowOff>5715</xdr:rowOff>
    </xdr:from>
    <xdr:to>
      <xdr:col>5</xdr:col>
      <xdr:colOff>1184910</xdr:colOff>
      <xdr:row>17</xdr:row>
      <xdr:rowOff>129540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C5EA1D8-E9CE-DF71-974D-EC54C957728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131444</xdr:colOff>
      <xdr:row>18</xdr:row>
      <xdr:rowOff>62865</xdr:rowOff>
    </xdr:from>
    <xdr:to>
      <xdr:col>5</xdr:col>
      <xdr:colOff>1192529</xdr:colOff>
      <xdr:row>30</xdr:row>
      <xdr:rowOff>118110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1327024C-45B3-4D00-276B-AD982309C37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hreya Garg" refreshedDate="46097.827026620369" createdVersion="8" refreshedVersion="8" minRefreshableVersion="3" recordCount="1500" xr:uid="{E20CA87C-A347-493B-A5ED-8489E49462C2}">
  <cacheSource type="worksheet">
    <worksheetSource name="tbl_clean_hr"/>
  </cacheSource>
  <cacheFields count="11">
    <cacheField name="Employee Name" numFmtId="0">
      <sharedItems/>
    </cacheField>
    <cacheField name="Employee ID" numFmtId="0">
      <sharedItems containsString="0" containsBlank="1" containsNumber="1" containsInteger="1" minValue="100000" maxValue="101499"/>
    </cacheField>
    <cacheField name="Department" numFmtId="0">
      <sharedItems containsBlank="1" count="7">
        <s v="Engineering"/>
        <s v="IT"/>
        <s v="Finance"/>
        <s v="Marketing"/>
        <s v="HR"/>
        <s v="Operations"/>
        <m/>
      </sharedItems>
    </cacheField>
    <cacheField name="Start Date" numFmtId="14">
      <sharedItems containsSemiMixedTypes="0" containsNonDate="0" containsDate="1" containsString="0" minDate="2025-03-16T00:00:00" maxDate="2026-05-16T00:00:00"/>
    </cacheField>
    <cacheField name="Equipment Required" numFmtId="0">
      <sharedItems count="41">
        <s v="Docking Station; Keyboard; Laptop"/>
        <s v="Keyboard"/>
        <s v="Docking Station; Headset"/>
        <s v="Headset"/>
        <s v="Headset; Monitor; Security Badge"/>
        <s v="Docking Station; Keyboard"/>
        <s v="Keyboard; Security Badge"/>
        <s v="Security Badge"/>
        <s v="Keyboard; Laptop; Security Badge"/>
        <s v="Headset; Security Badge"/>
        <s v="Docking Station; Laptop; Monitor"/>
        <s v="Monitor"/>
        <s v="Laptop; Monitor; Security Badge"/>
        <s v="Docking Station; Headset; Keyboard"/>
        <s v="Docking Station; Laptop"/>
        <s v="Laptop"/>
        <s v="Headset; Keyboard; Monitor"/>
        <s v="Headset; Laptop"/>
        <s v="Docking Station; Headset; Laptop"/>
        <s v="Docking Station; Monitor"/>
        <s v="Keyboard; Laptop; Monitor"/>
        <s v="Keyboard; Monitor; Security Badge"/>
        <s v="Docking Station; Headset; Security Badge"/>
        <s v="Docking Station; Laptop; Security Badge"/>
        <s v="Laptop; Monitor"/>
        <s v="Headset; Laptop; Security Badge"/>
        <s v="Keyboard; Laptop"/>
        <s v="Docking Station; Keyboard; Security Badge"/>
        <s v="Docking Station"/>
        <s v="Laptop; Security Badge"/>
        <s v="Headset; Keyboard; Laptop"/>
        <s v="Keyboard; Monitor"/>
        <s v="Headset; Monitor"/>
        <s v="Monitor; Security Badge"/>
        <s v="Headset; Keyboard"/>
        <s v="Headset; Keyboard; Security Badge"/>
        <s v="Headset; Laptop; Monitor"/>
        <s v="Docking Station; Keyboard; Monitor"/>
        <s v="Docking Station; Headset; Monitor"/>
        <s v="Docking Station; Monitor; Security Badge"/>
        <s v="Docking Station; Security Badge"/>
      </sharedItems>
    </cacheField>
    <cacheField name="Manager Name" numFmtId="0">
      <sharedItems/>
    </cacheField>
    <cacheField name="Training Required" numFmtId="0">
      <sharedItems count="2">
        <s v="Yes"/>
        <s v="No"/>
      </sharedItems>
    </cacheField>
    <cacheField name="Email" numFmtId="0">
      <sharedItems/>
    </cacheField>
    <cacheField name="Phone" numFmtId="0">
      <sharedItems/>
    </cacheField>
    <cacheField name="Submission Timestamp" numFmtId="22">
      <sharedItems containsSemiMixedTypes="0" containsNonDate="0" containsDate="1" containsString="0" minDate="2026-01-29T20:03:08" maxDate="2026-03-16T17:54:08"/>
    </cacheField>
    <cacheField name="Data Issue Flag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hreya Garg" refreshedDate="46097.846619444441" createdVersion="8" refreshedVersion="8" minRefreshableVersion="3" recordCount="2977" xr:uid="{7266F7CD-CC00-4342-8835-14F0513DA2F3}">
  <cacheSource type="worksheet">
    <worksheetSource name="tbl_equipment"/>
  </cacheSource>
  <cacheFields count="11">
    <cacheField name="Employee Name" numFmtId="0">
      <sharedItems/>
    </cacheField>
    <cacheField name="Employee ID" numFmtId="0">
      <sharedItems containsString="0" containsBlank="1" containsNumber="1" containsInteger="1" minValue="100000" maxValue="101499"/>
    </cacheField>
    <cacheField name="Department" numFmtId="0">
      <sharedItems containsBlank="1"/>
    </cacheField>
    <cacheField name="Start Date" numFmtId="14">
      <sharedItems containsSemiMixedTypes="0" containsNonDate="0" containsDate="1" containsString="0" minDate="2025-03-16T00:00:00" maxDate="2026-05-16T00:00:00"/>
    </cacheField>
    <cacheField name="Equipment" numFmtId="0">
      <sharedItems count="6">
        <s v="Docking Station"/>
        <s v="Keyboard"/>
        <s v="Laptop"/>
        <s v="Headset"/>
        <s v="Monitor"/>
        <s v="Security Badge"/>
      </sharedItems>
    </cacheField>
    <cacheField name="Manager Name" numFmtId="0">
      <sharedItems/>
    </cacheField>
    <cacheField name="Training Required" numFmtId="0">
      <sharedItems/>
    </cacheField>
    <cacheField name="Email" numFmtId="0">
      <sharedItems/>
    </cacheField>
    <cacheField name="Phone" numFmtId="0">
      <sharedItems/>
    </cacheField>
    <cacheField name="Submission Timestamp" numFmtId="22">
      <sharedItems containsSemiMixedTypes="0" containsNonDate="0" containsDate="1" containsString="0" minDate="2026-01-29T20:03:08" maxDate="2026-03-16T17:54:08"/>
    </cacheField>
    <cacheField name="Data Issue Flag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500">
  <r>
    <s v="Allison Hill"/>
    <n v="101303"/>
    <x v="0"/>
    <d v="2025-08-10T00:00:00"/>
    <x v="0"/>
    <s v="Noah Rhodes"/>
    <x v="0"/>
    <s v="garzaanthony@example.org"/>
    <s v="538.990.8386"/>
    <d v="2026-03-06T19:30:08"/>
    <m/>
  </r>
  <r>
    <s v="Rhonda Smith"/>
    <n v="100397"/>
    <x v="1"/>
    <d v="2025-07-08T00:00:00"/>
    <x v="1"/>
    <s v="Melissa Peterson"/>
    <x v="1"/>
    <s v="jasongallagher@example.org"/>
    <s v="361-855-9407"/>
    <d v="2026-03-09T08:24:08"/>
    <m/>
  </r>
  <r>
    <s v="Edward Fuller"/>
    <n v="100386"/>
    <x v="1"/>
    <d v="2025-07-09T00:00:00"/>
    <x v="2"/>
    <s v="Heidi Lee"/>
    <x v="0"/>
    <s v="williamsjeremy@example.com"/>
    <s v="731-564-7525"/>
    <d v="2026-02-05T19:27:08"/>
    <m/>
  </r>
  <r>
    <s v="Mia Sutton"/>
    <n v="100549"/>
    <x v="2"/>
    <d v="2025-03-30T00:00:00"/>
    <x v="1"/>
    <s v="Mark Ferguson"/>
    <x v="1"/>
    <s v="frankgray@example.net"/>
    <s v="001-783-550-3056x413"/>
    <d v="2026-02-23T05:56:08"/>
    <m/>
  </r>
  <r>
    <s v="Jennifer Rocha"/>
    <n v="100597"/>
    <x v="0"/>
    <d v="2025-06-16T00:00:00"/>
    <x v="3"/>
    <s v="Derek Wright"/>
    <x v="1"/>
    <s v="julie69@example.com"/>
    <s v="(332)887-1012x269"/>
    <d v="2026-03-12T13:04:08"/>
    <m/>
  </r>
  <r>
    <s v="Zachary Rice"/>
    <n v="101113"/>
    <x v="0"/>
    <d v="2025-05-01T00:00:00"/>
    <x v="4"/>
    <s v="Shannon Smith"/>
    <x v="1"/>
    <s v="maldonadoamanda@example.com"/>
    <s v="001-551-446-2704x82814"/>
    <d v="2026-02-15T06:16:08"/>
    <m/>
  </r>
  <r>
    <s v="Christopher Ashley"/>
    <n v="101365"/>
    <x v="3"/>
    <d v="2025-09-21T00:00:00"/>
    <x v="5"/>
    <s v="Tamara George"/>
    <x v="0"/>
    <s v="xsmith@example.com"/>
    <s v="403.491.1718"/>
    <d v="2026-03-13T12:36:08"/>
    <m/>
  </r>
  <r>
    <s v="Theresa Martin"/>
    <n v="100134"/>
    <x v="3"/>
    <d v="2026-04-06T00:00:00"/>
    <x v="0"/>
    <s v="Lisa Brandt"/>
    <x v="1"/>
    <s v="jenniferross@example.net"/>
    <s v="+1-557-587-1331x5098"/>
    <d v="2026-02-02T03:26:08"/>
    <m/>
  </r>
  <r>
    <s v="Michael Brown"/>
    <n v="101117"/>
    <x v="1"/>
    <d v="2026-01-20T00:00:00"/>
    <x v="6"/>
    <s v="Andre Rivera"/>
    <x v="0"/>
    <s v="joshuawashington@example.net"/>
    <s v="(399)873-7631"/>
    <d v="2026-02-12T14:01:08"/>
    <m/>
  </r>
  <r>
    <s v="Jason Shields"/>
    <n v="101164"/>
    <x v="4"/>
    <d v="2025-10-22T00:00:00"/>
    <x v="1"/>
    <s v="Matthew Lucas"/>
    <x v="1"/>
    <s v="powellmatthew@example.org"/>
    <s v="933.587.2624"/>
    <d v="2026-02-10T19:08:08"/>
    <m/>
  </r>
  <r>
    <s v="Angela Morton"/>
    <n v="100213"/>
    <x v="4"/>
    <d v="2025-04-08T00:00:00"/>
    <x v="7"/>
    <s v="Annette Pearson"/>
    <x v="0"/>
    <s v="novaksara@example.org"/>
    <s v="(267)873-6026"/>
    <d v="2026-03-16T10:56:08"/>
    <m/>
  </r>
  <r>
    <s v="Richard Gibson"/>
    <n v="101181"/>
    <x v="4"/>
    <d v="2025-07-02T00:00:00"/>
    <x v="1"/>
    <s v="Tyler Cowan"/>
    <x v="1"/>
    <s v="smoore@example.org"/>
    <s v="4982050097"/>
    <d v="2026-02-24T13:49:08"/>
    <m/>
  </r>
  <r>
    <s v="Angela Lopez"/>
    <n v="100789"/>
    <x v="0"/>
    <d v="2025-11-25T00:00:00"/>
    <x v="4"/>
    <s v="Megan Young"/>
    <x v="1"/>
    <s v="davidashley@example.net"/>
    <s v="+1-509-616-9985x435"/>
    <d v="2026-02-10T10:03:08"/>
    <m/>
  </r>
  <r>
    <s v="Michael Evans"/>
    <n v="100760"/>
    <x v="1"/>
    <d v="2025-12-27T00:00:00"/>
    <x v="8"/>
    <s v="Paul Jones"/>
    <x v="0"/>
    <s v="khowell@example.org"/>
    <s v="783-684-2513"/>
    <d v="2026-02-17T17:16:08"/>
    <m/>
  </r>
  <r>
    <s v="Roy Warner"/>
    <n v="100510"/>
    <x v="5"/>
    <d v="2025-04-24T00:00:00"/>
    <x v="9"/>
    <s v="Victoria Valdez"/>
    <x v="1"/>
    <s v="contrerasangela@example.net"/>
    <s v="524-711-8244"/>
    <d v="2026-01-29T20:03:08"/>
    <m/>
  </r>
  <r>
    <s v="Mark Baker"/>
    <n v="100444"/>
    <x v="5"/>
    <d v="2025-08-11T00:00:00"/>
    <x v="7"/>
    <s v="Taylor Mathis Jr."/>
    <x v="0"/>
    <s v="ccalderon@example.org"/>
    <s v="724-427-8680x11280"/>
    <d v="2026-02-24T12:03:08"/>
    <m/>
  </r>
  <r>
    <s v="Andrew Diaz"/>
    <n v="100705"/>
    <x v="1"/>
    <d v="2025-11-06T00:00:00"/>
    <x v="8"/>
    <s v="Valerie Williams"/>
    <x v="0"/>
    <s v="jason31@example.com"/>
    <s v="001-686-492-3226x02563"/>
    <d v="2026-03-01T03:02:08"/>
    <m/>
  </r>
  <r>
    <s v="Ashley Brennan"/>
    <n v="101007"/>
    <x v="1"/>
    <d v="2025-10-07T00:00:00"/>
    <x v="8"/>
    <s v="Courtney Velasquez"/>
    <x v="1"/>
    <s v="ybailey@example.org"/>
    <s v="803.765.4145"/>
    <d v="2026-03-02T06:32:08"/>
    <m/>
  </r>
  <r>
    <s v="Ashley Waller"/>
    <m/>
    <x v="3"/>
    <d v="2025-04-24T00:00:00"/>
    <x v="10"/>
    <s v="Victor Baker"/>
    <x v="1"/>
    <s v="carlsonmichael@example.com"/>
    <s v="(798)816-9340x60883"/>
    <d v="2026-02-21T19:53:08"/>
    <s v="Missing Employee ID"/>
  </r>
  <r>
    <s v="Matthew Rivera"/>
    <n v="100632"/>
    <x v="3"/>
    <d v="2025-07-14T00:00:00"/>
    <x v="11"/>
    <s v="Ryan Cortez"/>
    <x v="1"/>
    <s v="william65@example.com"/>
    <s v="001-248-623-6629x946"/>
    <d v="2026-03-04T11:59:08"/>
    <s v="Extra Name Spaces"/>
  </r>
  <r>
    <s v="Jeffrey Carpenter"/>
    <n v="101425"/>
    <x v="1"/>
    <d v="2025-06-02T00:00:00"/>
    <x v="12"/>
    <s v="Julie Ramos"/>
    <x v="1"/>
    <s v="williamleon@example.net"/>
    <s v="(514)589-5134"/>
    <d v="2026-02-07T22:08:08"/>
    <m/>
  </r>
  <r>
    <s v="Angel Riggs"/>
    <n v="100550"/>
    <x v="5"/>
    <d v="2026-02-27T00:00:00"/>
    <x v="13"/>
    <s v="Patricia Gibson"/>
    <x v="1"/>
    <s v="jennifercruz@example.com"/>
    <s v="220.516.3287"/>
    <d v="2026-03-07T02:54:08"/>
    <m/>
  </r>
  <r>
    <s v="Barbara Anderson"/>
    <n v="100068"/>
    <x v="0"/>
    <d v="2025-11-11T00:00:00"/>
    <x v="5"/>
    <s v="Joseph Hansen"/>
    <x v="1"/>
    <s v="stephanie79@example.net"/>
    <s v="968.372.7743x48734"/>
    <d v="2026-02-07T15:59:08"/>
    <m/>
  </r>
  <r>
    <s v="Cynthia Rogers"/>
    <n v="100226"/>
    <x v="4"/>
    <d v="2025-11-30T00:00:00"/>
    <x v="1"/>
    <s v="Angela Hernandez"/>
    <x v="1"/>
    <s v="tbenson@example.org"/>
    <s v="866-858-7603"/>
    <d v="2026-02-16T16:37:08"/>
    <s v="Duplicate Employee ID"/>
  </r>
  <r>
    <s v="Lauren Dominguez"/>
    <n v="100558"/>
    <x v="0"/>
    <d v="2025-09-20T00:00:00"/>
    <x v="14"/>
    <s v="Pamela James"/>
    <x v="1"/>
    <s v="benderkenneth@example.com"/>
    <s v="(488)993-7346x70656"/>
    <d v="2026-02-14T22:06:08"/>
    <m/>
  </r>
  <r>
    <s v="Veronica Ferguson"/>
    <n v="100762"/>
    <x v="1"/>
    <d v="2026-04-25T00:00:00"/>
    <x v="12"/>
    <s v="Leslie Alvarado"/>
    <x v="1"/>
    <s v="dayderek@example.com"/>
    <s v="(804)665-3755"/>
    <d v="2026-02-06T01:40:08"/>
    <m/>
  </r>
  <r>
    <s v="Sandra King"/>
    <n v="101289"/>
    <x v="1"/>
    <d v="2025-06-01T00:00:00"/>
    <x v="7"/>
    <s v="Alec Ryan"/>
    <x v="0"/>
    <s v="jeffrey10@example.org"/>
    <s v="530.992.3271"/>
    <d v="2026-02-23T15:02:08"/>
    <m/>
  </r>
  <r>
    <s v="Pamela Jackson"/>
    <n v="100640"/>
    <x v="1"/>
    <d v="2026-02-09T00:00:00"/>
    <x v="15"/>
    <s v="Nicole Wilson"/>
    <x v="0"/>
    <s v="tamirodriguez@example.org"/>
    <s v="296-763-1931x4919"/>
    <d v="2026-01-30T02:58:08"/>
    <m/>
  </r>
  <r>
    <s v="Mary Jones"/>
    <n v="100133"/>
    <x v="5"/>
    <d v="2025-12-09T00:00:00"/>
    <x v="16"/>
    <s v="Alexandria Fisher"/>
    <x v="1"/>
    <s v="xgarcia@example.net"/>
    <s v="626.728.4987x769"/>
    <d v="2026-02-26T04:41:08"/>
    <m/>
  </r>
  <r>
    <s v="Sandra Miller"/>
    <n v="100315"/>
    <x v="5"/>
    <d v="2026-04-16T00:00:00"/>
    <x v="2"/>
    <s v="Dana Marshall"/>
    <x v="0"/>
    <s v="frogers@example.com"/>
    <s v="(273)554-5494"/>
    <d v="2026-02-03T19:49:08"/>
    <m/>
  </r>
  <r>
    <s v="Nathan Freeman"/>
    <n v="100346"/>
    <x v="4"/>
    <d v="2025-04-18T00:00:00"/>
    <x v="17"/>
    <s v="Melissa Brewer"/>
    <x v="1"/>
    <s v="bwest@example.org"/>
    <s v="736-734-9578x8568"/>
    <d v="2026-02-26T09:18:08"/>
    <m/>
  </r>
  <r>
    <s v="Denise King"/>
    <n v="100373"/>
    <x v="1"/>
    <d v="2025-05-31T00:00:00"/>
    <x v="17"/>
    <s v="Corey Wilson"/>
    <x v="0"/>
    <s v="jamesrodgers@example.com"/>
    <s v="001-498-694-1343x5240"/>
    <d v="2026-02-22T07:19:08"/>
    <m/>
  </r>
  <r>
    <s v="Anthony Carter"/>
    <n v="100294"/>
    <x v="5"/>
    <d v="2025-05-21T00:00:00"/>
    <x v="0"/>
    <s v="Margaret Mullins"/>
    <x v="1"/>
    <s v="salasaudrey@example.com"/>
    <s v="275.420.4711x6719"/>
    <d v="2026-02-03T06:42:08"/>
    <m/>
  </r>
  <r>
    <s v="Justin Torres"/>
    <n v="101441"/>
    <x v="3"/>
    <d v="2026-02-22T00:00:00"/>
    <x v="18"/>
    <s v="Bailey Duran DDS"/>
    <x v="1"/>
    <s v="kimberlyjames@example.com"/>
    <s v="496-549-9091x3341"/>
    <d v="2026-02-12T05:33:08"/>
    <m/>
  </r>
  <r>
    <s v="Benjamin Smith"/>
    <n v="100526"/>
    <x v="0"/>
    <d v="2025-09-17T00:00:00"/>
    <x v="19"/>
    <s v="Kirk Carter"/>
    <x v="1"/>
    <s v="keithcampbell@example.com"/>
    <s v="434-693-6183"/>
    <d v="2026-02-13T11:21:08"/>
    <m/>
  </r>
  <r>
    <s v="Andrea Martin"/>
    <n v="101212"/>
    <x v="2"/>
    <d v="2025-05-25T00:00:00"/>
    <x v="15"/>
    <s v="Paul Carroll"/>
    <x v="1"/>
    <s v="scott74@example.net"/>
    <s v="(248)387-7190x6594"/>
    <d v="2026-03-10T00:35:08"/>
    <m/>
  </r>
  <r>
    <s v="Michael Valencia"/>
    <n v="101062"/>
    <x v="1"/>
    <d v="2026-03-29T00:00:00"/>
    <x v="20"/>
    <s v="Alicia Hubbard"/>
    <x v="1"/>
    <s v="barbara27@example.net"/>
    <s v="+1-374-429-6717x5655"/>
    <d v="2026-03-07T12:22:08"/>
    <m/>
  </r>
  <r>
    <s v="Michael Roberts"/>
    <n v="100383"/>
    <x v="3"/>
    <d v="2026-05-15T00:00:00"/>
    <x v="4"/>
    <s v="Robin Pierce"/>
    <x v="0"/>
    <s v="qmiller@example.com"/>
    <s v="768-908-7603"/>
    <d v="2026-02-18T05:28:08"/>
    <m/>
  </r>
  <r>
    <s v="Olivia Harris"/>
    <n v="101082"/>
    <x v="2"/>
    <d v="2025-10-29T00:00:00"/>
    <x v="21"/>
    <s v="Tanya Kim"/>
    <x v="0"/>
    <s v="omartinez@example.net"/>
    <s v="324.980.8613"/>
    <d v="2026-02-25T01:54:08"/>
    <m/>
  </r>
  <r>
    <s v="Maria Moore"/>
    <n v="100701"/>
    <x v="6"/>
    <d v="2025-09-20T00:00:00"/>
    <x v="22"/>
    <s v="Dorothy Thornton"/>
    <x v="1"/>
    <s v="edavenport@example.org"/>
    <s v="682.263.9821x465"/>
    <d v="2026-02-20T00:45:08"/>
    <s v="Missing Department"/>
  </r>
  <r>
    <s v="Edwin Matthews"/>
    <n v="100405"/>
    <x v="1"/>
    <d v="2025-10-16T00:00:00"/>
    <x v="11"/>
    <s v="Mrs. Brittany Ryan MD"/>
    <x v="0"/>
    <s v="ugibson@example.org"/>
    <s v="001-939-263-6057x662"/>
    <d v="2026-02-28T16:08:08"/>
    <m/>
  </r>
  <r>
    <s v="Vincent Rivera"/>
    <n v="100876"/>
    <x v="1"/>
    <d v="2025-09-22T00:00:00"/>
    <x v="18"/>
    <s v="Ryan Garcia"/>
    <x v="1"/>
    <s v="jsmith@example.com"/>
    <s v="+1-921-274-5961x5865"/>
    <d v="2026-03-11T12:26:08"/>
    <m/>
  </r>
  <r>
    <s v="Cynthia Cohen"/>
    <n v="101409"/>
    <x v="2"/>
    <d v="2025-11-01T00:00:00"/>
    <x v="12"/>
    <s v="Darren Davis"/>
    <x v="0"/>
    <s v="hodgesjane@example.org"/>
    <s v="524.800.5045x562"/>
    <d v="2026-02-16T05:59:08"/>
    <m/>
  </r>
  <r>
    <s v="Rebecca Jackson"/>
    <n v="100434"/>
    <x v="0"/>
    <d v="2025-10-14T00:00:00"/>
    <x v="7"/>
    <s v="Seth Harvey"/>
    <x v="1"/>
    <s v="tyleraguilar@example.org"/>
    <s v="647.840.7482x175"/>
    <d v="2026-03-01T04:44:08"/>
    <m/>
  </r>
  <r>
    <s v="Joyce Turner"/>
    <n v="101008"/>
    <x v="0"/>
    <d v="2025-09-23T00:00:00"/>
    <x v="15"/>
    <s v="Dr. Ashley James MD"/>
    <x v="1"/>
    <s v="victoria40@example.net"/>
    <s v="(640)490-9743x9533"/>
    <d v="2026-03-09T19:43:08"/>
    <m/>
  </r>
  <r>
    <s v="Stephanie Lucas"/>
    <n v="101095"/>
    <x v="4"/>
    <d v="2026-04-25T00:00:00"/>
    <x v="11"/>
    <s v="Jeremiah Riley"/>
    <x v="0"/>
    <s v="christopherphillips@example.net"/>
    <s v="(323)928-5884x24745"/>
    <d v="2026-02-26T01:47:08"/>
    <s v="Duplicate Employee ID"/>
  </r>
  <r>
    <s v="Brenda Levy"/>
    <n v="100391"/>
    <x v="3"/>
    <d v="2026-04-08T00:00:00"/>
    <x v="23"/>
    <s v="Misty Whitney"/>
    <x v="0"/>
    <s v="christopher60@example.com"/>
    <s v="+1-517-954-9651"/>
    <d v="2026-03-15T09:10:08"/>
    <m/>
  </r>
  <r>
    <s v="Stephen Hoffman"/>
    <n v="100297"/>
    <x v="2"/>
    <d v="2025-05-31T00:00:00"/>
    <x v="22"/>
    <s v="Connie Brown"/>
    <x v="0"/>
    <s v="tblankenship@example.net"/>
    <s v="(712)800-4711x38267"/>
    <d v="2026-02-26T09:48:08"/>
    <m/>
  </r>
  <r>
    <s v="Molly Mcclure"/>
    <n v="100157"/>
    <x v="4"/>
    <d v="2025-05-17T00:00:00"/>
    <x v="11"/>
    <s v="Sandra Gilbert"/>
    <x v="1"/>
    <s v="antonio53@example.com"/>
    <s v="935.315.8506x431"/>
    <d v="2026-02-03T20:39:08"/>
    <m/>
  </r>
  <r>
    <s v="Maria Harper"/>
    <n v="100933"/>
    <x v="5"/>
    <d v="2025-04-17T00:00:00"/>
    <x v="7"/>
    <s v="Richard Sanchez"/>
    <x v="0"/>
    <s v="kristinharris@example.net"/>
    <s v="493.435.2904"/>
    <d v="2026-02-04T00:19:08"/>
    <m/>
  </r>
  <r>
    <s v="Rebecca Rodriguez"/>
    <n v="101122"/>
    <x v="1"/>
    <d v="2025-07-17T00:00:00"/>
    <x v="21"/>
    <s v="Bonnie Howard"/>
    <x v="0"/>
    <s v="briannasmith@example.com"/>
    <s v="3269811775"/>
    <d v="2026-02-05T05:52:08"/>
    <m/>
  </r>
  <r>
    <s v="Theresa Williams"/>
    <n v="100879"/>
    <x v="2"/>
    <d v="2026-01-02T00:00:00"/>
    <x v="24"/>
    <s v="Sharon Boyd"/>
    <x v="1"/>
    <s v="bschneider@example.org"/>
    <s v="666.717.7115x9212"/>
    <d v="2026-03-11T23:57:08"/>
    <m/>
  </r>
  <r>
    <s v="Kyle Phillips"/>
    <n v="100182"/>
    <x v="1"/>
    <d v="2025-11-30T00:00:00"/>
    <x v="25"/>
    <s v="Jessica Mcguire"/>
    <x v="1"/>
    <s v="farrelldebra@example.net"/>
    <s v="001-736-673-6576x6156"/>
    <d v="2026-03-13T20:13:08"/>
    <m/>
  </r>
  <r>
    <s v="Christian Leblanc"/>
    <n v="101357"/>
    <x v="5"/>
    <d v="2025-09-23T00:00:00"/>
    <x v="14"/>
    <s v="Ronald Davis"/>
    <x v="1"/>
    <s v="garnernathan@example.org"/>
    <s v="+1-809-288-5165"/>
    <d v="2026-03-12T06:08:08"/>
    <m/>
  </r>
  <r>
    <s v="Lindsay Bell"/>
    <n v="100513"/>
    <x v="2"/>
    <d v="2026-03-26T00:00:00"/>
    <x v="0"/>
    <s v="Christy Douglas"/>
    <x v="0"/>
    <s v="melaniebell@example.net"/>
    <s v="(614)293-6899x809"/>
    <d v="2026-03-14T05:53:08"/>
    <m/>
  </r>
  <r>
    <s v="Michael Parker"/>
    <n v="101229"/>
    <x v="1"/>
    <d v="2025-09-05T00:00:00"/>
    <x v="4"/>
    <s v="Aaron Kane"/>
    <x v="0"/>
    <s v="vjones@example.net"/>
    <s v="7186366752"/>
    <d v="2026-03-08T15:45:08"/>
    <m/>
  </r>
  <r>
    <s v="Paula Bradley"/>
    <n v="100374"/>
    <x v="5"/>
    <d v="2025-04-03T00:00:00"/>
    <x v="24"/>
    <s v="Anthony Moore"/>
    <x v="0"/>
    <s v="craigjoseph@example.net"/>
    <s v="(979)676-4381x56149"/>
    <d v="2026-03-14T07:08:08"/>
    <m/>
  </r>
  <r>
    <s v="James Greene"/>
    <n v="101141"/>
    <x v="4"/>
    <d v="2025-12-04T00:00:00"/>
    <x v="9"/>
    <s v="Eric Clark"/>
    <x v="1"/>
    <s v="kathrynroberts@example.org"/>
    <s v="7763226838"/>
    <d v="2026-03-13T19:50:08"/>
    <m/>
  </r>
  <r>
    <s v="Patrick Graham"/>
    <n v="100307"/>
    <x v="2"/>
    <d v="2025-08-09T00:00:00"/>
    <x v="26"/>
    <s v="Blake Edwards"/>
    <x v="1"/>
    <s v="tberry@example.net"/>
    <s v="(841)860-5297x51613"/>
    <d v="2026-03-09T05:21:08"/>
    <m/>
  </r>
  <r>
    <s v="Jennifer Collins"/>
    <m/>
    <x v="5"/>
    <d v="2025-10-06T00:00:00"/>
    <x v="27"/>
    <s v="Gary Jackson"/>
    <x v="0"/>
    <s v="schmidtjames@example.com"/>
    <s v="(923)912-4329x212"/>
    <d v="2026-02-12T18:17:08"/>
    <s v="Missing Employee ID"/>
  </r>
  <r>
    <s v="Olivia Cole"/>
    <n v="100491"/>
    <x v="1"/>
    <d v="2025-09-20T00:00:00"/>
    <x v="8"/>
    <s v="Kristy Reid"/>
    <x v="0"/>
    <s v="michelle52@example.com"/>
    <s v="377-644-9058"/>
    <d v="2026-02-16T21:21:08"/>
    <m/>
  </r>
  <r>
    <s v="Andrew Wood"/>
    <n v="101319"/>
    <x v="3"/>
    <d v="2025-12-20T00:00:00"/>
    <x v="26"/>
    <s v="Matthew Madden"/>
    <x v="0"/>
    <s v="gilbertwilliam@example.com"/>
    <s v="001-480-279-3597"/>
    <d v="2026-02-23T19:21:08"/>
    <m/>
  </r>
  <r>
    <s v="Robert Monroe"/>
    <n v="100722"/>
    <x v="4"/>
    <d v="2025-08-19T00:00:00"/>
    <x v="9"/>
    <s v="Mrs. Maria Williams"/>
    <x v="0"/>
    <s v="hritter@example.net"/>
    <s v="+1-725-354-6659x051"/>
    <d v="2026-01-31T02:45:08"/>
    <m/>
  </r>
  <r>
    <s v="Jasmine King"/>
    <n v="101401"/>
    <x v="4"/>
    <d v="2025-10-30T00:00:00"/>
    <x v="28"/>
    <s v="Tracey Morrison"/>
    <x v="1"/>
    <s v="mathewaguilar@example.org"/>
    <s v="(346)829-1486x528"/>
    <d v="2026-02-05T03:04:08"/>
    <m/>
  </r>
  <r>
    <s v="Alicia Parker"/>
    <n v="100098"/>
    <x v="2"/>
    <d v="2026-02-06T00:00:00"/>
    <x v="15"/>
    <s v="Gloria Miranda"/>
    <x v="1"/>
    <s v="jeremytaylor@example.org"/>
    <s v="418-488-0592x9622"/>
    <d v="2026-02-21T00:24:08"/>
    <m/>
  </r>
  <r>
    <s v="Amanda Diaz"/>
    <n v="100682"/>
    <x v="3"/>
    <d v="2025-03-31T00:00:00"/>
    <x v="3"/>
    <s v="Tracy Bishop"/>
    <x v="1"/>
    <s v="pyoung@example.com"/>
    <s v="435.697.7468x8623"/>
    <d v="2026-03-14T13:36:08"/>
    <m/>
  </r>
  <r>
    <s v="John Watson"/>
    <n v="100602"/>
    <x v="0"/>
    <d v="2025-07-14T00:00:00"/>
    <x v="27"/>
    <s v="Michelle Black"/>
    <x v="0"/>
    <s v="mitchellkathryn@example.com"/>
    <s v="782.561.3750x606"/>
    <d v="2026-02-06T12:40:08"/>
    <m/>
  </r>
  <r>
    <s v="Brad Walker"/>
    <n v="101162"/>
    <x v="5"/>
    <d v="2025-09-21T00:00:00"/>
    <x v="29"/>
    <s v="Brett Espinoza"/>
    <x v="0"/>
    <s v="lacey20@example.com"/>
    <s v="827.379.0104x3289"/>
    <d v="2026-02-11T05:23:08"/>
    <m/>
  </r>
  <r>
    <s v="Cynthia Martinez"/>
    <n v="100132"/>
    <x v="5"/>
    <d v="2025-08-23T00:00:00"/>
    <x v="20"/>
    <s v="Mark Dean"/>
    <x v="0"/>
    <s v="rodriguezrebecca@example.net"/>
    <s v="+1-708-593-2460"/>
    <d v="2026-03-05T00:52:08"/>
    <m/>
  </r>
  <r>
    <s v="Chelsea Barnett"/>
    <n v="100608"/>
    <x v="1"/>
    <d v="2025-09-30T00:00:00"/>
    <x v="30"/>
    <s v="Heather Ashley"/>
    <x v="1"/>
    <s v="myerstheodore@example.net"/>
    <s v="(754)705-1531x9520"/>
    <d v="2026-03-02T21:01:08"/>
    <m/>
  </r>
  <r>
    <s v="Carrie Maxwell"/>
    <n v="101331"/>
    <x v="4"/>
    <d v="2026-03-06T00:00:00"/>
    <x v="24"/>
    <s v="Michael Welch"/>
    <x v="0"/>
    <s v="bryanparsons@example.com"/>
    <s v="8439030548"/>
    <d v="2026-03-12T02:29:08"/>
    <m/>
  </r>
  <r>
    <s v="Paul Lee"/>
    <n v="100845"/>
    <x v="3"/>
    <d v="2026-03-16T00:00:00"/>
    <x v="26"/>
    <s v="Richard Glenn"/>
    <x v="1"/>
    <s v="joshua56@example.com"/>
    <s v="001-876-452-7758x4161"/>
    <d v="2026-01-30T15:42:08"/>
    <m/>
  </r>
  <r>
    <s v="Erica Miller"/>
    <n v="100547"/>
    <x v="1"/>
    <d v="2025-12-18T00:00:00"/>
    <x v="31"/>
    <s v="Elizabeth Morrison"/>
    <x v="0"/>
    <s v="cjackson@example.com"/>
    <s v="205.496.4016x582"/>
    <d v="2026-02-21T00:33:08"/>
    <m/>
  </r>
  <r>
    <s v="Megan Kim"/>
    <n v="100359"/>
    <x v="2"/>
    <d v="2025-05-17T00:00:00"/>
    <x v="11"/>
    <s v="David Brewer"/>
    <x v="0"/>
    <s v="patrick90@example.net"/>
    <s v="(775)857-1928"/>
    <d v="2026-02-13T17:01:08"/>
    <m/>
  </r>
  <r>
    <s v="Donald Horne"/>
    <n v="101068"/>
    <x v="4"/>
    <d v="2025-12-24T00:00:00"/>
    <x v="21"/>
    <s v="Cody Holmes"/>
    <x v="0"/>
    <s v="greenjorge@example.com"/>
    <s v="494.973.1217"/>
    <d v="2026-03-12T07:21:08"/>
    <m/>
  </r>
  <r>
    <s v="Rita Ponce DVM"/>
    <n v="100635"/>
    <x v="5"/>
    <d v="2026-03-18T00:00:00"/>
    <x v="22"/>
    <s v="Michelle Pierce"/>
    <x v="1"/>
    <s v="patricia22@example.com"/>
    <s v="431.332.3705x89578"/>
    <d v="2026-02-08T15:23:08"/>
    <s v="Duplicate Employee ID"/>
  </r>
  <r>
    <s v="James Love"/>
    <n v="100354"/>
    <x v="3"/>
    <d v="2025-08-25T00:00:00"/>
    <x v="25"/>
    <s v="Jason Ortiz"/>
    <x v="1"/>
    <s v="martinezlogan@example.org"/>
    <s v="378.452.8922x680"/>
    <d v="2026-03-07T23:05:08"/>
    <m/>
  </r>
  <r>
    <s v="Christopher Donovan"/>
    <n v="100977"/>
    <x v="1"/>
    <d v="2025-06-17T00:00:00"/>
    <x v="7"/>
    <s v="Travis Stone"/>
    <x v="0"/>
    <s v="meghan43@example.net"/>
    <s v="+1-442-449-8182"/>
    <d v="2026-03-09T00:13:08"/>
    <m/>
  </r>
  <r>
    <s v="Michelle Jacobs"/>
    <n v="101358"/>
    <x v="6"/>
    <d v="2025-08-18T00:00:00"/>
    <x v="11"/>
    <s v="Kristy Bryan"/>
    <x v="1"/>
    <s v="millerstacy@example.net"/>
    <s v="839-669-0784x473"/>
    <d v="2026-01-30T10:13:08"/>
    <s v="Missing Department"/>
  </r>
  <r>
    <s v="Michael Moore"/>
    <n v="100950"/>
    <x v="4"/>
    <d v="2025-12-06T00:00:00"/>
    <x v="26"/>
    <s v="John Peterson"/>
    <x v="0"/>
    <s v="larryhiggins@example.net"/>
    <s v="(962)558-8153x714"/>
    <d v="2026-02-03T23:06:08"/>
    <m/>
  </r>
  <r>
    <s v="Anthony Dougherty"/>
    <n v="100780"/>
    <x v="2"/>
    <d v="2025-05-19T00:00:00"/>
    <x v="30"/>
    <s v="Jennifer Estes"/>
    <x v="0"/>
    <s v="lisapeck@example.net"/>
    <s v="532-578-7747x01687"/>
    <d v="2026-02-06T22:05:08"/>
    <m/>
  </r>
  <r>
    <s v="Amber Campbell"/>
    <n v="100368"/>
    <x v="3"/>
    <d v="2025-06-11T00:00:00"/>
    <x v="13"/>
    <s v="Sarah Chambers"/>
    <x v="0"/>
    <s v="amanda16@example.org"/>
    <s v="656-350-6098x358"/>
    <d v="2026-03-15T15:08:08"/>
    <m/>
  </r>
  <r>
    <s v="Jerry Pierce"/>
    <n v="101470"/>
    <x v="0"/>
    <d v="2026-02-07T00:00:00"/>
    <x v="21"/>
    <s v="Lisa Carr"/>
    <x v="0"/>
    <s v="theresalong@example.com"/>
    <s v="+1-252-239-8680"/>
    <d v="2026-02-12T20:30:08"/>
    <m/>
  </r>
  <r>
    <s v="Gary Wells"/>
    <n v="101467"/>
    <x v="1"/>
    <d v="2025-08-11T00:00:00"/>
    <x v="21"/>
    <s v="Larry Robertson"/>
    <x v="1"/>
    <s v="sarah52@example.com"/>
    <s v="+1-749-758-8879x470"/>
    <d v="2026-02-25T02:26:08"/>
    <m/>
  </r>
  <r>
    <s v="Veronica Silva"/>
    <n v="100754"/>
    <x v="0"/>
    <d v="2026-03-03T00:00:00"/>
    <x v="11"/>
    <s v="Molly Watts"/>
    <x v="1"/>
    <s v="carlsonjoseph@example.net"/>
    <s v="001-399-530-9728x96230"/>
    <d v="2026-02-18T01:23:08"/>
    <m/>
  </r>
  <r>
    <s v="Erik Hernandez"/>
    <n v="101102"/>
    <x v="5"/>
    <d v="2025-06-28T00:00:00"/>
    <x v="32"/>
    <s v="Jennifer Hampton"/>
    <x v="1"/>
    <s v="vsalas@example.net"/>
    <s v="7284385786"/>
    <d v="2026-01-30T07:01:08"/>
    <m/>
  </r>
  <r>
    <s v="Joseph Payne"/>
    <n v="101294"/>
    <x v="4"/>
    <d v="2025-10-06T00:00:00"/>
    <x v="1"/>
    <s v="Sharon Becker"/>
    <x v="0"/>
    <s v="chelsea33@example.com"/>
    <s v="+1-743-644-3757"/>
    <d v="2026-02-24T09:39:08"/>
    <m/>
  </r>
  <r>
    <s v="Kenneth Daniels"/>
    <n v="100400"/>
    <x v="5"/>
    <d v="2025-05-17T00:00:00"/>
    <x v="33"/>
    <s v="Jennifer Reed"/>
    <x v="0"/>
    <s v="kellyroberts@example.net"/>
    <s v="657-447-3384"/>
    <d v="2026-03-10T16:11:08"/>
    <m/>
  </r>
  <r>
    <s v="Patrick Allen"/>
    <n v="100961"/>
    <x v="4"/>
    <d v="2025-09-28T00:00:00"/>
    <x v="4"/>
    <s v="Taylor Perez"/>
    <x v="1"/>
    <s v="briangutierrez@example.net"/>
    <s v="212.308.2677x3454"/>
    <d v="2026-02-08T07:14:08"/>
    <m/>
  </r>
  <r>
    <s v="Crystal Rodgers"/>
    <n v="100520"/>
    <x v="2"/>
    <d v="2026-04-10T00:00:00"/>
    <x v="7"/>
    <s v="Amanda Dorsey"/>
    <x v="1"/>
    <s v="lkhan@example.org"/>
    <s v="(972)440-0499x1547"/>
    <d v="2026-02-13T07:23:08"/>
    <m/>
  </r>
  <r>
    <s v="Julie Lee"/>
    <n v="101254"/>
    <x v="1"/>
    <d v="2025-03-27T00:00:00"/>
    <x v="7"/>
    <s v="Christopher Stevens"/>
    <x v="1"/>
    <s v="jennifer05@example.com"/>
    <s v="001-832-396-6851"/>
    <d v="2026-03-01T10:34:08"/>
    <m/>
  </r>
  <r>
    <s v="Charles Morris"/>
    <n v="101230"/>
    <x v="1"/>
    <d v="2025-09-12T00:00:00"/>
    <x v="15"/>
    <s v="Dean Young"/>
    <x v="1"/>
    <s v="stephanie49@example.net"/>
    <s v="001-404-853-0174"/>
    <d v="2026-02-12T21:31:08"/>
    <m/>
  </r>
  <r>
    <s v="Tammy Barron"/>
    <n v="100353"/>
    <x v="1"/>
    <d v="2025-08-09T00:00:00"/>
    <x v="23"/>
    <s v="Melissa Fowler"/>
    <x v="0"/>
    <s v="michael33@example.org"/>
    <s v="927.795.6878x3391"/>
    <d v="2026-02-28T05:25:08"/>
    <m/>
  </r>
  <r>
    <s v="Justin Brown"/>
    <n v="100616"/>
    <x v="5"/>
    <d v="2025-09-19T00:00:00"/>
    <x v="7"/>
    <s v="Kathy Armstrong"/>
    <x v="0"/>
    <s v="franklinbond@example.com"/>
    <s v="439-871-8707"/>
    <d v="2026-02-07T22:44:08"/>
    <m/>
  </r>
  <r>
    <s v="Anthony Ford"/>
    <n v="100990"/>
    <x v="2"/>
    <d v="2025-09-17T00:00:00"/>
    <x v="8"/>
    <s v="Miranda Foster"/>
    <x v="1"/>
    <s v="reesebeth@example.org"/>
    <s v="(851)980-1704x62265"/>
    <d v="2026-02-09T08:22:08"/>
    <m/>
  </r>
  <r>
    <s v="Susan Bennett"/>
    <n v="100993"/>
    <x v="1"/>
    <d v="2026-02-27T00:00:00"/>
    <x v="10"/>
    <s v="Mary Ryan"/>
    <x v="1"/>
    <s v="david86@example.net"/>
    <s v="(830)504-7868"/>
    <d v="2026-02-21T06:20:08"/>
    <m/>
  </r>
  <r>
    <s v="Gregory Hill"/>
    <n v="100243"/>
    <x v="1"/>
    <d v="2025-09-19T00:00:00"/>
    <x v="11"/>
    <s v="Molly Rodriguez"/>
    <x v="1"/>
    <s v="bmendez@example.org"/>
    <s v="211.890.7903"/>
    <d v="2026-02-12T16:32:08"/>
    <m/>
  </r>
  <r>
    <s v="Joshua Webster"/>
    <n v="100675"/>
    <x v="0"/>
    <d v="2025-04-04T00:00:00"/>
    <x v="28"/>
    <s v="Brenda Holder"/>
    <x v="1"/>
    <s v="lisadennis@example.com"/>
    <s v="001-695-634-2836"/>
    <d v="2026-02-14T00:11:08"/>
    <m/>
  </r>
  <r>
    <s v="Travis Hobbs"/>
    <n v="100347"/>
    <x v="5"/>
    <d v="2025-05-31T00:00:00"/>
    <x v="16"/>
    <s v="Lori Simmons"/>
    <x v="1"/>
    <s v="wwilliams@example.net"/>
    <s v="+1-668-456-6246x28733"/>
    <d v="2026-03-06T04:30:08"/>
    <m/>
  </r>
  <r>
    <s v="Suzanne Hart"/>
    <n v="100793"/>
    <x v="1"/>
    <d v="2026-03-29T00:00:00"/>
    <x v="34"/>
    <s v="Kristin Anderson"/>
    <x v="1"/>
    <s v="jonathanrivera@example.org"/>
    <s v="551.583.0469x901"/>
    <d v="2026-01-29T22:42:08"/>
    <m/>
  </r>
  <r>
    <s v="Sean Cook"/>
    <n v="101227"/>
    <x v="4"/>
    <d v="2025-11-14T00:00:00"/>
    <x v="1"/>
    <s v="Alexis Giles"/>
    <x v="1"/>
    <s v="burgesskaren@example.org"/>
    <s v="001-693-663-8546x785"/>
    <d v="2026-02-01T14:10:08"/>
    <s v="Extra Name Spaces"/>
  </r>
  <r>
    <s v="Stephen Owens"/>
    <n v="100192"/>
    <x v="5"/>
    <d v="2026-01-08T00:00:00"/>
    <x v="14"/>
    <s v="Miranda Gill"/>
    <x v="1"/>
    <s v="robin55@example.com"/>
    <s v="8936204899"/>
    <d v="2026-02-27T19:32:08"/>
    <m/>
  </r>
  <r>
    <s v="Gary James"/>
    <n v="100214"/>
    <x v="1"/>
    <d v="2026-01-05T00:00:00"/>
    <x v="28"/>
    <s v="Kathryn Pena"/>
    <x v="0"/>
    <s v="jonathan77@example.com"/>
    <s v="(252)328-7280"/>
    <d v="2026-02-07T01:31:08"/>
    <m/>
  </r>
  <r>
    <s v="Mary Duran"/>
    <n v="101315"/>
    <x v="3"/>
    <d v="2025-12-09T00:00:00"/>
    <x v="22"/>
    <s v="Ryan Hall"/>
    <x v="0"/>
    <s v="albertwagner@example.com"/>
    <s v="8992770088"/>
    <d v="2026-02-01T09:38:08"/>
    <m/>
  </r>
  <r>
    <s v="Nathan Nichols"/>
    <n v="101311"/>
    <x v="0"/>
    <d v="2026-01-03T00:00:00"/>
    <x v="10"/>
    <s v="Jonathan Wolfe"/>
    <x v="1"/>
    <s v="ldrake@example.org"/>
    <s v="682-833-9845"/>
    <d v="2026-02-24T03:37:08"/>
    <m/>
  </r>
  <r>
    <s v="Tyler Stevens"/>
    <n v="100492"/>
    <x v="3"/>
    <d v="2025-10-13T00:00:00"/>
    <x v="4"/>
    <s v="Michael Evans"/>
    <x v="0"/>
    <s v="valdezmichele@example.org"/>
    <s v="366-968-7002"/>
    <d v="2026-01-30T13:12:08"/>
    <m/>
  </r>
  <r>
    <s v="Maria Rivera"/>
    <n v="100385"/>
    <x v="1"/>
    <d v="2025-06-30T00:00:00"/>
    <x v="35"/>
    <s v="Valerie Jacobson"/>
    <x v="1"/>
    <s v="hallrachel@example.net"/>
    <s v="001-474-701-4890"/>
    <d v="2026-03-05T02:13:08"/>
    <m/>
  </r>
  <r>
    <s v="Daniel Thomas"/>
    <n v="100084"/>
    <x v="1"/>
    <d v="2025-09-07T00:00:00"/>
    <x v="27"/>
    <s v="Samantha Hickman"/>
    <x v="0"/>
    <s v="francisco39@example.com"/>
    <s v="+1-885-762-1850x16315"/>
    <d v="2026-03-01T08:23:08"/>
    <m/>
  </r>
  <r>
    <s v="Donald Riddle"/>
    <n v="100805"/>
    <x v="1"/>
    <d v="2025-08-15T00:00:00"/>
    <x v="1"/>
    <s v="Henry Pugh MD"/>
    <x v="1"/>
    <s v="nmiller@example.com"/>
    <s v="711.342.6265"/>
    <d v="2026-01-30T10:50:08"/>
    <m/>
  </r>
  <r>
    <s v="Tommy Wallace"/>
    <n v="100733"/>
    <x v="1"/>
    <d v="2025-08-25T00:00:00"/>
    <x v="34"/>
    <s v="Ashley Miller"/>
    <x v="1"/>
    <s v="jcole@example.net"/>
    <s v="(810)315-8199x56046"/>
    <d v="2026-02-26T13:45:08"/>
    <m/>
  </r>
  <r>
    <s v="Kristin Haney"/>
    <n v="101032"/>
    <x v="1"/>
    <d v="2026-02-25T00:00:00"/>
    <x v="27"/>
    <s v="Joseph Jennings"/>
    <x v="0"/>
    <s v="dominicturner@example.com"/>
    <s v="(712)664-6471"/>
    <d v="2026-02-26T16:28:08"/>
    <m/>
  </r>
  <r>
    <s v="Michelle Simpson"/>
    <n v="101442"/>
    <x v="4"/>
    <d v="2026-03-16T00:00:00"/>
    <x v="1"/>
    <s v="Judith Taylor"/>
    <x v="1"/>
    <s v="rushmartin@example.net"/>
    <s v="(457)856-9245x9375"/>
    <d v="2026-02-03T09:09:08"/>
    <m/>
  </r>
  <r>
    <s v="Doris Neal"/>
    <n v="100544"/>
    <x v="1"/>
    <d v="2025-07-03T00:00:00"/>
    <x v="3"/>
    <s v="Kenneth Sanchez MD"/>
    <x v="1"/>
    <s v="kdiaz@example.org"/>
    <s v="001-382-880-7374"/>
    <d v="2026-02-08T18:09:08"/>
    <m/>
  </r>
  <r>
    <s v="Brenda Turner"/>
    <n v="100184"/>
    <x v="2"/>
    <d v="2025-05-25T00:00:00"/>
    <x v="3"/>
    <s v="Christian Henderson"/>
    <x v="0"/>
    <s v="mjones@example.com"/>
    <s v="001-368-386-8058"/>
    <d v="2026-03-01T16:11:08"/>
    <m/>
  </r>
  <r>
    <s v="Mary Kelly"/>
    <n v="101014"/>
    <x v="1"/>
    <d v="2025-07-09T00:00:00"/>
    <x v="36"/>
    <s v="Amanda Terrell"/>
    <x v="1"/>
    <s v="vrasmussen@example.com"/>
    <s v="501-943-8889"/>
    <d v="2026-02-23T01:47:08"/>
    <m/>
  </r>
  <r>
    <s v="Joel Frazier"/>
    <n v="100945"/>
    <x v="3"/>
    <d v="2026-02-27T00:00:00"/>
    <x v="15"/>
    <s v="Brittany Cuevas"/>
    <x v="0"/>
    <s v="agarcia@example.org"/>
    <s v="725-945-7387"/>
    <d v="2026-02-17T19:37:08"/>
    <m/>
  </r>
  <r>
    <s v="Nathan Chavez"/>
    <n v="100454"/>
    <x v="1"/>
    <d v="2025-11-15T00:00:00"/>
    <x v="16"/>
    <s v="Andrew Page"/>
    <x v="1"/>
    <s v="sweeneydeborah@example.net"/>
    <s v="(938)528-2586"/>
    <d v="2026-02-03T15:53:08"/>
    <m/>
  </r>
  <r>
    <s v="Lori Lopez"/>
    <n v="101156"/>
    <x v="0"/>
    <d v="2026-02-12T00:00:00"/>
    <x v="36"/>
    <s v="Jennifer Mclaughlin"/>
    <x v="0"/>
    <s v="shannonjordan@example.org"/>
    <s v="001-933-341-9182x553"/>
    <d v="2026-02-18T11:54:08"/>
    <m/>
  </r>
  <r>
    <s v="Scott Rose"/>
    <n v="100835"/>
    <x v="0"/>
    <d v="2025-10-05T00:00:00"/>
    <x v="31"/>
    <s v="Linda Carr"/>
    <x v="0"/>
    <s v="baileymegan@example.net"/>
    <s v="(649)391-2513"/>
    <d v="2026-03-16T07:43:08"/>
    <m/>
  </r>
  <r>
    <s v="Michael Dixon"/>
    <n v="101095"/>
    <x v="1"/>
    <d v="2026-01-18T00:00:00"/>
    <x v="1"/>
    <s v="Chad Reyes"/>
    <x v="1"/>
    <s v="tommymedina@example.net"/>
    <s v="(282)774-2257"/>
    <d v="2026-02-14T20:01:08"/>
    <m/>
  </r>
  <r>
    <s v="Kari Lee"/>
    <n v="100100"/>
    <x v="1"/>
    <d v="2025-12-09T00:00:00"/>
    <x v="32"/>
    <s v="Justin Delgado"/>
    <x v="1"/>
    <s v="acohen@example.net"/>
    <s v="672.419.0340x438"/>
    <d v="2026-02-27T11:20:08"/>
    <m/>
  </r>
  <r>
    <s v="Krystal Barton"/>
    <n v="100654"/>
    <x v="3"/>
    <d v="2025-09-01T00:00:00"/>
    <x v="28"/>
    <s v="Jorge Armstrong III"/>
    <x v="1"/>
    <s v="amber07@example.net"/>
    <s v="361.934.0745"/>
    <d v="2026-02-03T09:08:08"/>
    <m/>
  </r>
  <r>
    <s v="Autumn Cain"/>
    <n v="100181"/>
    <x v="3"/>
    <d v="2025-03-23T00:00:00"/>
    <x v="37"/>
    <s v="Oscar Norris"/>
    <x v="0"/>
    <s v="imartin@example.org"/>
    <s v="709.658.4982"/>
    <d v="2026-02-04T20:06:08"/>
    <m/>
  </r>
  <r>
    <s v="Derek Hodge"/>
    <n v="100402"/>
    <x v="5"/>
    <d v="2026-05-13T00:00:00"/>
    <x v="34"/>
    <s v="Miss Anna Estes"/>
    <x v="0"/>
    <s v="rsellers@example.net"/>
    <s v="(623)825-3672"/>
    <d v="2026-02-18T19:04:08"/>
    <m/>
  </r>
  <r>
    <s v="Bernard Norton"/>
    <n v="100794"/>
    <x v="3"/>
    <d v="2025-06-18T00:00:00"/>
    <x v="7"/>
    <s v="Jennifer Brady"/>
    <x v="1"/>
    <s v="shawn75@example.net"/>
    <s v="5179518636"/>
    <d v="2026-03-01T17:41:08"/>
    <s v="Extra Name Spaces"/>
  </r>
  <r>
    <s v="Ronald Morgan"/>
    <n v="100111"/>
    <x v="2"/>
    <d v="2025-09-28T00:00:00"/>
    <x v="7"/>
    <s v="Kylie Washington"/>
    <x v="1"/>
    <s v="patricia00@example.org"/>
    <s v="+1-670-312-7706x3242"/>
    <d v="2026-02-23T07:36:08"/>
    <m/>
  </r>
  <r>
    <s v="Danielle Watson"/>
    <n v="100187"/>
    <x v="1"/>
    <d v="2026-03-21T00:00:00"/>
    <x v="30"/>
    <s v="Carol Sanders"/>
    <x v="0"/>
    <s v="jessica36@example.net"/>
    <s v="910-237-1293"/>
    <d v="2026-03-12T19:07:08"/>
    <s v="Extra Name Spaces"/>
  </r>
  <r>
    <s v="Greg Martinez"/>
    <n v="101211"/>
    <x v="3"/>
    <d v="2025-11-09T00:00:00"/>
    <x v="33"/>
    <s v="Melissa Woods"/>
    <x v="1"/>
    <s v="patrickcross@example.org"/>
    <s v="255-442-6221"/>
    <d v="2026-01-31T13:54:08"/>
    <m/>
  </r>
  <r>
    <s v="Nathan Fuller"/>
    <n v="101244"/>
    <x v="4"/>
    <d v="2025-09-20T00:00:00"/>
    <x v="38"/>
    <s v="Jason Parks"/>
    <x v="1"/>
    <s v="christophergarcia@example.org"/>
    <s v="001-565-665-2341"/>
    <d v="2026-03-07T02:23:08"/>
    <m/>
  </r>
  <r>
    <s v="Melissa Abbott"/>
    <n v="101193"/>
    <x v="1"/>
    <d v="2025-09-23T00:00:00"/>
    <x v="2"/>
    <s v="Elizabeth Holmes"/>
    <x v="1"/>
    <s v="juliephillips@example.org"/>
    <s v="276.713.7918"/>
    <d v="2026-02-09T19:14:08"/>
    <m/>
  </r>
  <r>
    <s v="Bonnie Valencia"/>
    <n v="101281"/>
    <x v="2"/>
    <d v="2026-04-10T00:00:00"/>
    <x v="28"/>
    <s v="Holly Vega"/>
    <x v="0"/>
    <s v="xbest@example.org"/>
    <s v="6918043006"/>
    <d v="2026-02-11T02:40:08"/>
    <m/>
  </r>
  <r>
    <s v="James Davidson"/>
    <n v="100032"/>
    <x v="1"/>
    <d v="2026-03-11T00:00:00"/>
    <x v="17"/>
    <s v="Brittany Miller"/>
    <x v="0"/>
    <s v="dixonjames@example.org"/>
    <s v="+1-556-391-4630"/>
    <d v="2026-03-12T23:13:08"/>
    <m/>
  </r>
  <r>
    <s v="Audrey Salazar"/>
    <n v="101494"/>
    <x v="1"/>
    <d v="2025-06-27T00:00:00"/>
    <x v="38"/>
    <s v="Maxwell Barrett"/>
    <x v="1"/>
    <s v="davidzimmerman@example.net"/>
    <s v="4276588425"/>
    <d v="2026-02-11T02:50:08"/>
    <m/>
  </r>
  <r>
    <s v="Bailey Yoder"/>
    <n v="100325"/>
    <x v="3"/>
    <d v="2026-02-27T00:00:00"/>
    <x v="28"/>
    <s v="Jeffrey Warren"/>
    <x v="1"/>
    <s v="jennifer91@example.com"/>
    <s v="385.507.9252x419"/>
    <d v="2026-03-11T00:29:08"/>
    <m/>
  </r>
  <r>
    <s v="April Trevino"/>
    <n v="101033"/>
    <x v="5"/>
    <d v="2026-05-04T00:00:00"/>
    <x v="7"/>
    <s v="Angel Cox"/>
    <x v="0"/>
    <s v="haroldhorne@example.org"/>
    <s v="+1-763-353-6541"/>
    <d v="2026-02-12T03:44:08"/>
    <m/>
  </r>
  <r>
    <s v="Stephanie White"/>
    <n v="100951"/>
    <x v="5"/>
    <d v="2025-12-29T00:00:00"/>
    <x v="3"/>
    <s v="Vicki Finley"/>
    <x v="1"/>
    <s v="wileymichelle@example.com"/>
    <s v="918-570-5349x49375"/>
    <d v="2026-02-01T07:23:08"/>
    <m/>
  </r>
  <r>
    <s v="Kimberly Flynn"/>
    <n v="100623"/>
    <x v="0"/>
    <d v="2025-10-04T00:00:00"/>
    <x v="24"/>
    <s v="Timothy Johnson"/>
    <x v="0"/>
    <s v="cynthia05@example.org"/>
    <s v="001-564-813-8367x02410"/>
    <d v="2026-03-14T03:27:08"/>
    <m/>
  </r>
  <r>
    <s v="Jacqueline Villegas"/>
    <n v="100562"/>
    <x v="4"/>
    <d v="2026-03-09T00:00:00"/>
    <x v="3"/>
    <s v="Brendan Anderson"/>
    <x v="0"/>
    <s v="kjones@example.org"/>
    <s v="(423)344-5655x74313"/>
    <d v="2026-03-12T01:48:08"/>
    <m/>
  </r>
  <r>
    <s v="Christopher Owens"/>
    <n v="100010"/>
    <x v="0"/>
    <d v="2025-08-09T00:00:00"/>
    <x v="19"/>
    <s v="Joshua Oconnell"/>
    <x v="1"/>
    <s v="shannonford@example.org"/>
    <s v="524-790-3521"/>
    <d v="2026-02-21T04:51:08"/>
    <s v="Duplicate Employee ID"/>
  </r>
  <r>
    <s v="Anthony Evans"/>
    <n v="100588"/>
    <x v="5"/>
    <d v="2025-09-25T00:00:00"/>
    <x v="17"/>
    <s v="Carrie Crane"/>
    <x v="0"/>
    <s v="jhawkins@example.org"/>
    <s v="571-821-0032"/>
    <d v="2026-02-03T06:02:08"/>
    <m/>
  </r>
  <r>
    <s v="Mark Newman"/>
    <n v="101176"/>
    <x v="3"/>
    <d v="2025-06-15T00:00:00"/>
    <x v="4"/>
    <s v="Deanna Hess"/>
    <x v="0"/>
    <s v="osbornjames@example.net"/>
    <s v="921.251.0702x966"/>
    <d v="2026-03-16T17:08:08"/>
    <m/>
  </r>
  <r>
    <s v="Jeffery Gomez"/>
    <n v="101114"/>
    <x v="4"/>
    <d v="2025-11-08T00:00:00"/>
    <x v="22"/>
    <s v="Denise Griffin"/>
    <x v="1"/>
    <s v="austinharvey@example.org"/>
    <s v="+1-547-268-7014x6263"/>
    <d v="2026-03-02T09:28:08"/>
    <m/>
  </r>
  <r>
    <s v="Rachael Howard DDS"/>
    <n v="100581"/>
    <x v="5"/>
    <d v="2025-09-09T00:00:00"/>
    <x v="1"/>
    <s v="Dr. Jonathan Price"/>
    <x v="0"/>
    <s v="anthonyharper@example.org"/>
    <s v="001-240-578-5932x13348"/>
    <d v="2026-03-09T16:49:08"/>
    <m/>
  </r>
  <r>
    <s v="Vickie Price"/>
    <n v="100015"/>
    <x v="5"/>
    <d v="2026-01-24T00:00:00"/>
    <x v="11"/>
    <s v="Wendy Thompson"/>
    <x v="0"/>
    <s v="brittanydrake@example.net"/>
    <s v="(490)959-9293x784"/>
    <d v="2026-03-12T14:28:08"/>
    <m/>
  </r>
  <r>
    <s v="Anthony Guzman"/>
    <n v="100091"/>
    <x v="1"/>
    <d v="2025-04-02T00:00:00"/>
    <x v="17"/>
    <s v="John Rivera"/>
    <x v="0"/>
    <s v="lindsaypeterson@example.org"/>
    <s v="700-629-2185x15691"/>
    <d v="2026-03-14T04:11:08"/>
    <m/>
  </r>
  <r>
    <s v="William Oconnor"/>
    <n v="100964"/>
    <x v="5"/>
    <d v="2025-07-13T00:00:00"/>
    <x v="10"/>
    <s v="Mark Freeman"/>
    <x v="1"/>
    <s v="grant89@example.com"/>
    <s v="892.264.4220"/>
    <d v="2026-03-01T22:15:08"/>
    <m/>
  </r>
  <r>
    <s v="Evan Lamb"/>
    <n v="100288"/>
    <x v="4"/>
    <d v="2026-01-05T00:00:00"/>
    <x v="37"/>
    <s v="Margaret Garcia"/>
    <x v="1"/>
    <s v="vtaylor@example.org"/>
    <s v="555.521.5704"/>
    <d v="2026-03-06T19:22:08"/>
    <m/>
  </r>
  <r>
    <s v="Hayley Buchanan"/>
    <n v="100190"/>
    <x v="1"/>
    <d v="2025-07-07T00:00:00"/>
    <x v="5"/>
    <s v="Amber Kim"/>
    <x v="0"/>
    <s v="acosta@example.com"/>
    <s v="(258)761-7932x7104"/>
    <d v="2026-02-08T21:43:08"/>
    <m/>
  </r>
  <r>
    <s v="Brian Peterson"/>
    <n v="100310"/>
    <x v="3"/>
    <d v="2026-01-30T00:00:00"/>
    <x v="22"/>
    <s v="Candace Jones"/>
    <x v="0"/>
    <s v="morgantricia@example.com"/>
    <s v="001-806-629-6201x533"/>
    <d v="2026-02-21T19:57:08"/>
    <m/>
  </r>
  <r>
    <s v="Elizabeth Davis"/>
    <n v="101056"/>
    <x v="5"/>
    <d v="2026-04-22T00:00:00"/>
    <x v="35"/>
    <s v="Joshua Henry"/>
    <x v="0"/>
    <s v="wardronald@example.com"/>
    <s v="+1-997-931-0324x17146"/>
    <d v="2026-02-25T05:04:08"/>
    <m/>
  </r>
  <r>
    <s v="Deborah May"/>
    <n v="101162"/>
    <x v="3"/>
    <d v="2026-04-06T00:00:00"/>
    <x v="4"/>
    <s v="Jacob James"/>
    <x v="1"/>
    <s v="seanbaker@example.com"/>
    <s v="534-290-2115x869"/>
    <d v="2026-01-30T12:59:08"/>
    <s v="Duplicate Employee ID"/>
  </r>
  <r>
    <s v="Sabrina Barnes"/>
    <n v="100113"/>
    <x v="5"/>
    <d v="2025-04-14T00:00:00"/>
    <x v="39"/>
    <s v="Sharon Wells"/>
    <x v="1"/>
    <s v="thomasmiller@example.net"/>
    <s v="4894899217"/>
    <d v="2026-03-01T09:12:08"/>
    <m/>
  </r>
  <r>
    <s v="Rhonda Martinez"/>
    <n v="100847"/>
    <x v="2"/>
    <d v="2025-09-01T00:00:00"/>
    <x v="8"/>
    <s v="William Graham"/>
    <x v="0"/>
    <s v="maryscott@example.net"/>
    <s v="916-286-8548"/>
    <d v="2026-02-10T11:24:08"/>
    <m/>
  </r>
  <r>
    <s v="Lisa Mills"/>
    <n v="100813"/>
    <x v="0"/>
    <d v="2025-07-31T00:00:00"/>
    <x v="2"/>
    <s v="Jason Hernandez"/>
    <x v="0"/>
    <s v="buckleyanna@example.org"/>
    <s v="885-464-6799x7024"/>
    <d v="2026-03-12T11:29:08"/>
    <m/>
  </r>
  <r>
    <s v="Melanie Morales"/>
    <n v="100008"/>
    <x v="1"/>
    <d v="2026-03-21T00:00:00"/>
    <x v="4"/>
    <s v="Shawn Vaughn"/>
    <x v="0"/>
    <s v="reesesamantha@example.com"/>
    <s v="6549447132"/>
    <d v="2026-02-23T07:34:08"/>
    <m/>
  </r>
  <r>
    <s v="Erica Daniel"/>
    <n v="100071"/>
    <x v="0"/>
    <d v="2025-07-02T00:00:00"/>
    <x v="28"/>
    <s v="Ann Alexander"/>
    <x v="0"/>
    <s v="wfigueroa@example.net"/>
    <s v="(408)521-4862x890"/>
    <d v="2026-02-14T09:38:08"/>
    <m/>
  </r>
  <r>
    <s v="Christina Brown"/>
    <n v="101489"/>
    <x v="1"/>
    <d v="2026-03-11T00:00:00"/>
    <x v="7"/>
    <s v="Anthony Ward"/>
    <x v="0"/>
    <s v="joshuacolon@example.net"/>
    <s v="(710)435-7972x7985"/>
    <d v="2026-02-09T06:56:08"/>
    <m/>
  </r>
  <r>
    <s v="Deanna Rivas"/>
    <n v="100917"/>
    <x v="4"/>
    <d v="2025-09-26T00:00:00"/>
    <x v="34"/>
    <s v="Alexander Williams"/>
    <x v="1"/>
    <s v="mercedesholland@example.net"/>
    <s v="246.580.0722"/>
    <d v="2026-02-28T05:38:08"/>
    <m/>
  </r>
  <r>
    <s v="Robert Torres"/>
    <n v="100556"/>
    <x v="1"/>
    <d v="2025-11-25T00:00:00"/>
    <x v="29"/>
    <s v="Maria Coleman"/>
    <x v="1"/>
    <s v="dyork@example.com"/>
    <s v="774.689.6910"/>
    <d v="2026-03-03T05:15:08"/>
    <m/>
  </r>
  <r>
    <s v="Brian Brown"/>
    <n v="101224"/>
    <x v="4"/>
    <d v="2025-10-13T00:00:00"/>
    <x v="3"/>
    <s v="Margaret Hensley MD"/>
    <x v="0"/>
    <s v="jacob83@example.org"/>
    <s v="+1-565-720-7446x660"/>
    <d v="2026-03-07T17:21:08"/>
    <m/>
  </r>
  <r>
    <s v="Courtney Nichols"/>
    <n v="101321"/>
    <x v="2"/>
    <d v="2025-12-24T00:00:00"/>
    <x v="35"/>
    <s v="Susan Powers"/>
    <x v="0"/>
    <s v="megan82@example.com"/>
    <s v="772-548-2513"/>
    <d v="2026-03-04T06:39:08"/>
    <m/>
  </r>
  <r>
    <s v="Elizabeth French"/>
    <n v="101413"/>
    <x v="2"/>
    <d v="2025-09-26T00:00:00"/>
    <x v="21"/>
    <s v="David Carter"/>
    <x v="1"/>
    <s v="ruizmichelle@example.net"/>
    <s v="001-691-873-8168"/>
    <d v="2026-02-12T20:00:08"/>
    <m/>
  </r>
  <r>
    <s v="Scott Taylor"/>
    <n v="100107"/>
    <x v="1"/>
    <d v="2025-11-06T00:00:00"/>
    <x v="28"/>
    <s v="Jason Hudson"/>
    <x v="1"/>
    <s v="tthomas@example.org"/>
    <s v="001-917-352-5007x43292"/>
    <d v="2026-03-06T13:08:08"/>
    <m/>
  </r>
  <r>
    <s v="Jeffrey Jordan"/>
    <n v="101465"/>
    <x v="1"/>
    <d v="2025-11-21T00:00:00"/>
    <x v="3"/>
    <s v="John Smith"/>
    <x v="0"/>
    <s v="jessicadodson@example.com"/>
    <s v="001-683-400-3354x21689"/>
    <d v="2026-02-11T16:45:08"/>
    <m/>
  </r>
  <r>
    <s v="Angel Fry"/>
    <n v="100782"/>
    <x v="0"/>
    <d v="2026-05-08T00:00:00"/>
    <x v="23"/>
    <s v="Joseph Warren"/>
    <x v="0"/>
    <s v="ibarron@example.com"/>
    <s v="453.326.0332x3098"/>
    <d v="2026-02-04T10:01:08"/>
    <m/>
  </r>
  <r>
    <s v="Matthew Johnson"/>
    <n v="101013"/>
    <x v="0"/>
    <d v="2026-03-13T00:00:00"/>
    <x v="15"/>
    <s v="Dawn Nichols"/>
    <x v="0"/>
    <s v="wheelerbrandon@example.org"/>
    <s v="+1-200-616-7618x4723"/>
    <d v="2026-02-12T02:21:08"/>
    <m/>
  </r>
  <r>
    <s v="Brian Meyer"/>
    <n v="100099"/>
    <x v="4"/>
    <d v="2025-04-15T00:00:00"/>
    <x v="22"/>
    <s v="Mercedes Barnes"/>
    <x v="1"/>
    <s v="huntchristine@example.com"/>
    <s v="717-839-3483"/>
    <d v="2026-03-15T17:41:08"/>
    <m/>
  </r>
  <r>
    <s v="Andrew Crawford"/>
    <n v="100034"/>
    <x v="1"/>
    <d v="2025-12-23T00:00:00"/>
    <x v="14"/>
    <s v="Timothy Rivera"/>
    <x v="1"/>
    <s v="smithchristopher@example.org"/>
    <s v="001-972-618-1143"/>
    <d v="2026-02-10T08:07:08"/>
    <m/>
  </r>
  <r>
    <s v="Anthony Li"/>
    <n v="100207"/>
    <x v="0"/>
    <d v="2025-11-28T00:00:00"/>
    <x v="39"/>
    <s v="Sarah Ward"/>
    <x v="0"/>
    <s v="ronald11@example.org"/>
    <s v="7227557941"/>
    <d v="2026-03-10T00:01:08"/>
    <m/>
  </r>
  <r>
    <s v="James Rivers"/>
    <n v="100551"/>
    <x v="3"/>
    <d v="2025-07-17T00:00:00"/>
    <x v="3"/>
    <s v="James Jefferson"/>
    <x v="1"/>
    <s v="zbanks@example.org"/>
    <s v="920-421-6979"/>
    <d v="2026-02-22T08:47:08"/>
    <s v="Duplicate Employee ID"/>
  </r>
  <r>
    <s v="Peggy Carr"/>
    <n v="100024"/>
    <x v="5"/>
    <d v="2025-04-25T00:00:00"/>
    <x v="40"/>
    <s v="Sheryl Acosta"/>
    <x v="0"/>
    <s v="timothyfreeman@example.com"/>
    <s v="301.845.0899x358"/>
    <d v="2026-01-31T10:12:08"/>
    <m/>
  </r>
  <r>
    <s v="Danielle Reed"/>
    <n v="100925"/>
    <x v="4"/>
    <d v="2026-03-01T00:00:00"/>
    <x v="28"/>
    <s v="Janice Combs"/>
    <x v="0"/>
    <s v="smithsarah@example.net"/>
    <s v="872.817.5354x0838"/>
    <d v="2026-03-11T04:04:08"/>
    <m/>
  </r>
  <r>
    <s v="Angela Wallace"/>
    <n v="100126"/>
    <x v="5"/>
    <d v="2025-09-25T00:00:00"/>
    <x v="25"/>
    <s v="Anita Jimenez"/>
    <x v="0"/>
    <s v="david70@example.org"/>
    <s v="(960)788-0199x4883"/>
    <d v="2026-03-11T00:51:08"/>
    <m/>
  </r>
  <r>
    <s v="Anthony Walker"/>
    <n v="101264"/>
    <x v="5"/>
    <d v="2026-02-09T00:00:00"/>
    <x v="17"/>
    <s v="Justin Harvey"/>
    <x v="0"/>
    <s v="xmoran@example.net"/>
    <s v="211.430.5548x851"/>
    <d v="2026-03-02T10:42:08"/>
    <m/>
  </r>
  <r>
    <s v="Rodney Newton MD"/>
    <n v="100009"/>
    <x v="1"/>
    <d v="2025-11-14T00:00:00"/>
    <x v="14"/>
    <s v="Craig Martinez"/>
    <x v="1"/>
    <s v="ylewis@example.org"/>
    <s v="001-951-260-9177x982"/>
    <d v="2026-02-09T22:40:08"/>
    <m/>
  </r>
  <r>
    <s v="Amber Mcconnell"/>
    <n v="100708"/>
    <x v="0"/>
    <d v="2025-06-15T00:00:00"/>
    <x v="24"/>
    <s v="Karen Romero"/>
    <x v="0"/>
    <s v="heatherthompson@example.org"/>
    <s v="569-695-8669"/>
    <d v="2026-01-30T04:19:08"/>
    <m/>
  </r>
  <r>
    <s v="Grant Phillips"/>
    <n v="100482"/>
    <x v="0"/>
    <d v="2025-08-16T00:00:00"/>
    <x v="3"/>
    <s v="Brenda Morrison"/>
    <x v="0"/>
    <s v="megan85@example.net"/>
    <s v="001-383-733-9452x2885"/>
    <d v="2026-02-08T04:38:08"/>
    <m/>
  </r>
  <r>
    <s v="Lauren Bender"/>
    <n v="100709"/>
    <x v="1"/>
    <d v="2025-09-01T00:00:00"/>
    <x v="19"/>
    <s v="Megan English"/>
    <x v="0"/>
    <s v="natalie60@example.net"/>
    <s v="606-620-0342"/>
    <d v="2026-02-12T06:06:08"/>
    <m/>
  </r>
  <r>
    <s v="Antonio Mueller"/>
    <n v="100966"/>
    <x v="0"/>
    <d v="2025-05-05T00:00:00"/>
    <x v="24"/>
    <s v="Joshua Howard"/>
    <x v="1"/>
    <s v="rgarcia@example.net"/>
    <s v="+1-838-863-8406"/>
    <d v="2026-02-05T20:57:08"/>
    <m/>
  </r>
  <r>
    <s v="Vanessa Edwards"/>
    <n v="100321"/>
    <x v="1"/>
    <d v="2025-10-05T00:00:00"/>
    <x v="26"/>
    <s v="Alexandria King"/>
    <x v="1"/>
    <s v="ogreer@example.net"/>
    <s v="001-459-389-3347x212"/>
    <d v="2026-02-13T10:07:08"/>
    <m/>
  </r>
  <r>
    <s v="Jeffrey Hawkins"/>
    <n v="101341"/>
    <x v="4"/>
    <d v="2025-12-24T00:00:00"/>
    <x v="33"/>
    <s v="Kevin Scott"/>
    <x v="1"/>
    <s v="steven20@example.org"/>
    <s v="390-494-7985x15832"/>
    <d v="2026-03-10T20:48:08"/>
    <m/>
  </r>
  <r>
    <s v="Joshua Davis"/>
    <n v="101001"/>
    <x v="4"/>
    <d v="2026-04-28T00:00:00"/>
    <x v="28"/>
    <s v="Daniel Rivera"/>
    <x v="0"/>
    <s v="kelly98@example.com"/>
    <s v="+1-201-757-3993"/>
    <d v="2026-03-11T08:46:08"/>
    <m/>
  </r>
  <r>
    <s v="Robert Wilson"/>
    <n v="100787"/>
    <x v="3"/>
    <d v="2025-09-26T00:00:00"/>
    <x v="39"/>
    <s v="Nathaniel Johnson"/>
    <x v="1"/>
    <s v="willie87@example.com"/>
    <s v="2433581128"/>
    <d v="2026-02-21T14:16:08"/>
    <m/>
  </r>
  <r>
    <s v="Mark Lewis"/>
    <n v="100342"/>
    <x v="0"/>
    <d v="2025-03-18T00:00:00"/>
    <x v="6"/>
    <s v="Sara Harris"/>
    <x v="1"/>
    <s v="elucas@example.net"/>
    <s v="+1-520-675-0110x24819"/>
    <d v="2026-03-10T13:23:08"/>
    <m/>
  </r>
  <r>
    <s v="Jerry Sullivan"/>
    <n v="101143"/>
    <x v="0"/>
    <d v="2025-06-19T00:00:00"/>
    <x v="9"/>
    <s v="James Wilson"/>
    <x v="1"/>
    <s v="maychristine@example.net"/>
    <s v="001-301-658-1449"/>
    <d v="2026-03-10T17:01:08"/>
    <m/>
  </r>
  <r>
    <s v="Jessica Foster"/>
    <n v="100635"/>
    <x v="0"/>
    <d v="2025-09-13T00:00:00"/>
    <x v="30"/>
    <s v="Kara Ferguson"/>
    <x v="1"/>
    <s v="julierobles@example.net"/>
    <s v="824-350-8821x0099"/>
    <d v="2026-03-16T07:57:08"/>
    <m/>
  </r>
  <r>
    <s v="Paul Berger"/>
    <n v="101292"/>
    <x v="5"/>
    <d v="2025-09-30T00:00:00"/>
    <x v="28"/>
    <s v="Jason Brewer"/>
    <x v="0"/>
    <s v="eugenewalker@example.com"/>
    <s v="612.390.8781"/>
    <d v="2026-02-08T00:07:08"/>
    <m/>
  </r>
  <r>
    <s v="Craig Carpenter"/>
    <n v="100720"/>
    <x v="3"/>
    <d v="2026-03-01T00:00:00"/>
    <x v="19"/>
    <s v="Heather Lambert"/>
    <x v="1"/>
    <s v="craigharvey@example.org"/>
    <s v="277-759-4929x95562"/>
    <d v="2026-02-25T08:45:08"/>
    <m/>
  </r>
  <r>
    <s v="Daniel Singh"/>
    <n v="100706"/>
    <x v="1"/>
    <d v="2025-05-29T00:00:00"/>
    <x v="11"/>
    <s v="Ryan Taylor"/>
    <x v="1"/>
    <s v="natalie77@example.com"/>
    <s v="001-347-281-2914x28341"/>
    <d v="2026-02-27T03:32:08"/>
    <m/>
  </r>
  <r>
    <s v="Lynn Hess"/>
    <n v="101037"/>
    <x v="4"/>
    <d v="2025-11-18T00:00:00"/>
    <x v="1"/>
    <s v="Patricia Lewis"/>
    <x v="1"/>
    <s v="arnoldamy@example.net"/>
    <s v="725.263.9427x8816"/>
    <d v="2026-02-28T20:34:08"/>
    <m/>
  </r>
  <r>
    <s v="Sarah Drake"/>
    <n v="101076"/>
    <x v="1"/>
    <d v="2026-01-14T00:00:00"/>
    <x v="12"/>
    <s v="Carol Palmer"/>
    <x v="0"/>
    <s v="kmoore@example.net"/>
    <s v="+1-727-850-3731x45303"/>
    <d v="2026-02-25T17:41:08"/>
    <m/>
  </r>
  <r>
    <s v="Jesse Williams"/>
    <n v="100854"/>
    <x v="5"/>
    <d v="2025-09-02T00:00:00"/>
    <x v="27"/>
    <s v="Mrs. Michele Boyd"/>
    <x v="1"/>
    <s v="mary49@example.net"/>
    <s v="001-826-565-9184"/>
    <d v="2026-02-16T19:41:08"/>
    <m/>
  </r>
  <r>
    <s v="Heather Parrish"/>
    <n v="101305"/>
    <x v="1"/>
    <d v="2025-05-24T00:00:00"/>
    <x v="34"/>
    <s v="Mr. Larry Shaw"/>
    <x v="0"/>
    <s v="scotthall@example.net"/>
    <s v="+1-943-922-2591x3651"/>
    <d v="2026-02-14T07:11:08"/>
    <m/>
  </r>
  <r>
    <s v="Kevin Holland"/>
    <n v="101028"/>
    <x v="3"/>
    <d v="2025-10-05T00:00:00"/>
    <x v="6"/>
    <s v="David Anderson"/>
    <x v="0"/>
    <s v="dennishunt@example.net"/>
    <s v="(202)642-8699"/>
    <d v="2026-02-24T05:04:08"/>
    <m/>
  </r>
  <r>
    <s v="Claire Obrien"/>
    <n v="100573"/>
    <x v="2"/>
    <d v="2026-05-08T00:00:00"/>
    <x v="26"/>
    <s v="John Robinson"/>
    <x v="0"/>
    <s v="yburke@example.net"/>
    <s v="001-429-384-2579x91366"/>
    <d v="2026-02-06T23:17:08"/>
    <m/>
  </r>
  <r>
    <s v="Joseph Blankenship"/>
    <n v="100869"/>
    <x v="3"/>
    <d v="2026-02-28T00:00:00"/>
    <x v="12"/>
    <s v="Samantha Jacobs"/>
    <x v="1"/>
    <s v="thomasmendez@example.org"/>
    <s v="+1-881-817-2980"/>
    <d v="2026-02-25T18:16:08"/>
    <m/>
  </r>
  <r>
    <s v="Andrew Moreno"/>
    <n v="101030"/>
    <x v="0"/>
    <d v="2026-05-09T00:00:00"/>
    <x v="40"/>
    <s v="Robert Clarke"/>
    <x v="0"/>
    <s v="zbell@example.net"/>
    <s v="001-591-262-4731x49864"/>
    <d v="2026-02-04T07:34:08"/>
    <m/>
  </r>
  <r>
    <s v="Rachel Lane"/>
    <n v="101432"/>
    <x v="6"/>
    <d v="2025-07-23T00:00:00"/>
    <x v="4"/>
    <s v="Adam Pena"/>
    <x v="0"/>
    <s v="robert12@example.com"/>
    <s v="+1-994-448-6959x4636"/>
    <d v="2026-02-15T21:30:08"/>
    <s v="Missing Department"/>
  </r>
  <r>
    <s v="Justin King"/>
    <n v="100980"/>
    <x v="1"/>
    <d v="2026-01-08T00:00:00"/>
    <x v="2"/>
    <s v="Gregory Thornton"/>
    <x v="1"/>
    <s v="melissahopkins@example.net"/>
    <s v="272.413.8658"/>
    <d v="2026-02-10T16:39:08"/>
    <m/>
  </r>
  <r>
    <s v="Mark Brock"/>
    <n v="101299"/>
    <x v="4"/>
    <d v="2026-03-10T00:00:00"/>
    <x v="18"/>
    <s v="Kaitlyn Burke"/>
    <x v="0"/>
    <s v="brownjeffrey@example.org"/>
    <s v="+1-206-569-8490x277"/>
    <d v="2026-02-01T19:13:08"/>
    <m/>
  </r>
  <r>
    <s v="Tara Holmes"/>
    <n v="100515"/>
    <x v="4"/>
    <d v="2025-06-09T00:00:00"/>
    <x v="25"/>
    <s v="Richard Dixon"/>
    <x v="1"/>
    <s v="christinacraig@example.com"/>
    <s v="502.214.6566"/>
    <d v="2026-02-17T14:18:08"/>
    <m/>
  </r>
  <r>
    <s v="Andrea Davis"/>
    <n v="100729"/>
    <x v="0"/>
    <d v="2025-05-05T00:00:00"/>
    <x v="32"/>
    <s v="Ronald Herman"/>
    <x v="0"/>
    <s v="michael43@example.net"/>
    <s v="376.390.4268"/>
    <d v="2026-02-16T05:08:08"/>
    <m/>
  </r>
  <r>
    <s v="Gina Wilson"/>
    <n v="100790"/>
    <x v="5"/>
    <d v="2025-11-08T00:00:00"/>
    <x v="38"/>
    <s v="Deanna Medina"/>
    <x v="1"/>
    <s v="heather69@example.com"/>
    <s v="001-735-877-9071x41633"/>
    <d v="2026-03-15T01:26:08"/>
    <m/>
  </r>
  <r>
    <s v="Kelli Smith"/>
    <n v="101239"/>
    <x v="3"/>
    <d v="2025-08-14T00:00:00"/>
    <x v="14"/>
    <s v="Danielle Davis"/>
    <x v="0"/>
    <s v="charles27@example.com"/>
    <s v="(539)542-3733x343"/>
    <d v="2026-02-22T07:16:08"/>
    <m/>
  </r>
  <r>
    <s v="Sara Kelly"/>
    <n v="100094"/>
    <x v="4"/>
    <d v="2025-11-04T00:00:00"/>
    <x v="3"/>
    <s v="Barbara Miller"/>
    <x v="1"/>
    <s v="waustin@example.net"/>
    <s v="4756957947"/>
    <d v="2026-02-22T01:39:08"/>
    <m/>
  </r>
  <r>
    <s v="Paul Anderson"/>
    <m/>
    <x v="3"/>
    <d v="2025-10-26T00:00:00"/>
    <x v="27"/>
    <s v="Jenny Ayers"/>
    <x v="0"/>
    <s v="shawphillip@example.net"/>
    <s v="001-727-618-7500x36915"/>
    <d v="2026-02-25T16:23:08"/>
    <s v="Missing Employee ID"/>
  </r>
  <r>
    <s v="Dennis Adams"/>
    <n v="100899"/>
    <x v="3"/>
    <d v="2025-03-27T00:00:00"/>
    <x v="14"/>
    <s v="Grace White"/>
    <x v="0"/>
    <s v="sclark@example.com"/>
    <s v="(864)872-9293x143"/>
    <d v="2026-03-01T00:18:08"/>
    <m/>
  </r>
  <r>
    <s v="Robert Rodgers"/>
    <n v="100137"/>
    <x v="3"/>
    <d v="2025-12-23T00:00:00"/>
    <x v="1"/>
    <s v="Adam Fisher"/>
    <x v="1"/>
    <s v="wendyatkinson@example.net"/>
    <s v="+1-357-444-8906"/>
    <d v="2026-02-15T10:00:08"/>
    <m/>
  </r>
  <r>
    <s v="Robert Woods"/>
    <n v="100554"/>
    <x v="5"/>
    <d v="2026-02-01T00:00:00"/>
    <x v="11"/>
    <s v="Joanna Cook"/>
    <x v="1"/>
    <s v="michael84@example.com"/>
    <s v="4616593998"/>
    <d v="2026-02-19T16:55:08"/>
    <m/>
  </r>
  <r>
    <s v="Michael Freeman"/>
    <n v="101041"/>
    <x v="1"/>
    <d v="2025-06-25T00:00:00"/>
    <x v="9"/>
    <s v="Stacy James"/>
    <x v="1"/>
    <s v="steven22@example.net"/>
    <s v="869-696-1125x35544"/>
    <d v="2026-03-16T10:35:08"/>
    <m/>
  </r>
  <r>
    <s v="Priscilla Mcmillan"/>
    <n v="100998"/>
    <x v="2"/>
    <d v="2025-08-05T00:00:00"/>
    <x v="18"/>
    <s v="Kelly Cole"/>
    <x v="0"/>
    <s v="ivanjohnson@example.net"/>
    <s v="941.232.6111"/>
    <d v="2026-02-21T06:47:08"/>
    <m/>
  </r>
  <r>
    <s v="James Hubbard"/>
    <n v="101348"/>
    <x v="2"/>
    <d v="2025-11-05T00:00:00"/>
    <x v="1"/>
    <s v="Dennis Moore"/>
    <x v="1"/>
    <s v="pparker@example.net"/>
    <s v="672-928-2005x5778"/>
    <d v="2026-02-10T20:06:08"/>
    <m/>
  </r>
  <r>
    <s v="Travis Ryan"/>
    <n v="100376"/>
    <x v="4"/>
    <d v="2026-01-15T00:00:00"/>
    <x v="9"/>
    <s v="Joyce Curry"/>
    <x v="0"/>
    <s v="omills@example.net"/>
    <s v="257-283-1745x6424"/>
    <d v="2026-02-22T05:54:08"/>
    <m/>
  </r>
  <r>
    <s v="Olivia Taylor"/>
    <n v="101067"/>
    <x v="5"/>
    <d v="2026-01-26T00:00:00"/>
    <x v="28"/>
    <s v="Joseph Watts"/>
    <x v="1"/>
    <s v="earroyo@example.com"/>
    <s v="8648930853"/>
    <d v="2026-02-04T21:46:08"/>
    <m/>
  </r>
  <r>
    <s v="Christopher Mclaughlin"/>
    <n v="101065"/>
    <x v="0"/>
    <d v="2026-02-23T00:00:00"/>
    <x v="1"/>
    <s v="James Baker"/>
    <x v="0"/>
    <s v="hgarrett@example.net"/>
    <s v="001-944-984-6312x241"/>
    <d v="2026-03-01T07:29:08"/>
    <m/>
  </r>
  <r>
    <s v="Marcus Lopez"/>
    <n v="100991"/>
    <x v="3"/>
    <d v="2025-06-17T00:00:00"/>
    <x v="19"/>
    <s v="Anthony Nichols"/>
    <x v="1"/>
    <s v="teresacampbell@example.org"/>
    <s v="001-970-731-2073x564"/>
    <d v="2026-02-17T21:33:08"/>
    <m/>
  </r>
  <r>
    <s v="Rick Rivera"/>
    <n v="101296"/>
    <x v="3"/>
    <d v="2026-01-04T00:00:00"/>
    <x v="33"/>
    <s v="Tiffany Brown"/>
    <x v="1"/>
    <s v="ejones@example.org"/>
    <s v="246.501.3673"/>
    <d v="2026-02-03T23:34:08"/>
    <m/>
  </r>
  <r>
    <s v="Ray Boyd"/>
    <n v="100172"/>
    <x v="3"/>
    <d v="2025-12-25T00:00:00"/>
    <x v="7"/>
    <s v="Mrs. Melanie Collins"/>
    <x v="1"/>
    <s v="eric08@example.net"/>
    <s v="547-843-5031"/>
    <d v="2026-03-08T11:31:08"/>
    <m/>
  </r>
  <r>
    <s v="Christopher Hill"/>
    <n v="100474"/>
    <x v="4"/>
    <d v="2025-11-01T00:00:00"/>
    <x v="0"/>
    <s v="Richard Smith"/>
    <x v="1"/>
    <s v="perkinshannah@example.net"/>
    <s v="+1-725-413-2719x500"/>
    <d v="2026-03-08T11:15:08"/>
    <m/>
  </r>
  <r>
    <s v="Rebecca Martinez"/>
    <n v="100351"/>
    <x v="5"/>
    <d v="2025-12-28T00:00:00"/>
    <x v="22"/>
    <s v="William Kramer"/>
    <x v="1"/>
    <s v="linda73@example.org"/>
    <s v="001-565-424-0778x487"/>
    <d v="2026-02-18T02:45:08"/>
    <m/>
  </r>
  <r>
    <s v="Erica Mcdonald"/>
    <n v="100057"/>
    <x v="1"/>
    <d v="2025-06-09T00:00:00"/>
    <x v="3"/>
    <s v="Linda Valencia"/>
    <x v="0"/>
    <s v="caseymoore@example.com"/>
    <s v="585-770-8620x959"/>
    <d v="2026-03-02T07:56:08"/>
    <m/>
  </r>
  <r>
    <s v="Mary Ryan"/>
    <n v="101276"/>
    <x v="0"/>
    <d v="2025-08-03T00:00:00"/>
    <x v="3"/>
    <s v="Joseph Jimenez"/>
    <x v="1"/>
    <s v="chloemorris@example.net"/>
    <s v="211-881-0220x31731"/>
    <d v="2026-03-06T02:18:08"/>
    <m/>
  </r>
  <r>
    <s v="Kelly Miles"/>
    <n v="100036"/>
    <x v="1"/>
    <d v="2026-03-31T00:00:00"/>
    <x v="2"/>
    <s v="Jacob Obrien"/>
    <x v="0"/>
    <s v="smithsamantha@example.net"/>
    <s v="317.605.8650x9480"/>
    <d v="2026-02-08T14:01:08"/>
    <m/>
  </r>
  <r>
    <s v="Daniel Stone"/>
    <n v="100795"/>
    <x v="2"/>
    <d v="2026-04-16T00:00:00"/>
    <x v="30"/>
    <s v="David Cruz"/>
    <x v="1"/>
    <s v="aliciawright@example.net"/>
    <s v="(388)461-9576"/>
    <d v="2026-02-10T10:27:08"/>
    <m/>
  </r>
  <r>
    <s v="Krista Wagner"/>
    <n v="100381"/>
    <x v="5"/>
    <d v="2025-05-07T00:00:00"/>
    <x v="37"/>
    <s v="Kimberly Greene"/>
    <x v="0"/>
    <s v="rachel85@example.com"/>
    <s v="(865)293-9836x84577"/>
    <d v="2026-02-16T08:56:08"/>
    <m/>
  </r>
  <r>
    <s v="Victoria Larson"/>
    <n v="101094"/>
    <x v="4"/>
    <d v="2026-05-08T00:00:00"/>
    <x v="7"/>
    <s v="Wendy Turner"/>
    <x v="0"/>
    <s v="tracey35@example.org"/>
    <s v="001-648-788-9921x07522"/>
    <d v="2026-03-01T10:45:08"/>
    <m/>
  </r>
  <r>
    <s v="Danielle Scott"/>
    <n v="101003"/>
    <x v="1"/>
    <d v="2026-03-03T00:00:00"/>
    <x v="2"/>
    <s v="Kelly Carroll"/>
    <x v="1"/>
    <s v="jessicacummings@example.com"/>
    <s v="(379)219-4096"/>
    <d v="2026-03-05T20:53:08"/>
    <m/>
  </r>
  <r>
    <s v="Felicia Hobbs"/>
    <n v="100992"/>
    <x v="3"/>
    <d v="2026-04-21T00:00:00"/>
    <x v="11"/>
    <s v="Timothy Martinez"/>
    <x v="0"/>
    <s v="julieatkinson@example.org"/>
    <s v="+1-460-248-0589x2583"/>
    <d v="2026-02-08T05:56:08"/>
    <m/>
  </r>
  <r>
    <s v="Yolanda Maddox"/>
    <n v="100531"/>
    <x v="1"/>
    <d v="2025-08-06T00:00:00"/>
    <x v="16"/>
    <s v="Laura Davis"/>
    <x v="1"/>
    <s v="zroberts@example.org"/>
    <s v="(351)879-0864"/>
    <d v="2026-02-25T22:22:08"/>
    <m/>
  </r>
  <r>
    <s v="Patricia Anderson"/>
    <n v="100916"/>
    <x v="2"/>
    <d v="2025-12-04T00:00:00"/>
    <x v="12"/>
    <s v="Justin Freeman"/>
    <x v="0"/>
    <s v="annshea@example.net"/>
    <s v="831.846.5911"/>
    <d v="2026-02-26T19:31:08"/>
    <m/>
  </r>
  <r>
    <s v="Connor Cooper"/>
    <n v="100252"/>
    <x v="3"/>
    <d v="2026-03-10T00:00:00"/>
    <x v="11"/>
    <s v="Patricia Jackson"/>
    <x v="0"/>
    <s v="christina79@example.org"/>
    <s v="603.235.2110x392"/>
    <d v="2026-01-30T06:55:08"/>
    <m/>
  </r>
  <r>
    <s v="Robert Torres"/>
    <n v="100673"/>
    <x v="2"/>
    <d v="2026-04-09T00:00:00"/>
    <x v="39"/>
    <s v="Gary Singh"/>
    <x v="1"/>
    <s v="jamesmills@example.com"/>
    <s v="+1-679-420-6980"/>
    <d v="2026-02-04T03:46:08"/>
    <m/>
  </r>
  <r>
    <s v="Curtis Horton"/>
    <n v="101464"/>
    <x v="5"/>
    <d v="2025-11-02T00:00:00"/>
    <x v="28"/>
    <s v="John Landry"/>
    <x v="0"/>
    <s v="pricejoseph@example.net"/>
    <s v="(310)446-3681x579"/>
    <d v="2026-02-19T00:19:08"/>
    <m/>
  </r>
  <r>
    <s v="Walter Castro"/>
    <n v="100827"/>
    <x v="2"/>
    <d v="2026-03-06T00:00:00"/>
    <x v="40"/>
    <s v="Amanda Nielsen"/>
    <x v="1"/>
    <s v="matthew62@example.org"/>
    <s v="(655)543-8404x608"/>
    <d v="2026-02-07T17:49:08"/>
    <m/>
  </r>
  <r>
    <s v="Steven Sandoval"/>
    <n v="101142"/>
    <x v="0"/>
    <d v="2026-03-25T00:00:00"/>
    <x v="5"/>
    <s v="James Yu"/>
    <x v="0"/>
    <s v="robertberry@example.com"/>
    <s v="495-878-2329x8324"/>
    <d v="2026-02-10T04:20:08"/>
    <m/>
  </r>
  <r>
    <s v="Vanessa Thomas DVM"/>
    <n v="100874"/>
    <x v="2"/>
    <d v="2025-10-21T00:00:00"/>
    <x v="7"/>
    <s v="Emily Grant"/>
    <x v="1"/>
    <s v="whitemary@example.org"/>
    <s v="001-205-666-4742x3122"/>
    <d v="2026-02-24T08:14:08"/>
    <m/>
  </r>
  <r>
    <s v="Lisa Carlson"/>
    <n v="100738"/>
    <x v="4"/>
    <d v="2025-12-21T00:00:00"/>
    <x v="4"/>
    <s v="Alexander Miller"/>
    <x v="1"/>
    <s v="manderson@example.com"/>
    <s v="001-252-667-7223x306"/>
    <d v="2026-02-01T16:15:08"/>
    <m/>
  </r>
  <r>
    <s v="Courtney Powers"/>
    <n v="101297"/>
    <x v="0"/>
    <d v="2025-05-05T00:00:00"/>
    <x v="25"/>
    <s v="Daniel Thompson"/>
    <x v="0"/>
    <s v="fcamacho@example.net"/>
    <s v="273-366-0965x69998"/>
    <d v="2026-02-16T02:20:08"/>
    <m/>
  </r>
  <r>
    <s v="Ronald Williams"/>
    <m/>
    <x v="0"/>
    <d v="2025-10-21T00:00:00"/>
    <x v="28"/>
    <s v="Kelly Foster PhD"/>
    <x v="0"/>
    <s v="oblack@example.org"/>
    <s v="647.264.4726"/>
    <d v="2026-02-03T07:36:08"/>
    <s v="Missing Employee ID"/>
  </r>
  <r>
    <s v="Stephanie Ford"/>
    <n v="100179"/>
    <x v="3"/>
    <d v="2025-08-03T00:00:00"/>
    <x v="28"/>
    <s v="Ann Mason"/>
    <x v="1"/>
    <s v="kimberlypace@example.net"/>
    <s v="+1-526-965-7027"/>
    <d v="2026-02-28T15:06:08"/>
    <s v="Duplicate Employee ID"/>
  </r>
  <r>
    <s v="Fred Wong"/>
    <n v="100485"/>
    <x v="4"/>
    <d v="2026-02-19T00:00:00"/>
    <x v="12"/>
    <s v="Carly Quinn"/>
    <x v="1"/>
    <s v="wilsonshannon@example.com"/>
    <s v="286-489-2686"/>
    <d v="2026-01-31T09:55:08"/>
    <m/>
  </r>
  <r>
    <s v="Krystal Keller"/>
    <n v="100657"/>
    <x v="5"/>
    <d v="2026-02-14T00:00:00"/>
    <x v="28"/>
    <s v="Sean White"/>
    <x v="0"/>
    <s v="barneskyle@example.com"/>
    <s v="221-923-0940x7778"/>
    <d v="2026-03-16T10:37:08"/>
    <m/>
  </r>
  <r>
    <s v="Kevin Alvarez"/>
    <n v="100915"/>
    <x v="1"/>
    <d v="2025-04-24T00:00:00"/>
    <x v="3"/>
    <s v="Bobby Greene"/>
    <x v="0"/>
    <s v="nicoleramirez@example.net"/>
    <s v="+1-230-622-0502"/>
    <d v="2026-02-10T18:42:08"/>
    <m/>
  </r>
  <r>
    <s v="Brandon Rodriguez"/>
    <n v="100766"/>
    <x v="5"/>
    <d v="2025-03-20T00:00:00"/>
    <x v="28"/>
    <s v="Candace Mitchell DDS"/>
    <x v="1"/>
    <s v="tammycurry@example.com"/>
    <s v="3146556168"/>
    <d v="2026-03-09T03:30:08"/>
    <m/>
  </r>
  <r>
    <s v="Bryan Villarreal"/>
    <n v="100814"/>
    <x v="3"/>
    <d v="2025-11-15T00:00:00"/>
    <x v="11"/>
    <s v="Jason Clark"/>
    <x v="1"/>
    <s v="cherylrodriguez@example.net"/>
    <s v="+1-781-479-4695x4899"/>
    <d v="2026-03-11T14:25:08"/>
    <m/>
  </r>
  <r>
    <s v="Kathleen Daniel"/>
    <n v="100830"/>
    <x v="3"/>
    <d v="2025-08-23T00:00:00"/>
    <x v="31"/>
    <s v="Dr. Stephen Hall IV"/>
    <x v="1"/>
    <s v="aaronjohnson@example.net"/>
    <s v="539-266-0558"/>
    <d v="2026-03-07T20:01:08"/>
    <s v="Duplicate Employee ID"/>
  </r>
  <r>
    <s v="Melissa King"/>
    <n v="100655"/>
    <x v="3"/>
    <d v="2025-04-20T00:00:00"/>
    <x v="36"/>
    <s v="Eric Pierce"/>
    <x v="1"/>
    <s v="wilsonmathew@example.com"/>
    <s v="001-499-902-3557x7027"/>
    <d v="2026-02-22T10:38:08"/>
    <m/>
  </r>
  <r>
    <s v="Kimberly Rogers"/>
    <n v="100885"/>
    <x v="3"/>
    <d v="2025-10-12T00:00:00"/>
    <x v="39"/>
    <s v="Jennifer Newton"/>
    <x v="0"/>
    <s v="annette58@example.net"/>
    <s v="7398551240"/>
    <d v="2026-03-10T13:08:08"/>
    <m/>
  </r>
  <r>
    <s v="Sarah Duncan"/>
    <n v="100044"/>
    <x v="3"/>
    <d v="2026-01-11T00:00:00"/>
    <x v="27"/>
    <s v="Kurt Hancock"/>
    <x v="1"/>
    <s v="janet50@example.com"/>
    <s v="(517)335-7438x42150"/>
    <d v="2026-03-08T09:27:08"/>
    <m/>
  </r>
  <r>
    <s v="Alexander Webb"/>
    <n v="100106"/>
    <x v="2"/>
    <d v="2026-02-09T00:00:00"/>
    <x v="11"/>
    <s v="Cheryl Mclean"/>
    <x v="1"/>
    <s v="kimberly21@example.net"/>
    <s v="+1-923-207-6810x40915"/>
    <d v="2026-01-31T17:00:08"/>
    <m/>
  </r>
  <r>
    <s v="Ralph Reese"/>
    <n v="100979"/>
    <x v="4"/>
    <d v="2025-06-29T00:00:00"/>
    <x v="38"/>
    <s v="Peter Fowler"/>
    <x v="1"/>
    <s v="manuellee@example.com"/>
    <s v="+1-257-314-2241"/>
    <d v="2026-02-25T19:51:08"/>
    <m/>
  </r>
  <r>
    <s v="Gregory Flores"/>
    <n v="100575"/>
    <x v="0"/>
    <d v="2026-04-21T00:00:00"/>
    <x v="7"/>
    <s v="Michael Campbell"/>
    <x v="1"/>
    <s v="georgecollins@example.com"/>
    <s v="+1-270-320-7016"/>
    <d v="2026-03-09T09:41:08"/>
    <m/>
  </r>
  <r>
    <s v="Christopher Carlson"/>
    <n v="101443"/>
    <x v="1"/>
    <d v="2026-02-05T00:00:00"/>
    <x v="18"/>
    <s v="Sara Lyons"/>
    <x v="1"/>
    <s v="larry38@example.org"/>
    <s v="001-679-721-7174x77332"/>
    <d v="2026-02-24T13:24:08"/>
    <m/>
  </r>
  <r>
    <s v="Michael Ortega"/>
    <n v="100494"/>
    <x v="5"/>
    <d v="2026-01-01T00:00:00"/>
    <x v="34"/>
    <s v="Sonya Chavez"/>
    <x v="0"/>
    <s v="jonesdaniel@example.com"/>
    <s v="324.659.9281x615"/>
    <d v="2026-02-14T15:25:08"/>
    <m/>
  </r>
  <r>
    <s v="Jennifer Gutierrez"/>
    <n v="101077"/>
    <x v="0"/>
    <d v="2026-01-10T00:00:00"/>
    <x v="15"/>
    <s v="Kimberly Dickson"/>
    <x v="1"/>
    <s v="njones@example.net"/>
    <s v="001-966-395-8321"/>
    <d v="2026-03-03T16:33:08"/>
    <m/>
  </r>
  <r>
    <s v="Julie Peters"/>
    <n v="100463"/>
    <x v="0"/>
    <d v="2026-04-24T00:00:00"/>
    <x v="34"/>
    <s v="Casey Blanchard"/>
    <x v="1"/>
    <s v="georgegina@example.net"/>
    <s v="001-665-870-1329x02278"/>
    <d v="2026-02-16T17:57:08"/>
    <m/>
  </r>
  <r>
    <s v="Jillian Harris"/>
    <n v="101286"/>
    <x v="5"/>
    <d v="2025-04-27T00:00:00"/>
    <x v="38"/>
    <s v="Elizabeth Bauer"/>
    <x v="1"/>
    <s v="samantha65@example.org"/>
    <s v="001-209-286-2405"/>
    <d v="2026-03-11T07:20:08"/>
    <m/>
  </r>
  <r>
    <s v="Samantha Howard"/>
    <n v="100669"/>
    <x v="0"/>
    <d v="2025-12-02T00:00:00"/>
    <x v="11"/>
    <s v="Sharon Young"/>
    <x v="1"/>
    <s v="tgarrett@example.com"/>
    <s v="(466)683-2723x8656"/>
    <d v="2026-02-18T21:53:08"/>
    <m/>
  </r>
  <r>
    <s v="Meagan Taylor MD"/>
    <n v="101446"/>
    <x v="0"/>
    <d v="2025-08-21T00:00:00"/>
    <x v="12"/>
    <s v="Nathan Tucker"/>
    <x v="0"/>
    <s v="iproctor@example.org"/>
    <s v="(867)996-9278"/>
    <d v="2026-03-11T03:05:08"/>
    <m/>
  </r>
  <r>
    <s v="Darius Coleman"/>
    <n v="100158"/>
    <x v="3"/>
    <d v="2025-11-03T00:00:00"/>
    <x v="30"/>
    <s v="Jonathan Simon"/>
    <x v="0"/>
    <s v="robert89@example.com"/>
    <s v="4096751971"/>
    <d v="2026-03-09T17:29:08"/>
    <m/>
  </r>
  <r>
    <s v="Blake Wu"/>
    <n v="101359"/>
    <x v="3"/>
    <d v="2026-03-10T00:00:00"/>
    <x v="11"/>
    <s v="John Harmon"/>
    <x v="1"/>
    <s v="suttonamber@example.net"/>
    <s v="790-658-0778x7956"/>
    <d v="2026-02-22T00:03:08"/>
    <m/>
  </r>
  <r>
    <s v="Andrew Livingston"/>
    <n v="100049"/>
    <x v="1"/>
    <d v="2026-04-20T00:00:00"/>
    <x v="37"/>
    <s v="Monica Elliott"/>
    <x v="0"/>
    <s v="sotobelinda@example.net"/>
    <s v="3496047128"/>
    <d v="2026-02-27T13:53:08"/>
    <m/>
  </r>
  <r>
    <s v="Luis Hill"/>
    <n v="100846"/>
    <x v="0"/>
    <d v="2025-09-03T00:00:00"/>
    <x v="34"/>
    <s v="Patrick Munoz"/>
    <x v="0"/>
    <s v="donnawood@example.org"/>
    <s v="837-828-0512x927"/>
    <d v="2026-02-27T22:14:08"/>
    <m/>
  </r>
  <r>
    <s v="Jeremiah Walsh"/>
    <n v="100686"/>
    <x v="0"/>
    <d v="2025-11-25T00:00:00"/>
    <x v="34"/>
    <s v="Nicholas Reed"/>
    <x v="0"/>
    <s v="karla10@example.org"/>
    <s v="867.247.8366x742"/>
    <d v="2026-02-12T22:34:08"/>
    <m/>
  </r>
  <r>
    <s v="Robert Reyes"/>
    <n v="100420"/>
    <x v="3"/>
    <d v="2025-09-20T00:00:00"/>
    <x v="1"/>
    <s v="Joseph Blanchard"/>
    <x v="0"/>
    <s v="hardindana@example.com"/>
    <s v="+1-545-744-1496x739"/>
    <d v="2026-02-07T18:54:08"/>
    <m/>
  </r>
  <r>
    <s v="Wendy Edwards"/>
    <n v="100112"/>
    <x v="3"/>
    <d v="2025-07-10T00:00:00"/>
    <x v="18"/>
    <s v="Adam Jones"/>
    <x v="0"/>
    <s v="gdavis@example.net"/>
    <s v="553.344.3009x109"/>
    <d v="2026-03-01T16:20:08"/>
    <m/>
  </r>
  <r>
    <s v="Barbara Gates"/>
    <n v="100718"/>
    <x v="1"/>
    <d v="2025-09-18T00:00:00"/>
    <x v="19"/>
    <s v="Matthew Yoder"/>
    <x v="0"/>
    <s v="pauladominguez@example.com"/>
    <s v="871-774-6542x1406"/>
    <d v="2026-02-08T19:32:08"/>
    <m/>
  </r>
  <r>
    <s v="Deanna Hess MD"/>
    <n v="100884"/>
    <x v="5"/>
    <d v="2025-07-08T00:00:00"/>
    <x v="33"/>
    <s v="William Gonzalez"/>
    <x v="1"/>
    <s v="fwhite@example.org"/>
    <s v="(286)339-1741"/>
    <d v="2026-02-27T15:15:08"/>
    <m/>
  </r>
  <r>
    <s v="Nicholas Waters"/>
    <n v="101416"/>
    <x v="1"/>
    <d v="2025-09-22T00:00:00"/>
    <x v="3"/>
    <s v="Jonathan Delgado"/>
    <x v="0"/>
    <s v="fitzpatrickelizabeth@example.com"/>
    <s v="(856)390-8776"/>
    <d v="2026-03-05T10:17:08"/>
    <m/>
  </r>
  <r>
    <s v="April Finley"/>
    <n v="100742"/>
    <x v="1"/>
    <d v="2025-04-08T00:00:00"/>
    <x v="29"/>
    <s v="Karen Bradley"/>
    <x v="1"/>
    <s v="mathew46@example.org"/>
    <s v="+1-515-685-1743x2806"/>
    <d v="2026-02-25T06:44:08"/>
    <s v="Extra Name Spaces"/>
  </r>
  <r>
    <s v="Stephanie Mccoy"/>
    <n v="100983"/>
    <x v="0"/>
    <d v="2025-12-24T00:00:00"/>
    <x v="26"/>
    <s v="Bradley Chen"/>
    <x v="0"/>
    <s v="donaldlee@example.net"/>
    <s v="001-937-261-8478"/>
    <d v="2026-02-25T22:40:08"/>
    <m/>
  </r>
  <r>
    <s v="Anthony French"/>
    <n v="100401"/>
    <x v="4"/>
    <d v="2026-03-29T00:00:00"/>
    <x v="21"/>
    <s v="Bruce Roman"/>
    <x v="1"/>
    <s v="ibentley@example.org"/>
    <s v="001-293-410-2707x9032"/>
    <d v="2026-03-03T23:15:08"/>
    <m/>
  </r>
  <r>
    <s v="Summer Hoover"/>
    <n v="101152"/>
    <x v="2"/>
    <d v="2025-06-01T00:00:00"/>
    <x v="7"/>
    <s v="Logan Conley"/>
    <x v="0"/>
    <s v="meyersdaniel@example.com"/>
    <s v="+1-493-713-6565x198"/>
    <d v="2026-03-01T23:25:08"/>
    <m/>
  </r>
  <r>
    <s v="Rebecca Duran"/>
    <n v="100969"/>
    <x v="4"/>
    <d v="2026-02-04T00:00:00"/>
    <x v="0"/>
    <s v="Gabriela Martinez"/>
    <x v="1"/>
    <s v="katherinejackson@example.com"/>
    <s v="+1-827-439-0219"/>
    <d v="2026-02-25T14:22:08"/>
    <m/>
  </r>
  <r>
    <s v="John Smith"/>
    <n v="100011"/>
    <x v="2"/>
    <d v="2025-12-12T00:00:00"/>
    <x v="7"/>
    <s v="Brandon Pearson"/>
    <x v="1"/>
    <s v="robert72@example.org"/>
    <s v="(448)976-3290"/>
    <d v="2026-03-13T13:03:08"/>
    <m/>
  </r>
  <r>
    <s v="Anita Serrano"/>
    <n v="100715"/>
    <x v="2"/>
    <d v="2025-05-02T00:00:00"/>
    <x v="11"/>
    <s v="Jason Grant"/>
    <x v="1"/>
    <s v="davidmoreno@example.org"/>
    <s v="+1-958-983-7340x312"/>
    <d v="2026-01-31T05:12:08"/>
    <m/>
  </r>
  <r>
    <s v="Michael Williams"/>
    <n v="100954"/>
    <x v="5"/>
    <d v="2026-04-02T00:00:00"/>
    <x v="3"/>
    <s v="Dominique Hamilton"/>
    <x v="0"/>
    <s v="christina70@example.org"/>
    <s v="001-708-822-0781x1379"/>
    <d v="2026-02-12T13:21:08"/>
    <m/>
  </r>
  <r>
    <s v="Michael Nguyen"/>
    <n v="100473"/>
    <x v="5"/>
    <d v="2025-04-23T00:00:00"/>
    <x v="25"/>
    <s v="Erika Garcia"/>
    <x v="0"/>
    <s v="ykane@example.org"/>
    <s v="979-470-6239"/>
    <d v="2026-03-01T07:57:08"/>
    <m/>
  </r>
  <r>
    <s v="Chad Cortez"/>
    <n v="100419"/>
    <x v="2"/>
    <d v="2025-08-24T00:00:00"/>
    <x v="5"/>
    <s v="Vanessa Harris"/>
    <x v="1"/>
    <s v="antoniocarroll@example.com"/>
    <s v="(417)476-2534"/>
    <d v="2026-02-16T08:38:08"/>
    <m/>
  </r>
  <r>
    <s v="Kristen Hall"/>
    <n v="100591"/>
    <x v="2"/>
    <d v="2025-04-23T00:00:00"/>
    <x v="11"/>
    <s v="Joseph Atkins"/>
    <x v="0"/>
    <s v="brittanyhood@example.com"/>
    <s v="4632356939"/>
    <d v="2026-03-07T14:18:08"/>
    <m/>
  </r>
  <r>
    <s v="Andrew Esparza"/>
    <n v="101121"/>
    <x v="3"/>
    <d v="2025-11-01T00:00:00"/>
    <x v="6"/>
    <s v="Kathy Simmons"/>
    <x v="0"/>
    <s v="zmendoza@example.net"/>
    <s v="477-731-8063"/>
    <d v="2026-02-10T05:41:08"/>
    <s v="Duplicate Employee ID"/>
  </r>
  <r>
    <s v="Matthew Davis"/>
    <n v="100413"/>
    <x v="2"/>
    <d v="2025-11-02T00:00:00"/>
    <x v="6"/>
    <s v="Eric Warner"/>
    <x v="0"/>
    <s v="braysteven@example.org"/>
    <s v="001-862-657-0165x804"/>
    <d v="2026-03-11T12:32:08"/>
    <m/>
  </r>
  <r>
    <s v="Lisa Johnston"/>
    <n v="100872"/>
    <x v="4"/>
    <d v="2026-05-13T00:00:00"/>
    <x v="18"/>
    <s v="Michael Oliver"/>
    <x v="0"/>
    <s v="jill08@example.net"/>
    <s v="(301)565-7905x528"/>
    <d v="2026-02-24T12:51:08"/>
    <m/>
  </r>
  <r>
    <s v="George Fernandez"/>
    <n v="100739"/>
    <x v="0"/>
    <d v="2026-03-15T00:00:00"/>
    <x v="1"/>
    <s v="Nancy Goodwin"/>
    <x v="1"/>
    <s v="karenhodges@example.com"/>
    <s v="(348)964-0155x778"/>
    <d v="2026-02-12T16:14:08"/>
    <m/>
  </r>
  <r>
    <s v="Meghan Patel"/>
    <n v="100948"/>
    <x v="4"/>
    <d v="2025-07-27T00:00:00"/>
    <x v="15"/>
    <s v="Marc Marsh"/>
    <x v="1"/>
    <s v="lopeznicole@example.org"/>
    <s v="462-941-1241"/>
    <d v="2026-02-15T22:56:08"/>
    <m/>
  </r>
  <r>
    <s v="Dan Crane"/>
    <n v="100653"/>
    <x v="1"/>
    <d v="2025-07-21T00:00:00"/>
    <x v="7"/>
    <s v="Jason Fleming"/>
    <x v="0"/>
    <s v="thomasfisher@example.net"/>
    <s v="+1-904-931-0385x6955"/>
    <d v="2026-03-08T13:46:08"/>
    <m/>
  </r>
  <r>
    <s v="Keith Villanueva"/>
    <n v="100128"/>
    <x v="0"/>
    <d v="2025-04-16T00:00:00"/>
    <x v="11"/>
    <s v="Richard Perez"/>
    <x v="0"/>
    <s v="tara02@example.com"/>
    <s v="272-792-8422x2231"/>
    <d v="2026-02-19T05:12:08"/>
    <m/>
  </r>
  <r>
    <s v="Jessica Wood"/>
    <n v="100690"/>
    <x v="0"/>
    <d v="2026-01-08T00:00:00"/>
    <x v="30"/>
    <s v="Michael Wade"/>
    <x v="0"/>
    <s v="earl78@example.org"/>
    <s v="+1-441-206-7275"/>
    <d v="2026-03-03T19:52:08"/>
    <m/>
  </r>
  <r>
    <s v="Kimberly Romero"/>
    <n v="101097"/>
    <x v="5"/>
    <d v="2026-05-04T00:00:00"/>
    <x v="15"/>
    <s v="Elizabeth Kemp"/>
    <x v="1"/>
    <s v="laurenchandler@example.com"/>
    <s v="317-702-8140x69375"/>
    <d v="2026-03-09T16:27:08"/>
    <m/>
  </r>
  <r>
    <s v="Martin Silva"/>
    <n v="100394"/>
    <x v="5"/>
    <d v="2025-04-10T00:00:00"/>
    <x v="3"/>
    <s v="Timothy Ramirez"/>
    <x v="1"/>
    <s v="millermelissa@example.net"/>
    <s v="+1-818-763-7599x80562"/>
    <d v="2026-02-19T00:58:08"/>
    <m/>
  </r>
  <r>
    <s v="Adam Cooper"/>
    <n v="101400"/>
    <x v="0"/>
    <d v="2025-09-27T00:00:00"/>
    <x v="21"/>
    <s v="Jeremy Hoffman"/>
    <x v="0"/>
    <s v="jessicawallace@example.com"/>
    <s v="942.766.2991x234"/>
    <d v="2026-03-05T08:31:08"/>
    <s v="Extra Name Spaces"/>
  </r>
  <r>
    <s v="Tyler Avila"/>
    <n v="100037"/>
    <x v="2"/>
    <d v="2025-10-30T00:00:00"/>
    <x v="15"/>
    <s v="Jason Rocha"/>
    <x v="0"/>
    <s v="dthompson@example.net"/>
    <s v="001-623-626-4870"/>
    <d v="2026-02-03T07:50:08"/>
    <m/>
  </r>
  <r>
    <s v="Patrick Walker DDS"/>
    <n v="100080"/>
    <x v="1"/>
    <d v="2025-10-12T00:00:00"/>
    <x v="25"/>
    <s v="Eric Davidson"/>
    <x v="1"/>
    <s v="qmartinez@example.com"/>
    <s v="(827)630-1471x95979"/>
    <d v="2026-02-20T13:13:08"/>
    <m/>
  </r>
  <r>
    <s v="Karen Benson"/>
    <n v="100839"/>
    <x v="5"/>
    <d v="2025-06-26T00:00:00"/>
    <x v="36"/>
    <s v="Jose Johnston"/>
    <x v="1"/>
    <s v="francisco02@example.com"/>
    <s v="325.520.4565x044"/>
    <d v="2026-01-30T05:39:08"/>
    <m/>
  </r>
  <r>
    <s v="Catherine Davis"/>
    <n v="100372"/>
    <x v="6"/>
    <d v="2025-12-19T00:00:00"/>
    <x v="34"/>
    <s v="Kimberly Brennan"/>
    <x v="1"/>
    <s v="joseph51@example.net"/>
    <s v="001-852-702-8457"/>
    <d v="2026-02-20T08:41:08"/>
    <s v="Missing Department"/>
  </r>
  <r>
    <s v="Carla Robinson"/>
    <n v="100238"/>
    <x v="3"/>
    <d v="2025-03-29T00:00:00"/>
    <x v="32"/>
    <s v="Sandra Pope"/>
    <x v="0"/>
    <s v="butlersabrina@example.org"/>
    <s v="(707)454-5279"/>
    <d v="2026-02-27T15:55:08"/>
    <m/>
  </r>
  <r>
    <s v="Alyssa Olsen"/>
    <n v="101215"/>
    <x v="1"/>
    <d v="2025-12-12T00:00:00"/>
    <x v="32"/>
    <s v="Scott Thomas"/>
    <x v="0"/>
    <s v="kyleclark@example.org"/>
    <s v="(311)607-6031x08907"/>
    <d v="2026-03-10T09:27:08"/>
    <m/>
  </r>
  <r>
    <s v="Eric Smith"/>
    <n v="101145"/>
    <x v="2"/>
    <d v="2025-07-30T00:00:00"/>
    <x v="10"/>
    <s v="Caleb Guzman"/>
    <x v="1"/>
    <s v="jackbell@example.org"/>
    <s v="(349)355-2893"/>
    <d v="2026-02-22T11:59:08"/>
    <s v="Extra Name Spaces"/>
  </r>
  <r>
    <s v="Pamela Rice"/>
    <n v="100235"/>
    <x v="3"/>
    <d v="2025-07-15T00:00:00"/>
    <x v="0"/>
    <s v="Tracey Jackson"/>
    <x v="1"/>
    <s v="beltrancorey@example.org"/>
    <s v="875.392.7125x66383"/>
    <d v="2026-02-07T22:40:08"/>
    <m/>
  </r>
  <r>
    <s v="Emily Owens"/>
    <n v="101184"/>
    <x v="3"/>
    <d v="2025-12-29T00:00:00"/>
    <x v="7"/>
    <s v="Kathleen Ward"/>
    <x v="1"/>
    <s v="angela01@example.com"/>
    <s v="516.347.9473x8646"/>
    <d v="2026-03-05T01:10:08"/>
    <m/>
  </r>
  <r>
    <s v="Rebekah Crosby"/>
    <n v="101012"/>
    <x v="0"/>
    <d v="2025-05-01T00:00:00"/>
    <x v="11"/>
    <s v="Adam Craig"/>
    <x v="0"/>
    <s v="sandersalexandra@example.net"/>
    <s v="712-566-9121"/>
    <d v="2026-03-14T23:56:08"/>
    <m/>
  </r>
  <r>
    <s v="Kurt Ewing"/>
    <n v="101387"/>
    <x v="1"/>
    <d v="2025-03-16T00:00:00"/>
    <x v="32"/>
    <s v="Ryan Hardy"/>
    <x v="0"/>
    <s v="kathy99@example.com"/>
    <s v="001-965-979-6784x27114"/>
    <d v="2026-02-23T11:51:08"/>
    <m/>
  </r>
  <r>
    <s v="Tommy Johnson"/>
    <n v="100791"/>
    <x v="4"/>
    <d v="2025-04-15T00:00:00"/>
    <x v="11"/>
    <s v="Sandra Jimenez"/>
    <x v="0"/>
    <s v="stantonpatrick@example.net"/>
    <s v="624-799-1187x73477"/>
    <d v="2026-03-08T23:57:08"/>
    <m/>
  </r>
  <r>
    <s v="Kimberly Smith"/>
    <n v="100564"/>
    <x v="4"/>
    <d v="2025-04-22T00:00:00"/>
    <x v="40"/>
    <s v="Wanda Beard"/>
    <x v="0"/>
    <s v="reyesleonard@example.com"/>
    <s v="870.902.8427x624"/>
    <d v="2026-02-23T07:36:08"/>
    <m/>
  </r>
  <r>
    <s v="Laura Henry"/>
    <n v="100759"/>
    <x v="4"/>
    <d v="2025-05-24T00:00:00"/>
    <x v="28"/>
    <s v="Kimberly Harrison"/>
    <x v="1"/>
    <s v="williammyers@example.com"/>
    <s v="001-269-454-5009"/>
    <d v="2026-02-04T01:17:08"/>
    <m/>
  </r>
  <r>
    <s v="Hannah Harmon"/>
    <n v="101165"/>
    <x v="4"/>
    <d v="2025-06-13T00:00:00"/>
    <x v="13"/>
    <s v="Steven Peterson"/>
    <x v="0"/>
    <s v="pattersonvictoria@example.com"/>
    <s v="(403)233-4911x415"/>
    <d v="2026-02-01T21:48:08"/>
    <m/>
  </r>
  <r>
    <s v="Amanda Barrett"/>
    <n v="101237"/>
    <x v="3"/>
    <d v="2025-09-25T00:00:00"/>
    <x v="5"/>
    <s v="Jose Fisher"/>
    <x v="0"/>
    <s v="dominguezbrianna@example.com"/>
    <s v="(496)659-1713x5785"/>
    <d v="2026-03-05T17:51:08"/>
    <m/>
  </r>
  <r>
    <s v="Jeffrey Crawford"/>
    <n v="101147"/>
    <x v="1"/>
    <d v="2025-10-02T00:00:00"/>
    <x v="20"/>
    <s v="Rachel Pittman"/>
    <x v="0"/>
    <s v="karlwilliams@example.net"/>
    <s v="(839)519-1954x1987"/>
    <d v="2026-02-03T22:36:08"/>
    <m/>
  </r>
  <r>
    <s v="Billy Colon"/>
    <n v="100089"/>
    <x v="3"/>
    <d v="2025-11-25T00:00:00"/>
    <x v="1"/>
    <s v="Elizabeth Alvarado"/>
    <x v="0"/>
    <s v="james64@example.net"/>
    <s v="878.220.8297x37489"/>
    <d v="2026-03-01T06:04:08"/>
    <m/>
  </r>
  <r>
    <s v="Helen Hernandez"/>
    <n v="101370"/>
    <x v="4"/>
    <d v="2025-06-09T00:00:00"/>
    <x v="8"/>
    <s v="Michael Evans"/>
    <x v="0"/>
    <s v="ejenkins@example.net"/>
    <s v="564.342.4936"/>
    <d v="2026-02-28T10:45:08"/>
    <m/>
  </r>
  <r>
    <s v="Alexis Robles"/>
    <n v="100092"/>
    <x v="2"/>
    <d v="2026-03-05T00:00:00"/>
    <x v="1"/>
    <s v="John Esparza"/>
    <x v="1"/>
    <s v="clucas@example.org"/>
    <s v="(942)204-4820"/>
    <d v="2026-03-10T17:52:08"/>
    <m/>
  </r>
  <r>
    <s v="Steven Edwards"/>
    <n v="100560"/>
    <x v="0"/>
    <d v="2025-09-29T00:00:00"/>
    <x v="40"/>
    <s v="Arthur Friedman"/>
    <x v="0"/>
    <s v="emily16@example.net"/>
    <s v="(631)998-1898"/>
    <d v="2026-02-18T01:05:08"/>
    <m/>
  </r>
  <r>
    <s v="Cynthia Martinez"/>
    <n v="101188"/>
    <x v="5"/>
    <d v="2025-09-11T00:00:00"/>
    <x v="23"/>
    <s v="Erin Silva"/>
    <x v="0"/>
    <s v="vshaffer@example.org"/>
    <s v="(732)312-3476x49078"/>
    <d v="2026-03-06T02:30:08"/>
    <m/>
  </r>
  <r>
    <s v="Jeff Vega"/>
    <n v="101154"/>
    <x v="0"/>
    <d v="2026-04-29T00:00:00"/>
    <x v="1"/>
    <s v="Sherry Giles"/>
    <x v="0"/>
    <s v="thomas54@example.org"/>
    <s v="+1-990-803-4864x5183"/>
    <d v="2026-02-24T09:00:08"/>
    <m/>
  </r>
  <r>
    <s v="Tyler Pennington"/>
    <n v="100125"/>
    <x v="3"/>
    <d v="2025-04-22T00:00:00"/>
    <x v="33"/>
    <s v="Elizabeth Mayer"/>
    <x v="0"/>
    <s v="kennethvillarreal@example.org"/>
    <s v="456.604.1776x561"/>
    <d v="2026-03-11T23:14:08"/>
    <m/>
  </r>
  <r>
    <s v="Heather Guzman"/>
    <n v="100660"/>
    <x v="0"/>
    <d v="2025-09-05T00:00:00"/>
    <x v="25"/>
    <s v="Nancy Chavez"/>
    <x v="1"/>
    <s v="gilldanielle@example.org"/>
    <s v="+1-472-806-3459x1123"/>
    <d v="2026-02-03T12:17:08"/>
    <m/>
  </r>
  <r>
    <s v="Emma Mendoza"/>
    <n v="100220"/>
    <x v="1"/>
    <d v="2025-10-24T00:00:00"/>
    <x v="15"/>
    <s v="Debbie Mcdaniel"/>
    <x v="0"/>
    <s v="lauren31@example.com"/>
    <s v="(926)569-3008x931"/>
    <d v="2026-02-23T10:54:08"/>
    <m/>
  </r>
  <r>
    <s v="Samuel Williams"/>
    <n v="101324"/>
    <x v="2"/>
    <d v="2025-10-11T00:00:00"/>
    <x v="13"/>
    <s v="Lindsay Hernandez"/>
    <x v="1"/>
    <s v="george91@example.org"/>
    <s v="001-886-477-1333x447"/>
    <d v="2026-02-25T09:48:08"/>
    <m/>
  </r>
  <r>
    <s v="Daniel Lewis"/>
    <n v="100628"/>
    <x v="3"/>
    <d v="2025-04-10T00:00:00"/>
    <x v="2"/>
    <s v="Monica Lopez"/>
    <x v="1"/>
    <s v="rickythomas@example.com"/>
    <s v="739-873-5971x072"/>
    <d v="2026-03-07T16:03:08"/>
    <m/>
  </r>
  <r>
    <s v="Michelle Erickson"/>
    <n v="100345"/>
    <x v="4"/>
    <d v="2025-03-17T00:00:00"/>
    <x v="26"/>
    <s v="Dawn Davis"/>
    <x v="1"/>
    <s v="williamssarah@example.com"/>
    <s v="(499)200-4896x465"/>
    <d v="2026-03-04T14:36:08"/>
    <s v="Duplicate Employee ID"/>
  </r>
  <r>
    <s v="Debbie Gordon"/>
    <m/>
    <x v="0"/>
    <d v="2025-06-29T00:00:00"/>
    <x v="28"/>
    <s v="Sherry Anderson"/>
    <x v="1"/>
    <s v="jennifer62@example.com"/>
    <s v="650-627-4564"/>
    <d v="2026-03-11T01:45:08"/>
    <s v="Missing Employee ID"/>
  </r>
  <r>
    <s v="Jessica Martin"/>
    <n v="100166"/>
    <x v="3"/>
    <d v="2025-08-20T00:00:00"/>
    <x v="40"/>
    <s v="Katherine Dodson"/>
    <x v="1"/>
    <s v="jbrown@example.org"/>
    <s v="920.274.2761"/>
    <d v="2026-03-10T20:00:08"/>
    <m/>
  </r>
  <r>
    <s v="William Hoffman"/>
    <n v="101353"/>
    <x v="1"/>
    <d v="2025-09-30T00:00:00"/>
    <x v="1"/>
    <s v="Brian Cortez"/>
    <x v="1"/>
    <s v="daviddavis@example.com"/>
    <s v="(428)849-9390"/>
    <d v="2026-02-21T11:32:08"/>
    <m/>
  </r>
  <r>
    <s v="Danielle Jimenez"/>
    <n v="100911"/>
    <x v="5"/>
    <d v="2025-04-07T00:00:00"/>
    <x v="40"/>
    <s v="Gary Mitchell"/>
    <x v="1"/>
    <s v="longbrittany@example.org"/>
    <s v="720-417-7749x05097"/>
    <d v="2026-03-02T08:44:08"/>
    <m/>
  </r>
  <r>
    <s v="Anthony Schneider"/>
    <n v="100153"/>
    <x v="1"/>
    <d v="2025-04-16T00:00:00"/>
    <x v="28"/>
    <s v="Anthony Jones"/>
    <x v="0"/>
    <s v="qdavis@example.org"/>
    <s v="461.303.2664"/>
    <d v="2026-03-10T19:06:08"/>
    <m/>
  </r>
  <r>
    <s v="Robert Fitzgerald"/>
    <n v="100831"/>
    <x v="4"/>
    <d v="2026-05-03T00:00:00"/>
    <x v="4"/>
    <s v="Stephanie Munoz"/>
    <x v="0"/>
    <s v="elizabeth58@example.org"/>
    <s v="876.874.9961x6592"/>
    <d v="2026-02-20T00:04:08"/>
    <m/>
  </r>
  <r>
    <s v="Jose Mcpherson"/>
    <n v="100227"/>
    <x v="5"/>
    <d v="2025-12-15T00:00:00"/>
    <x v="4"/>
    <s v="Maria Reeves"/>
    <x v="1"/>
    <s v="prose@example.net"/>
    <s v="647-561-7422"/>
    <d v="2026-02-25T15:13:08"/>
    <m/>
  </r>
  <r>
    <s v="Elizabeth Williams"/>
    <n v="101499"/>
    <x v="5"/>
    <d v="2026-03-16T00:00:00"/>
    <x v="3"/>
    <s v="Andrew Rodriguez"/>
    <x v="0"/>
    <s v="dgutierrez@example.net"/>
    <s v="001-894-254-9180x1722"/>
    <d v="2026-03-09T02:35:08"/>
    <m/>
  </r>
  <r>
    <s v="Shawn Evans"/>
    <n v="100923"/>
    <x v="3"/>
    <d v="2025-06-09T00:00:00"/>
    <x v="11"/>
    <s v="Jordan Santiago"/>
    <x v="0"/>
    <s v="matthew23@example.org"/>
    <s v="394-216-8006"/>
    <d v="2026-03-14T03:27:08"/>
    <m/>
  </r>
  <r>
    <s v="John Holt"/>
    <n v="101088"/>
    <x v="0"/>
    <d v="2026-02-28T00:00:00"/>
    <x v="19"/>
    <s v="Tracy Guzman"/>
    <x v="1"/>
    <s v="nturner@example.com"/>
    <s v="001-564-912-2031x030"/>
    <d v="2026-02-24T15:37:08"/>
    <m/>
  </r>
  <r>
    <s v="Marie Graham"/>
    <n v="101053"/>
    <x v="0"/>
    <d v="2025-09-30T00:00:00"/>
    <x v="35"/>
    <s v="Rachel Lee"/>
    <x v="1"/>
    <s v="kayla27@example.com"/>
    <s v="5125277707"/>
    <d v="2026-02-11T02:16:08"/>
    <m/>
  </r>
  <r>
    <s v="Ronald Myers"/>
    <n v="100622"/>
    <x v="0"/>
    <d v="2026-04-22T00:00:00"/>
    <x v="22"/>
    <s v="Brian Abbott"/>
    <x v="0"/>
    <s v="fpetty@example.net"/>
    <s v="001-998-540-7678"/>
    <d v="2026-02-18T12:48:08"/>
    <m/>
  </r>
  <r>
    <s v="Kelsey Henderson"/>
    <n v="100604"/>
    <x v="3"/>
    <d v="2025-12-31T00:00:00"/>
    <x v="18"/>
    <s v="Arthur Orozco"/>
    <x v="0"/>
    <s v="hsmall@example.com"/>
    <s v="+1-557-760-2437x573"/>
    <d v="2026-02-25T23:38:08"/>
    <m/>
  </r>
  <r>
    <s v="Sarah Espinoza"/>
    <n v="100462"/>
    <x v="4"/>
    <d v="2025-10-12T00:00:00"/>
    <x v="40"/>
    <s v="Stephen Sharp"/>
    <x v="1"/>
    <s v="rmoyer@example.net"/>
    <s v="001-957-329-3417x2232"/>
    <d v="2026-03-14T12:02:08"/>
    <m/>
  </r>
  <r>
    <s v="Terri Snyder"/>
    <n v="100645"/>
    <x v="2"/>
    <d v="2025-10-08T00:00:00"/>
    <x v="3"/>
    <s v="Justin Kidd"/>
    <x v="1"/>
    <s v="nicole52@example.org"/>
    <s v="701.256.1931x83745"/>
    <d v="2026-03-14T04:24:08"/>
    <m/>
  </r>
  <r>
    <s v="Kristin Kemp"/>
    <n v="101218"/>
    <x v="4"/>
    <d v="2026-03-04T00:00:00"/>
    <x v="15"/>
    <s v="Shelly Munoz"/>
    <x v="1"/>
    <s v="mccarthysara@example.com"/>
    <s v="511.799.1808x121"/>
    <d v="2026-02-27T05:12:08"/>
    <m/>
  </r>
  <r>
    <s v="Edgar Alexander"/>
    <n v="101019"/>
    <x v="0"/>
    <d v="2025-09-04T00:00:00"/>
    <x v="5"/>
    <s v="Morgan Garcia"/>
    <x v="1"/>
    <s v="matthew21@example.org"/>
    <s v="860.737.5482x145"/>
    <d v="2026-01-30T18:32:08"/>
    <m/>
  </r>
  <r>
    <s v="Danielle Mullins"/>
    <n v="101412"/>
    <x v="3"/>
    <d v="2025-07-10T00:00:00"/>
    <x v="1"/>
    <s v="Rachel Taylor"/>
    <x v="1"/>
    <s v="agutierrez@example.com"/>
    <s v="250.872.0811x55626"/>
    <d v="2026-02-24T08:43:08"/>
    <m/>
  </r>
  <r>
    <s v="Mary May"/>
    <n v="101318"/>
    <x v="5"/>
    <d v="2026-01-19T00:00:00"/>
    <x v="12"/>
    <s v="Amy Welch"/>
    <x v="0"/>
    <s v="robert84@example.net"/>
    <s v="001-955-704-8926x7389"/>
    <d v="2026-02-18T01:22:08"/>
    <m/>
  </r>
  <r>
    <s v="Rachael Sullivan"/>
    <n v="100612"/>
    <x v="1"/>
    <d v="2025-09-23T00:00:00"/>
    <x v="3"/>
    <s v="Eric Johnson"/>
    <x v="0"/>
    <s v="peter28@example.net"/>
    <s v="631-588-4852x0089"/>
    <d v="2026-03-12T07:17:08"/>
    <m/>
  </r>
  <r>
    <s v="Elizabeth Henderson"/>
    <n v="101403"/>
    <x v="1"/>
    <d v="2025-10-08T00:00:00"/>
    <x v="3"/>
    <s v="Monique Skinner"/>
    <x v="0"/>
    <s v="courtney51@example.org"/>
    <s v="001-717-649-0753x99893"/>
    <d v="2026-03-05T11:20:08"/>
    <m/>
  </r>
  <r>
    <s v="Richard Espinoza"/>
    <n v="100721"/>
    <x v="2"/>
    <d v="2025-04-14T00:00:00"/>
    <x v="15"/>
    <s v="Michelle Stone"/>
    <x v="1"/>
    <s v="danielblack@example.org"/>
    <s v="001-957-312-6611x06273"/>
    <d v="2026-03-13T05:36:08"/>
    <m/>
  </r>
  <r>
    <s v="Joseph Chapman"/>
    <n v="100378"/>
    <x v="2"/>
    <d v="2025-08-03T00:00:00"/>
    <x v="9"/>
    <s v="Jennifer Baker"/>
    <x v="1"/>
    <s v="cfields@example.net"/>
    <s v="962.928.2772x8813"/>
    <d v="2026-02-04T13:41:08"/>
    <m/>
  </r>
  <r>
    <s v="Christopher Hansen"/>
    <n v="100194"/>
    <x v="0"/>
    <d v="2025-07-17T00:00:00"/>
    <x v="9"/>
    <s v="Barbara Phelps"/>
    <x v="1"/>
    <s v="martinezashley@example.org"/>
    <s v="221.654.5447x02296"/>
    <d v="2026-03-05T01:43:08"/>
    <m/>
  </r>
  <r>
    <s v="Cindy Fuentes"/>
    <n v="100273"/>
    <x v="1"/>
    <d v="2025-12-23T00:00:00"/>
    <x v="31"/>
    <s v="Bryan Bailey PhD"/>
    <x v="1"/>
    <s v="tolson@example.net"/>
    <s v="756.379.2287x772"/>
    <d v="2026-01-31T14:49:08"/>
    <m/>
  </r>
  <r>
    <s v="Mary Ortiz"/>
    <n v="101011"/>
    <x v="4"/>
    <d v="2025-03-30T00:00:00"/>
    <x v="24"/>
    <s v="James Weaver"/>
    <x v="0"/>
    <s v="pfitzgerald@example.org"/>
    <s v="(209)548-1813"/>
    <d v="2026-03-01T19:49:08"/>
    <m/>
  </r>
  <r>
    <s v="Kathryn Smith"/>
    <n v="101246"/>
    <x v="2"/>
    <d v="2026-02-25T00:00:00"/>
    <x v="1"/>
    <s v="Kim Rivers"/>
    <x v="1"/>
    <s v="kristin39@example.com"/>
    <s v="789-856-9070"/>
    <d v="2026-02-12T17:13:08"/>
    <m/>
  </r>
  <r>
    <s v="Alexander Rice"/>
    <n v="100524"/>
    <x v="0"/>
    <d v="2025-11-13T00:00:00"/>
    <x v="28"/>
    <s v="Brandon Petty"/>
    <x v="0"/>
    <s v="justinwhite@example.org"/>
    <s v="(246)620-9520"/>
    <d v="2026-02-06T17:37:08"/>
    <m/>
  </r>
  <r>
    <s v="Francisco Gutierrez"/>
    <n v="100755"/>
    <x v="2"/>
    <d v="2025-07-23T00:00:00"/>
    <x v="27"/>
    <s v="James Carey"/>
    <x v="1"/>
    <s v="williamsjohn@example.net"/>
    <s v="001-737-988-6140"/>
    <d v="2026-02-22T02:14:08"/>
    <m/>
  </r>
  <r>
    <s v="Ana Johnson"/>
    <n v="100751"/>
    <x v="2"/>
    <d v="2025-07-05T00:00:00"/>
    <x v="34"/>
    <s v="Susan Smith"/>
    <x v="1"/>
    <s v="sanchezangela@example.org"/>
    <s v="896-971-8325x8238"/>
    <d v="2026-02-07T14:25:08"/>
    <m/>
  </r>
  <r>
    <s v="Robert Woodward"/>
    <n v="100757"/>
    <x v="0"/>
    <d v="2025-12-02T00:00:00"/>
    <x v="13"/>
    <s v="Marissa Jackson"/>
    <x v="1"/>
    <s v="mahoneytimothy@example.net"/>
    <s v="665-339-8402x891"/>
    <d v="2026-02-01T14:13:08"/>
    <m/>
  </r>
  <r>
    <s v="Bryce Taylor"/>
    <n v="101222"/>
    <x v="1"/>
    <d v="2025-04-17T00:00:00"/>
    <x v="5"/>
    <s v="Diana Reynolds"/>
    <x v="1"/>
    <s v="nicole54@example.net"/>
    <s v="943.255.3795x020"/>
    <d v="2026-02-27T19:31:08"/>
    <m/>
  </r>
  <r>
    <s v="Megan Gutierrez"/>
    <n v="101395"/>
    <x v="4"/>
    <d v="2025-06-20T00:00:00"/>
    <x v="3"/>
    <s v="Michele Farmer"/>
    <x v="0"/>
    <s v="cobbdebra@example.org"/>
    <s v="+1-407-215-6956"/>
    <d v="2026-03-12T21:26:08"/>
    <m/>
  </r>
  <r>
    <s v="Jacob Lee"/>
    <n v="100888"/>
    <x v="5"/>
    <d v="2026-02-17T00:00:00"/>
    <x v="19"/>
    <s v="Patrick Chang"/>
    <x v="0"/>
    <s v="james94@example.net"/>
    <s v="237.550.4793"/>
    <d v="2026-02-03T00:56:08"/>
    <m/>
  </r>
  <r>
    <s v="Miss Ashley Ramirez"/>
    <n v="100038"/>
    <x v="4"/>
    <d v="2025-07-26T00:00:00"/>
    <x v="40"/>
    <s v="Carolyn Lee"/>
    <x v="0"/>
    <s v="cameronanderson@example.org"/>
    <s v="(649)938-4308"/>
    <d v="2026-02-06T22:23:08"/>
    <m/>
  </r>
  <r>
    <s v="Jeffery Nunez"/>
    <n v="100891"/>
    <x v="2"/>
    <d v="2025-09-07T00:00:00"/>
    <x v="39"/>
    <s v="Sarah Morris"/>
    <x v="1"/>
    <s v="rhill@example.net"/>
    <s v="275.880.3046x875"/>
    <d v="2026-02-12T07:40:08"/>
    <m/>
  </r>
  <r>
    <s v="Brad Armstrong"/>
    <n v="100808"/>
    <x v="3"/>
    <d v="2026-02-15T00:00:00"/>
    <x v="20"/>
    <s v="Omar Spence"/>
    <x v="1"/>
    <s v="prosario@example.org"/>
    <s v="(754)611-0760"/>
    <d v="2026-03-08T09:05:08"/>
    <m/>
  </r>
  <r>
    <s v="John Benjamin"/>
    <n v="101458"/>
    <x v="1"/>
    <d v="2026-04-10T00:00:00"/>
    <x v="28"/>
    <s v="Samantha Stone"/>
    <x v="1"/>
    <s v="sherryparsons@example.net"/>
    <s v="217.991.1006x512"/>
    <d v="2026-02-03T14:52:08"/>
    <m/>
  </r>
  <r>
    <s v="Leslie Reynolds"/>
    <n v="101172"/>
    <x v="2"/>
    <d v="2025-09-13T00:00:00"/>
    <x v="28"/>
    <s v="Anthony Williams"/>
    <x v="1"/>
    <s v="nmorales@example.com"/>
    <s v="399.707.6769"/>
    <d v="2026-02-18T06:36:08"/>
    <m/>
  </r>
  <r>
    <s v="Megan Johnson"/>
    <n v="101483"/>
    <x v="4"/>
    <d v="2025-07-27T00:00:00"/>
    <x v="8"/>
    <s v="Leah Rodriguez"/>
    <x v="1"/>
    <s v="larsoncarlos@example.org"/>
    <s v="001-428-545-6797"/>
    <d v="2026-03-12T20:15:08"/>
    <m/>
  </r>
  <r>
    <s v="Andrew Anderson"/>
    <n v="100697"/>
    <x v="1"/>
    <d v="2026-01-07T00:00:00"/>
    <x v="12"/>
    <s v="Kayla Pearson"/>
    <x v="0"/>
    <s v="larry82@example.org"/>
    <s v="249.854.5089x2038"/>
    <d v="2026-02-01T04:53:08"/>
    <m/>
  </r>
  <r>
    <s v="William Davidson"/>
    <m/>
    <x v="1"/>
    <d v="2025-08-15T00:00:00"/>
    <x v="24"/>
    <s v="Barry Lopez"/>
    <x v="0"/>
    <s v="dneal@example.net"/>
    <s v="001-259-995-9465x217"/>
    <d v="2026-03-04T06:13:08"/>
    <s v="Missing Employee ID"/>
  </r>
  <r>
    <s v="Aaron Walker"/>
    <n v="100364"/>
    <x v="5"/>
    <d v="2026-01-01T00:00:00"/>
    <x v="31"/>
    <s v="Marcus Allen"/>
    <x v="0"/>
    <s v="lindsay63@example.com"/>
    <s v="(405)601-5081"/>
    <d v="2026-03-11T01:16:08"/>
    <m/>
  </r>
  <r>
    <s v="Mark Durham"/>
    <n v="100842"/>
    <x v="4"/>
    <d v="2026-02-02T00:00:00"/>
    <x v="1"/>
    <s v="William Gonzalez"/>
    <x v="0"/>
    <s v="grant42@example.com"/>
    <s v="+1-432-830-2410"/>
    <d v="2026-03-16T02:29:08"/>
    <m/>
  </r>
  <r>
    <s v="Stacey Morgan"/>
    <n v="100811"/>
    <x v="2"/>
    <d v="2025-07-01T00:00:00"/>
    <x v="3"/>
    <s v="Jesus Wood"/>
    <x v="0"/>
    <s v="donna89@example.com"/>
    <s v="001-811-522-3386x559"/>
    <d v="2026-02-13T14:54:08"/>
    <m/>
  </r>
  <r>
    <s v="Pamela Matthews"/>
    <n v="100970"/>
    <x v="3"/>
    <d v="2026-01-24T00:00:00"/>
    <x v="40"/>
    <s v="Elizabeth Hernandez"/>
    <x v="1"/>
    <s v="brianflynn@example.org"/>
    <s v="997.431.7912x86857"/>
    <d v="2026-02-17T01:37:08"/>
    <m/>
  </r>
  <r>
    <s v="James Neal"/>
    <n v="100302"/>
    <x v="5"/>
    <d v="2025-03-18T00:00:00"/>
    <x v="3"/>
    <s v="Kathleen Adams"/>
    <x v="0"/>
    <s v="ylittle@example.net"/>
    <s v="+1-403-733-7363x4669"/>
    <d v="2026-02-21T17:26:08"/>
    <m/>
  </r>
  <r>
    <s v="Bradley Walton"/>
    <n v="100649"/>
    <x v="4"/>
    <d v="2026-04-07T00:00:00"/>
    <x v="36"/>
    <s v="Joseph Hall"/>
    <x v="0"/>
    <s v="marshallchristine@example.com"/>
    <s v="576.665.7546x027"/>
    <d v="2026-03-01T18:14:08"/>
    <m/>
  </r>
  <r>
    <s v="Heather Miller"/>
    <n v="101274"/>
    <x v="4"/>
    <d v="2025-08-22T00:00:00"/>
    <x v="15"/>
    <s v="Kayla Schneider"/>
    <x v="1"/>
    <s v="sara11@example.org"/>
    <s v="(408)635-3544x439"/>
    <d v="2026-02-11T21:49:08"/>
    <s v="Extra Name Spaces"/>
  </r>
  <r>
    <s v="Elijah Short"/>
    <n v="100639"/>
    <x v="4"/>
    <d v="2025-06-09T00:00:00"/>
    <x v="15"/>
    <s v="Jennifer Sullivan"/>
    <x v="1"/>
    <s v="kennedywilliam@example.org"/>
    <s v="(733)537-3898x7751"/>
    <d v="2026-02-26T02:21:08"/>
    <m/>
  </r>
  <r>
    <s v="Tom Butler"/>
    <n v="100517"/>
    <x v="1"/>
    <d v="2026-01-15T00:00:00"/>
    <x v="21"/>
    <s v="Samuel Johnson"/>
    <x v="1"/>
    <s v="barbaraanderson@example.net"/>
    <s v="6757536668"/>
    <d v="2026-02-13T05:39:08"/>
    <m/>
  </r>
  <r>
    <s v="Latoya Johnson"/>
    <n v="100750"/>
    <x v="2"/>
    <d v="2025-06-08T00:00:00"/>
    <x v="24"/>
    <s v="William Gamble"/>
    <x v="0"/>
    <s v="nbaird@example.com"/>
    <s v="686-337-1597"/>
    <d v="2026-03-08T10:42:08"/>
    <m/>
  </r>
  <r>
    <s v="Michael Thompson"/>
    <n v="101424"/>
    <x v="0"/>
    <d v="2026-01-11T00:00:00"/>
    <x v="20"/>
    <s v="Lindsey Johnson"/>
    <x v="0"/>
    <s v="chadmccarty@example.com"/>
    <s v="234.481.7058"/>
    <d v="2026-02-19T20:03:08"/>
    <m/>
  </r>
  <r>
    <s v="Theodore Myers"/>
    <n v="100726"/>
    <x v="2"/>
    <d v="2026-04-14T00:00:00"/>
    <x v="18"/>
    <s v="Betty Barnes PhD"/>
    <x v="0"/>
    <s v="nfriedman@example.org"/>
    <s v="546.972.9949"/>
    <d v="2026-02-03T17:14:08"/>
    <m/>
  </r>
  <r>
    <s v="Adam Thomas"/>
    <n v="101398"/>
    <x v="0"/>
    <d v="2026-03-04T00:00:00"/>
    <x v="7"/>
    <s v="James Aguirre"/>
    <x v="1"/>
    <s v="renee77@example.com"/>
    <s v="001-401-847-5469"/>
    <d v="2026-02-20T13:41:08"/>
    <m/>
  </r>
  <r>
    <s v="Steven Quinn"/>
    <n v="101326"/>
    <x v="1"/>
    <d v="2025-07-23T00:00:00"/>
    <x v="19"/>
    <s v="Thomas White"/>
    <x v="0"/>
    <s v="longsonya@example.org"/>
    <s v="(348)741-3768"/>
    <d v="2026-01-30T18:30:08"/>
    <m/>
  </r>
  <r>
    <s v="Brian Miranda"/>
    <n v="101214"/>
    <x v="0"/>
    <d v="2025-08-17T00:00:00"/>
    <x v="14"/>
    <s v="Jerry King"/>
    <x v="1"/>
    <s v="murraycharles@example.net"/>
    <s v="+1-976-956-3600x41257"/>
    <d v="2026-02-04T21:14:08"/>
    <m/>
  </r>
  <r>
    <s v="Joshua Allen"/>
    <n v="100242"/>
    <x v="3"/>
    <d v="2025-10-16T00:00:00"/>
    <x v="3"/>
    <s v="Brenda Hoover"/>
    <x v="0"/>
    <s v="georgesmith@example.org"/>
    <s v="(441)986-2104"/>
    <d v="2026-02-26T14:01:08"/>
    <m/>
  </r>
  <r>
    <s v="Daniel Johnson"/>
    <n v="100910"/>
    <x v="3"/>
    <d v="2025-11-25T00:00:00"/>
    <x v="3"/>
    <s v="Cindy Horton"/>
    <x v="0"/>
    <s v="myerskyle@example.org"/>
    <s v="+1-200-263-3533x106"/>
    <d v="2026-02-28T00:03:08"/>
    <m/>
  </r>
  <r>
    <s v="Corey Caldwell"/>
    <n v="100022"/>
    <x v="2"/>
    <d v="2025-09-15T00:00:00"/>
    <x v="21"/>
    <s v="Stephen Robles"/>
    <x v="0"/>
    <s v="jenniferwilliams@example.net"/>
    <s v="855-383-9386"/>
    <d v="2026-02-09T00:58:08"/>
    <m/>
  </r>
  <r>
    <s v="Brian Morris"/>
    <n v="101473"/>
    <x v="2"/>
    <d v="2026-03-03T00:00:00"/>
    <x v="31"/>
    <s v="Matthew Smith"/>
    <x v="0"/>
    <s v="stephenjones@example.com"/>
    <s v="+1-495-601-3649x7189"/>
    <d v="2026-03-15T18:59:08"/>
    <m/>
  </r>
  <r>
    <s v="Lindsay Jarvis"/>
    <n v="101203"/>
    <x v="0"/>
    <d v="2025-05-11T00:00:00"/>
    <x v="39"/>
    <s v="Megan Compton"/>
    <x v="0"/>
    <s v="martinreid@example.net"/>
    <s v="571-250-9976x83890"/>
    <d v="2026-02-12T15:21:08"/>
    <m/>
  </r>
  <r>
    <s v="Stephanie Parker"/>
    <n v="100421"/>
    <x v="3"/>
    <d v="2025-07-25T00:00:00"/>
    <x v="21"/>
    <s v="Nicole Harvey"/>
    <x v="1"/>
    <s v="taylorvictor@example.org"/>
    <s v="(663)703-9752"/>
    <d v="2026-02-15T16:12:08"/>
    <m/>
  </r>
  <r>
    <s v="Paige Meyer"/>
    <n v="101271"/>
    <x v="3"/>
    <d v="2026-05-06T00:00:00"/>
    <x v="15"/>
    <s v="Maria Roberts"/>
    <x v="1"/>
    <s v="perezjessica@example.com"/>
    <s v="738.403.3968"/>
    <d v="2026-02-20T18:48:08"/>
    <m/>
  </r>
  <r>
    <s v="Aaron Kane"/>
    <n v="101044"/>
    <x v="4"/>
    <d v="2025-10-20T00:00:00"/>
    <x v="18"/>
    <s v="Corey Walters"/>
    <x v="0"/>
    <s v="shawnamartinez@example.org"/>
    <s v="001-483-538-1674"/>
    <d v="2026-03-07T19:16:08"/>
    <m/>
  </r>
  <r>
    <s v="Christopher Wright"/>
    <n v="100459"/>
    <x v="3"/>
    <d v="2025-08-31T00:00:00"/>
    <x v="9"/>
    <s v="Jerome Reid"/>
    <x v="1"/>
    <s v="michelle71@example.com"/>
    <s v="(862)377-6896x2706"/>
    <d v="2026-03-11T05:11:08"/>
    <m/>
  </r>
  <r>
    <s v="Tammy Larson"/>
    <n v="100711"/>
    <x v="4"/>
    <d v="2025-06-17T00:00:00"/>
    <x v="7"/>
    <s v="Nicholas Scott"/>
    <x v="1"/>
    <s v="storres@example.com"/>
    <s v="+1-597-215-2732"/>
    <d v="2026-02-15T08:38:08"/>
    <m/>
  </r>
  <r>
    <s v="Jonathan Swanson"/>
    <n v="101189"/>
    <x v="5"/>
    <d v="2026-03-04T00:00:00"/>
    <x v="33"/>
    <s v="Timothy Bentley DVM"/>
    <x v="0"/>
    <s v="patrick49@example.org"/>
    <s v="(801)869-2364x58750"/>
    <d v="2026-03-07T18:09:08"/>
    <m/>
  </r>
  <r>
    <s v="Dana Johnson"/>
    <n v="100873"/>
    <x v="0"/>
    <d v="2025-06-05T00:00:00"/>
    <x v="7"/>
    <s v="Lynn Rhodes"/>
    <x v="1"/>
    <s v="josegibson@example.net"/>
    <s v="(843)899-2011"/>
    <d v="2026-02-07T18:45:08"/>
    <m/>
  </r>
  <r>
    <s v="Valerie Miller"/>
    <n v="101257"/>
    <x v="5"/>
    <d v="2025-06-16T00:00:00"/>
    <x v="8"/>
    <s v="Sherri Martin"/>
    <x v="0"/>
    <s v="tking@example.net"/>
    <s v="+1-469-646-1195"/>
    <d v="2026-02-14T01:15:08"/>
    <m/>
  </r>
  <r>
    <s v="Tara Sanders"/>
    <n v="101379"/>
    <x v="3"/>
    <d v="2025-10-12T00:00:00"/>
    <x v="14"/>
    <s v="William Velasquez"/>
    <x v="1"/>
    <s v="daviskim@example.com"/>
    <s v="964.562.2522x37281"/>
    <d v="2026-02-03T07:11:08"/>
    <m/>
  </r>
  <r>
    <s v="Anthony White"/>
    <n v="100390"/>
    <x v="0"/>
    <d v="2026-03-11T00:00:00"/>
    <x v="38"/>
    <s v="Deanna Barrera"/>
    <x v="1"/>
    <s v="nalexander@example.org"/>
    <s v="+1-921-941-6141x5093"/>
    <d v="2026-02-11T00:03:08"/>
    <m/>
  </r>
  <r>
    <s v="Ashlee Brown"/>
    <n v="100423"/>
    <x v="1"/>
    <d v="2025-05-03T00:00:00"/>
    <x v="19"/>
    <s v="Adrienne Aguilar"/>
    <x v="1"/>
    <s v="davisalexa@example.org"/>
    <s v="(598)747-7596x5555"/>
    <d v="2026-02-21T19:15:08"/>
    <m/>
  </r>
  <r>
    <s v="Jamie Brown"/>
    <n v="100170"/>
    <x v="5"/>
    <d v="2025-05-31T00:00:00"/>
    <x v="18"/>
    <s v="Gary Garcia"/>
    <x v="0"/>
    <s v="zharrell@example.net"/>
    <s v="(909)818-4357"/>
    <d v="2026-02-12T01:53:08"/>
    <m/>
  </r>
  <r>
    <s v="April Little"/>
    <n v="100176"/>
    <x v="1"/>
    <d v="2025-06-08T00:00:00"/>
    <x v="7"/>
    <s v="Erica Schultz"/>
    <x v="1"/>
    <s v="montesjill@example.net"/>
    <s v="639.576.9156x716"/>
    <d v="2026-03-01T06:37:08"/>
    <s v="Extra Name Spaces"/>
  </r>
  <r>
    <s v="Sheila Walter"/>
    <n v="100428"/>
    <x v="2"/>
    <d v="2025-04-10T00:00:00"/>
    <x v="4"/>
    <s v="Michelle Johnson"/>
    <x v="1"/>
    <s v="trobles@example.net"/>
    <s v="+1-572-471-7833"/>
    <d v="2026-03-01T15:13:08"/>
    <m/>
  </r>
  <r>
    <s v="Mary Davis"/>
    <n v="100525"/>
    <x v="5"/>
    <d v="2025-10-29T00:00:00"/>
    <x v="23"/>
    <s v="Mike Martin"/>
    <x v="1"/>
    <s v="raven43@example.net"/>
    <s v="771-828-7153x991"/>
    <d v="2026-02-24T13:51:08"/>
    <m/>
  </r>
  <r>
    <s v="Natalie Hardy"/>
    <n v="101347"/>
    <x v="1"/>
    <d v="2026-04-01T00:00:00"/>
    <x v="23"/>
    <s v="Rachel Burch"/>
    <x v="1"/>
    <s v="ostokes@example.com"/>
    <s v="741-411-5931"/>
    <d v="2026-03-13T22:53:08"/>
    <m/>
  </r>
  <r>
    <s v="Tiffany Ray"/>
    <n v="100935"/>
    <x v="1"/>
    <d v="2025-03-16T00:00:00"/>
    <x v="3"/>
    <s v="Antonio Nichols"/>
    <x v="1"/>
    <s v="uwhitney@example.com"/>
    <s v="+1-528-999-3160x87524"/>
    <d v="2026-02-11T22:43:08"/>
    <m/>
  </r>
  <r>
    <s v="Brittany Campbell"/>
    <n v="100972"/>
    <x v="2"/>
    <d v="2026-02-14T00:00:00"/>
    <x v="35"/>
    <s v="Sarah Carey"/>
    <x v="0"/>
    <s v="georgekyle@example.net"/>
    <s v="749-473-7460"/>
    <d v="2026-03-02T02:24:08"/>
    <m/>
  </r>
  <r>
    <s v="Christine Oconnor"/>
    <n v="101217"/>
    <x v="4"/>
    <d v="2025-12-27T00:00:00"/>
    <x v="35"/>
    <s v="Melody Williams"/>
    <x v="1"/>
    <s v="melissaluna@example.com"/>
    <s v="+1-620-586-5675x66184"/>
    <d v="2026-03-09T14:35:08"/>
    <m/>
  </r>
  <r>
    <s v="Kimberly Davis"/>
    <n v="100296"/>
    <x v="2"/>
    <d v="2025-03-17T00:00:00"/>
    <x v="5"/>
    <s v="Rick Glenn"/>
    <x v="1"/>
    <s v="hornjenna@example.com"/>
    <s v="+1-329-427-7423x3305"/>
    <d v="2026-01-31T14:17:08"/>
    <m/>
  </r>
  <r>
    <s v="William Shelton"/>
    <n v="100300"/>
    <x v="0"/>
    <d v="2025-06-08T00:00:00"/>
    <x v="33"/>
    <s v="Anthony Kelly"/>
    <x v="0"/>
    <s v="dwhite@example.org"/>
    <s v="459.862.6301x36749"/>
    <d v="2026-02-27T21:03:08"/>
    <m/>
  </r>
  <r>
    <s v="Wendy Lambert"/>
    <n v="100744"/>
    <x v="2"/>
    <d v="2025-06-20T00:00:00"/>
    <x v="7"/>
    <s v="John Meyers"/>
    <x v="0"/>
    <s v="phill@example.com"/>
    <s v="(901)611-1783x099"/>
    <d v="2026-02-15T11:24:08"/>
    <m/>
  </r>
  <r>
    <s v="Anna Watkins"/>
    <n v="100371"/>
    <x v="4"/>
    <d v="2025-05-10T00:00:00"/>
    <x v="17"/>
    <s v="Zachary Park"/>
    <x v="0"/>
    <s v="ashley15@example.org"/>
    <s v="001-382-560-6888x718"/>
    <d v="2026-02-16T02:18:08"/>
    <m/>
  </r>
  <r>
    <s v="Stephanie White"/>
    <n v="100144"/>
    <x v="1"/>
    <d v="2025-11-29T00:00:00"/>
    <x v="7"/>
    <s v="Catherine Peters"/>
    <x v="0"/>
    <s v="david29@example.org"/>
    <s v="+1-821-284-0118x4582"/>
    <d v="2026-02-11T16:15:08"/>
    <m/>
  </r>
  <r>
    <s v="Angel Bautista"/>
    <n v="101325"/>
    <x v="1"/>
    <d v="2025-10-23T00:00:00"/>
    <x v="4"/>
    <s v="Elaine Ferguson"/>
    <x v="0"/>
    <s v="barbaraneal@example.net"/>
    <s v="(598)483-1030x324"/>
    <d v="2026-03-08T14:22:08"/>
    <m/>
  </r>
  <r>
    <s v="Cindy Howard"/>
    <n v="100806"/>
    <x v="5"/>
    <d v="2026-02-15T00:00:00"/>
    <x v="35"/>
    <s v="Marcus Jones"/>
    <x v="1"/>
    <s v="jorge26@example.com"/>
    <s v="746-428-3143"/>
    <d v="2026-02-05T18:16:08"/>
    <m/>
  </r>
  <r>
    <s v="Christian Riddle"/>
    <n v="100259"/>
    <x v="2"/>
    <d v="2025-08-03T00:00:00"/>
    <x v="5"/>
    <s v="Alexander Munoz"/>
    <x v="1"/>
    <s v="nelsonamanda@example.net"/>
    <s v="+1-561-651-5542"/>
    <d v="2026-03-08T13:12:08"/>
    <m/>
  </r>
  <r>
    <s v="James Novak"/>
    <n v="100822"/>
    <x v="5"/>
    <d v="2026-01-18T00:00:00"/>
    <x v="13"/>
    <s v="Brian Frost"/>
    <x v="1"/>
    <s v="alishahutchinson@example.net"/>
    <s v="818.459.4849x1025"/>
    <d v="2026-01-29T23:01:08"/>
    <m/>
  </r>
  <r>
    <s v="Patrick Faulkner"/>
    <n v="100174"/>
    <x v="2"/>
    <d v="2025-06-26T00:00:00"/>
    <x v="3"/>
    <s v="Linda Atkinson"/>
    <x v="1"/>
    <s v="qvargas@example.org"/>
    <s v="+1-482-922-6940x53967"/>
    <d v="2026-02-01T06:07:08"/>
    <m/>
  </r>
  <r>
    <s v="Dr. Kathryn Hill"/>
    <n v="100849"/>
    <x v="3"/>
    <d v="2026-03-14T00:00:00"/>
    <x v="16"/>
    <s v="Todd Keith"/>
    <x v="0"/>
    <s v="kevinhodge@example.com"/>
    <s v="(251)811-3129x01487"/>
    <d v="2026-02-21T22:43:08"/>
    <m/>
  </r>
  <r>
    <s v="Tara Taylor"/>
    <n v="100404"/>
    <x v="1"/>
    <d v="2026-01-08T00:00:00"/>
    <x v="27"/>
    <s v="Mr. Michael Patel Jr."/>
    <x v="1"/>
    <s v="jensenrhonda@example.net"/>
    <s v="9684538909"/>
    <d v="2026-03-16T00:04:08"/>
    <m/>
  </r>
  <r>
    <s v="Sierra Mills"/>
    <n v="100855"/>
    <x v="3"/>
    <d v="2025-03-28T00:00:00"/>
    <x v="24"/>
    <s v="Benjamin Franco"/>
    <x v="0"/>
    <s v="stephanie67@example.com"/>
    <s v="(951)653-8144"/>
    <d v="2026-03-04T08:48:08"/>
    <m/>
  </r>
  <r>
    <s v="Aaron Welch"/>
    <n v="100908"/>
    <x v="3"/>
    <d v="2025-08-09T00:00:00"/>
    <x v="20"/>
    <s v="Thomas Hickman"/>
    <x v="1"/>
    <s v="wallspatricia@example.com"/>
    <s v="2507975451"/>
    <d v="2026-03-02T23:26:08"/>
    <m/>
  </r>
  <r>
    <s v="Charlotte Gomez"/>
    <n v="100035"/>
    <x v="0"/>
    <d v="2025-09-15T00:00:00"/>
    <x v="17"/>
    <s v="Johnathan Miller"/>
    <x v="0"/>
    <s v="robertgentry@example.org"/>
    <s v="(443)676-5456"/>
    <d v="2026-02-02T22:45:08"/>
    <m/>
  </r>
  <r>
    <s v="Jeffrey Franco"/>
    <n v="100069"/>
    <x v="5"/>
    <d v="2025-07-15T00:00:00"/>
    <x v="0"/>
    <s v="Hector Hamilton"/>
    <x v="1"/>
    <s v="nicole31@example.org"/>
    <s v="902-966-5023x7416"/>
    <d v="2026-02-20T03:41:08"/>
    <m/>
  </r>
  <r>
    <s v="Michelle Nguyen"/>
    <n v="100382"/>
    <x v="4"/>
    <d v="2025-12-23T00:00:00"/>
    <x v="15"/>
    <s v="Sierra Shaw"/>
    <x v="1"/>
    <s v="ganderson@example.org"/>
    <s v="(225)880-3056"/>
    <d v="2026-03-03T20:44:08"/>
    <m/>
  </r>
  <r>
    <s v="Douglas Miller"/>
    <n v="101394"/>
    <x v="5"/>
    <d v="2026-05-14T00:00:00"/>
    <x v="28"/>
    <s v="Luke Daniel"/>
    <x v="1"/>
    <s v="johnwang@example.com"/>
    <s v="001-536-337-1892x392"/>
    <d v="2026-02-06T23:15:08"/>
    <m/>
  </r>
  <r>
    <s v="Andrew Mooney"/>
    <n v="100306"/>
    <x v="1"/>
    <d v="2025-06-24T00:00:00"/>
    <x v="21"/>
    <s v="Jessica Jensen"/>
    <x v="0"/>
    <s v="linomar@example.net"/>
    <s v="733-656-7086x0414"/>
    <d v="2026-02-01T15:22:08"/>
    <m/>
  </r>
  <r>
    <s v="Michelle Wright"/>
    <n v="100097"/>
    <x v="3"/>
    <d v="2025-06-12T00:00:00"/>
    <x v="25"/>
    <s v="Catherine Smith"/>
    <x v="0"/>
    <s v="jason74@example.net"/>
    <s v="362-247-5541"/>
    <d v="2026-02-17T08:23:08"/>
    <m/>
  </r>
  <r>
    <s v="Patricia Anderson"/>
    <n v="100895"/>
    <x v="1"/>
    <d v="2025-07-29T00:00:00"/>
    <x v="11"/>
    <s v="Robert Paul"/>
    <x v="1"/>
    <s v="john43@example.net"/>
    <s v="(711)629-1093x3711"/>
    <d v="2026-03-16T06:38:08"/>
    <m/>
  </r>
  <r>
    <s v="Wanda Harris"/>
    <n v="100967"/>
    <x v="5"/>
    <d v="2026-03-14T00:00:00"/>
    <x v="15"/>
    <s v="Amanda Lee"/>
    <x v="0"/>
    <s v="patricia85@example.com"/>
    <s v="416.617.6880x294"/>
    <d v="2026-02-23T21:32:08"/>
    <m/>
  </r>
  <r>
    <s v="Keith Bauer"/>
    <n v="100731"/>
    <x v="0"/>
    <d v="2026-04-16T00:00:00"/>
    <x v="35"/>
    <s v="Natalie Sanders"/>
    <x v="1"/>
    <s v="martinkaren@example.com"/>
    <s v="+1-566-294-3202"/>
    <d v="2026-03-12T07:04:08"/>
    <m/>
  </r>
  <r>
    <s v="Rachel Gibson"/>
    <n v="100233"/>
    <x v="1"/>
    <d v="2025-07-06T00:00:00"/>
    <x v="3"/>
    <s v="Kelly Turner"/>
    <x v="0"/>
    <s v="kennethadams@example.org"/>
    <s v="(430)683-4024"/>
    <d v="2026-02-12T12:28:08"/>
    <m/>
  </r>
  <r>
    <s v="Amber Whitney"/>
    <n v="100932"/>
    <x v="5"/>
    <d v="2025-12-19T00:00:00"/>
    <x v="8"/>
    <s v="Christine Wilson DDS"/>
    <x v="0"/>
    <s v="mark84@example.net"/>
    <s v="(669)445-0053"/>
    <d v="2026-03-02T19:16:08"/>
    <m/>
  </r>
  <r>
    <s v="Alan Sandoval"/>
    <n v="100241"/>
    <x v="4"/>
    <d v="2025-09-01T00:00:00"/>
    <x v="31"/>
    <s v="Teresa Aguilar"/>
    <x v="1"/>
    <s v="qbautista@example.net"/>
    <s v="+1-598-837-3543x9627"/>
    <d v="2026-02-08T19:45:08"/>
    <m/>
  </r>
  <r>
    <s v="Steven Davis"/>
    <n v="101089"/>
    <x v="0"/>
    <d v="2025-05-13T00:00:00"/>
    <x v="21"/>
    <s v="Cody Huffman"/>
    <x v="0"/>
    <s v="ashleyharding@example.org"/>
    <s v="+1-540-942-2693x1216"/>
    <d v="2026-03-13T18:37:08"/>
    <s v="Extra Name Spaces"/>
  </r>
  <r>
    <s v="Tracy Garcia"/>
    <n v="100427"/>
    <x v="4"/>
    <d v="2025-09-27T00:00:00"/>
    <x v="7"/>
    <s v="Monica Morton"/>
    <x v="1"/>
    <s v="grayandrew@example.org"/>
    <s v="001-502-431-4290x01851"/>
    <d v="2026-02-10T08:15:08"/>
    <m/>
  </r>
  <r>
    <s v="Mr. Jeremy Martin"/>
    <n v="100578"/>
    <x v="0"/>
    <d v="2025-12-05T00:00:00"/>
    <x v="2"/>
    <s v="Christopher Brown"/>
    <x v="1"/>
    <s v="courtney10@example.org"/>
    <s v="284-518-6203"/>
    <d v="2026-02-13T16:25:08"/>
    <m/>
  </r>
  <r>
    <s v="Charles Rios"/>
    <n v="101202"/>
    <x v="4"/>
    <d v="2026-02-12T00:00:00"/>
    <x v="1"/>
    <s v="Shawn Cruz"/>
    <x v="0"/>
    <s v="vasquezvicki@example.org"/>
    <s v="245-419-5151"/>
    <d v="2026-03-10T12:12:08"/>
    <m/>
  </r>
  <r>
    <s v="Joseph Greene"/>
    <n v="100361"/>
    <x v="1"/>
    <d v="2025-12-14T00:00:00"/>
    <x v="28"/>
    <s v="Brittany Contreras"/>
    <x v="0"/>
    <s v="colleen45@example.org"/>
    <s v="975-341-0225x267"/>
    <d v="2026-03-02T19:02:08"/>
    <m/>
  </r>
  <r>
    <s v="Jeffrey Acosta"/>
    <n v="101027"/>
    <x v="2"/>
    <d v="2026-03-01T00:00:00"/>
    <x v="24"/>
    <s v="Frank Anderson"/>
    <x v="1"/>
    <s v="fgomez@example.com"/>
    <s v="569.852.3668x7887"/>
    <d v="2026-02-03T15:27:08"/>
    <m/>
  </r>
  <r>
    <s v="Miguel Rose"/>
    <n v="100149"/>
    <x v="3"/>
    <d v="2025-03-28T00:00:00"/>
    <x v="5"/>
    <s v="Roberta Robinson"/>
    <x v="0"/>
    <s v="youngaaron@example.org"/>
    <s v="(887)521-0552x472"/>
    <d v="2026-03-11T15:24:08"/>
    <m/>
  </r>
  <r>
    <s v="Danny Burgess"/>
    <n v="100366"/>
    <x v="0"/>
    <d v="2025-06-15T00:00:00"/>
    <x v="17"/>
    <s v="Michael Thomas"/>
    <x v="0"/>
    <s v="hortonroger@example.org"/>
    <s v="001-519-317-9202x521"/>
    <d v="2026-02-28T04:00:08"/>
    <m/>
  </r>
  <r>
    <s v="Ronald Butler"/>
    <n v="101282"/>
    <x v="5"/>
    <d v="2025-11-01T00:00:00"/>
    <x v="27"/>
    <s v="Julie Taylor"/>
    <x v="0"/>
    <s v="theodore57@example.net"/>
    <s v="001-804-812-0092x820"/>
    <d v="2026-02-19T18:56:08"/>
    <m/>
  </r>
  <r>
    <s v="Sherri Spencer"/>
    <n v="101054"/>
    <x v="3"/>
    <d v="2025-12-14T00:00:00"/>
    <x v="28"/>
    <s v="Tamara Shaw"/>
    <x v="0"/>
    <s v="rodneymoore@example.org"/>
    <s v="962.736.9036x28917"/>
    <d v="2026-02-07T16:21:08"/>
    <m/>
  </r>
  <r>
    <s v="Jennifer James"/>
    <n v="101228"/>
    <x v="0"/>
    <d v="2025-09-15T00:00:00"/>
    <x v="30"/>
    <s v="Jacob Coleman"/>
    <x v="0"/>
    <s v="daniel15@example.net"/>
    <s v="001-550-234-2811x39043"/>
    <d v="2026-02-26T02:58:08"/>
    <m/>
  </r>
  <r>
    <s v="Bradley Hudson"/>
    <n v="100704"/>
    <x v="5"/>
    <d v="2025-10-04T00:00:00"/>
    <x v="12"/>
    <s v="William Webb"/>
    <x v="0"/>
    <s v="edwardssherry@example.org"/>
    <s v="(346)483-5652x156"/>
    <d v="2026-03-08T04:34:08"/>
    <s v="Duplicate Employee ID"/>
  </r>
  <r>
    <s v="Robert Woods"/>
    <n v="100060"/>
    <x v="1"/>
    <d v="2025-08-14T00:00:00"/>
    <x v="16"/>
    <s v="Amanda Martin"/>
    <x v="0"/>
    <s v="omiller@example.org"/>
    <s v="001-733-622-8898x572"/>
    <d v="2026-02-08T22:58:08"/>
    <m/>
  </r>
  <r>
    <s v="Scott Jordan"/>
    <n v="101488"/>
    <x v="3"/>
    <d v="2025-05-18T00:00:00"/>
    <x v="15"/>
    <s v="Patricia Hughes"/>
    <x v="1"/>
    <s v="wendylawson@example.org"/>
    <s v="001-371-902-4817"/>
    <d v="2026-02-09T23:13:08"/>
    <m/>
  </r>
  <r>
    <s v="Timothy Martin"/>
    <n v="100058"/>
    <x v="0"/>
    <d v="2025-08-19T00:00:00"/>
    <x v="28"/>
    <s v="Jack Davis"/>
    <x v="1"/>
    <s v="jennifermurray@example.com"/>
    <s v="472-919-7054x669"/>
    <d v="2026-03-03T03:49:08"/>
    <m/>
  </r>
  <r>
    <s v="Ryan Crane"/>
    <n v="101422"/>
    <x v="1"/>
    <d v="2025-05-27T00:00:00"/>
    <x v="11"/>
    <s v="Michael Hunter"/>
    <x v="0"/>
    <s v="natalie09@example.net"/>
    <s v="8383021462"/>
    <d v="2026-02-05T09:17:08"/>
    <m/>
  </r>
  <r>
    <s v="Shane Caldwell"/>
    <n v="100115"/>
    <x v="2"/>
    <d v="2025-05-13T00:00:00"/>
    <x v="28"/>
    <s v="John Nichols"/>
    <x v="0"/>
    <s v="lrodriguez@example.net"/>
    <s v="966-536-5155"/>
    <d v="2026-02-09T02:10:08"/>
    <m/>
  </r>
  <r>
    <s v="Karen Ramirez"/>
    <n v="101306"/>
    <x v="1"/>
    <d v="2025-04-22T00:00:00"/>
    <x v="14"/>
    <s v="Christopher Harrison"/>
    <x v="1"/>
    <s v="lukejohnson@example.net"/>
    <s v="001-360-456-7303x06442"/>
    <d v="2026-03-10T11:10:08"/>
    <m/>
  </r>
  <r>
    <s v="Jared Evans"/>
    <n v="100208"/>
    <x v="1"/>
    <d v="2025-11-20T00:00:00"/>
    <x v="31"/>
    <s v="Shelby Warren"/>
    <x v="0"/>
    <s v="jack01@example.com"/>
    <s v="242-535-6778x26596"/>
    <d v="2026-03-10T08:11:08"/>
    <m/>
  </r>
  <r>
    <s v="Michael Jensen"/>
    <n v="100829"/>
    <x v="1"/>
    <d v="2025-04-20T00:00:00"/>
    <x v="1"/>
    <s v="William Mcmillan"/>
    <x v="1"/>
    <s v="alexis72@example.com"/>
    <s v="816-448-0727x91033"/>
    <d v="2026-02-16T06:42:08"/>
    <m/>
  </r>
  <r>
    <s v="Cindy Clark"/>
    <n v="101119"/>
    <x v="1"/>
    <d v="2026-02-16T00:00:00"/>
    <x v="2"/>
    <s v="Michael Friedman"/>
    <x v="0"/>
    <s v="lisa04@example.com"/>
    <s v="917.876.6558x68512"/>
    <d v="2026-02-07T22:34:08"/>
    <m/>
  </r>
  <r>
    <s v="Juan Martin"/>
    <n v="100698"/>
    <x v="4"/>
    <d v="2026-05-03T00:00:00"/>
    <x v="33"/>
    <s v="Dustin Keller"/>
    <x v="0"/>
    <s v="swalters@example.net"/>
    <s v="311-910-9617"/>
    <d v="2026-02-24T09:30:08"/>
    <m/>
  </r>
  <r>
    <s v="Renee Contreras"/>
    <n v="100159"/>
    <x v="2"/>
    <d v="2026-03-15T00:00:00"/>
    <x v="27"/>
    <s v="Christy Frank"/>
    <x v="1"/>
    <s v="ewilson@example.org"/>
    <s v="(876)560-5384x444"/>
    <d v="2026-03-07T18:43:08"/>
    <m/>
  </r>
  <r>
    <s v="Terry Johnson"/>
    <n v="101100"/>
    <x v="4"/>
    <d v="2025-11-16T00:00:00"/>
    <x v="6"/>
    <s v="Richard Randall"/>
    <x v="1"/>
    <s v="matthew96@example.org"/>
    <s v="+1-863-496-0962"/>
    <d v="2026-02-12T23:05:08"/>
    <m/>
  </r>
  <r>
    <s v="Evan Moore"/>
    <n v="101459"/>
    <x v="3"/>
    <d v="2025-06-13T00:00:00"/>
    <x v="30"/>
    <s v="Michael Martinez"/>
    <x v="0"/>
    <s v="welchkristen@example.net"/>
    <s v="282-353-1106x092"/>
    <d v="2026-02-10T11:12:08"/>
    <m/>
  </r>
  <r>
    <s v="Allison Gross"/>
    <n v="101078"/>
    <x v="2"/>
    <d v="2026-03-26T00:00:00"/>
    <x v="18"/>
    <s v="Miss Paula Lopez"/>
    <x v="0"/>
    <s v="kennethnichols@example.org"/>
    <s v="001-364-304-1209x1179"/>
    <d v="2026-02-06T22:09:08"/>
    <m/>
  </r>
  <r>
    <s v="Dennis White"/>
    <n v="101251"/>
    <x v="5"/>
    <d v="2026-04-13T00:00:00"/>
    <x v="20"/>
    <s v="Ryan Durham"/>
    <x v="1"/>
    <s v="peterhenry@example.org"/>
    <s v="(217)313-6657x22402"/>
    <d v="2026-02-03T12:50:08"/>
    <m/>
  </r>
  <r>
    <s v="Wendy Webb"/>
    <n v="101128"/>
    <x v="4"/>
    <d v="2025-10-02T00:00:00"/>
    <x v="3"/>
    <s v="Kimberly Moore"/>
    <x v="1"/>
    <s v="sara39@example.org"/>
    <s v="+1-208-782-3513"/>
    <d v="2026-03-08T02:03:08"/>
    <m/>
  </r>
  <r>
    <s v="Bradley Holt"/>
    <n v="101192"/>
    <x v="1"/>
    <d v="2025-12-02T00:00:00"/>
    <x v="7"/>
    <s v="Donald Gonzalez"/>
    <x v="1"/>
    <s v="baileyandrea@example.com"/>
    <s v="676.486.3423x461"/>
    <d v="2026-02-12T17:33:08"/>
    <m/>
  </r>
  <r>
    <s v="Tiffany Freeman"/>
    <n v="100626"/>
    <x v="2"/>
    <d v="2026-05-02T00:00:00"/>
    <x v="38"/>
    <s v="Jessica Burgess"/>
    <x v="1"/>
    <s v="cindy96@example.com"/>
    <s v="695.851.7208"/>
    <d v="2026-03-06T11:48:08"/>
    <m/>
  </r>
  <r>
    <s v="Ronald Newman"/>
    <n v="100062"/>
    <x v="1"/>
    <d v="2025-12-30T00:00:00"/>
    <x v="21"/>
    <s v="Heather Johnson"/>
    <x v="0"/>
    <s v="lisajordan@example.org"/>
    <s v="(731)535-5251x050"/>
    <d v="2026-03-02T01:16:08"/>
    <m/>
  </r>
  <r>
    <s v="Robert Roach"/>
    <n v="101158"/>
    <x v="2"/>
    <d v="2025-04-17T00:00:00"/>
    <x v="31"/>
    <s v="Janice Guzman"/>
    <x v="0"/>
    <s v="dakotaramirez@example.net"/>
    <s v="+1-819-366-5533x07704"/>
    <d v="2026-02-02T10:51:08"/>
    <m/>
  </r>
  <r>
    <s v="Christopher Murphy"/>
    <n v="100357"/>
    <x v="1"/>
    <d v="2026-04-25T00:00:00"/>
    <x v="40"/>
    <s v="Kenneth Mitchell"/>
    <x v="1"/>
    <s v="buckjustin@example.com"/>
    <s v="8886050171"/>
    <d v="2026-03-14T16:33:08"/>
    <m/>
  </r>
  <r>
    <s v="Paul Ross"/>
    <m/>
    <x v="4"/>
    <d v="2025-05-07T00:00:00"/>
    <x v="13"/>
    <s v="Emily Salazar"/>
    <x v="0"/>
    <s v="devans@example.com"/>
    <s v="+1-515-491-0300x2156"/>
    <d v="2026-02-19T19:36:08"/>
    <s v="Missing Employee ID"/>
  </r>
  <r>
    <s v="Nathaniel Burnett"/>
    <m/>
    <x v="5"/>
    <d v="2025-09-19T00:00:00"/>
    <x v="0"/>
    <s v="Kimberly Smith"/>
    <x v="1"/>
    <s v="greenkristen@example.org"/>
    <s v="4419459642"/>
    <d v="2026-03-02T00:17:08"/>
    <s v="Missing Employee ID"/>
  </r>
  <r>
    <s v="Francisco Hernandez"/>
    <n v="101085"/>
    <x v="5"/>
    <d v="2025-09-12T00:00:00"/>
    <x v="40"/>
    <s v="Sarah Woodard"/>
    <x v="0"/>
    <s v="hbarnett@example.net"/>
    <s v="697.674.5731"/>
    <d v="2026-02-12T13:10:08"/>
    <m/>
  </r>
  <r>
    <s v="Heather Houston"/>
    <n v="100067"/>
    <x v="5"/>
    <d v="2025-06-08T00:00:00"/>
    <x v="15"/>
    <s v="Matthew Foley"/>
    <x v="1"/>
    <s v="jonestroy@example.org"/>
    <s v="7376637153"/>
    <d v="2026-03-03T12:47:08"/>
    <m/>
  </r>
  <r>
    <s v="Mary Abbott"/>
    <n v="100896"/>
    <x v="3"/>
    <d v="2025-06-04T00:00:00"/>
    <x v="17"/>
    <s v="Carlos Rangel"/>
    <x v="0"/>
    <s v="nhester@example.net"/>
    <s v="363.414.6249"/>
    <d v="2026-02-18T06:38:08"/>
    <m/>
  </r>
  <r>
    <s v="Brian Rodriguez"/>
    <n v="100930"/>
    <x v="3"/>
    <d v="2025-11-17T00:00:00"/>
    <x v="39"/>
    <s v="Joel Adams"/>
    <x v="0"/>
    <s v="cstanley@example.com"/>
    <s v="718-215-6326x868"/>
    <d v="2026-02-03T03:53:08"/>
    <m/>
  </r>
  <r>
    <s v="Jacob Williams"/>
    <n v="101333"/>
    <x v="0"/>
    <d v="2025-07-18T00:00:00"/>
    <x v="11"/>
    <s v="Timothy Lee"/>
    <x v="0"/>
    <s v="richardwheeler@example.net"/>
    <s v="+1-678-561-0313x100"/>
    <d v="2026-03-07T20:25:08"/>
    <m/>
  </r>
  <r>
    <s v="Brian Perez"/>
    <n v="100681"/>
    <x v="1"/>
    <d v="2025-04-05T00:00:00"/>
    <x v="10"/>
    <s v="Michelle Myers"/>
    <x v="1"/>
    <s v="robinsonmadison@example.net"/>
    <s v="973-623-5494x012"/>
    <d v="2026-03-05T00:16:08"/>
    <m/>
  </r>
  <r>
    <s v="Melissa Jackson"/>
    <n v="100837"/>
    <x v="5"/>
    <d v="2026-01-16T00:00:00"/>
    <x v="0"/>
    <s v="Carol Cook"/>
    <x v="0"/>
    <s v="athomas@example.net"/>
    <s v="265.902.4120x9579"/>
    <d v="2026-03-03T02:35:08"/>
    <m/>
  </r>
  <r>
    <s v="Kaitlyn Williams"/>
    <n v="100800"/>
    <x v="1"/>
    <d v="2025-11-12T00:00:00"/>
    <x v="19"/>
    <s v="Michael Roberts"/>
    <x v="1"/>
    <s v="aliciajackson@example.org"/>
    <s v="001-211-745-7758x47457"/>
    <d v="2026-02-06T13:02:08"/>
    <m/>
  </r>
  <r>
    <s v="Gene Holmes"/>
    <n v="100320"/>
    <x v="1"/>
    <d v="2026-05-10T00:00:00"/>
    <x v="3"/>
    <s v="Sharon Anthony"/>
    <x v="1"/>
    <s v="rrodriguez@example.net"/>
    <s v="001-502-363-2570x3965"/>
    <d v="2026-03-05T18:30:08"/>
    <m/>
  </r>
  <r>
    <s v="Troy Fowler"/>
    <n v="100934"/>
    <x v="4"/>
    <d v="2025-11-03T00:00:00"/>
    <x v="36"/>
    <s v="Sherry Shelton"/>
    <x v="1"/>
    <s v="harcher@example.org"/>
    <s v="755-369-6443x098"/>
    <d v="2026-02-20T13:24:08"/>
    <m/>
  </r>
  <r>
    <s v="Jesse Donaldson"/>
    <n v="100387"/>
    <x v="3"/>
    <d v="2025-03-24T00:00:00"/>
    <x v="3"/>
    <s v="Donna Montes"/>
    <x v="1"/>
    <s v="jho@example.com"/>
    <s v="+1-228-549-8247x41407"/>
    <d v="2026-03-06T21:14:08"/>
    <m/>
  </r>
  <r>
    <s v="Kevin Brown"/>
    <n v="100909"/>
    <x v="3"/>
    <d v="2025-06-14T00:00:00"/>
    <x v="2"/>
    <s v="Jeffrey Keller"/>
    <x v="0"/>
    <s v="williamsdevin@example.com"/>
    <s v="782.514.2369x14307"/>
    <d v="2026-02-10T00:44:08"/>
    <m/>
  </r>
  <r>
    <s v="Mandy Henderson"/>
    <n v="100519"/>
    <x v="3"/>
    <d v="2025-05-02T00:00:00"/>
    <x v="19"/>
    <s v="Annette Green"/>
    <x v="0"/>
    <s v="carla29@example.com"/>
    <s v="+1-959-423-4268x34414"/>
    <d v="2026-01-31T19:45:08"/>
    <m/>
  </r>
  <r>
    <s v="Shawn Kim"/>
    <n v="100905"/>
    <x v="5"/>
    <d v="2025-12-08T00:00:00"/>
    <x v="26"/>
    <s v="Jeremy Edwards"/>
    <x v="1"/>
    <s v="taylor67@example.com"/>
    <s v="(470)680-6129x43985"/>
    <d v="2026-03-02T01:27:08"/>
    <m/>
  </r>
  <r>
    <s v="Ryan Martinez"/>
    <n v="101368"/>
    <x v="5"/>
    <d v="2025-09-11T00:00:00"/>
    <x v="18"/>
    <s v="Julie Hines"/>
    <x v="1"/>
    <s v="fcombs@example.org"/>
    <s v="215-591-4975x019"/>
    <d v="2026-03-08T09:13:08"/>
    <m/>
  </r>
  <r>
    <s v="Kristina Coffey"/>
    <n v="101061"/>
    <x v="1"/>
    <d v="2026-04-12T00:00:00"/>
    <x v="15"/>
    <s v="Steven Bowman"/>
    <x v="1"/>
    <s v="kevincollins@example.org"/>
    <s v="393.911.0291x8133"/>
    <d v="2026-02-05T23:21:08"/>
    <m/>
  </r>
  <r>
    <s v="Jonathan Myers"/>
    <n v="101210"/>
    <x v="5"/>
    <d v="2025-07-25T00:00:00"/>
    <x v="15"/>
    <s v="Elizabeth Webb"/>
    <x v="0"/>
    <s v="loriskinner@example.net"/>
    <s v="597-991-6202x232"/>
    <d v="2026-02-08T00:04:08"/>
    <m/>
  </r>
  <r>
    <s v="Mr. Brett Chapman"/>
    <n v="100988"/>
    <x v="3"/>
    <d v="2025-12-07T00:00:00"/>
    <x v="7"/>
    <s v="Donald Cruz"/>
    <x v="0"/>
    <s v="marshalllisa@example.org"/>
    <s v="2479196094"/>
    <d v="2026-01-31T07:08:08"/>
    <m/>
  </r>
  <r>
    <s v="Terry Estes"/>
    <n v="100651"/>
    <x v="5"/>
    <d v="2025-09-17T00:00:00"/>
    <x v="11"/>
    <s v="Nathan Hill"/>
    <x v="1"/>
    <s v="michaelfoley@example.net"/>
    <s v="758.968.1225"/>
    <d v="2026-02-02T21:56:08"/>
    <m/>
  </r>
  <r>
    <s v="Rachel Ramirez"/>
    <n v="101063"/>
    <x v="2"/>
    <d v="2025-07-27T00:00:00"/>
    <x v="35"/>
    <s v="Elizabeth Long"/>
    <x v="1"/>
    <s v="ebennett@example.net"/>
    <s v="+1-329-288-4259x95996"/>
    <d v="2026-02-01T04:21:08"/>
    <s v="Extra Name Spaces"/>
  </r>
  <r>
    <s v="Nicholas Hall"/>
    <n v="100336"/>
    <x v="2"/>
    <d v="2025-10-13T00:00:00"/>
    <x v="4"/>
    <s v="Kathryn Shelton"/>
    <x v="1"/>
    <s v="kathleen31@example.org"/>
    <s v="001-266-410-9410x1759"/>
    <d v="2026-02-08T22:58:08"/>
    <m/>
  </r>
  <r>
    <s v="Michael Gray"/>
    <n v="101016"/>
    <x v="1"/>
    <d v="2025-07-23T00:00:00"/>
    <x v="34"/>
    <s v="Laura Gonzalez MD"/>
    <x v="1"/>
    <s v="oshelton@example.org"/>
    <s v="001-726-883-1901x3020"/>
    <d v="2026-03-07T19:24:08"/>
    <m/>
  </r>
  <r>
    <s v="Sharon Peterson"/>
    <n v="100422"/>
    <x v="3"/>
    <d v="2026-04-02T00:00:00"/>
    <x v="7"/>
    <s v="Tina Chandler"/>
    <x v="0"/>
    <s v="nlee@example.net"/>
    <s v="385.459.8217x6619"/>
    <d v="2026-03-10T10:35:08"/>
    <m/>
  </r>
  <r>
    <s v="Elizabeth Wilson"/>
    <n v="100263"/>
    <x v="1"/>
    <d v="2025-10-07T00:00:00"/>
    <x v="2"/>
    <s v="Kyle Rivera"/>
    <x v="0"/>
    <s v="loriroberts@example.com"/>
    <s v="(851)224-1893x8984"/>
    <d v="2026-03-06T04:38:08"/>
    <m/>
  </r>
  <r>
    <s v="Stephanie Aguilar"/>
    <n v="100532"/>
    <x v="0"/>
    <d v="2026-05-01T00:00:00"/>
    <x v="11"/>
    <s v="Victoria Delgado"/>
    <x v="1"/>
    <s v="morganjose@example.com"/>
    <s v="001-302-838-5037x19905"/>
    <d v="2026-02-06T03:03:08"/>
    <m/>
  </r>
  <r>
    <s v="Lisa Miller"/>
    <n v="101430"/>
    <x v="0"/>
    <d v="2025-04-17T00:00:00"/>
    <x v="31"/>
    <s v="Theresa Nelson"/>
    <x v="0"/>
    <s v="garciatyler@example.org"/>
    <s v="+1-256-974-3000x3896"/>
    <d v="2026-02-06T16:37:08"/>
    <m/>
  </r>
  <r>
    <s v="Ralph Dominguez"/>
    <n v="101069"/>
    <x v="5"/>
    <d v="2025-10-07T00:00:00"/>
    <x v="13"/>
    <s v="Jeffery Taylor"/>
    <x v="0"/>
    <s v="nwilson@example.com"/>
    <s v="(235)260-3319x036"/>
    <d v="2026-03-04T20:03:08"/>
    <m/>
  </r>
  <r>
    <s v="Danielle Brown"/>
    <n v="100059"/>
    <x v="1"/>
    <d v="2025-10-26T00:00:00"/>
    <x v="11"/>
    <s v="Jeffrey Campbell"/>
    <x v="1"/>
    <s v="michael34@example.org"/>
    <s v="+1-967-611-1483x753"/>
    <d v="2026-03-04T16:46:08"/>
    <m/>
  </r>
  <r>
    <s v="Penny Carter"/>
    <n v="100165"/>
    <x v="1"/>
    <d v="2025-12-02T00:00:00"/>
    <x v="38"/>
    <s v="Kelsey Adams"/>
    <x v="0"/>
    <s v="brownrachel@example.net"/>
    <s v="+1-774-413-2834x831"/>
    <d v="2026-02-21T09:45:08"/>
    <m/>
  </r>
  <r>
    <s v="David Alexander"/>
    <n v="100618"/>
    <x v="0"/>
    <d v="2025-06-04T00:00:00"/>
    <x v="1"/>
    <s v="Tiffany Smith"/>
    <x v="1"/>
    <s v="nelsonbrianna@example.com"/>
    <s v="904-296-7066"/>
    <d v="2026-02-21T19:03:08"/>
    <m/>
  </r>
  <r>
    <s v="James Keller"/>
    <n v="101313"/>
    <x v="5"/>
    <d v="2025-10-09T00:00:00"/>
    <x v="36"/>
    <s v="Mary Johnson"/>
    <x v="0"/>
    <s v="sharon95@example.com"/>
    <s v="001-993-805-9660x18648"/>
    <d v="2026-03-10T23:09:08"/>
    <m/>
  </r>
  <r>
    <s v="Laura Stone"/>
    <n v="100045"/>
    <x v="4"/>
    <d v="2026-03-22T00:00:00"/>
    <x v="13"/>
    <s v="James Reese"/>
    <x v="1"/>
    <s v="davidsmith@example.net"/>
    <s v="613-684-5960x945"/>
    <d v="2026-03-01T21:13:08"/>
    <m/>
  </r>
  <r>
    <s v="Rhonda Franklin"/>
    <n v="101314"/>
    <x v="2"/>
    <d v="2025-11-03T00:00:00"/>
    <x v="17"/>
    <s v="Keith Morris"/>
    <x v="1"/>
    <s v="melanie77@example.org"/>
    <s v="607.705.7836x091"/>
    <d v="2026-03-05T04:01:08"/>
    <m/>
  </r>
  <r>
    <s v="Jessica Scott"/>
    <n v="100018"/>
    <x v="1"/>
    <d v="2025-05-09T00:00:00"/>
    <x v="30"/>
    <s v="Debbie Simpson"/>
    <x v="1"/>
    <s v="crystalthomas@example.net"/>
    <s v="+1-203-610-2879x5083"/>
    <d v="2026-03-09T00:23:08"/>
    <m/>
  </r>
  <r>
    <s v="Alexis Kirk"/>
    <n v="101042"/>
    <x v="2"/>
    <d v="2025-12-16T00:00:00"/>
    <x v="35"/>
    <s v="Kimberly Williams"/>
    <x v="1"/>
    <s v="michaeljones@example.com"/>
    <s v="381-833-5956"/>
    <d v="2026-03-01T06:19:08"/>
    <m/>
  </r>
  <r>
    <s v="Briana Nguyen"/>
    <n v="100586"/>
    <x v="5"/>
    <d v="2026-02-27T00:00:00"/>
    <x v="17"/>
    <s v="Frances Russell"/>
    <x v="1"/>
    <s v="thomas49@example.org"/>
    <s v="(550)742-9019"/>
    <d v="2026-03-09T09:06:08"/>
    <m/>
  </r>
  <r>
    <s v="Priscilla Romero"/>
    <n v="100734"/>
    <x v="0"/>
    <d v="2025-09-27T00:00:00"/>
    <x v="37"/>
    <s v="Hailey Lewis"/>
    <x v="1"/>
    <s v="sandovaledward@example.net"/>
    <s v="313-298-9868"/>
    <d v="2026-02-22T00:17:08"/>
    <m/>
  </r>
  <r>
    <s v="Mary Meyer"/>
    <n v="100205"/>
    <x v="1"/>
    <d v="2025-03-20T00:00:00"/>
    <x v="37"/>
    <s v="Cory Johnston"/>
    <x v="0"/>
    <s v="marklloyd@example.com"/>
    <s v="775.313.7651"/>
    <d v="2026-02-18T18:55:08"/>
    <m/>
  </r>
  <r>
    <s v="Martha Jacobs"/>
    <n v="100483"/>
    <x v="4"/>
    <d v="2025-04-23T00:00:00"/>
    <x v="21"/>
    <s v="Jason Hudson"/>
    <x v="1"/>
    <s v="sarasanchez@example.com"/>
    <s v="+1-992-594-4551x16682"/>
    <d v="2026-03-02T22:20:08"/>
    <m/>
  </r>
  <r>
    <s v="Sherri Smith"/>
    <n v="100339"/>
    <x v="2"/>
    <d v="2025-06-17T00:00:00"/>
    <x v="39"/>
    <s v="Dennis Spencer"/>
    <x v="0"/>
    <s v="inewton@example.org"/>
    <s v="(602)312-8866x52683"/>
    <d v="2026-03-01T09:39:08"/>
    <m/>
  </r>
  <r>
    <s v="Roger Rogers"/>
    <n v="100147"/>
    <x v="2"/>
    <d v="2025-06-29T00:00:00"/>
    <x v="11"/>
    <s v="Ashley Bowen"/>
    <x v="0"/>
    <s v="rodgersmichael@example.com"/>
    <s v="(776)947-2298x12099"/>
    <d v="2026-02-05T05:45:08"/>
    <m/>
  </r>
  <r>
    <s v="Jeffrey Romero"/>
    <n v="101178"/>
    <x v="3"/>
    <d v="2026-04-18T00:00:00"/>
    <x v="15"/>
    <s v="Theresa Davis"/>
    <x v="0"/>
    <s v="trevor09@example.net"/>
    <s v="698.764.5652x20368"/>
    <d v="2026-01-31T19:16:08"/>
    <m/>
  </r>
  <r>
    <s v="Dustin Wilson"/>
    <n v="100737"/>
    <x v="1"/>
    <d v="2026-01-24T00:00:00"/>
    <x v="3"/>
    <s v="Jeffrey Mcclure"/>
    <x v="0"/>
    <s v="sheila49@example.org"/>
    <s v="242.513.8820"/>
    <d v="2026-02-14T05:14:08"/>
    <m/>
  </r>
  <r>
    <s v="Ronnie Johnson"/>
    <n v="101096"/>
    <x v="1"/>
    <d v="2025-08-24T00:00:00"/>
    <x v="34"/>
    <s v="Tom Duncan"/>
    <x v="1"/>
    <s v="dmeyer@example.com"/>
    <s v="317-767-4124"/>
    <d v="2026-03-05T00:28:08"/>
    <m/>
  </r>
  <r>
    <s v="Natasha Walker"/>
    <n v="100168"/>
    <x v="2"/>
    <d v="2025-10-05T00:00:00"/>
    <x v="3"/>
    <s v="Christopher Rogers"/>
    <x v="0"/>
    <s v="gmccoy@example.net"/>
    <s v="001-815-506-1853x80032"/>
    <d v="2026-03-12T23:58:08"/>
    <m/>
  </r>
  <r>
    <s v="Deborah Hernandez"/>
    <n v="100717"/>
    <x v="5"/>
    <d v="2025-11-15T00:00:00"/>
    <x v="30"/>
    <s v="Morgan Campbell"/>
    <x v="1"/>
    <s v="cynthiadavis@example.net"/>
    <s v="001-830-561-7893x2064"/>
    <d v="2026-02-01T11:57:08"/>
    <m/>
  </r>
  <r>
    <s v="Kari Sandoval"/>
    <n v="101021"/>
    <x v="5"/>
    <d v="2025-05-16T00:00:00"/>
    <x v="35"/>
    <s v="Eric Hall"/>
    <x v="0"/>
    <s v="elizabeth76@example.net"/>
    <s v="(887)341-3146x753"/>
    <d v="2026-03-15T18:54:08"/>
    <m/>
  </r>
  <r>
    <s v="Tyler Guerrero"/>
    <n v="100792"/>
    <x v="2"/>
    <d v="2025-09-26T00:00:00"/>
    <x v="30"/>
    <s v="James Anderson"/>
    <x v="1"/>
    <s v="flarsen@example.net"/>
    <s v="(830)944-8360x85456"/>
    <d v="2026-03-04T23:11:08"/>
    <m/>
  </r>
  <r>
    <s v="Dean Brown"/>
    <n v="100886"/>
    <x v="2"/>
    <d v="2025-07-15T00:00:00"/>
    <x v="9"/>
    <s v="Mr. Mark Williams"/>
    <x v="1"/>
    <s v="kortiz@example.org"/>
    <s v="+1-231-299-5298"/>
    <d v="2026-02-21T11:38:08"/>
    <m/>
  </r>
  <r>
    <s v="Ann Bush"/>
    <n v="100328"/>
    <x v="1"/>
    <d v="2025-10-19T00:00:00"/>
    <x v="7"/>
    <s v="Pamela Tran"/>
    <x v="1"/>
    <s v="stonemichael@example.org"/>
    <s v="(586)534-2556"/>
    <d v="2026-02-21T04:14:08"/>
    <m/>
  </r>
  <r>
    <s v="Amanda Smith"/>
    <n v="100341"/>
    <x v="2"/>
    <d v="2025-11-01T00:00:00"/>
    <x v="3"/>
    <s v="Ashley Sanders"/>
    <x v="0"/>
    <s v="swilliams@example.com"/>
    <s v="6333041662"/>
    <d v="2026-02-07T18:30:08"/>
    <m/>
  </r>
  <r>
    <s v="Jonathan Warner"/>
    <n v="100567"/>
    <x v="2"/>
    <d v="2026-05-06T00:00:00"/>
    <x v="28"/>
    <s v="Alicia Newton"/>
    <x v="1"/>
    <s v="codychapman@example.com"/>
    <s v="994.556.8044"/>
    <d v="2026-02-28T22:57:08"/>
    <m/>
  </r>
  <r>
    <s v="Wayne Johnston"/>
    <n v="101023"/>
    <x v="5"/>
    <d v="2025-09-27T00:00:00"/>
    <x v="11"/>
    <s v="Jeffrey Walker"/>
    <x v="0"/>
    <s v="ehoffman@example.com"/>
    <s v="001-588-236-0765x817"/>
    <d v="2026-02-14T17:35:08"/>
    <m/>
  </r>
  <r>
    <s v="David Wood"/>
    <n v="100522"/>
    <x v="3"/>
    <d v="2025-10-17T00:00:00"/>
    <x v="32"/>
    <s v="Maria Cook"/>
    <x v="1"/>
    <s v="davisgary@example.com"/>
    <s v="001-531-226-9789"/>
    <d v="2026-02-13T07:40:08"/>
    <m/>
  </r>
  <r>
    <s v="Darlene Collins"/>
    <n v="100528"/>
    <x v="2"/>
    <d v="2025-12-28T00:00:00"/>
    <x v="23"/>
    <s v="Chris Morris"/>
    <x v="0"/>
    <s v="rsavage@example.net"/>
    <s v="987.387.5357"/>
    <d v="2026-03-13T10:33:08"/>
    <m/>
  </r>
  <r>
    <s v="Jessica Jones"/>
    <n v="101346"/>
    <x v="2"/>
    <d v="2025-11-14T00:00:00"/>
    <x v="8"/>
    <s v="Adam Meyer"/>
    <x v="1"/>
    <s v="martinsamuel@example.org"/>
    <s v="8672287286"/>
    <d v="2026-02-21T05:37:08"/>
    <m/>
  </r>
  <r>
    <s v="Jeffrey Phillips"/>
    <n v="100878"/>
    <x v="1"/>
    <d v="2025-12-26T00:00:00"/>
    <x v="26"/>
    <s v="Megan Mills"/>
    <x v="1"/>
    <s v="anne22@example.com"/>
    <s v="939.258.9477x35228"/>
    <d v="2026-03-09T05:55:08"/>
    <s v="Extra Name Spaces"/>
  </r>
  <r>
    <s v="Christopher Ruiz"/>
    <n v="100185"/>
    <x v="1"/>
    <d v="2025-06-25T00:00:00"/>
    <x v="38"/>
    <s v="Abigail Miles MD"/>
    <x v="1"/>
    <s v="medinamark@example.org"/>
    <s v="+1-679-821-5835x034"/>
    <d v="2026-02-22T06:49:08"/>
    <m/>
  </r>
  <r>
    <s v="Elizabeth Weber"/>
    <n v="100801"/>
    <x v="1"/>
    <d v="2025-11-20T00:00:00"/>
    <x v="23"/>
    <s v="David Weaver"/>
    <x v="1"/>
    <s v="chrishernandez@example.net"/>
    <s v="842.749.1289"/>
    <d v="2026-02-14T20:21:08"/>
    <m/>
  </r>
  <r>
    <s v="Sarah Jacobs"/>
    <n v="101004"/>
    <x v="3"/>
    <d v="2025-06-09T00:00:00"/>
    <x v="35"/>
    <s v="Nancy Gilbert"/>
    <x v="0"/>
    <s v="aclark@example.org"/>
    <s v="319.222.2705"/>
    <d v="2026-03-11T12:23:08"/>
    <m/>
  </r>
  <r>
    <s v="Robert Coleman"/>
    <n v="100599"/>
    <x v="4"/>
    <d v="2025-07-10T00:00:00"/>
    <x v="5"/>
    <s v="Eric Wolf"/>
    <x v="1"/>
    <s v="annbennett@example.com"/>
    <s v="001-475-848-5819x324"/>
    <d v="2026-02-05T19:54:08"/>
    <m/>
  </r>
  <r>
    <s v="Katherine Mccormick"/>
    <n v="100179"/>
    <x v="5"/>
    <d v="2025-08-01T00:00:00"/>
    <x v="34"/>
    <s v="Kristin Graham"/>
    <x v="1"/>
    <s v="gregory57@example.net"/>
    <s v="(763)598-3652x037"/>
    <d v="2026-02-18T12:12:08"/>
    <m/>
  </r>
  <r>
    <s v="Eric Davis"/>
    <n v="101260"/>
    <x v="3"/>
    <d v="2025-03-27T00:00:00"/>
    <x v="28"/>
    <s v="David Dorsey"/>
    <x v="0"/>
    <s v="arthur47@example.com"/>
    <s v="9444090797"/>
    <d v="2026-02-02T09:19:08"/>
    <m/>
  </r>
  <r>
    <s v="Shaun Christensen"/>
    <n v="101139"/>
    <x v="0"/>
    <d v="2025-07-01T00:00:00"/>
    <x v="7"/>
    <s v="Amanda Johnson"/>
    <x v="0"/>
    <s v="janicethompson@example.org"/>
    <s v="661-507-0518"/>
    <d v="2026-03-10T15:44:08"/>
    <m/>
  </r>
  <r>
    <s v="Nancy Cook"/>
    <n v="100021"/>
    <x v="1"/>
    <d v="2025-12-21T00:00:00"/>
    <x v="15"/>
    <s v="Stephanie Hurst"/>
    <x v="1"/>
    <s v="rebeccamatthews@example.com"/>
    <s v="606.560.1382x41270"/>
    <d v="2026-02-11T15:04:08"/>
    <m/>
  </r>
  <r>
    <s v="Jennifer Reid"/>
    <n v="101352"/>
    <x v="3"/>
    <d v="2025-07-28T00:00:00"/>
    <x v="12"/>
    <s v="Teresa Collins"/>
    <x v="1"/>
    <s v="david79@example.net"/>
    <s v="797-211-1212"/>
    <d v="2026-03-02T09:28:08"/>
    <m/>
  </r>
  <r>
    <s v="Rachel Robinson"/>
    <n v="101474"/>
    <x v="4"/>
    <d v="2025-10-28T00:00:00"/>
    <x v="38"/>
    <s v="Brad Ramsey"/>
    <x v="0"/>
    <s v="kylebecker@example.org"/>
    <s v="001-524-606-4242x9563"/>
    <d v="2026-03-13T19:16:08"/>
    <m/>
  </r>
  <r>
    <s v="Cassandra Phillips"/>
    <n v="101423"/>
    <x v="4"/>
    <d v="2025-08-29T00:00:00"/>
    <x v="9"/>
    <s v="Deborah Burns"/>
    <x v="1"/>
    <s v="michael87@example.net"/>
    <s v="+1-620-396-2893x65435"/>
    <d v="2026-02-09T02:43:08"/>
    <m/>
  </r>
  <r>
    <s v="Christine Robinson"/>
    <n v="100256"/>
    <x v="3"/>
    <d v="2026-03-08T00:00:00"/>
    <x v="4"/>
    <s v="Thomas Holmes"/>
    <x v="1"/>
    <s v="thomasmcdonald@example.com"/>
    <s v="(796)790-5150x267"/>
    <d v="2026-02-10T20:04:08"/>
    <m/>
  </r>
  <r>
    <s v="Ariel Gentry"/>
    <n v="100748"/>
    <x v="1"/>
    <d v="2025-08-21T00:00:00"/>
    <x v="9"/>
    <s v="John Lopez"/>
    <x v="0"/>
    <s v="gonzaleschristina@example.net"/>
    <s v="001-966-873-4595"/>
    <d v="2026-03-11T02:50:08"/>
    <m/>
  </r>
  <r>
    <s v="Wesley Rich"/>
    <n v="100442"/>
    <x v="4"/>
    <d v="2025-09-19T00:00:00"/>
    <x v="31"/>
    <s v="Stephanie Hunter"/>
    <x v="1"/>
    <s v="rsimmons@example.net"/>
    <s v="(790)228-2498x3922"/>
    <d v="2026-03-16T17:54:08"/>
    <m/>
  </r>
  <r>
    <s v="Ellen Cannon"/>
    <n v="100040"/>
    <x v="1"/>
    <d v="2026-05-07T00:00:00"/>
    <x v="1"/>
    <s v="Judy Martin"/>
    <x v="1"/>
    <s v="hopkinsjames@example.org"/>
    <s v="941-423-3613x2850"/>
    <d v="2026-02-13T23:39:08"/>
    <m/>
  </r>
  <r>
    <s v="John Mcdaniel"/>
    <n v="101038"/>
    <x v="0"/>
    <d v="2026-03-03T00:00:00"/>
    <x v="6"/>
    <s v="Susan Barnett"/>
    <x v="0"/>
    <s v="wmccarthy@example.org"/>
    <s v="(925)226-5469x6815"/>
    <d v="2026-02-17T07:55:08"/>
    <m/>
  </r>
  <r>
    <s v="Lee Tate"/>
    <n v="100676"/>
    <x v="1"/>
    <d v="2025-07-12T00:00:00"/>
    <x v="3"/>
    <s v="Gerald Morrow"/>
    <x v="1"/>
    <s v="pmelendez@example.org"/>
    <s v="(873)403-4615"/>
    <d v="2026-03-04T03:51:08"/>
    <s v="Duplicate Employee ID"/>
  </r>
  <r>
    <s v="Dustin Hughes"/>
    <n v="101382"/>
    <x v="1"/>
    <d v="2025-10-25T00:00:00"/>
    <x v="19"/>
    <s v="Amanda Mullen"/>
    <x v="1"/>
    <s v="zwhite@example.net"/>
    <s v="917.215.1602x52986"/>
    <d v="2026-02-20T10:23:08"/>
    <m/>
  </r>
  <r>
    <s v="Dr. James Wise"/>
    <n v="100512"/>
    <x v="2"/>
    <d v="2025-04-25T00:00:00"/>
    <x v="19"/>
    <s v="David Walters"/>
    <x v="1"/>
    <s v="xshaw@example.com"/>
    <s v="001-758-651-2686x120"/>
    <d v="2026-02-25T19:46:08"/>
    <m/>
  </r>
  <r>
    <s v="Robert Luna"/>
    <n v="100887"/>
    <x v="1"/>
    <d v="2026-05-04T00:00:00"/>
    <x v="33"/>
    <s v="Anthony Campbell"/>
    <x v="0"/>
    <s v="parrishsteve@example.org"/>
    <s v="+1-854-265-4084x245"/>
    <d v="2026-03-05T13:15:08"/>
    <m/>
  </r>
  <r>
    <s v="Edward Johnson"/>
    <n v="100412"/>
    <x v="4"/>
    <d v="2025-05-11T00:00:00"/>
    <x v="22"/>
    <s v="Nicholas Schmidt"/>
    <x v="1"/>
    <s v="fwright@example.net"/>
    <s v="522-976-4579"/>
    <d v="2026-01-30T20:39:08"/>
    <m/>
  </r>
  <r>
    <s v="Gabriel Johnson"/>
    <n v="100594"/>
    <x v="1"/>
    <d v="2025-06-20T00:00:00"/>
    <x v="24"/>
    <s v="Misty Burnett"/>
    <x v="0"/>
    <s v="reyestina@example.org"/>
    <s v="546-260-2416x13944"/>
    <d v="2026-02-10T17:09:08"/>
    <m/>
  </r>
  <r>
    <s v="John Hodges"/>
    <n v="100479"/>
    <x v="3"/>
    <d v="2025-05-07T00:00:00"/>
    <x v="31"/>
    <s v="Paul Osborne"/>
    <x v="1"/>
    <s v="walter09@example.com"/>
    <s v="(644)606-3062"/>
    <d v="2026-03-16T09:58:08"/>
    <m/>
  </r>
  <r>
    <s v="Richard Reid"/>
    <n v="100127"/>
    <x v="0"/>
    <d v="2025-06-01T00:00:00"/>
    <x v="7"/>
    <s v="Danny Fletcher"/>
    <x v="0"/>
    <s v="bryceroberts@example.net"/>
    <s v="+1-779-769-5867x805"/>
    <d v="2026-02-23T03:34:08"/>
    <m/>
  </r>
  <r>
    <s v="Jeremy Murray"/>
    <n v="101373"/>
    <x v="4"/>
    <d v="2026-04-22T00:00:00"/>
    <x v="6"/>
    <s v="Christine Wolfe"/>
    <x v="0"/>
    <s v="cscott@example.net"/>
    <s v="001-617-685-1385"/>
    <d v="2026-02-23T15:10:08"/>
    <m/>
  </r>
  <r>
    <s v="Jocelyn Mcdonald"/>
    <n v="100921"/>
    <x v="3"/>
    <d v="2025-04-13T00:00:00"/>
    <x v="29"/>
    <s v="Kevin Weber"/>
    <x v="1"/>
    <s v="wperry@example.org"/>
    <s v="001-548-373-6826x91163"/>
    <d v="2026-03-05T11:21:08"/>
    <m/>
  </r>
  <r>
    <s v="Cassandra Moore"/>
    <n v="100314"/>
    <x v="2"/>
    <d v="2026-05-08T00:00:00"/>
    <x v="14"/>
    <s v="Morgan Morales"/>
    <x v="0"/>
    <s v="nbell@example.com"/>
    <s v="+1-945-951-5888x636"/>
    <d v="2026-02-20T02:47:08"/>
    <m/>
  </r>
  <r>
    <s v="Tim Moore"/>
    <n v="100828"/>
    <x v="2"/>
    <d v="2026-03-28T00:00:00"/>
    <x v="11"/>
    <s v="Jennifer Smith"/>
    <x v="1"/>
    <s v="kathryn21@example.com"/>
    <s v="001-366-863-0932"/>
    <d v="2026-03-10T00:07:08"/>
    <m/>
  </r>
  <r>
    <s v="Erika Wright"/>
    <n v="100580"/>
    <x v="2"/>
    <d v="2025-11-13T00:00:00"/>
    <x v="5"/>
    <s v="Kaitlyn Davis"/>
    <x v="1"/>
    <s v="andrew96@example.net"/>
    <s v="532.975.3273x52410"/>
    <d v="2026-03-05T20:26:08"/>
    <m/>
  </r>
  <r>
    <s v="Michael Wallace"/>
    <n v="101108"/>
    <x v="0"/>
    <d v="2026-04-01T00:00:00"/>
    <x v="30"/>
    <s v="Christopher Murray"/>
    <x v="1"/>
    <s v="laramary@example.org"/>
    <s v="371.800.6876"/>
    <d v="2026-02-04T07:43:08"/>
    <m/>
  </r>
  <r>
    <s v="Sophia Medina"/>
    <n v="101272"/>
    <x v="2"/>
    <d v="2025-09-16T00:00:00"/>
    <x v="28"/>
    <s v="Lisa Hays"/>
    <x v="0"/>
    <s v="gonzalesmaria@example.org"/>
    <s v="360-456-8761x1249"/>
    <d v="2026-03-09T09:51:08"/>
    <m/>
  </r>
  <r>
    <s v="Matthew Thomas"/>
    <n v="100272"/>
    <x v="5"/>
    <d v="2025-08-29T00:00:00"/>
    <x v="11"/>
    <s v="John Baker"/>
    <x v="1"/>
    <s v="dawn17@example.net"/>
    <s v="434.454.7574x9490"/>
    <d v="2026-02-07T13:49:08"/>
    <m/>
  </r>
  <r>
    <s v="Allison Beard"/>
    <n v="100596"/>
    <x v="5"/>
    <d v="2026-04-24T00:00:00"/>
    <x v="15"/>
    <s v="Michelle Parker"/>
    <x v="0"/>
    <s v="ashleytorres@example.net"/>
    <s v="642.422.9464x303"/>
    <d v="2026-02-06T18:20:08"/>
    <m/>
  </r>
  <r>
    <s v="Deanna Griffith"/>
    <n v="100978"/>
    <x v="1"/>
    <d v="2026-03-03T00:00:00"/>
    <x v="20"/>
    <s v="Whitney Sullivan"/>
    <x v="0"/>
    <s v="teresaschneider@example.net"/>
    <s v="758.556.7287x27601"/>
    <d v="2026-03-06T00:51:08"/>
    <m/>
  </r>
  <r>
    <s v="Danny Ramirez"/>
    <n v="100763"/>
    <x v="0"/>
    <d v="2026-03-02T00:00:00"/>
    <x v="30"/>
    <s v="Rachel Santos"/>
    <x v="1"/>
    <s v="victor90@example.net"/>
    <s v="333.250.6158x14888"/>
    <d v="2026-02-03T12:39:08"/>
    <m/>
  </r>
  <r>
    <s v="Joseph Sanchez"/>
    <n v="100656"/>
    <x v="1"/>
    <d v="2026-04-25T00:00:00"/>
    <x v="11"/>
    <s v="Catherine Mayer"/>
    <x v="1"/>
    <s v="jeremylove@example.org"/>
    <s v="6942841312"/>
    <d v="2026-03-02T07:06:08"/>
    <m/>
  </r>
  <r>
    <s v="David Gill"/>
    <n v="100202"/>
    <x v="1"/>
    <d v="2026-04-23T00:00:00"/>
    <x v="21"/>
    <s v="Brett Keith"/>
    <x v="0"/>
    <s v="florescynthia@example.org"/>
    <s v="217.817.3189x3974"/>
    <d v="2026-01-31T05:01:08"/>
    <m/>
  </r>
  <r>
    <s v="Ashley Tanner"/>
    <n v="100662"/>
    <x v="4"/>
    <d v="2026-03-21T00:00:00"/>
    <x v="1"/>
    <s v="Chloe Shaffer"/>
    <x v="0"/>
    <s v="qgay@example.com"/>
    <s v="+1-547-725-8784x448"/>
    <d v="2026-02-13T02:58:08"/>
    <m/>
  </r>
  <r>
    <s v="Justin Parker"/>
    <n v="100239"/>
    <x v="1"/>
    <d v="2025-08-13T00:00:00"/>
    <x v="39"/>
    <s v="William Bautista"/>
    <x v="0"/>
    <s v="gsmith@example.com"/>
    <s v="522.516.4175x8231"/>
    <d v="2026-02-10T06:02:08"/>
    <m/>
  </r>
  <r>
    <s v="Eric Miranda"/>
    <n v="100072"/>
    <x v="4"/>
    <d v="2026-03-25T00:00:00"/>
    <x v="34"/>
    <s v="Michael Pennington"/>
    <x v="0"/>
    <s v="ashleymoore@example.org"/>
    <s v="862.629.2587"/>
    <d v="2026-03-11T23:47:08"/>
    <m/>
  </r>
  <r>
    <s v="Dennis Michael"/>
    <n v="100901"/>
    <x v="3"/>
    <d v="2025-11-01T00:00:00"/>
    <x v="34"/>
    <s v="Jacqueline Torres"/>
    <x v="1"/>
    <s v="maria57@example.com"/>
    <s v="(596)660-6065x27403"/>
    <d v="2026-02-15T17:53:08"/>
    <m/>
  </r>
  <r>
    <s v="James Morris"/>
    <n v="100987"/>
    <x v="1"/>
    <d v="2025-09-26T00:00:00"/>
    <x v="20"/>
    <s v="Erika Castro"/>
    <x v="0"/>
    <s v="laurenwilliamson@example.com"/>
    <s v="511-632-5797x067"/>
    <d v="2026-02-24T15:45:08"/>
    <m/>
  </r>
  <r>
    <s v="Ms. Amy Brown"/>
    <n v="100295"/>
    <x v="1"/>
    <d v="2026-05-09T00:00:00"/>
    <x v="32"/>
    <s v="Joshua Kim"/>
    <x v="1"/>
    <s v="daniel21@example.com"/>
    <s v="001-662-629-4938x17359"/>
    <d v="2026-02-09T12:39:08"/>
    <m/>
  </r>
  <r>
    <s v="Brenda Carrillo"/>
    <n v="100237"/>
    <x v="1"/>
    <d v="2025-08-07T00:00:00"/>
    <x v="6"/>
    <s v="Melissa Stevenson"/>
    <x v="0"/>
    <s v="rebecca73@example.org"/>
    <s v="873-875-5344x90216"/>
    <d v="2026-03-10T00:03:08"/>
    <m/>
  </r>
  <r>
    <s v="Rebecca Decker"/>
    <n v="100033"/>
    <x v="0"/>
    <d v="2025-04-07T00:00:00"/>
    <x v="11"/>
    <s v="William Brooks"/>
    <x v="0"/>
    <s v="gforbes@example.com"/>
    <s v="+1-374-495-1191"/>
    <d v="2026-03-04T14:15:08"/>
    <m/>
  </r>
  <r>
    <s v="Sarah Miller"/>
    <n v="101385"/>
    <x v="1"/>
    <d v="2025-06-22T00:00:00"/>
    <x v="15"/>
    <s v="Lisa Kaiser"/>
    <x v="1"/>
    <s v="wangryan@example.com"/>
    <s v="872.651.2957x860"/>
    <d v="2026-02-02T01:11:08"/>
    <s v="Duplicate Employee ID"/>
  </r>
  <r>
    <s v="Ronald Smith"/>
    <n v="100898"/>
    <x v="1"/>
    <d v="2026-01-29T00:00:00"/>
    <x v="30"/>
    <s v="Jeffery Green"/>
    <x v="1"/>
    <s v="breannasaunders@example.net"/>
    <s v="239.259.2323x421"/>
    <d v="2026-03-01T21:14:08"/>
    <m/>
  </r>
  <r>
    <s v="Kimberly Blevins"/>
    <n v="100585"/>
    <x v="0"/>
    <d v="2025-03-22T00:00:00"/>
    <x v="28"/>
    <s v="Ethan Hall"/>
    <x v="1"/>
    <s v="jamesmartin@example.com"/>
    <s v="935.502.7160"/>
    <d v="2026-03-11T01:56:08"/>
    <m/>
  </r>
  <r>
    <s v="Jeremy Ross"/>
    <n v="101173"/>
    <x v="0"/>
    <d v="2025-09-16T00:00:00"/>
    <x v="27"/>
    <s v="James Olsen"/>
    <x v="0"/>
    <s v="costawilliam@example.net"/>
    <s v="001-381-723-1795x5633"/>
    <d v="2026-02-05T08:50:08"/>
    <m/>
  </r>
  <r>
    <s v="Jordan Duffy"/>
    <n v="100002"/>
    <x v="1"/>
    <d v="2025-04-05T00:00:00"/>
    <x v="0"/>
    <s v="James Fisher"/>
    <x v="0"/>
    <s v="gomezsonya@example.org"/>
    <s v="(243)416-7045x02329"/>
    <d v="2026-02-11T14:36:08"/>
    <m/>
  </r>
  <r>
    <s v="Brenda Harrison"/>
    <n v="100574"/>
    <x v="3"/>
    <d v="2026-03-22T00:00:00"/>
    <x v="3"/>
    <s v="Kyle Clark"/>
    <x v="1"/>
    <s v="nathan62@example.com"/>
    <s v="(928)522-5120"/>
    <d v="2026-03-04T11:19:08"/>
    <m/>
  </r>
  <r>
    <s v="Mario Stout"/>
    <n v="100076"/>
    <x v="1"/>
    <d v="2026-02-15T00:00:00"/>
    <x v="3"/>
    <s v="Frank Logan"/>
    <x v="0"/>
    <s v="anthony70@example.net"/>
    <s v="(360)286-9822"/>
    <d v="2026-02-08T22:51:08"/>
    <m/>
  </r>
  <r>
    <s v="Daniel Barnes"/>
    <n v="100565"/>
    <x v="5"/>
    <d v="2026-04-02T00:00:00"/>
    <x v="28"/>
    <s v="Wayne Marshall"/>
    <x v="1"/>
    <s v="ichase@example.com"/>
    <s v="(790)347-7425"/>
    <d v="2026-02-01T02:15:08"/>
    <m/>
  </r>
  <r>
    <s v="Paul Christian"/>
    <n v="100177"/>
    <x v="5"/>
    <d v="2025-05-08T00:00:00"/>
    <x v="11"/>
    <s v="Daniel Anderson"/>
    <x v="1"/>
    <s v="jeremiahmiller@example.org"/>
    <s v="001-664-491-3342x457"/>
    <d v="2026-02-12T06:23:08"/>
    <m/>
  </r>
  <r>
    <s v="James Thomas"/>
    <n v="101183"/>
    <x v="3"/>
    <d v="2025-12-14T00:00:00"/>
    <x v="35"/>
    <s v="Sarah Adkins"/>
    <x v="1"/>
    <s v="ywelch@example.org"/>
    <s v="(902)903-2650"/>
    <d v="2026-02-21T03:50:08"/>
    <m/>
  </r>
  <r>
    <s v="Chelsea Kane"/>
    <n v="100160"/>
    <x v="5"/>
    <d v="2026-05-12T00:00:00"/>
    <x v="16"/>
    <s v="Jennifer Haney"/>
    <x v="0"/>
    <s v="ihowell@example.com"/>
    <s v="948-355-2457"/>
    <d v="2026-02-19T23:08:08"/>
    <m/>
  </r>
  <r>
    <s v="Gloria Stone"/>
    <n v="100944"/>
    <x v="2"/>
    <d v="2025-09-16T00:00:00"/>
    <x v="40"/>
    <s v="Jacob May"/>
    <x v="0"/>
    <s v="codyhester@example.org"/>
    <s v="384-425-4768"/>
    <d v="2026-03-14T08:12:08"/>
    <m/>
  </r>
  <r>
    <s v="Todd Lutz"/>
    <n v="101265"/>
    <x v="1"/>
    <d v="2025-03-24T00:00:00"/>
    <x v="20"/>
    <s v="Ryan Walker"/>
    <x v="1"/>
    <s v="gonzalezjulie@example.net"/>
    <s v="+1-729-488-0858x382"/>
    <d v="2026-03-02T10:35:08"/>
    <m/>
  </r>
  <r>
    <s v="Christopher Walters"/>
    <n v="100807"/>
    <x v="4"/>
    <d v="2025-03-27T00:00:00"/>
    <x v="16"/>
    <s v="Sarah Potter"/>
    <x v="0"/>
    <s v="amberfriedman@example.com"/>
    <s v="940.764.6867"/>
    <d v="2026-03-14T02:12:08"/>
    <m/>
  </r>
  <r>
    <s v="Todd Smith"/>
    <n v="101405"/>
    <x v="4"/>
    <d v="2025-06-03T00:00:00"/>
    <x v="1"/>
    <s v="Justin Collins"/>
    <x v="1"/>
    <s v="brownrobert@example.org"/>
    <s v="623.462.6693x3513"/>
    <d v="2026-02-07T09:23:08"/>
    <m/>
  </r>
  <r>
    <s v="Becky Singh"/>
    <n v="100101"/>
    <x v="2"/>
    <d v="2025-07-25T00:00:00"/>
    <x v="17"/>
    <s v="Brittany Ramos"/>
    <x v="1"/>
    <s v="kathleen01@example.net"/>
    <s v="381-797-3741x8972"/>
    <d v="2026-02-08T10:29:08"/>
    <m/>
  </r>
  <r>
    <s v="Tiffany Williams"/>
    <n v="101485"/>
    <x v="0"/>
    <d v="2026-03-21T00:00:00"/>
    <x v="33"/>
    <s v="Dawn Sims"/>
    <x v="1"/>
    <s v="trichards@example.net"/>
    <s v="243.381.1995x3766"/>
    <d v="2026-01-30T17:55:08"/>
    <m/>
  </r>
  <r>
    <s v="Diana Ramsey"/>
    <n v="100312"/>
    <x v="1"/>
    <d v="2026-05-09T00:00:00"/>
    <x v="3"/>
    <s v="David Romero"/>
    <x v="1"/>
    <s v="qestrada@example.com"/>
    <s v="801-673-9739"/>
    <d v="2026-03-13T22:14:08"/>
    <m/>
  </r>
  <r>
    <s v="Richard Erickson"/>
    <n v="100439"/>
    <x v="5"/>
    <d v="2025-04-25T00:00:00"/>
    <x v="1"/>
    <s v="Sara Bennett"/>
    <x v="1"/>
    <s v="gwilliams@example.net"/>
    <s v="+1-919-911-3599x6605"/>
    <d v="2026-02-17T03:41:08"/>
    <m/>
  </r>
  <r>
    <s v="Kelly Bentley"/>
    <n v="100304"/>
    <x v="3"/>
    <d v="2026-04-14T00:00:00"/>
    <x v="28"/>
    <s v="Lori Strickland"/>
    <x v="0"/>
    <s v="robinsonhenry@example.net"/>
    <s v="714-960-7455x53470"/>
    <d v="2026-02-03T20:20:08"/>
    <m/>
  </r>
  <r>
    <s v="Madison Mack"/>
    <n v="100920"/>
    <x v="5"/>
    <d v="2025-04-12T00:00:00"/>
    <x v="17"/>
    <s v="Justin Boyer"/>
    <x v="1"/>
    <s v="joy52@example.com"/>
    <s v="355-898-3541"/>
    <d v="2026-02-09T22:38:08"/>
    <m/>
  </r>
  <r>
    <s v="Jonathan Lopez"/>
    <n v="100703"/>
    <x v="6"/>
    <d v="2025-08-30T00:00:00"/>
    <x v="38"/>
    <s v="Dennis Zimmerman"/>
    <x v="0"/>
    <s v="matthew75@example.org"/>
    <s v="(650)413-9488"/>
    <d v="2026-02-01T04:30:08"/>
    <s v="Missing Department"/>
  </r>
  <r>
    <s v="Michael Gonzalez"/>
    <n v="100856"/>
    <x v="5"/>
    <d v="2026-04-05T00:00:00"/>
    <x v="18"/>
    <s v="Kyle Mcdowell"/>
    <x v="0"/>
    <s v="jphelps@example.net"/>
    <s v="285-562-6149x91537"/>
    <d v="2026-02-17T08:01:08"/>
    <m/>
  </r>
  <r>
    <s v="Mary Hill"/>
    <n v="100535"/>
    <x v="5"/>
    <d v="2025-05-30T00:00:00"/>
    <x v="1"/>
    <s v="Roy Lucero II"/>
    <x v="0"/>
    <s v="scottcain@example.org"/>
    <s v="5438097768"/>
    <d v="2026-02-13T22:24:08"/>
    <m/>
  </r>
  <r>
    <s v="Joseph Ross"/>
    <n v="100231"/>
    <x v="0"/>
    <d v="2025-12-21T00:00:00"/>
    <x v="26"/>
    <s v="Stephanie Hughes"/>
    <x v="1"/>
    <s v="jasmine54@example.com"/>
    <s v="(453)358-5125x389"/>
    <d v="2026-02-12T03:05:08"/>
    <m/>
  </r>
  <r>
    <s v="Dr. Katie Alvarez"/>
    <n v="100123"/>
    <x v="3"/>
    <d v="2026-04-10T00:00:00"/>
    <x v="7"/>
    <s v="Robert Munoz"/>
    <x v="0"/>
    <s v="jennifer83@example.com"/>
    <s v="990-279-7796x120"/>
    <d v="2026-02-13T04:25:08"/>
    <s v="Duplicate Employee ID"/>
  </r>
  <r>
    <s v="Karen Mccarthy"/>
    <n v="101064"/>
    <x v="1"/>
    <d v="2025-06-24T00:00:00"/>
    <x v="38"/>
    <s v="Hector Blevins"/>
    <x v="0"/>
    <s v="ashley09@example.com"/>
    <s v="(726)237-4845x39862"/>
    <d v="2026-03-12T08:49:08"/>
    <m/>
  </r>
  <r>
    <s v="Amy Webster"/>
    <n v="100121"/>
    <x v="5"/>
    <d v="2025-08-28T00:00:00"/>
    <x v="18"/>
    <s v="Patricia Jones"/>
    <x v="1"/>
    <s v="morenojessica@example.net"/>
    <s v="339.322.0715"/>
    <d v="2026-02-17T05:26:08"/>
    <m/>
  </r>
  <r>
    <s v="Laura Rush"/>
    <n v="100254"/>
    <x v="4"/>
    <d v="2025-06-21T00:00:00"/>
    <x v="34"/>
    <s v="Jason Horton"/>
    <x v="0"/>
    <s v="melaniewhite@example.com"/>
    <s v="(326)747-1246x335"/>
    <d v="2026-02-25T12:08:08"/>
    <m/>
  </r>
  <r>
    <s v="Brandon Scott"/>
    <m/>
    <x v="4"/>
    <d v="2026-01-25T00:00:00"/>
    <x v="32"/>
    <s v="Amy Hawkins"/>
    <x v="1"/>
    <s v="cody08@example.org"/>
    <s v="4565409951"/>
    <d v="2026-03-14T09:56:08"/>
    <s v="Missing Employee ID"/>
  </r>
  <r>
    <s v="Kathleen Nichols"/>
    <n v="101015"/>
    <x v="2"/>
    <d v="2026-03-01T00:00:00"/>
    <x v="24"/>
    <s v="Anne Vega"/>
    <x v="0"/>
    <s v="carolberry@example.com"/>
    <s v="001-328-727-0908x144"/>
    <d v="2026-03-13T09:37:08"/>
    <m/>
  </r>
  <r>
    <s v="Leslie Jackson"/>
    <n v="100576"/>
    <x v="1"/>
    <d v="2025-05-30T00:00:00"/>
    <x v="26"/>
    <s v="Corey Moore"/>
    <x v="0"/>
    <s v="sharon86@example.com"/>
    <s v="581-853-5237"/>
    <d v="2026-02-25T02:33:08"/>
    <m/>
  </r>
  <r>
    <s v="Anthony Haas"/>
    <n v="100152"/>
    <x v="1"/>
    <d v="2025-03-27T00:00:00"/>
    <x v="32"/>
    <s v="Dr. Matthew Webster"/>
    <x v="0"/>
    <s v="abbottchristopher@example.net"/>
    <s v="689-898-8683x45273"/>
    <d v="2026-03-02T23:15:08"/>
    <m/>
  </r>
  <r>
    <s v="James Henry"/>
    <n v="100155"/>
    <x v="1"/>
    <d v="2026-04-04T00:00:00"/>
    <x v="9"/>
    <s v="Frank Webb MD"/>
    <x v="0"/>
    <s v="xgay@example.com"/>
    <s v="001-208-203-1499x82508"/>
    <d v="2026-01-30T18:03:08"/>
    <m/>
  </r>
  <r>
    <s v="Janice Bell"/>
    <n v="101479"/>
    <x v="0"/>
    <d v="2025-09-24T00:00:00"/>
    <x v="18"/>
    <s v="Samantha Sutton"/>
    <x v="1"/>
    <s v="hrodgers@example.org"/>
    <s v="250.231.7235x13739"/>
    <d v="2026-03-06T15:51:08"/>
    <s v="Extra Name Spaces"/>
  </r>
  <r>
    <s v="Christine Norris"/>
    <n v="100590"/>
    <x v="4"/>
    <d v="2025-06-26T00:00:00"/>
    <x v="30"/>
    <s v="Abigail Allen"/>
    <x v="1"/>
    <s v="tracey63@example.com"/>
    <s v="(802)229-3946x9434"/>
    <d v="2026-02-03T17:37:08"/>
    <m/>
  </r>
  <r>
    <s v="Jason Ramirez"/>
    <n v="100075"/>
    <x v="0"/>
    <d v="2025-09-30T00:00:00"/>
    <x v="0"/>
    <s v="Ruth Freeman"/>
    <x v="0"/>
    <s v="simsrandall@example.net"/>
    <s v="001-672-831-1127x12852"/>
    <d v="2026-02-25T19:45:08"/>
    <m/>
  </r>
  <r>
    <s v="Dustin Foley"/>
    <n v="100503"/>
    <x v="5"/>
    <d v="2025-07-12T00:00:00"/>
    <x v="17"/>
    <s v="Philip Foster"/>
    <x v="1"/>
    <s v="stephaniepeters@example.com"/>
    <s v="228.807.7113"/>
    <d v="2026-02-12T21:32:08"/>
    <m/>
  </r>
  <r>
    <s v="Phillip Drake"/>
    <n v="100410"/>
    <x v="1"/>
    <d v="2025-04-30T00:00:00"/>
    <x v="11"/>
    <s v="Luis Kim"/>
    <x v="1"/>
    <s v="scotthammond@example.net"/>
    <s v="233.850.9025x42573"/>
    <d v="2026-02-09T17:10:08"/>
    <m/>
  </r>
  <r>
    <s v="Travis Wagner"/>
    <n v="100066"/>
    <x v="0"/>
    <d v="2025-07-20T00:00:00"/>
    <x v="27"/>
    <s v="Mark Rogers"/>
    <x v="1"/>
    <s v="cjohnson@example.org"/>
    <s v="298.348.2285"/>
    <d v="2026-03-06T17:17:08"/>
    <m/>
  </r>
  <r>
    <s v="Jennifer Ferguson"/>
    <n v="101191"/>
    <x v="4"/>
    <d v="2026-03-01T00:00:00"/>
    <x v="5"/>
    <s v="Carolyn Cantu"/>
    <x v="0"/>
    <s v="benjamin13@example.org"/>
    <s v="(909)806-9130x9810"/>
    <d v="2026-02-12T08:30:08"/>
    <m/>
  </r>
  <r>
    <s v="Luis Cole"/>
    <n v="100489"/>
    <x v="0"/>
    <d v="2026-01-30T00:00:00"/>
    <x v="29"/>
    <s v="Melanie Salazar"/>
    <x v="1"/>
    <s v="tina77@example.org"/>
    <s v="885.632.4264x250"/>
    <d v="2026-03-02T12:44:08"/>
    <m/>
  </r>
  <r>
    <s v="Joe Page"/>
    <n v="100798"/>
    <x v="4"/>
    <d v="2025-10-03T00:00:00"/>
    <x v="12"/>
    <s v="Crystal Morales"/>
    <x v="0"/>
    <s v="jared66@example.com"/>
    <s v="577.567.5556x283"/>
    <d v="2026-02-18T09:42:08"/>
    <m/>
  </r>
  <r>
    <s v="Laura Gould"/>
    <n v="100052"/>
    <x v="1"/>
    <d v="2025-06-02T00:00:00"/>
    <x v="34"/>
    <s v="Rachel Cox"/>
    <x v="1"/>
    <s v="wkelley@example.com"/>
    <s v="(243)562-7187x496"/>
    <d v="2026-02-15T23:24:08"/>
    <m/>
  </r>
  <r>
    <s v="Juan Moore"/>
    <n v="100188"/>
    <x v="3"/>
    <d v="2025-06-29T00:00:00"/>
    <x v="38"/>
    <s v="Joseph White"/>
    <x v="0"/>
    <s v="njohnson@example.com"/>
    <s v="001-824-792-6932"/>
    <d v="2026-02-24T18:24:08"/>
    <m/>
  </r>
  <r>
    <s v="Sean Anderson"/>
    <n v="100687"/>
    <x v="1"/>
    <d v="2025-05-24T00:00:00"/>
    <x v="32"/>
    <s v="Emily Fitzpatrick"/>
    <x v="0"/>
    <s v="lowekristin@example.org"/>
    <s v="5006515532"/>
    <d v="2026-02-24T15:36:08"/>
    <m/>
  </r>
  <r>
    <s v="Heidi Blankenship"/>
    <n v="101336"/>
    <x v="1"/>
    <d v="2025-12-13T00:00:00"/>
    <x v="20"/>
    <s v="Sandra Alvarez"/>
    <x v="0"/>
    <s v="keithgarcia@example.net"/>
    <s v="(922)661-8962"/>
    <d v="2026-03-15T07:02:08"/>
    <m/>
  </r>
  <r>
    <s v="Stephanie Cherry"/>
    <n v="101317"/>
    <x v="5"/>
    <d v="2025-10-12T00:00:00"/>
    <x v="6"/>
    <s v="Bridget Wallace"/>
    <x v="0"/>
    <s v="taylorparker@example.com"/>
    <s v="720.795.7992x7079"/>
    <d v="2026-03-04T14:16:08"/>
    <m/>
  </r>
  <r>
    <s v="Stacey Jones MD"/>
    <n v="100480"/>
    <x v="3"/>
    <d v="2025-06-18T00:00:00"/>
    <x v="3"/>
    <s v="James Hernandez"/>
    <x v="1"/>
    <s v="suzanneflores@example.net"/>
    <s v="759-670-9962"/>
    <d v="2026-02-05T22:33:08"/>
    <m/>
  </r>
  <r>
    <s v="Douglas Meyer"/>
    <n v="100291"/>
    <x v="1"/>
    <d v="2025-07-12T00:00:00"/>
    <x v="10"/>
    <s v="Katherine Bullock"/>
    <x v="1"/>
    <s v="banksjackie@example.com"/>
    <s v="265.204.7158x029"/>
    <d v="2026-03-10T18:25:08"/>
    <m/>
  </r>
  <r>
    <s v="Curtis Harrison"/>
    <n v="100587"/>
    <x v="1"/>
    <d v="2025-05-23T00:00:00"/>
    <x v="35"/>
    <s v="Michael Nelson"/>
    <x v="0"/>
    <s v="zrogers@example.net"/>
    <s v="(765)325-4837x44171"/>
    <d v="2026-02-20T01:08:08"/>
    <m/>
  </r>
  <r>
    <s v="Carl Gill"/>
    <n v="100728"/>
    <x v="1"/>
    <d v="2025-05-25T00:00:00"/>
    <x v="11"/>
    <s v="Christopher Brown"/>
    <x v="0"/>
    <s v="kimberlyshields@example.org"/>
    <s v="001-405-591-2975x1910"/>
    <d v="2026-03-14T03:58:08"/>
    <m/>
  </r>
  <r>
    <s v="Tammy Lopez"/>
    <n v="100105"/>
    <x v="0"/>
    <d v="2025-08-01T00:00:00"/>
    <x v="19"/>
    <s v="Anna Hamilton"/>
    <x v="0"/>
    <s v="jasonlove@example.com"/>
    <s v="283-373-7927x49072"/>
    <d v="2026-03-12T11:52:08"/>
    <m/>
  </r>
  <r>
    <s v="Craig Thomas"/>
    <n v="100953"/>
    <x v="5"/>
    <d v="2026-01-25T00:00:00"/>
    <x v="5"/>
    <s v="Valerie Graves"/>
    <x v="1"/>
    <s v="lopezmelinda@example.org"/>
    <s v="(869)649-6843"/>
    <d v="2026-03-01T03:19:08"/>
    <m/>
  </r>
  <r>
    <s v="Nancy Schmidt"/>
    <n v="100699"/>
    <x v="5"/>
    <d v="2026-04-17T00:00:00"/>
    <x v="3"/>
    <s v="Tracy King"/>
    <x v="1"/>
    <s v="calvinbrown@example.com"/>
    <s v="001-609-761-7015x9591"/>
    <d v="2026-02-24T04:27:08"/>
    <m/>
  </r>
  <r>
    <s v="Patrick Castillo"/>
    <n v="100299"/>
    <x v="1"/>
    <d v="2026-03-31T00:00:00"/>
    <x v="18"/>
    <s v="Dr. Erik Duarte Jr."/>
    <x v="0"/>
    <s v="bradgomez@example.com"/>
    <s v="756.877.7226x602"/>
    <d v="2026-02-16T02:19:08"/>
    <m/>
  </r>
  <r>
    <s v="Lynn Ross MD"/>
    <m/>
    <x v="0"/>
    <d v="2025-07-19T00:00:00"/>
    <x v="25"/>
    <s v="Mary Thompson"/>
    <x v="1"/>
    <s v="jaysmith@example.com"/>
    <s v="(645)530-7624"/>
    <d v="2026-02-10T20:23:08"/>
    <s v="Missing Employee ID"/>
  </r>
  <r>
    <s v="Lawrence Porter"/>
    <n v="100055"/>
    <x v="0"/>
    <d v="2025-06-21T00:00:00"/>
    <x v="40"/>
    <s v="Samuel Freeman"/>
    <x v="1"/>
    <s v="gomezdaniel@example.com"/>
    <s v="001-679-442-3873x670"/>
    <d v="2026-02-26T02:10:08"/>
    <m/>
  </r>
  <r>
    <s v="Eric Montgomery"/>
    <n v="100046"/>
    <x v="3"/>
    <d v="2025-10-18T00:00:00"/>
    <x v="17"/>
    <s v="Linda Moreno"/>
    <x v="0"/>
    <s v="jenny25@example.net"/>
    <s v="710.775.6335x3574"/>
    <d v="2026-02-14T19:51:08"/>
    <m/>
  </r>
  <r>
    <s v="Stephanie Sheppard"/>
    <n v="100280"/>
    <x v="5"/>
    <d v="2025-05-01T00:00:00"/>
    <x v="36"/>
    <s v="Laura Pruitt"/>
    <x v="0"/>
    <s v="lisawright@example.net"/>
    <s v="605.381.6295x1877"/>
    <d v="2026-02-19T03:48:08"/>
    <m/>
  </r>
  <r>
    <s v="Richard Moody"/>
    <n v="101408"/>
    <x v="4"/>
    <d v="2025-11-01T00:00:00"/>
    <x v="11"/>
    <s v="Charles Abbott"/>
    <x v="1"/>
    <s v="wellsjeffrey@example.org"/>
    <s v="359-678-2457x59833"/>
    <d v="2026-02-07T11:01:08"/>
    <m/>
  </r>
  <r>
    <s v="Nancy Lee"/>
    <n v="101194"/>
    <x v="5"/>
    <d v="2025-05-01T00:00:00"/>
    <x v="31"/>
    <s v="Diane Gibbs"/>
    <x v="0"/>
    <s v="ahaynes@example.com"/>
    <s v="832-440-0615x727"/>
    <d v="2026-03-11T14:01:08"/>
    <m/>
  </r>
  <r>
    <s v="Olivia Rodriguez"/>
    <n v="101279"/>
    <x v="5"/>
    <d v="2026-02-03T00:00:00"/>
    <x v="17"/>
    <s v="Donald Mccarthy"/>
    <x v="1"/>
    <s v="lmitchell@example.org"/>
    <s v="701-805-8752x56806"/>
    <d v="2026-02-11T21:01:08"/>
    <m/>
  </r>
  <r>
    <s v="Louis Hodges"/>
    <n v="100309"/>
    <x v="3"/>
    <d v="2025-09-25T00:00:00"/>
    <x v="12"/>
    <s v="Erica Avila"/>
    <x v="1"/>
    <s v="warebrian@example.net"/>
    <s v="001-727-711-2218x231"/>
    <d v="2026-02-07T19:24:08"/>
    <m/>
  </r>
  <r>
    <s v="Jason Potter"/>
    <n v="100183"/>
    <x v="3"/>
    <d v="2025-06-07T00:00:00"/>
    <x v="11"/>
    <s v="Joshua Warren DDS"/>
    <x v="0"/>
    <s v="jneal@example.org"/>
    <s v="272.214.3308"/>
    <d v="2026-02-18T07:24:08"/>
    <m/>
  </r>
  <r>
    <s v="Melissa Mendoza"/>
    <n v="100369"/>
    <x v="4"/>
    <d v="2026-03-24T00:00:00"/>
    <x v="31"/>
    <s v="Peter Dodson"/>
    <x v="0"/>
    <s v="vincentmorris@example.net"/>
    <s v="+1-560-584-7068x10390"/>
    <d v="2026-03-08T10:59:08"/>
    <m/>
  </r>
  <r>
    <s v="Adrienne Miles"/>
    <n v="101215"/>
    <x v="0"/>
    <d v="2026-01-28T00:00:00"/>
    <x v="29"/>
    <s v="Isabel Roach"/>
    <x v="1"/>
    <s v="randyhernandez@example.org"/>
    <s v="+1-594-748-5862x3945"/>
    <d v="2026-02-12T23:21:08"/>
    <s v="Duplicate Employee ID"/>
  </r>
  <r>
    <s v="Jenna Santos"/>
    <n v="101106"/>
    <x v="0"/>
    <d v="2026-01-21T00:00:00"/>
    <x v="19"/>
    <s v="Jeremy Faulkner"/>
    <x v="1"/>
    <s v="hharris@example.org"/>
    <s v="(613)539-4394x5703"/>
    <d v="2026-02-15T03:55:08"/>
    <m/>
  </r>
  <r>
    <s v="Emily Robinson"/>
    <n v="101256"/>
    <x v="5"/>
    <d v="2025-04-25T00:00:00"/>
    <x v="36"/>
    <s v="Geoffrey Porter"/>
    <x v="1"/>
    <s v="dcortez@example.com"/>
    <s v="+1-227-278-9431x910"/>
    <d v="2026-02-04T20:27:08"/>
    <m/>
  </r>
  <r>
    <s v="Theresa Conrad"/>
    <n v="101378"/>
    <x v="1"/>
    <d v="2026-05-09T00:00:00"/>
    <x v="15"/>
    <s v="James Carroll"/>
    <x v="0"/>
    <s v="coltonrichardson@example.net"/>
    <s v="365.614.6040"/>
    <d v="2026-03-07T16:02:08"/>
    <m/>
  </r>
  <r>
    <s v="Jesus Randolph"/>
    <n v="100289"/>
    <x v="4"/>
    <d v="2025-04-03T00:00:00"/>
    <x v="15"/>
    <s v="Dr. Barbara Fields"/>
    <x v="1"/>
    <s v="beardsarah@example.org"/>
    <s v="2119379844"/>
    <d v="2026-02-23T14:55:08"/>
    <m/>
  </r>
  <r>
    <s v="Michael Lewis"/>
    <n v="101335"/>
    <x v="0"/>
    <d v="2025-05-10T00:00:00"/>
    <x v="19"/>
    <s v="James Johnson"/>
    <x v="1"/>
    <s v="arivas@example.org"/>
    <s v="2906144734"/>
    <d v="2026-02-04T19:21:08"/>
    <m/>
  </r>
  <r>
    <s v="Chelsea Norris"/>
    <n v="100537"/>
    <x v="1"/>
    <d v="2026-01-03T00:00:00"/>
    <x v="21"/>
    <s v="Whitney Williams"/>
    <x v="0"/>
    <s v="shansen@example.com"/>
    <s v="404.751.9577"/>
    <d v="2026-03-11T07:42:08"/>
    <m/>
  </r>
  <r>
    <s v="Jacqueline Arnold"/>
    <n v="100603"/>
    <x v="4"/>
    <d v="2025-09-20T00:00:00"/>
    <x v="29"/>
    <s v="Nicholas Reed"/>
    <x v="0"/>
    <s v="bettywatson@example.com"/>
    <s v="001-942-978-6561x94255"/>
    <d v="2026-02-26T01:50:08"/>
    <s v="Extra Name Spaces"/>
  </r>
  <r>
    <s v="Shannon Martin"/>
    <n v="100900"/>
    <x v="3"/>
    <d v="2025-05-17T00:00:00"/>
    <x v="27"/>
    <s v="Jonathan Heath"/>
    <x v="0"/>
    <s v="carolfernandez@example.net"/>
    <s v="(292)336-1618"/>
    <d v="2026-01-31T10:46:08"/>
    <m/>
  </r>
  <r>
    <s v="Dawn Pierce"/>
    <n v="100902"/>
    <x v="1"/>
    <d v="2025-04-14T00:00:00"/>
    <x v="3"/>
    <s v="Nancy Sutton"/>
    <x v="0"/>
    <s v="tracy55@example.net"/>
    <s v="(386)939-5613x7230"/>
    <d v="2026-02-13T18:24:08"/>
    <m/>
  </r>
  <r>
    <s v="Benjamin Clements"/>
    <n v="101081"/>
    <x v="1"/>
    <d v="2026-04-23T00:00:00"/>
    <x v="27"/>
    <s v="Jared Bryan"/>
    <x v="1"/>
    <s v="lynnjames@example.org"/>
    <s v="3418321147"/>
    <d v="2026-02-10T22:17:08"/>
    <m/>
  </r>
  <r>
    <s v="Mary Smith"/>
    <n v="100196"/>
    <x v="1"/>
    <d v="2025-09-13T00:00:00"/>
    <x v="3"/>
    <s v="Grace Brooks"/>
    <x v="1"/>
    <s v="roy97@example.net"/>
    <s v="+1-390-870-7550x476"/>
    <d v="2026-02-10T20:20:08"/>
    <m/>
  </r>
  <r>
    <s v="Lisa Bell"/>
    <n v="101123"/>
    <x v="1"/>
    <d v="2025-11-23T00:00:00"/>
    <x v="3"/>
    <s v="Katherine Johnson"/>
    <x v="0"/>
    <s v="esteskatherine@example.org"/>
    <s v="248.711.3176x5397"/>
    <d v="2026-01-30T08:00:08"/>
    <m/>
  </r>
  <r>
    <s v="Richard Bond"/>
    <n v="101396"/>
    <x v="2"/>
    <d v="2025-03-16T00:00:00"/>
    <x v="15"/>
    <s v="Jason Smith"/>
    <x v="1"/>
    <s v="brittneyleonard@example.org"/>
    <s v="971.482.7496x80491"/>
    <d v="2026-02-04T13:53:08"/>
    <m/>
  </r>
  <r>
    <s v="Elaine Martin"/>
    <n v="100122"/>
    <x v="2"/>
    <d v="2026-04-29T00:00:00"/>
    <x v="23"/>
    <s v="Gary Rodriguez"/>
    <x v="1"/>
    <s v="tanyajones@example.com"/>
    <s v="530.962.6042x3597"/>
    <d v="2026-02-21T22:47:08"/>
    <m/>
  </r>
  <r>
    <s v="Tiffany Wilson"/>
    <n v="101148"/>
    <x v="2"/>
    <d v="2025-03-21T00:00:00"/>
    <x v="16"/>
    <s v="Carlos Irwin"/>
    <x v="0"/>
    <s v="kimmichael@example.net"/>
    <s v="(308)358-1670x46861"/>
    <d v="2026-02-25T07:40:08"/>
    <m/>
  </r>
  <r>
    <s v="Travis Howard"/>
    <n v="100197"/>
    <x v="1"/>
    <d v="2025-12-22T00:00:00"/>
    <x v="14"/>
    <s v="Thomas Knox"/>
    <x v="1"/>
    <s v="davidmartin@example.net"/>
    <s v="(437)885-8471"/>
    <d v="2026-02-23T04:23:08"/>
    <m/>
  </r>
  <r>
    <s v="Andrew Harris"/>
    <n v="100573"/>
    <x v="1"/>
    <d v="2026-01-25T00:00:00"/>
    <x v="11"/>
    <s v="Paul Myers"/>
    <x v="0"/>
    <s v="brian01@example.net"/>
    <s v="+1-949-580-4253x73377"/>
    <d v="2026-02-23T06:22:08"/>
    <s v="Duplicate Employee ID"/>
  </r>
  <r>
    <s v="James Schultz"/>
    <n v="101105"/>
    <x v="1"/>
    <d v="2025-11-13T00:00:00"/>
    <x v="28"/>
    <s v="Regina Thomas"/>
    <x v="0"/>
    <s v="michaelathomas@example.org"/>
    <s v="281.792.3653x4606"/>
    <d v="2026-02-14T12:36:08"/>
    <m/>
  </r>
  <r>
    <s v="Alyssa Powers"/>
    <n v="101334"/>
    <x v="5"/>
    <d v="2025-12-15T00:00:00"/>
    <x v="40"/>
    <s v="Jeanette Obrien"/>
    <x v="0"/>
    <s v="kaitlynanderson@example.net"/>
    <s v="362.439.8471x69061"/>
    <d v="2026-02-11T07:41:08"/>
    <m/>
  </r>
  <r>
    <s v="Amanda Ramirez"/>
    <n v="101345"/>
    <x v="1"/>
    <d v="2026-03-22T00:00:00"/>
    <x v="30"/>
    <s v="Matthew Hatfield"/>
    <x v="0"/>
    <s v="kevin89@example.com"/>
    <s v="378-976-9899x9275"/>
    <d v="2026-02-07T18:31:08"/>
    <m/>
  </r>
  <r>
    <s v="Kim Jensen"/>
    <n v="100277"/>
    <x v="4"/>
    <d v="2026-04-29T00:00:00"/>
    <x v="24"/>
    <s v="Mark Villa"/>
    <x v="1"/>
    <s v="brooke35@example.com"/>
    <s v="693.654.3586"/>
    <d v="2026-03-15T06:20:08"/>
    <m/>
  </r>
  <r>
    <s v="Mckenzie Lopez"/>
    <n v="100464"/>
    <x v="5"/>
    <d v="2026-01-30T00:00:00"/>
    <x v="4"/>
    <s v="Rachel Pham"/>
    <x v="0"/>
    <s v="james58@example.net"/>
    <s v="737-598-2143x39527"/>
    <d v="2026-02-06T13:55:08"/>
    <m/>
  </r>
  <r>
    <s v="Mitchell Randolph"/>
    <n v="101017"/>
    <x v="4"/>
    <d v="2026-03-12T00:00:00"/>
    <x v="14"/>
    <s v="Glenn Scott"/>
    <x v="1"/>
    <s v="kingtammy@example.net"/>
    <s v="(501)634-7789x4896"/>
    <d v="2026-02-18T14:57:08"/>
    <m/>
  </r>
  <r>
    <s v="Jeffrey Holden"/>
    <n v="100871"/>
    <x v="1"/>
    <d v="2025-07-15T00:00:00"/>
    <x v="6"/>
    <s v="Karen Hughes"/>
    <x v="0"/>
    <s v="taylordavid@example.org"/>
    <s v="8145188421"/>
    <d v="2026-02-11T07:35:08"/>
    <m/>
  </r>
  <r>
    <s v="Matthew Brown"/>
    <n v="101496"/>
    <x v="3"/>
    <d v="2025-05-12T00:00:00"/>
    <x v="24"/>
    <s v="William Ball"/>
    <x v="0"/>
    <s v="russell33@example.net"/>
    <s v="+1-494-885-3208x953"/>
    <d v="2026-02-16T00:38:08"/>
    <m/>
  </r>
  <r>
    <s v="Luis Best"/>
    <n v="100943"/>
    <x v="0"/>
    <d v="2026-04-29T00:00:00"/>
    <x v="32"/>
    <s v="Patrick Irwin"/>
    <x v="0"/>
    <s v="lisa11@example.org"/>
    <s v="(833)979-2234x10346"/>
    <d v="2026-02-23T01:24:08"/>
    <m/>
  </r>
  <r>
    <s v="Brian Miller"/>
    <n v="100352"/>
    <x v="1"/>
    <d v="2025-08-21T00:00:00"/>
    <x v="24"/>
    <s v="Jessica Stevenson"/>
    <x v="0"/>
    <s v="wjefferson@example.com"/>
    <s v="2849376855"/>
    <d v="2026-03-03T16:40:08"/>
    <m/>
  </r>
  <r>
    <s v="Jasmine Ramos"/>
    <n v="100926"/>
    <x v="5"/>
    <d v="2025-09-30T00:00:00"/>
    <x v="18"/>
    <s v="Charles Jones"/>
    <x v="1"/>
    <s v="zjackson@example.org"/>
    <s v="955.264.3436"/>
    <d v="2026-03-13T18:27:08"/>
    <m/>
  </r>
  <r>
    <s v="Kristine Brewer"/>
    <n v="101121"/>
    <x v="1"/>
    <d v="2025-04-29T00:00:00"/>
    <x v="29"/>
    <s v="Micheal Johnson"/>
    <x v="0"/>
    <s v="michael07@example.com"/>
    <s v="001-476-516-4534x5472"/>
    <d v="2026-02-10T19:25:08"/>
    <m/>
  </r>
  <r>
    <s v="Maria George"/>
    <n v="101024"/>
    <x v="4"/>
    <d v="2025-03-27T00:00:00"/>
    <x v="37"/>
    <s v="Sarah Werner"/>
    <x v="0"/>
    <s v="brandon31@example.net"/>
    <s v="(919)480-4184"/>
    <d v="2026-03-04T08:08:08"/>
    <m/>
  </r>
  <r>
    <s v="Scott Ramirez"/>
    <n v="100949"/>
    <x v="2"/>
    <d v="2025-12-13T00:00:00"/>
    <x v="29"/>
    <s v="Crystal Collins"/>
    <x v="1"/>
    <s v="hallchristopher@example.org"/>
    <s v="001-524-387-6230"/>
    <d v="2026-03-07T12:32:08"/>
    <m/>
  </r>
  <r>
    <s v="Brian Roth"/>
    <n v="100595"/>
    <x v="2"/>
    <d v="2025-05-13T00:00:00"/>
    <x v="3"/>
    <s v="Caleb Ford"/>
    <x v="0"/>
    <s v="jennifer28@example.org"/>
    <s v="205.824.8088"/>
    <d v="2026-03-02T23:23:08"/>
    <m/>
  </r>
  <r>
    <s v="Anthony Moore"/>
    <n v="101475"/>
    <x v="4"/>
    <d v="2025-12-22T00:00:00"/>
    <x v="31"/>
    <s v="Scott Flowers"/>
    <x v="1"/>
    <s v="steven72@example.net"/>
    <s v="632-990-1620"/>
    <d v="2026-02-08T09:33:08"/>
    <m/>
  </r>
  <r>
    <s v="Katherine Webster"/>
    <n v="101444"/>
    <x v="3"/>
    <d v="2025-04-21T00:00:00"/>
    <x v="34"/>
    <s v="Molly Oneal"/>
    <x v="1"/>
    <s v="hhayden@example.com"/>
    <s v="+1-396-748-6287x203"/>
    <d v="2026-03-13T13:28:08"/>
    <m/>
  </r>
  <r>
    <s v="Ashley Strong"/>
    <n v="100830"/>
    <x v="0"/>
    <d v="2025-11-12T00:00:00"/>
    <x v="23"/>
    <s v="Elijah Johnson"/>
    <x v="0"/>
    <s v="bgonzalez@example.org"/>
    <s v="(827)992-4632x03747"/>
    <d v="2026-03-11T03:21:08"/>
    <m/>
  </r>
  <r>
    <s v="Jacqueline Harris"/>
    <n v="100226"/>
    <x v="5"/>
    <d v="2025-06-15T00:00:00"/>
    <x v="22"/>
    <s v="Tyler Sanchez"/>
    <x v="1"/>
    <s v="pennylivingston@example.com"/>
    <s v="(905)276-6194x588"/>
    <d v="2026-02-25T06:34:08"/>
    <m/>
  </r>
  <r>
    <s v="Sheila Mendoza"/>
    <n v="100301"/>
    <x v="2"/>
    <d v="2026-03-16T00:00:00"/>
    <x v="25"/>
    <s v="Corey Weeks"/>
    <x v="0"/>
    <s v="alexgarcia@example.net"/>
    <s v="001-784-900-8385x076"/>
    <d v="2026-03-10T18:04:08"/>
    <m/>
  </r>
  <r>
    <s v="Gabriel Richardson"/>
    <n v="101362"/>
    <x v="5"/>
    <d v="2025-05-04T00:00:00"/>
    <x v="6"/>
    <s v="Laurie Stephenson"/>
    <x v="1"/>
    <s v="ghamilton@example.org"/>
    <s v="+1-889-681-2657x42231"/>
    <d v="2026-03-02T10:16:08"/>
    <m/>
  </r>
  <r>
    <s v="Andrew Turner"/>
    <n v="100017"/>
    <x v="3"/>
    <d v="2026-01-25T00:00:00"/>
    <x v="6"/>
    <s v="Cheyenne Hudson"/>
    <x v="0"/>
    <s v="jlloyd@example.com"/>
    <s v="+1-994-330-1204"/>
    <d v="2026-01-30T19:12:08"/>
    <m/>
  </r>
  <r>
    <s v="Thomas Martin"/>
    <n v="100458"/>
    <x v="4"/>
    <d v="2026-04-23T00:00:00"/>
    <x v="40"/>
    <s v="Ashley Caldwell"/>
    <x v="0"/>
    <s v="christina57@example.com"/>
    <s v="001-688-555-8298"/>
    <d v="2026-03-12T01:41:08"/>
    <m/>
  </r>
  <r>
    <s v="Alex Webb"/>
    <n v="100502"/>
    <x v="3"/>
    <d v="2025-09-11T00:00:00"/>
    <x v="33"/>
    <s v="Jordan Porter"/>
    <x v="1"/>
    <s v="lwilliams@example.com"/>
    <s v="712-883-3372x188"/>
    <d v="2026-02-21T21:17:08"/>
    <m/>
  </r>
  <r>
    <s v="Jennifer Rivera"/>
    <n v="100661"/>
    <x v="1"/>
    <d v="2025-05-20T00:00:00"/>
    <x v="23"/>
    <s v="Christopher Olson"/>
    <x v="1"/>
    <s v="hamptonsara@example.org"/>
    <s v="(866)526-7055x14377"/>
    <d v="2026-02-08T19:44:08"/>
    <m/>
  </r>
  <r>
    <s v="Samuel Mitchell"/>
    <n v="101270"/>
    <x v="0"/>
    <d v="2026-04-25T00:00:00"/>
    <x v="9"/>
    <s v="Carmen Moore"/>
    <x v="1"/>
    <s v="brittney11@example.org"/>
    <s v="202-986-7120"/>
    <d v="2026-02-07T03:48:08"/>
    <m/>
  </r>
  <r>
    <s v="Casey Terrell"/>
    <n v="100246"/>
    <x v="2"/>
    <d v="2026-01-27T00:00:00"/>
    <x v="3"/>
    <s v="Michael Serrano"/>
    <x v="0"/>
    <s v="elizabeth10@example.org"/>
    <s v="351-609-1090x3267"/>
    <d v="2026-02-14T04:48:08"/>
    <m/>
  </r>
  <r>
    <s v="Lisa Fox"/>
    <n v="100568"/>
    <x v="0"/>
    <d v="2025-09-06T00:00:00"/>
    <x v="28"/>
    <s v="Diane Brown"/>
    <x v="1"/>
    <s v="eric81@example.com"/>
    <s v="+1-634-806-5277x584"/>
    <d v="2026-02-16T22:33:08"/>
    <m/>
  </r>
  <r>
    <s v="Timothy Bauer"/>
    <n v="101151"/>
    <x v="4"/>
    <d v="2025-12-19T00:00:00"/>
    <x v="10"/>
    <s v="Mary Clark"/>
    <x v="1"/>
    <s v="jhernandez@example.org"/>
    <s v="309-612-1722"/>
    <d v="2026-03-08T21:42:08"/>
    <m/>
  </r>
  <r>
    <s v="Melissa Riley"/>
    <n v="101129"/>
    <x v="1"/>
    <d v="2025-11-08T00:00:00"/>
    <x v="17"/>
    <s v="Jessica Martinez"/>
    <x v="1"/>
    <s v="sharon37@example.net"/>
    <s v="6528635100"/>
    <d v="2026-03-05T07:24:08"/>
    <m/>
  </r>
  <r>
    <s v="Jonathan Barrett"/>
    <n v="101290"/>
    <x v="5"/>
    <d v="2025-04-20T00:00:00"/>
    <x v="25"/>
    <s v="Michael Morris"/>
    <x v="1"/>
    <s v="lisamcgee@example.net"/>
    <s v="(559)920-2461x75202"/>
    <d v="2026-02-12T19:54:08"/>
    <m/>
  </r>
  <r>
    <s v="Susan Le"/>
    <n v="100087"/>
    <x v="0"/>
    <d v="2025-05-01T00:00:00"/>
    <x v="11"/>
    <s v="Randy Welch"/>
    <x v="0"/>
    <s v="lauren55@example.org"/>
    <s v="878-533-2584"/>
    <d v="2026-03-06T19:21:08"/>
    <m/>
  </r>
  <r>
    <s v="Travis Mcbride"/>
    <n v="100195"/>
    <x v="3"/>
    <d v="2025-11-02T00:00:00"/>
    <x v="35"/>
    <s v="Nathan Payne"/>
    <x v="0"/>
    <s v="vwilliams@example.org"/>
    <s v="(691)276-7993x59374"/>
    <d v="2026-03-02T18:39:08"/>
    <m/>
  </r>
  <r>
    <s v="Mary Riley"/>
    <n v="100529"/>
    <x v="4"/>
    <d v="2025-08-16T00:00:00"/>
    <x v="27"/>
    <s v="Aaron Perez"/>
    <x v="1"/>
    <s v="stephaniecole@example.com"/>
    <s v="6602148860"/>
    <d v="2026-03-10T22:01:08"/>
    <m/>
  </r>
  <r>
    <s v="Kevin Ferguson MD"/>
    <n v="100010"/>
    <x v="0"/>
    <d v="2026-01-23T00:00:00"/>
    <x v="21"/>
    <s v="Sarah Frost"/>
    <x v="0"/>
    <s v="vcastro@example.org"/>
    <s v="+1-330-461-5370"/>
    <d v="2026-02-20T23:10:08"/>
    <m/>
  </r>
  <r>
    <s v="Monique Jackson"/>
    <n v="101428"/>
    <x v="0"/>
    <d v="2025-03-16T00:00:00"/>
    <x v="30"/>
    <s v="David Martin"/>
    <x v="1"/>
    <s v="kharris@example.com"/>
    <s v="244-588-1121"/>
    <d v="2026-03-15T09:53:08"/>
    <m/>
  </r>
  <r>
    <s v="Randy Blake"/>
    <n v="100282"/>
    <x v="5"/>
    <d v="2026-03-10T00:00:00"/>
    <x v="27"/>
    <s v="Christopher Hubbard"/>
    <x v="1"/>
    <s v="david87@example.net"/>
    <s v="879-541-5152"/>
    <d v="2026-02-20T03:03:08"/>
    <s v="Extra Name Spaces"/>
  </r>
  <r>
    <s v="Danielle Smith"/>
    <n v="100610"/>
    <x v="1"/>
    <d v="2025-07-02T00:00:00"/>
    <x v="39"/>
    <s v="Regina Mcguire"/>
    <x v="0"/>
    <s v="gayfrancis@example.com"/>
    <s v="(888)337-5056"/>
    <d v="2026-02-09T04:47:08"/>
    <m/>
  </r>
  <r>
    <s v="Patty Powell"/>
    <n v="100286"/>
    <x v="4"/>
    <d v="2025-10-15T00:00:00"/>
    <x v="1"/>
    <s v="Marc Webb"/>
    <x v="0"/>
    <s v="cherryjulie@example.net"/>
    <s v="001-778-276-5530x07309"/>
    <d v="2026-03-08T17:31:08"/>
    <m/>
  </r>
  <r>
    <s v="Taylor Wong MD"/>
    <n v="100348"/>
    <x v="0"/>
    <d v="2026-02-10T00:00:00"/>
    <x v="11"/>
    <s v="Tracy Atkins"/>
    <x v="1"/>
    <s v="andersoncody@example.net"/>
    <s v="+1-319-227-7885"/>
    <d v="2026-02-02T03:00:08"/>
    <m/>
  </r>
  <r>
    <s v="Margaret Sanchez"/>
    <n v="100264"/>
    <x v="3"/>
    <d v="2025-04-28T00:00:00"/>
    <x v="28"/>
    <s v="Jessica Williams"/>
    <x v="1"/>
    <s v="brownkevin@example.org"/>
    <s v="001-646-624-5618x517"/>
    <d v="2026-02-14T18:10:08"/>
    <m/>
  </r>
  <r>
    <s v="Alexander Mitchell"/>
    <n v="100363"/>
    <x v="1"/>
    <d v="2025-10-19T00:00:00"/>
    <x v="4"/>
    <s v="Brandon Taylor"/>
    <x v="1"/>
    <s v="coxcody@example.com"/>
    <s v="001-355-612-9391x30448"/>
    <d v="2026-02-20T05:47:08"/>
    <m/>
  </r>
  <r>
    <s v="Mary Garcia"/>
    <n v="101337"/>
    <x v="2"/>
    <d v="2025-06-19T00:00:00"/>
    <x v="17"/>
    <s v="Timothy Collins"/>
    <x v="1"/>
    <s v="vdavis@example.com"/>
    <s v="001-302-611-9017x0756"/>
    <d v="2026-03-01T00:47:08"/>
    <m/>
  </r>
  <r>
    <s v="Todd Jacobson"/>
    <n v="101252"/>
    <x v="2"/>
    <d v="2025-10-12T00:00:00"/>
    <x v="30"/>
    <s v="Geoffrey Lopez"/>
    <x v="0"/>
    <s v="mccoyandre@example.org"/>
    <s v="001-522-283-6084x9378"/>
    <d v="2026-02-08T01:25:08"/>
    <m/>
  </r>
  <r>
    <s v="Louis Price"/>
    <n v="100999"/>
    <x v="4"/>
    <d v="2025-05-12T00:00:00"/>
    <x v="12"/>
    <s v="Eileen Taylor"/>
    <x v="1"/>
    <s v="sbartlett@example.com"/>
    <s v="891.564.9701"/>
    <d v="2026-02-15T00:16:08"/>
    <m/>
  </r>
  <r>
    <s v="Melissa Ray"/>
    <n v="101091"/>
    <x v="0"/>
    <d v="2025-12-08T00:00:00"/>
    <x v="12"/>
    <s v="Lauren Coffey"/>
    <x v="0"/>
    <s v="davidwilliams@example.org"/>
    <s v="001-801-362-3419x0310"/>
    <d v="2026-01-31T20:17:08"/>
    <m/>
  </r>
  <r>
    <s v="Jeremy Thomas"/>
    <n v="100957"/>
    <x v="1"/>
    <d v="2026-04-28T00:00:00"/>
    <x v="30"/>
    <s v="Barbara Wood"/>
    <x v="1"/>
    <s v="hgray@example.net"/>
    <s v="873-223-6533x774"/>
    <d v="2026-02-10T17:32:08"/>
    <m/>
  </r>
  <r>
    <s v="Jeffrey Moore"/>
    <n v="101031"/>
    <x v="1"/>
    <d v="2025-11-03T00:00:00"/>
    <x v="35"/>
    <s v="Sandra Goodman"/>
    <x v="1"/>
    <s v="james14@example.org"/>
    <s v="942-560-7819x7543"/>
    <d v="2026-02-22T07:51:08"/>
    <m/>
  </r>
  <r>
    <s v="Desiree Woods"/>
    <n v="101240"/>
    <x v="4"/>
    <d v="2025-06-09T00:00:00"/>
    <x v="28"/>
    <s v="Christopher Walker"/>
    <x v="1"/>
    <s v="andreyoung@example.com"/>
    <s v="(638)882-1458x4148"/>
    <d v="2026-02-08T09:01:08"/>
    <m/>
  </r>
  <r>
    <s v="Keith Dyer"/>
    <n v="100802"/>
    <x v="0"/>
    <d v="2026-02-01T00:00:00"/>
    <x v="32"/>
    <s v="Douglas Pacheco"/>
    <x v="0"/>
    <s v="courtneymadden@example.org"/>
    <s v="(505)486-9507"/>
    <d v="2026-02-02T07:57:08"/>
    <m/>
  </r>
  <r>
    <s v="Eric Duran"/>
    <n v="101259"/>
    <x v="1"/>
    <d v="2025-03-29T00:00:00"/>
    <x v="29"/>
    <s v="Robert Willis"/>
    <x v="0"/>
    <s v="msantiago@example.net"/>
    <s v="001-251-767-9335"/>
    <d v="2026-02-12T15:17:08"/>
    <m/>
  </r>
  <r>
    <s v="Peter Patel"/>
    <n v="100624"/>
    <x v="2"/>
    <d v="2025-07-23T00:00:00"/>
    <x v="3"/>
    <s v="Jeffrey Hart DDS"/>
    <x v="1"/>
    <s v="cunninghamderrick@example.com"/>
    <s v="4375681187"/>
    <d v="2026-02-27T09:08:08"/>
    <m/>
  </r>
  <r>
    <s v="Colleen Davis"/>
    <n v="101381"/>
    <x v="0"/>
    <d v="2026-03-30T00:00:00"/>
    <x v="3"/>
    <s v="Thomas Ortiz"/>
    <x v="0"/>
    <s v="dawn73@example.org"/>
    <s v="239-911-4983x07482"/>
    <d v="2026-02-07T12:45:08"/>
    <m/>
  </r>
  <r>
    <s v="Cindy Jenkins"/>
    <n v="101427"/>
    <x v="5"/>
    <d v="2025-09-21T00:00:00"/>
    <x v="1"/>
    <s v="Brandon Aguilar"/>
    <x v="0"/>
    <s v="aaron55@example.com"/>
    <s v="+1-420-519-0432"/>
    <d v="2026-02-13T11:44:08"/>
    <m/>
  </r>
  <r>
    <s v="Morgan Gonzalez"/>
    <n v="100955"/>
    <x v="1"/>
    <d v="2025-04-01T00:00:00"/>
    <x v="24"/>
    <s v="Casey Murray"/>
    <x v="0"/>
    <s v="iperez@example.org"/>
    <s v="835-246-2127"/>
    <d v="2026-02-13T03:49:08"/>
    <m/>
  </r>
  <r>
    <s v="Andrew Thompson"/>
    <n v="100778"/>
    <x v="5"/>
    <d v="2025-07-15T00:00:00"/>
    <x v="4"/>
    <s v="Jennifer Miller"/>
    <x v="1"/>
    <s v="jasonhernandez@example.org"/>
    <s v="(532)948-8899x57298"/>
    <d v="2026-03-12T19:59:08"/>
    <s v="Duplicate Employee ID"/>
  </r>
  <r>
    <s v="Levi Norton"/>
    <n v="101383"/>
    <x v="2"/>
    <d v="2026-04-06T00:00:00"/>
    <x v="15"/>
    <s v="David Lewis"/>
    <x v="0"/>
    <s v="gonzalezkenneth@example.net"/>
    <s v="419.212.0381x876"/>
    <d v="2026-02-15T04:18:08"/>
    <m/>
  </r>
  <r>
    <s v="Kimberly Hall"/>
    <n v="101450"/>
    <x v="1"/>
    <d v="2025-08-17T00:00:00"/>
    <x v="2"/>
    <s v="Terry Romero"/>
    <x v="0"/>
    <s v="allenandrea@example.com"/>
    <s v="581.344.5822x06732"/>
    <d v="2026-02-19T18:35:08"/>
    <m/>
  </r>
  <r>
    <s v="Lori Jones"/>
    <n v="100251"/>
    <x v="5"/>
    <d v="2025-11-13T00:00:00"/>
    <x v="32"/>
    <s v="Kimberly Rojas"/>
    <x v="1"/>
    <s v="steven45@example.org"/>
    <s v="3003001529"/>
    <d v="2026-03-16T08:03:08"/>
    <m/>
  </r>
  <r>
    <s v="Karen Trujillo"/>
    <n v="101115"/>
    <x v="5"/>
    <d v="2025-09-27T00:00:00"/>
    <x v="30"/>
    <s v="Steven Holland"/>
    <x v="0"/>
    <s v="cobbkaitlyn@example.net"/>
    <s v="6254561844"/>
    <d v="2026-02-09T20:09:08"/>
    <m/>
  </r>
  <r>
    <s v="Robert Burke"/>
    <n v="100274"/>
    <x v="4"/>
    <d v="2025-10-23T00:00:00"/>
    <x v="13"/>
    <s v="Karen Henry"/>
    <x v="1"/>
    <s v="hernandezmadison@example.com"/>
    <s v="290.656.7086x70090"/>
    <d v="2026-02-27T14:33:08"/>
    <m/>
  </r>
  <r>
    <s v="Jamie Fields"/>
    <n v="100749"/>
    <x v="2"/>
    <d v="2026-02-14T00:00:00"/>
    <x v="39"/>
    <s v="Nathaniel Hill"/>
    <x v="0"/>
    <s v="richardhart@example.org"/>
    <s v="(224)983-5505x42960"/>
    <d v="2026-02-11T06:23:08"/>
    <m/>
  </r>
  <r>
    <s v="Daniel Ortiz"/>
    <n v="100984"/>
    <x v="3"/>
    <d v="2025-08-23T00:00:00"/>
    <x v="18"/>
    <s v="Kristin Montgomery"/>
    <x v="0"/>
    <s v="bartonkimberly@example.net"/>
    <s v="(321)204-0164"/>
    <d v="2026-02-18T14:34:08"/>
    <m/>
  </r>
  <r>
    <s v="Nicholas Hayden"/>
    <n v="100851"/>
    <x v="1"/>
    <d v="2025-05-08T00:00:00"/>
    <x v="21"/>
    <s v="Kimberly Wells"/>
    <x v="1"/>
    <s v="zacharygray@example.org"/>
    <s v="616.843.2126x94289"/>
    <d v="2026-02-28T11:19:08"/>
    <m/>
  </r>
  <r>
    <s v="Alex Suarez"/>
    <n v="100495"/>
    <x v="0"/>
    <d v="2025-03-28T00:00:00"/>
    <x v="10"/>
    <s v="Bianca Bowen"/>
    <x v="0"/>
    <s v="tlewis@example.com"/>
    <s v="670-264-6255"/>
    <d v="2026-01-30T13:49:08"/>
    <m/>
  </r>
  <r>
    <s v="Richard Griffith"/>
    <n v="100848"/>
    <x v="0"/>
    <d v="2026-01-19T00:00:00"/>
    <x v="7"/>
    <s v="Joshua Lopez"/>
    <x v="0"/>
    <s v="susanpruitt@example.org"/>
    <s v="+1-317-764-6448x98803"/>
    <d v="2026-03-08T18:10:08"/>
    <m/>
  </r>
  <r>
    <s v="Michael Stone"/>
    <n v="101389"/>
    <x v="3"/>
    <d v="2025-07-23T00:00:00"/>
    <x v="29"/>
    <s v="Desiree Swanson"/>
    <x v="1"/>
    <s v="stevendecker@example.org"/>
    <s v="+1-750-340-4333x35384"/>
    <d v="2026-02-27T03:20:08"/>
    <m/>
  </r>
  <r>
    <s v="Daniel Thomas"/>
    <n v="100276"/>
    <x v="4"/>
    <d v="2025-07-25T00:00:00"/>
    <x v="15"/>
    <s v="Brandon Greene"/>
    <x v="1"/>
    <s v="ygriffith@example.org"/>
    <s v="+1-509-433-9137"/>
    <d v="2026-03-13T04:51:08"/>
    <m/>
  </r>
  <r>
    <s v="Frank Perez"/>
    <n v="100666"/>
    <x v="5"/>
    <d v="2025-09-02T00:00:00"/>
    <x v="1"/>
    <s v="Sarah Cummings"/>
    <x v="1"/>
    <s v="hullcheryl@example.net"/>
    <s v="256.217.8688x0023"/>
    <d v="2026-03-05T02:52:08"/>
    <m/>
  </r>
  <r>
    <s v="Felicia Perry"/>
    <n v="101057"/>
    <x v="0"/>
    <d v="2025-11-22T00:00:00"/>
    <x v="3"/>
    <s v="Sara Warren"/>
    <x v="1"/>
    <s v="sancheznicholas@example.com"/>
    <s v="+1-774-449-1609x3659"/>
    <d v="2026-03-04T19:53:08"/>
    <m/>
  </r>
  <r>
    <s v="Angela Munoz"/>
    <n v="100941"/>
    <x v="1"/>
    <d v="2025-05-10T00:00:00"/>
    <x v="3"/>
    <s v="Shelby Fowler"/>
    <x v="1"/>
    <s v="daniel43@example.org"/>
    <s v="(487)350-9263x2239"/>
    <d v="2026-03-02T20:57:08"/>
    <m/>
  </r>
  <r>
    <s v="Donald Morgan"/>
    <n v="101284"/>
    <x v="3"/>
    <d v="2025-10-28T00:00:00"/>
    <x v="30"/>
    <s v="David Johnson"/>
    <x v="0"/>
    <s v="david86@example.net"/>
    <s v="2503537666"/>
    <d v="2026-03-11T22:24:08"/>
    <m/>
  </r>
  <r>
    <s v="Carl Deleon"/>
    <n v="100803"/>
    <x v="2"/>
    <d v="2026-04-17T00:00:00"/>
    <x v="29"/>
    <s v="Andrew Lee"/>
    <x v="0"/>
    <s v="meyerjames@example.com"/>
    <s v="(691)706-2715x3123"/>
    <d v="2026-02-02T20:03:08"/>
    <m/>
  </r>
  <r>
    <s v="Robert Hicks"/>
    <n v="100470"/>
    <x v="0"/>
    <d v="2025-04-04T00:00:00"/>
    <x v="21"/>
    <s v="Kenneth Washington"/>
    <x v="1"/>
    <s v="jcoleman@example.net"/>
    <s v="(693)284-4013"/>
    <d v="2026-02-18T22:18:08"/>
    <m/>
  </r>
  <r>
    <s v="Victoria Deleon"/>
    <n v="100650"/>
    <x v="0"/>
    <d v="2025-12-04T00:00:00"/>
    <x v="22"/>
    <s v="David Roy"/>
    <x v="1"/>
    <s v="ricklewis@example.net"/>
    <s v="(391)601-5709x085"/>
    <d v="2026-03-11T23:28:08"/>
    <m/>
  </r>
  <r>
    <s v="Christopher Smith"/>
    <n v="100370"/>
    <x v="2"/>
    <d v="2025-03-17T00:00:00"/>
    <x v="40"/>
    <s v="Wendy Aguilar MD"/>
    <x v="0"/>
    <s v="kwang@example.com"/>
    <s v="001-548-499-7184x28596"/>
    <d v="2026-02-07T23:38:08"/>
    <m/>
  </r>
  <r>
    <s v="Brian Smith"/>
    <n v="100443"/>
    <x v="4"/>
    <d v="2025-09-02T00:00:00"/>
    <x v="8"/>
    <s v="Emily Montgomery"/>
    <x v="0"/>
    <s v="stephaniezamora@example.org"/>
    <s v="(834)226-6980"/>
    <d v="2026-02-20T23:40:08"/>
    <m/>
  </r>
  <r>
    <s v="Kara Sanders MD"/>
    <n v="100108"/>
    <x v="4"/>
    <d v="2025-04-26T00:00:00"/>
    <x v="31"/>
    <s v="Valerie Johnson"/>
    <x v="0"/>
    <s v="nthompson@example.com"/>
    <s v="+1-438-293-5953"/>
    <d v="2026-02-09T16:34:08"/>
    <m/>
  </r>
  <r>
    <s v="Veronica Clayton"/>
    <n v="101411"/>
    <x v="5"/>
    <d v="2026-02-17T00:00:00"/>
    <x v="1"/>
    <s v="Toni Clay"/>
    <x v="1"/>
    <s v="jarvisrachel@example.net"/>
    <s v="+1-665-308-2695x826"/>
    <d v="2026-03-09T20:23:08"/>
    <m/>
  </r>
  <r>
    <s v="Janet Gray"/>
    <n v="101238"/>
    <x v="4"/>
    <d v="2025-11-20T00:00:00"/>
    <x v="28"/>
    <s v="Benjamin Calderon"/>
    <x v="1"/>
    <s v="hoffmanlindsey@example.org"/>
    <s v="+1-523-685-9514x34682"/>
    <d v="2026-03-04T13:08:08"/>
    <m/>
  </r>
  <r>
    <s v="Denise Nolan"/>
    <n v="100012"/>
    <x v="0"/>
    <d v="2025-06-22T00:00:00"/>
    <x v="28"/>
    <s v="Sandra Martin"/>
    <x v="0"/>
    <s v="aaroncontreras@example.net"/>
    <s v="(796)261-0168x31139"/>
    <d v="2026-02-13T04:38:08"/>
    <m/>
  </r>
  <r>
    <s v="Austin Rose"/>
    <n v="100349"/>
    <x v="0"/>
    <d v="2026-04-25T00:00:00"/>
    <x v="27"/>
    <s v="Diana Carter"/>
    <x v="1"/>
    <s v="hodgemanuel@example.com"/>
    <s v="(928)939-7620x53440"/>
    <d v="2026-03-15T16:39:08"/>
    <m/>
  </r>
  <r>
    <s v="Douglas Martin"/>
    <n v="101323"/>
    <x v="4"/>
    <d v="2025-04-13T00:00:00"/>
    <x v="14"/>
    <s v="Joann Taylor"/>
    <x v="1"/>
    <s v="ahines@example.net"/>
    <s v="(892)250-8177"/>
    <d v="2026-03-09T10:41:08"/>
    <m/>
  </r>
  <r>
    <s v="Ms. Tara Jones"/>
    <n v="100518"/>
    <x v="1"/>
    <d v="2025-11-05T00:00:00"/>
    <x v="38"/>
    <s v="Alison Zuniga"/>
    <x v="0"/>
    <s v="carlos33@example.org"/>
    <s v="331.925.5235x617"/>
    <d v="2026-03-14T13:05:08"/>
    <m/>
  </r>
  <r>
    <s v="Samuel Nolan"/>
    <n v="100862"/>
    <x v="1"/>
    <d v="2026-02-13T00:00:00"/>
    <x v="7"/>
    <s v="Brian Morrison"/>
    <x v="0"/>
    <s v="jamesjeffery@example.com"/>
    <s v="885.327.7895"/>
    <d v="2026-02-28T17:58:08"/>
    <m/>
  </r>
  <r>
    <s v="Jermaine Vance"/>
    <n v="100379"/>
    <x v="3"/>
    <d v="2025-03-23T00:00:00"/>
    <x v="28"/>
    <s v="Elizabeth Watkins"/>
    <x v="0"/>
    <s v="michellemorris@example.org"/>
    <s v="(348)801-6440x3734"/>
    <d v="2026-02-25T14:35:08"/>
    <m/>
  </r>
  <r>
    <s v="Brian Thomas"/>
    <n v="100677"/>
    <x v="5"/>
    <d v="2026-01-22T00:00:00"/>
    <x v="3"/>
    <s v="Richard Contreras"/>
    <x v="0"/>
    <s v="rosejones@example.org"/>
    <s v="+1-717-998-2134x8629"/>
    <d v="2026-03-10T14:01:08"/>
    <m/>
  </r>
  <r>
    <s v="Melissa Kim"/>
    <n v="101208"/>
    <x v="1"/>
    <d v="2026-01-14T00:00:00"/>
    <x v="10"/>
    <s v="Sharon Hall"/>
    <x v="1"/>
    <s v="nancycharles@example.org"/>
    <s v="+1-956-805-3970"/>
    <d v="2026-02-22T18:45:08"/>
    <m/>
  </r>
  <r>
    <s v="Timothy Wilson"/>
    <n v="100545"/>
    <x v="5"/>
    <d v="2025-08-29T00:00:00"/>
    <x v="28"/>
    <s v="Antonio Valencia"/>
    <x v="0"/>
    <s v="zyoung@example.net"/>
    <s v="001-420-350-6821x22355"/>
    <d v="2026-02-24T10:38:08"/>
    <m/>
  </r>
  <r>
    <s v="Meghan Keller MD"/>
    <n v="100355"/>
    <x v="0"/>
    <d v="2026-01-13T00:00:00"/>
    <x v="1"/>
    <s v="William Giles"/>
    <x v="0"/>
    <s v="richard21@example.net"/>
    <s v="+1-621-592-5967x9089"/>
    <d v="2026-03-09T08:34:08"/>
    <m/>
  </r>
  <r>
    <s v="Lee Roberts"/>
    <n v="100042"/>
    <x v="3"/>
    <d v="2026-04-07T00:00:00"/>
    <x v="31"/>
    <s v="Alexis Moore"/>
    <x v="0"/>
    <s v="rosaleslauren@example.net"/>
    <s v="001-338-369-4842x495"/>
    <d v="2026-02-16T09:36:08"/>
    <m/>
  </r>
  <r>
    <s v="Jesse Gardner"/>
    <n v="100579"/>
    <x v="1"/>
    <d v="2025-04-05T00:00:00"/>
    <x v="15"/>
    <s v="Robert Durham"/>
    <x v="1"/>
    <s v="ldavis@example.org"/>
    <s v="+1-967-667-3820"/>
    <d v="2026-03-06T17:22:08"/>
    <m/>
  </r>
  <r>
    <s v="Blake Mendez"/>
    <n v="100123"/>
    <x v="1"/>
    <d v="2025-04-26T00:00:00"/>
    <x v="15"/>
    <s v="Mary Murray"/>
    <x v="0"/>
    <s v="jcruz@example.net"/>
    <s v="001-568-972-2589"/>
    <d v="2026-03-10T19:40:08"/>
    <m/>
  </r>
  <r>
    <s v="Amanda Schneider MD"/>
    <n v="101167"/>
    <x v="1"/>
    <d v="2025-08-08T00:00:00"/>
    <x v="40"/>
    <s v="Jennifer Lopez"/>
    <x v="0"/>
    <s v="migueldominguez@example.org"/>
    <s v="+1-456-769-5790x01248"/>
    <d v="2026-03-03T13:01:08"/>
    <m/>
  </r>
  <r>
    <s v="Debra White"/>
    <n v="100700"/>
    <x v="2"/>
    <d v="2025-12-08T00:00:00"/>
    <x v="33"/>
    <s v="Julia Long"/>
    <x v="0"/>
    <s v="michaelochoa@example.com"/>
    <s v="(332)789-4633"/>
    <d v="2026-02-04T18:18:08"/>
    <m/>
  </r>
  <r>
    <s v="Dean Cohen"/>
    <n v="101020"/>
    <x v="0"/>
    <d v="2026-01-15T00:00:00"/>
    <x v="28"/>
    <s v="Chelsea Juarez"/>
    <x v="1"/>
    <s v="vthompson@example.com"/>
    <s v="(792)369-3358"/>
    <d v="2026-02-05T14:54:08"/>
    <m/>
  </r>
  <r>
    <s v="William Wagner"/>
    <n v="100959"/>
    <x v="4"/>
    <d v="2025-09-10T00:00:00"/>
    <x v="17"/>
    <s v="Jeanne Diaz"/>
    <x v="0"/>
    <s v="ystone@example.net"/>
    <s v="309-357-4430x34918"/>
    <d v="2026-03-04T13:54:08"/>
    <m/>
  </r>
  <r>
    <s v="Linda Martin"/>
    <n v="101124"/>
    <x v="1"/>
    <d v="2025-05-03T00:00:00"/>
    <x v="16"/>
    <s v="Roy Cook"/>
    <x v="1"/>
    <s v="josephjohnson@example.com"/>
    <s v="764.515.4715"/>
    <d v="2026-02-03T19:24:08"/>
    <m/>
  </r>
  <r>
    <s v="Nicholas Diaz"/>
    <n v="100248"/>
    <x v="2"/>
    <d v="2025-08-04T00:00:00"/>
    <x v="11"/>
    <s v="Ruth Alvarez"/>
    <x v="0"/>
    <s v="allenronald@example.com"/>
    <s v="7094421410"/>
    <d v="2026-03-06T18:31:08"/>
    <m/>
  </r>
  <r>
    <s v="Luis Gould"/>
    <n v="101231"/>
    <x v="1"/>
    <d v="2025-11-25T00:00:00"/>
    <x v="11"/>
    <s v="Kevin Kennedy"/>
    <x v="0"/>
    <s v="jacobsmary@example.com"/>
    <s v="8454238885"/>
    <d v="2026-03-12T19:54:08"/>
    <m/>
  </r>
  <r>
    <s v="Taylor Grant"/>
    <n v="101051"/>
    <x v="4"/>
    <d v="2025-08-08T00:00:00"/>
    <x v="7"/>
    <s v="Patty Butler"/>
    <x v="1"/>
    <s v="michelle98@example.com"/>
    <s v="001-778-874-4227x58548"/>
    <d v="2026-02-22T20:51:08"/>
    <m/>
  </r>
  <r>
    <s v="Rebecca Stewart"/>
    <n v="101219"/>
    <x v="5"/>
    <d v="2025-04-07T00:00:00"/>
    <x v="28"/>
    <s v="Lisa Thompson"/>
    <x v="0"/>
    <s v="kevinmendez@example.org"/>
    <s v="665-702-0002"/>
    <d v="2026-02-10T11:54:08"/>
    <m/>
  </r>
  <r>
    <s v="Laurie Johns"/>
    <n v="100077"/>
    <x v="3"/>
    <d v="2026-04-22T00:00:00"/>
    <x v="7"/>
    <s v="David Day"/>
    <x v="0"/>
    <s v="lloydmiranda@example.org"/>
    <s v="405.357.0836"/>
    <d v="2026-03-12T09:53:08"/>
    <m/>
  </r>
  <r>
    <s v="Duane Meyer"/>
    <n v="101376"/>
    <x v="5"/>
    <d v="2026-01-13T00:00:00"/>
    <x v="21"/>
    <s v="Janice Harvey"/>
    <x v="1"/>
    <s v="sthomas@example.org"/>
    <s v="(377)546-2025x82543"/>
    <d v="2026-03-02T14:09:08"/>
    <m/>
  </r>
  <r>
    <s v="Carrie Daniels"/>
    <n v="101351"/>
    <x v="4"/>
    <d v="2025-07-10T00:00:00"/>
    <x v="11"/>
    <s v="Nancy Lee"/>
    <x v="1"/>
    <s v="martinezcatherine@example.net"/>
    <s v="5498106018"/>
    <d v="2026-03-04T05:05:08"/>
    <m/>
  </r>
  <r>
    <s v="Christopher Robbins"/>
    <n v="100406"/>
    <x v="2"/>
    <d v="2025-04-22T00:00:00"/>
    <x v="9"/>
    <s v="Alexander Martin"/>
    <x v="0"/>
    <s v="tpowell@example.org"/>
    <s v="+1-872-425-7754x58472"/>
    <d v="2026-02-17T12:58:08"/>
    <m/>
  </r>
  <r>
    <s v="Terri Nguyen"/>
    <n v="100384"/>
    <x v="2"/>
    <d v="2026-01-22T00:00:00"/>
    <x v="33"/>
    <s v="Kayla Rowe"/>
    <x v="1"/>
    <s v="qreyes@example.net"/>
    <s v="416.308.2717"/>
    <d v="2026-03-08T02:17:08"/>
    <m/>
  </r>
  <r>
    <s v="Daniel Ramos"/>
    <n v="100693"/>
    <x v="2"/>
    <d v="2026-02-02T00:00:00"/>
    <x v="31"/>
    <s v="Claudia Cunningham"/>
    <x v="1"/>
    <s v="suehowe@example.com"/>
    <s v="(322)899-9362"/>
    <d v="2026-03-08T16:49:08"/>
    <m/>
  </r>
  <r>
    <s v="Mary Richards"/>
    <n v="100857"/>
    <x v="1"/>
    <d v="2025-04-15T00:00:00"/>
    <x v="24"/>
    <s v="Cynthia Pierce"/>
    <x v="1"/>
    <s v="peggynguyen@example.com"/>
    <s v="001-939-983-5844x617"/>
    <d v="2026-02-15T03:38:08"/>
    <m/>
  </r>
  <r>
    <s v="Robert Roberts"/>
    <n v="100319"/>
    <x v="6"/>
    <d v="2026-04-09T00:00:00"/>
    <x v="31"/>
    <s v="Laura Green"/>
    <x v="0"/>
    <s v="becky79@example.net"/>
    <s v="001-412-279-9702x9271"/>
    <d v="2026-02-03T21:02:08"/>
    <s v="Missing Department"/>
  </r>
  <r>
    <s v="Melvin Carlson"/>
    <n v="100026"/>
    <x v="3"/>
    <d v="2026-01-05T00:00:00"/>
    <x v="12"/>
    <s v="Susan Higgins"/>
    <x v="1"/>
    <s v="tracywoodard@example.com"/>
    <s v="(498)783-2201"/>
    <d v="2026-03-02T21:43:08"/>
    <m/>
  </r>
  <r>
    <s v="Richard Roy"/>
    <n v="101433"/>
    <x v="1"/>
    <d v="2025-11-07T00:00:00"/>
    <x v="29"/>
    <s v="Carrie Ware"/>
    <x v="0"/>
    <s v="kathleen79@example.net"/>
    <s v="588.889.7535x852"/>
    <d v="2026-03-01T06:44:08"/>
    <m/>
  </r>
  <r>
    <s v="Rebecca Nielsen"/>
    <n v="101250"/>
    <x v="5"/>
    <d v="2026-01-06T00:00:00"/>
    <x v="3"/>
    <s v="Robin Williams"/>
    <x v="0"/>
    <s v="ramirezkevin@example.com"/>
    <s v="+1-219-495-1715x2391"/>
    <d v="2026-02-08T17:44:08"/>
    <m/>
  </r>
  <r>
    <s v="Carol Mcintosh"/>
    <n v="101283"/>
    <x v="5"/>
    <d v="2025-04-07T00:00:00"/>
    <x v="7"/>
    <s v="Nicole Beck"/>
    <x v="0"/>
    <s v="turnertimothy@example.net"/>
    <s v="001-983-309-3096x7139"/>
    <d v="2026-02-16T23:47:08"/>
    <m/>
  </r>
  <r>
    <s v="Ashley Sanders"/>
    <n v="101179"/>
    <x v="6"/>
    <d v="2025-11-16T00:00:00"/>
    <x v="25"/>
    <s v="Monique Wilson"/>
    <x v="0"/>
    <s v="davidmcdaniel@example.net"/>
    <s v="367.420.1911x166"/>
    <d v="2026-03-10T22:51:08"/>
    <s v="Missing Department"/>
  </r>
  <r>
    <s v="Amanda Williamson"/>
    <n v="100774"/>
    <x v="0"/>
    <d v="2026-03-05T00:00:00"/>
    <x v="4"/>
    <s v="Chad Cooper"/>
    <x v="1"/>
    <s v="mrandolph@example.net"/>
    <s v="001-930-649-3665x3802"/>
    <d v="2026-02-26T09:45:08"/>
    <m/>
  </r>
  <r>
    <s v="Ashley Duran"/>
    <n v="100960"/>
    <x v="0"/>
    <d v="2025-03-24T00:00:00"/>
    <x v="5"/>
    <s v="Brian Mitchell"/>
    <x v="0"/>
    <s v="igarrett@example.com"/>
    <s v="2955229462"/>
    <d v="2026-01-30T02:14:08"/>
    <m/>
  </r>
  <r>
    <s v="Holly Ponce"/>
    <n v="101009"/>
    <x v="1"/>
    <d v="2026-04-02T00:00:00"/>
    <x v="25"/>
    <s v="Sara Jones"/>
    <x v="0"/>
    <s v="trujillojason@example.net"/>
    <s v="001-995-329-7013"/>
    <d v="2026-01-30T04:04:08"/>
    <m/>
  </r>
  <r>
    <s v="Connor Mcconnell"/>
    <n v="100620"/>
    <x v="3"/>
    <d v="2026-04-24T00:00:00"/>
    <x v="40"/>
    <s v="Kimberly Hughes"/>
    <x v="0"/>
    <s v="jasonjohnson@example.org"/>
    <s v="001-920-627-0615x9273"/>
    <d v="2026-02-04T15:30:08"/>
    <m/>
  </r>
  <r>
    <s v="Kyle Brown"/>
    <n v="100171"/>
    <x v="5"/>
    <d v="2026-03-04T00:00:00"/>
    <x v="17"/>
    <s v="Tracey Reynolds"/>
    <x v="1"/>
    <s v="gutierrezdavid@example.com"/>
    <s v="715.854.2034x03010"/>
    <d v="2026-02-17T08:42:08"/>
    <m/>
  </r>
  <r>
    <s v="Kristy Tate"/>
    <n v="100377"/>
    <x v="1"/>
    <d v="2025-12-18T00:00:00"/>
    <x v="20"/>
    <s v="Jay Buchanan"/>
    <x v="0"/>
    <s v="woodbrittany@example.com"/>
    <s v="(246)323-4712x476"/>
    <d v="2026-02-11T18:53:08"/>
    <m/>
  </r>
  <r>
    <s v="Anthony Wilson"/>
    <n v="101307"/>
    <x v="4"/>
    <d v="2025-04-11T00:00:00"/>
    <x v="7"/>
    <s v="Barbara Clark"/>
    <x v="1"/>
    <s v="gspencer@example.com"/>
    <s v="(941)372-6808x0815"/>
    <d v="2026-02-14T20:47:08"/>
    <m/>
  </r>
  <r>
    <s v="Andre Cortez"/>
    <n v="101074"/>
    <x v="0"/>
    <d v="2025-09-19T00:00:00"/>
    <x v="32"/>
    <s v="Michele Ford"/>
    <x v="0"/>
    <s v="williamortiz@example.org"/>
    <s v="607.935.1045"/>
    <d v="2026-02-09T10:55:08"/>
    <m/>
  </r>
  <r>
    <s v="Robert Thompson"/>
    <n v="101006"/>
    <x v="3"/>
    <d v="2025-09-03T00:00:00"/>
    <x v="3"/>
    <s v="Allison Cunningham"/>
    <x v="0"/>
    <s v="michaelvillarreal@example.net"/>
    <s v="(776)569-4703x180"/>
    <d v="2026-02-03T01:35:08"/>
    <m/>
  </r>
  <r>
    <s v="Dr. Paula Lawson MD"/>
    <n v="101245"/>
    <x v="1"/>
    <d v="2026-03-10T00:00:00"/>
    <x v="28"/>
    <s v="Teresa Weeks"/>
    <x v="0"/>
    <s v="bpreston@example.org"/>
    <s v="259-218-3270"/>
    <d v="2026-02-24T05:52:08"/>
    <m/>
  </r>
  <r>
    <s v="Jennifer Coleman"/>
    <n v="101343"/>
    <x v="2"/>
    <d v="2025-11-28T00:00:00"/>
    <x v="8"/>
    <s v="Gary Lawrence"/>
    <x v="0"/>
    <s v="popebrent@example.net"/>
    <s v="671.240.0493x8819"/>
    <d v="2026-02-21T06:07:08"/>
    <m/>
  </r>
  <r>
    <s v="Michael Zimmerman"/>
    <n v="101198"/>
    <x v="5"/>
    <d v="2025-11-19T00:00:00"/>
    <x v="25"/>
    <s v="Christopher Scott"/>
    <x v="1"/>
    <s v="mortonkenneth@example.net"/>
    <s v="869.687.3137x9716"/>
    <d v="2026-02-15T20:43:08"/>
    <m/>
  </r>
  <r>
    <s v="Terry Moses"/>
    <m/>
    <x v="4"/>
    <d v="2026-04-29T00:00:00"/>
    <x v="10"/>
    <s v="John Cisneros"/>
    <x v="1"/>
    <s v="rcastillo@example.org"/>
    <s v="625.362.3899"/>
    <d v="2026-03-11T15:10:08"/>
    <s v="Missing Employee ID"/>
  </r>
  <r>
    <s v="Jill Smith DDS"/>
    <n v="101126"/>
    <x v="5"/>
    <d v="2025-06-15T00:00:00"/>
    <x v="14"/>
    <s v="Carmen Jordan"/>
    <x v="0"/>
    <s v="anthonymcdonald@example.net"/>
    <s v="382.511.6020x418"/>
    <d v="2026-02-27T14:05:08"/>
    <m/>
  </r>
  <r>
    <s v="Michael Gilbert"/>
    <m/>
    <x v="3"/>
    <d v="2025-11-25T00:00:00"/>
    <x v="11"/>
    <s v="Kathy Kaiser"/>
    <x v="0"/>
    <s v="hlester@example.org"/>
    <s v="608.489.4801x864"/>
    <d v="2026-02-26T03:41:08"/>
    <s v="Missing Employee ID"/>
  </r>
  <r>
    <s v="Bryan Arroyo"/>
    <n v="100894"/>
    <x v="1"/>
    <d v="2025-05-22T00:00:00"/>
    <x v="6"/>
    <s v="Kelly Mclaughlin"/>
    <x v="1"/>
    <s v="ashleyalexander@example.net"/>
    <s v="(770)982-0048x067"/>
    <d v="2026-02-03T17:11:08"/>
    <m/>
  </r>
  <r>
    <s v="Sandra White"/>
    <n v="101377"/>
    <x v="4"/>
    <d v="2025-06-20T00:00:00"/>
    <x v="15"/>
    <s v="Justin Evans"/>
    <x v="0"/>
    <s v="pdavis@example.net"/>
    <s v="428-979-4296"/>
    <d v="2026-02-10T19:54:08"/>
    <m/>
  </r>
  <r>
    <s v="Jenna Harding"/>
    <n v="100636"/>
    <x v="4"/>
    <d v="2025-10-12T00:00:00"/>
    <x v="27"/>
    <s v="Sarah Beck"/>
    <x v="1"/>
    <s v="adamsbrianna@example.org"/>
    <s v="001-514-419-6156x078"/>
    <d v="2026-02-15T07:32:08"/>
    <m/>
  </r>
  <r>
    <s v="Mr. Robert Tran"/>
    <n v="101472"/>
    <x v="1"/>
    <d v="2025-05-22T00:00:00"/>
    <x v="31"/>
    <s v="Nathan Gomez"/>
    <x v="0"/>
    <s v="zcarpenter@example.net"/>
    <s v="+1-862-240-9649x66834"/>
    <d v="2026-02-14T05:13:08"/>
    <m/>
  </r>
  <r>
    <s v="Jorge Hernandez"/>
    <n v="101160"/>
    <x v="4"/>
    <d v="2026-04-14T00:00:00"/>
    <x v="11"/>
    <s v="Christian Morgan"/>
    <x v="1"/>
    <s v="wthomas@example.net"/>
    <s v="001-536-248-8208x93486"/>
    <d v="2026-02-26T02:21:08"/>
    <m/>
  </r>
  <r>
    <s v="Brenda Green"/>
    <n v="100903"/>
    <x v="3"/>
    <d v="2026-01-26T00:00:00"/>
    <x v="28"/>
    <s v="William Mullins"/>
    <x v="1"/>
    <s v="eguzman@example.com"/>
    <s v="5917141319"/>
    <d v="2026-03-05T11:55:08"/>
    <m/>
  </r>
  <r>
    <s v="Victoria Bowman"/>
    <n v="100031"/>
    <x v="3"/>
    <d v="2025-06-06T00:00:00"/>
    <x v="15"/>
    <s v="Robert Harris"/>
    <x v="0"/>
    <s v="nrodriguez@example.com"/>
    <s v="001-760-252-3045x8816"/>
    <d v="2026-02-23T22:18:08"/>
    <m/>
  </r>
  <r>
    <s v="Heather Blanchard"/>
    <n v="100772"/>
    <x v="3"/>
    <d v="2025-10-27T00:00:00"/>
    <x v="31"/>
    <s v="Kathleen Baker"/>
    <x v="0"/>
    <s v="pattersondebra@example.org"/>
    <s v="001-444-609-6617x718"/>
    <d v="2026-02-09T16:43:08"/>
    <m/>
  </r>
  <r>
    <s v="Laura Payne"/>
    <n v="100041"/>
    <x v="4"/>
    <d v="2025-09-08T00:00:00"/>
    <x v="1"/>
    <s v="Joshua Solomon"/>
    <x v="1"/>
    <s v="clinesteven@example.net"/>
    <s v="(514)717-4681"/>
    <d v="2026-02-10T12:22:08"/>
    <m/>
  </r>
  <r>
    <s v="Tamara Sims"/>
    <n v="100667"/>
    <x v="1"/>
    <d v="2025-08-17T00:00:00"/>
    <x v="15"/>
    <s v="Kimberly Jensen"/>
    <x v="1"/>
    <s v="hollyperkins@example.net"/>
    <s v="+1-687-748-6941x559"/>
    <d v="2026-02-13T12:57:08"/>
    <m/>
  </r>
  <r>
    <s v="Amber Martinez"/>
    <n v="100070"/>
    <x v="5"/>
    <d v="2025-08-26T00:00:00"/>
    <x v="15"/>
    <s v="Kyle White"/>
    <x v="1"/>
    <s v="pvang@example.net"/>
    <s v="(805)511-7160x3988"/>
    <d v="2026-02-03T07:49:08"/>
    <m/>
  </r>
  <r>
    <s v="David Daugherty"/>
    <n v="100665"/>
    <x v="1"/>
    <d v="2025-08-11T00:00:00"/>
    <x v="39"/>
    <s v="Ariel Riley"/>
    <x v="1"/>
    <s v="nathan06@example.com"/>
    <s v="6004994248"/>
    <d v="2026-01-31T14:04:08"/>
    <m/>
  </r>
  <r>
    <s v="Thomas Lutz"/>
    <n v="101111"/>
    <x v="1"/>
    <d v="2025-04-05T00:00:00"/>
    <x v="28"/>
    <s v="Denise Leach"/>
    <x v="0"/>
    <s v="areynolds@example.org"/>
    <s v="964-620-4565x77580"/>
    <d v="2026-02-25T17:04:08"/>
    <m/>
  </r>
  <r>
    <s v="Traci Lee"/>
    <n v="100358"/>
    <x v="5"/>
    <d v="2026-01-26T00:00:00"/>
    <x v="7"/>
    <s v="Lisa Coleman"/>
    <x v="1"/>
    <s v="melodywood@example.com"/>
    <s v="(522)265-4016x5995"/>
    <d v="2026-03-11T06:46:08"/>
    <m/>
  </r>
  <r>
    <s v="Timothy Coleman"/>
    <n v="100053"/>
    <x v="0"/>
    <d v="2026-01-21T00:00:00"/>
    <x v="38"/>
    <s v="Bailey Hernandez"/>
    <x v="1"/>
    <s v="sylviayates@example.com"/>
    <s v="674.362.5916x0112"/>
    <d v="2026-03-04T17:08:08"/>
    <m/>
  </r>
  <r>
    <s v="Thomas Christian"/>
    <n v="101407"/>
    <x v="0"/>
    <d v="2025-12-16T00:00:00"/>
    <x v="14"/>
    <s v="Danielle Robles"/>
    <x v="1"/>
    <s v="aholder@example.net"/>
    <s v="4175986778"/>
    <d v="2026-03-04T01:10:08"/>
    <m/>
  </r>
  <r>
    <s v="Carrie Larson"/>
    <n v="100767"/>
    <x v="4"/>
    <d v="2026-01-18T00:00:00"/>
    <x v="30"/>
    <s v="Jill Floyd"/>
    <x v="1"/>
    <s v="galvanjoshua@example.org"/>
    <s v="001-664-526-1212x038"/>
    <d v="2026-03-07T03:19:08"/>
    <m/>
  </r>
  <r>
    <s v="Stacey Peterson"/>
    <n v="101146"/>
    <x v="4"/>
    <d v="2025-09-29T00:00:00"/>
    <x v="26"/>
    <s v="Michael Blair"/>
    <x v="1"/>
    <s v="murraymichael@example.net"/>
    <s v="(554)782-4218"/>
    <d v="2026-02-22T07:24:08"/>
    <m/>
  </r>
  <r>
    <s v="Heidi Goodwin"/>
    <n v="101185"/>
    <x v="5"/>
    <d v="2025-12-28T00:00:00"/>
    <x v="11"/>
    <s v="Amber Lowe"/>
    <x v="1"/>
    <s v="pscott@example.com"/>
    <s v="975-323-1123x2748"/>
    <d v="2026-02-18T02:48:08"/>
    <m/>
  </r>
  <r>
    <s v="Steven Sanders"/>
    <n v="100083"/>
    <x v="4"/>
    <d v="2025-06-07T00:00:00"/>
    <x v="39"/>
    <s v="Matthew Newman"/>
    <x v="0"/>
    <s v="tracyjohnson@example.net"/>
    <s v="+1-362-817-5080"/>
    <d v="2026-03-07T10:49:08"/>
    <m/>
  </r>
  <r>
    <s v="Samantha Scott"/>
    <n v="100258"/>
    <x v="4"/>
    <d v="2025-11-14T00:00:00"/>
    <x v="8"/>
    <s v="Cheyenne Hughes"/>
    <x v="0"/>
    <s v="markgardner@example.org"/>
    <s v="993-953-4001x816"/>
    <d v="2026-03-16T03:56:08"/>
    <m/>
  </r>
  <r>
    <s v="Kayla Jones"/>
    <n v="101131"/>
    <x v="2"/>
    <d v="2025-10-14T00:00:00"/>
    <x v="3"/>
    <s v="William Ramirez"/>
    <x v="1"/>
    <s v="sabrina54@example.com"/>
    <s v="(208)738-5179x93781"/>
    <d v="2026-01-29T22:31:08"/>
    <m/>
  </r>
  <r>
    <s v="Kyle Thomas"/>
    <n v="100770"/>
    <x v="3"/>
    <d v="2025-06-26T00:00:00"/>
    <x v="7"/>
    <s v="Jonathan Guerrero"/>
    <x v="1"/>
    <s v="klara@example.net"/>
    <s v="(698)982-9045x79271"/>
    <d v="2026-02-09T01:10:08"/>
    <m/>
  </r>
  <r>
    <s v="Dawn Hall"/>
    <n v="100284"/>
    <x v="0"/>
    <d v="2026-05-11T00:00:00"/>
    <x v="34"/>
    <s v="Shannon Downs"/>
    <x v="1"/>
    <s v="lpage@example.com"/>
    <s v="(538)339-7283"/>
    <d v="2026-02-09T02:05:08"/>
    <m/>
  </r>
  <r>
    <s v="Brian Lucas"/>
    <n v="100809"/>
    <x v="2"/>
    <d v="2025-03-29T00:00:00"/>
    <x v="11"/>
    <s v="Amanda Mora"/>
    <x v="1"/>
    <s v="sherryknight@example.org"/>
    <s v="480.298.3221x01023"/>
    <d v="2026-02-24T20:03:08"/>
    <m/>
  </r>
  <r>
    <s v="Michael Cruz"/>
    <n v="100779"/>
    <x v="1"/>
    <d v="2025-05-18T00:00:00"/>
    <x v="27"/>
    <s v="Brian Kent"/>
    <x v="0"/>
    <s v="hespinoza@example.org"/>
    <s v="+1-514-635-6140"/>
    <d v="2026-02-12T18:26:08"/>
    <m/>
  </r>
  <r>
    <s v="Marie Davidson"/>
    <n v="100345"/>
    <x v="2"/>
    <d v="2025-03-30T00:00:00"/>
    <x v="1"/>
    <s v="Jordan Williams"/>
    <x v="1"/>
    <s v="yhill@example.net"/>
    <s v="+1-923-854-6951x0030"/>
    <d v="2026-03-11T21:28:08"/>
    <m/>
  </r>
  <r>
    <s v="April Roth"/>
    <n v="101410"/>
    <x v="4"/>
    <d v="2026-01-07T00:00:00"/>
    <x v="9"/>
    <s v="Gary Harmon"/>
    <x v="1"/>
    <s v="ekim@example.com"/>
    <s v="2068666411"/>
    <d v="2026-02-03T18:30:08"/>
    <m/>
  </r>
  <r>
    <s v="Elizabeth Miller"/>
    <n v="100465"/>
    <x v="6"/>
    <d v="2026-03-06T00:00:00"/>
    <x v="1"/>
    <s v="Ryan Kaiser"/>
    <x v="0"/>
    <s v="valeriesmith@example.com"/>
    <s v="+1-251-269-9497"/>
    <d v="2026-02-28T12:21:08"/>
    <s v="Missing Department"/>
  </r>
  <r>
    <s v="Justin Lee"/>
    <n v="100216"/>
    <x v="1"/>
    <d v="2025-04-14T00:00:00"/>
    <x v="1"/>
    <s v="Dale Spencer"/>
    <x v="1"/>
    <s v="kferguson@example.net"/>
    <s v="+1-362-969-7083x868"/>
    <d v="2026-01-31T13:17:08"/>
    <m/>
  </r>
  <r>
    <s v="Melanie Davidson"/>
    <n v="100335"/>
    <x v="4"/>
    <d v="2025-06-07T00:00:00"/>
    <x v="1"/>
    <s v="Angel Johnson"/>
    <x v="1"/>
    <s v="dwhite@example.org"/>
    <s v="001-476-809-3201"/>
    <d v="2026-02-17T20:11:08"/>
    <m/>
  </r>
  <r>
    <s v="Pamela Howard"/>
    <n v="101469"/>
    <x v="4"/>
    <d v="2025-04-09T00:00:00"/>
    <x v="34"/>
    <s v="Lynn Ray"/>
    <x v="0"/>
    <s v="omarturner@example.org"/>
    <s v="+1-709-352-1755"/>
    <d v="2026-02-12T11:18:08"/>
    <m/>
  </r>
  <r>
    <s v="Jesus Mccarthy"/>
    <n v="100266"/>
    <x v="3"/>
    <d v="2026-04-11T00:00:00"/>
    <x v="3"/>
    <s v="Brenda Phillips"/>
    <x v="0"/>
    <s v="kristendavis@example.net"/>
    <s v="+1-482-941-9962x6422"/>
    <d v="2026-02-10T06:54:08"/>
    <m/>
  </r>
  <r>
    <s v="Kevin Cole"/>
    <n v="101439"/>
    <x v="4"/>
    <d v="2026-05-13T00:00:00"/>
    <x v="13"/>
    <s v="Sierra Gentry"/>
    <x v="0"/>
    <s v="jennifer54@example.org"/>
    <s v="485-245-7056"/>
    <d v="2026-02-09T22:07:08"/>
    <m/>
  </r>
  <r>
    <s v="Brenda Richard"/>
    <n v="101369"/>
    <x v="4"/>
    <d v="2026-05-11T00:00:00"/>
    <x v="15"/>
    <s v="Ronald Page"/>
    <x v="0"/>
    <s v="hurleybrandon@example.net"/>
    <s v="(435)764-0723x2472"/>
    <d v="2026-02-11T08:18:08"/>
    <m/>
  </r>
  <r>
    <s v="Stacey Ramirez"/>
    <n v="100472"/>
    <x v="4"/>
    <d v="2026-04-18T00:00:00"/>
    <x v="6"/>
    <s v="John Pearson"/>
    <x v="0"/>
    <s v="eugenegreen@example.com"/>
    <s v="912.361.6850"/>
    <d v="2026-03-10T10:28:08"/>
    <m/>
  </r>
  <r>
    <s v="Gregory Hart"/>
    <n v="101275"/>
    <x v="3"/>
    <d v="2025-11-28T00:00:00"/>
    <x v="11"/>
    <s v="Tiffany Davis"/>
    <x v="0"/>
    <s v="theresa92@example.com"/>
    <s v="915-226-1053"/>
    <d v="2026-02-18T02:11:08"/>
    <m/>
  </r>
  <r>
    <s v="Brandy Williams"/>
    <n v="101267"/>
    <x v="0"/>
    <d v="2025-05-14T00:00:00"/>
    <x v="15"/>
    <s v="Robert Wheeler"/>
    <x v="1"/>
    <s v="smithtimothy@example.net"/>
    <s v="+1-818-594-8543x2987"/>
    <d v="2026-02-22T07:16:08"/>
    <m/>
  </r>
  <r>
    <s v="Jennifer Anderson"/>
    <n v="100658"/>
    <x v="4"/>
    <d v="2025-05-26T00:00:00"/>
    <x v="2"/>
    <s v="Tyler Miranda"/>
    <x v="1"/>
    <s v="fhuff@example.net"/>
    <s v="001-282-473-4813x1045"/>
    <d v="2026-03-05T07:31:08"/>
    <m/>
  </r>
  <r>
    <s v="Justin Bishop"/>
    <n v="101380"/>
    <x v="0"/>
    <d v="2026-04-01T00:00:00"/>
    <x v="11"/>
    <s v="Clifford Mcdonald"/>
    <x v="0"/>
    <s v="jason57@example.com"/>
    <s v="535.526.8064x86067"/>
    <d v="2026-01-31T13:03:08"/>
    <m/>
  </r>
  <r>
    <s v="Whitney Macdonald DVM"/>
    <n v="101449"/>
    <x v="2"/>
    <d v="2025-08-20T00:00:00"/>
    <x v="11"/>
    <s v="Kimberly Ponce"/>
    <x v="0"/>
    <s v="lauren64@example.com"/>
    <s v="(280)855-0774"/>
    <d v="2026-03-11T03:24:08"/>
    <m/>
  </r>
  <r>
    <s v="Manuel Gomez"/>
    <n v="101060"/>
    <x v="3"/>
    <d v="2025-04-24T00:00:00"/>
    <x v="7"/>
    <s v="James Harris"/>
    <x v="1"/>
    <s v="jessicasmith@example.org"/>
    <s v="+1-355-510-7409"/>
    <d v="2026-03-14T11:12:08"/>
    <m/>
  </r>
  <r>
    <s v="Bradley Garcia"/>
    <n v="101132"/>
    <x v="3"/>
    <d v="2025-04-01T00:00:00"/>
    <x v="18"/>
    <s v="Teresa Davis"/>
    <x v="1"/>
    <s v="thomaslinda@example.net"/>
    <s v="360.422.0695x354"/>
    <d v="2026-03-09T09:16:08"/>
    <m/>
  </r>
  <r>
    <s v="Dr. Mary White DVM"/>
    <n v="100606"/>
    <x v="0"/>
    <d v="2025-04-18T00:00:00"/>
    <x v="14"/>
    <s v="Stephanie Howard"/>
    <x v="0"/>
    <s v="smithmichelle@example.net"/>
    <s v="6159153259"/>
    <d v="2026-03-08T21:22:08"/>
    <m/>
  </r>
  <r>
    <s v="Lisa Johnson"/>
    <n v="101190"/>
    <x v="2"/>
    <d v="2026-01-10T00:00:00"/>
    <x v="11"/>
    <s v="Tyler Vasquez"/>
    <x v="1"/>
    <s v="ipadilla@example.com"/>
    <s v="+1-680-559-5031x006"/>
    <d v="2026-03-15T14:49:08"/>
    <m/>
  </r>
  <r>
    <s v="Patricia Smith"/>
    <n v="100027"/>
    <x v="3"/>
    <d v="2026-04-02T00:00:00"/>
    <x v="34"/>
    <s v="Lauren Smith"/>
    <x v="1"/>
    <s v="david03@example.com"/>
    <s v="3895411849"/>
    <d v="2026-03-06T00:49:08"/>
    <m/>
  </r>
  <r>
    <s v="Gabrielle Gilbert DVM"/>
    <n v="101144"/>
    <x v="1"/>
    <d v="2025-07-17T00:00:00"/>
    <x v="18"/>
    <s v="Heather Wolf"/>
    <x v="0"/>
    <s v="reginaparks@example.com"/>
    <s v="(205)261-0067"/>
    <d v="2026-02-11T10:30:08"/>
    <m/>
  </r>
  <r>
    <s v="Jeffrey Sloan"/>
    <n v="100637"/>
    <x v="2"/>
    <d v="2025-08-07T00:00:00"/>
    <x v="3"/>
    <s v="Amy Payne"/>
    <x v="0"/>
    <s v="cwoods@example.net"/>
    <s v="678.742.3394"/>
    <d v="2026-03-10T10:36:08"/>
    <m/>
  </r>
  <r>
    <s v="Alicia Long"/>
    <n v="101361"/>
    <x v="1"/>
    <d v="2026-03-13T00:00:00"/>
    <x v="34"/>
    <s v="Peter Bradford"/>
    <x v="0"/>
    <s v="mark32@example.net"/>
    <s v="(301)973-6542x624"/>
    <d v="2026-02-15T18:55:08"/>
    <m/>
  </r>
  <r>
    <s v="Catherine Brown"/>
    <n v="100478"/>
    <x v="3"/>
    <d v="2025-06-16T00:00:00"/>
    <x v="40"/>
    <s v="Travis Park"/>
    <x v="0"/>
    <s v="jefferywalker@example.com"/>
    <s v="510-209-0605"/>
    <d v="2026-02-12T10:08:08"/>
    <m/>
  </r>
  <r>
    <s v="Tina Peters"/>
    <n v="100169"/>
    <x v="5"/>
    <d v="2025-05-12T00:00:00"/>
    <x v="29"/>
    <s v="David Smith"/>
    <x v="0"/>
    <s v="davisphilip@example.org"/>
    <s v="(990)745-7598"/>
    <d v="2026-02-11T13:16:08"/>
    <m/>
  </r>
  <r>
    <s v="Shannon Miller"/>
    <n v="101374"/>
    <x v="1"/>
    <d v="2026-04-10T00:00:00"/>
    <x v="5"/>
    <s v="Linda Henderson"/>
    <x v="0"/>
    <s v="randallhall@example.org"/>
    <s v="(420)227-5582x14770"/>
    <d v="2026-03-11T06:43:08"/>
    <m/>
  </r>
  <r>
    <s v="Ashley Owen"/>
    <n v="100414"/>
    <x v="1"/>
    <d v="2025-05-14T00:00:00"/>
    <x v="6"/>
    <s v="Courtney Walton"/>
    <x v="1"/>
    <s v="whiteryan@example.org"/>
    <s v="992-215-8189"/>
    <d v="2026-02-01T02:45:08"/>
    <m/>
  </r>
  <r>
    <s v="Krystal Hamilton"/>
    <n v="101295"/>
    <x v="2"/>
    <d v="2025-12-24T00:00:00"/>
    <x v="6"/>
    <s v="Kathy Lewis"/>
    <x v="0"/>
    <s v="martin81@example.net"/>
    <s v="001-259-277-2168"/>
    <d v="2026-03-12T01:40:08"/>
    <m/>
  </r>
  <r>
    <s v="Patricia Stark"/>
    <n v="100695"/>
    <x v="4"/>
    <d v="2025-06-15T00:00:00"/>
    <x v="28"/>
    <s v="Ralph Lyons"/>
    <x v="1"/>
    <s v="carloswerner@example.net"/>
    <s v="(289)372-8454"/>
    <d v="2026-02-01T14:19:08"/>
    <m/>
  </r>
  <r>
    <s v="Brenda Bowen DDS"/>
    <n v="100684"/>
    <x v="5"/>
    <d v="2025-10-26T00:00:00"/>
    <x v="18"/>
    <s v="Christopher Lewis"/>
    <x v="0"/>
    <s v="amanda32@example.net"/>
    <s v="(404)314-4743"/>
    <d v="2026-02-19T04:14:08"/>
    <m/>
  </r>
  <r>
    <s v="William Frye"/>
    <n v="100344"/>
    <x v="1"/>
    <d v="2025-05-07T00:00:00"/>
    <x v="20"/>
    <s v="Michelle Haynes"/>
    <x v="0"/>
    <s v="jillnavarro@example.org"/>
    <s v="9307423227"/>
    <d v="2026-02-23T11:04:08"/>
    <m/>
  </r>
  <r>
    <s v="Bethany Liu"/>
    <n v="100863"/>
    <x v="1"/>
    <d v="2025-10-08T00:00:00"/>
    <x v="11"/>
    <s v="Mitchell Williams"/>
    <x v="1"/>
    <s v="wesleybutler@example.org"/>
    <s v="(346)530-0593x77756"/>
    <d v="2026-02-13T08:24:08"/>
    <m/>
  </r>
  <r>
    <s v="Benjamin Johnson"/>
    <m/>
    <x v="1"/>
    <d v="2026-01-13T00:00:00"/>
    <x v="40"/>
    <s v="Kyle Perry"/>
    <x v="1"/>
    <s v="harrisonnicholas@example.net"/>
    <s v="6293831043"/>
    <d v="2026-02-13T19:09:08"/>
    <s v="Missing Employee ID"/>
  </r>
  <r>
    <s v="Jenna Hernandez"/>
    <n v="101261"/>
    <x v="1"/>
    <d v="2025-10-09T00:00:00"/>
    <x v="34"/>
    <s v="Sean Mcmillan"/>
    <x v="0"/>
    <s v="gtucker@example.org"/>
    <s v="(368)856-6706x362"/>
    <d v="2026-02-15T14:13:08"/>
    <m/>
  </r>
  <r>
    <s v="Antonio Perkins"/>
    <n v="100446"/>
    <x v="3"/>
    <d v="2025-07-22T00:00:00"/>
    <x v="33"/>
    <s v="Rachel Turner"/>
    <x v="0"/>
    <s v="alexanderryan@example.org"/>
    <s v="+1-549-433-9650x49627"/>
    <d v="2026-03-15T14:31:08"/>
    <m/>
  </r>
  <r>
    <s v="Janice Hamilton"/>
    <n v="100279"/>
    <x v="0"/>
    <d v="2026-05-15T00:00:00"/>
    <x v="7"/>
    <s v="Ann Schmitt"/>
    <x v="0"/>
    <s v="javier62@example.net"/>
    <s v="885-442-1880x87991"/>
    <d v="2026-03-05T04:51:08"/>
    <m/>
  </r>
  <r>
    <s v="Misty Solomon"/>
    <n v="101075"/>
    <x v="1"/>
    <d v="2026-02-26T00:00:00"/>
    <x v="31"/>
    <s v="Mary Duncan"/>
    <x v="0"/>
    <s v="mbaker@example.net"/>
    <s v="532-247-2505x83334"/>
    <d v="2026-03-11T19:21:08"/>
    <m/>
  </r>
  <r>
    <s v="Cynthia Miller"/>
    <n v="100499"/>
    <x v="1"/>
    <d v="2026-04-12T00:00:00"/>
    <x v="33"/>
    <s v="Sarah Rice"/>
    <x v="1"/>
    <s v="ujohnson@example.com"/>
    <s v="(576)794-7576x945"/>
    <d v="2026-02-02T00:55:08"/>
    <m/>
  </r>
  <r>
    <s v="Jessica Elliott"/>
    <n v="100225"/>
    <x v="1"/>
    <d v="2025-11-29T00:00:00"/>
    <x v="34"/>
    <s v="Denise Hughes PhD"/>
    <x v="0"/>
    <s v="erivers@example.com"/>
    <s v="242.712.5450"/>
    <d v="2026-03-14T03:13:08"/>
    <m/>
  </r>
  <r>
    <s v="Taylor Stark"/>
    <n v="100617"/>
    <x v="3"/>
    <d v="2025-09-28T00:00:00"/>
    <x v="6"/>
    <s v="Brandon Peterson"/>
    <x v="1"/>
    <s v="ucarlson@example.com"/>
    <s v="001-966-647-2130"/>
    <d v="2026-02-15T16:41:08"/>
    <m/>
  </r>
  <r>
    <s v="Jacob Love"/>
    <n v="100819"/>
    <x v="0"/>
    <d v="2025-06-14T00:00:00"/>
    <x v="37"/>
    <s v="Mrs. Janice Fitzpatrick"/>
    <x v="1"/>
    <s v="brian48@example.net"/>
    <s v="232.961.4543"/>
    <d v="2026-02-17T13:19:08"/>
    <m/>
  </r>
  <r>
    <s v="Connie Townsend"/>
    <n v="100559"/>
    <x v="4"/>
    <d v="2026-03-17T00:00:00"/>
    <x v="29"/>
    <s v="Tyler Becker"/>
    <x v="1"/>
    <s v="johnsondebbie@example.net"/>
    <s v="978-352-2115"/>
    <d v="2026-02-01T23:00:08"/>
    <m/>
  </r>
  <r>
    <s v="Kristin Flores"/>
    <n v="100752"/>
    <x v="1"/>
    <d v="2026-01-02T00:00:00"/>
    <x v="9"/>
    <s v="Robert Barrett"/>
    <x v="0"/>
    <s v="ryanbullock@example.com"/>
    <s v="447-501-7320x865"/>
    <d v="2026-02-12T16:00:08"/>
    <m/>
  </r>
  <r>
    <s v="Julie Anderson"/>
    <n v="101329"/>
    <x v="5"/>
    <d v="2025-07-28T00:00:00"/>
    <x v="9"/>
    <s v="Michael Russell"/>
    <x v="1"/>
    <s v="taylorrodriguez@example.org"/>
    <s v="+1-205-427-8105x5800"/>
    <d v="2026-02-26T06:58:08"/>
    <m/>
  </r>
  <r>
    <s v="Mr. Nicholas Jones"/>
    <n v="100551"/>
    <x v="0"/>
    <d v="2025-03-30T00:00:00"/>
    <x v="20"/>
    <s v="Joel Bradford"/>
    <x v="1"/>
    <s v="davidjohnson@example.com"/>
    <s v="291.536.8172"/>
    <d v="2026-02-07T16:59:08"/>
    <m/>
  </r>
  <r>
    <s v="James Reed"/>
    <n v="101421"/>
    <x v="4"/>
    <d v="2025-09-26T00:00:00"/>
    <x v="7"/>
    <s v="Kelly Myers"/>
    <x v="1"/>
    <s v="burkejacob@example.net"/>
    <s v="+1-973-552-5953x3222"/>
    <d v="2026-02-22T03:51:08"/>
    <m/>
  </r>
  <r>
    <s v="Cheryl Boyd"/>
    <n v="100399"/>
    <x v="4"/>
    <d v="2025-04-13T00:00:00"/>
    <x v="38"/>
    <s v="April Cox"/>
    <x v="1"/>
    <s v="yvazquez@example.org"/>
    <s v="(332)236-6185x076"/>
    <d v="2026-02-07T15:01:08"/>
    <m/>
  </r>
  <r>
    <s v="Judy Dixon"/>
    <n v="100771"/>
    <x v="0"/>
    <d v="2025-08-19T00:00:00"/>
    <x v="1"/>
    <s v="Jonathan Moyer"/>
    <x v="0"/>
    <s v="mariagonzalez@example.org"/>
    <s v="507-412-6158"/>
    <d v="2026-03-14T23:32:08"/>
    <m/>
  </r>
  <r>
    <s v="Tracey Vasquez"/>
    <n v="101109"/>
    <x v="4"/>
    <d v="2025-04-04T00:00:00"/>
    <x v="40"/>
    <s v="Lorraine Leblanc"/>
    <x v="1"/>
    <s v="amanda46@example.com"/>
    <s v="457.442.2332"/>
    <d v="2026-02-27T17:13:08"/>
    <m/>
  </r>
  <r>
    <s v="Katie Walters"/>
    <n v="100360"/>
    <x v="1"/>
    <d v="2026-01-11T00:00:00"/>
    <x v="1"/>
    <s v="Dorothy Osborn"/>
    <x v="1"/>
    <s v="ann92@example.net"/>
    <s v="+1-522-956-0629x53506"/>
    <d v="2026-02-08T04:35:08"/>
    <m/>
  </r>
  <r>
    <s v="Dana Wyatt"/>
    <n v="101390"/>
    <x v="4"/>
    <d v="2026-01-03T00:00:00"/>
    <x v="7"/>
    <s v="Anthony Sanders"/>
    <x v="0"/>
    <s v="phill@example.org"/>
    <s v="453.884.1852x0136"/>
    <d v="2026-01-30T18:52:08"/>
    <m/>
  </r>
  <r>
    <s v="Katie Mitchell"/>
    <n v="101171"/>
    <x v="2"/>
    <d v="2025-09-04T00:00:00"/>
    <x v="34"/>
    <s v="Kenneth Cortez"/>
    <x v="0"/>
    <s v="paul54@example.com"/>
    <s v="3558491215"/>
    <d v="2026-02-05T07:41:08"/>
    <m/>
  </r>
  <r>
    <s v="Debra Jones"/>
    <n v="101045"/>
    <x v="4"/>
    <d v="2025-10-25T00:00:00"/>
    <x v="7"/>
    <s v="Megan Rivera"/>
    <x v="0"/>
    <s v="andre19@example.net"/>
    <s v="(493)295-7875x2070"/>
    <d v="2026-02-10T10:36:08"/>
    <m/>
  </r>
  <r>
    <s v="Jeffrey Moore"/>
    <n v="100962"/>
    <x v="4"/>
    <d v="2025-07-29T00:00:00"/>
    <x v="1"/>
    <s v="Marcus Pearson"/>
    <x v="1"/>
    <s v="taylordorothy@example.org"/>
    <s v="213-993-6967x8976"/>
    <d v="2026-03-01T20:35:08"/>
    <m/>
  </r>
  <r>
    <s v="Christopher Henry"/>
    <n v="101302"/>
    <x v="0"/>
    <d v="2026-03-18T00:00:00"/>
    <x v="30"/>
    <s v="Mr. Lance Townsend"/>
    <x v="1"/>
    <s v="samuelprice@example.org"/>
    <s v="659.588.9786x533"/>
    <d v="2026-03-11T22:34:08"/>
    <m/>
  </r>
  <r>
    <s v="Brandon Carrillo"/>
    <n v="100020"/>
    <x v="1"/>
    <d v="2025-11-14T00:00:00"/>
    <x v="31"/>
    <s v="Colin Mckay"/>
    <x v="0"/>
    <s v="hunter12@example.org"/>
    <s v="(619)615-0576"/>
    <d v="2026-02-03T07:36:08"/>
    <m/>
  </r>
  <r>
    <s v="Joy Dorsey"/>
    <n v="101386"/>
    <x v="1"/>
    <d v="2026-05-01T00:00:00"/>
    <x v="9"/>
    <s v="Michael Smith"/>
    <x v="1"/>
    <s v="ddonaldson@example.com"/>
    <s v="848-567-6497x9741"/>
    <d v="2026-03-04T03:46:08"/>
    <m/>
  </r>
  <r>
    <s v="Gregory Vazquez"/>
    <n v="100598"/>
    <x v="5"/>
    <d v="2025-07-22T00:00:00"/>
    <x v="4"/>
    <s v="Scott Johnson"/>
    <x v="0"/>
    <s v="usanchez@example.net"/>
    <s v="473.909.6496"/>
    <d v="2026-02-03T17:54:08"/>
    <m/>
  </r>
  <r>
    <s v="Brian Reid"/>
    <n v="101235"/>
    <x v="1"/>
    <d v="2025-06-19T00:00:00"/>
    <x v="39"/>
    <s v="Brenda Dominguez"/>
    <x v="1"/>
    <s v="manuelwilliams@example.com"/>
    <s v="001-470-925-5128"/>
    <d v="2026-02-03T23:43:08"/>
    <m/>
  </r>
  <r>
    <s v="Daniel Evans"/>
    <n v="100398"/>
    <x v="1"/>
    <d v="2026-04-13T00:00:00"/>
    <x v="17"/>
    <s v="Dr. Lisa Hendricks"/>
    <x v="0"/>
    <s v="cheryl54@example.com"/>
    <s v="+1-863-545-4434x41491"/>
    <d v="2026-02-21T02:07:08"/>
    <m/>
  </r>
  <r>
    <s v="Dana Thornton"/>
    <n v="101241"/>
    <x v="3"/>
    <d v="2025-07-17T00:00:00"/>
    <x v="28"/>
    <s v="Desiree Hayes"/>
    <x v="1"/>
    <s v="baileynelson@example.com"/>
    <s v="408-982-2309x586"/>
    <d v="2026-02-17T03:54:08"/>
    <m/>
  </r>
  <r>
    <s v="Colleen Johnston"/>
    <n v="100852"/>
    <x v="4"/>
    <d v="2026-05-15T00:00:00"/>
    <x v="28"/>
    <s v="Maria Khan"/>
    <x v="0"/>
    <s v="cory21@example.org"/>
    <s v="001-597-620-2170x75485"/>
    <d v="2026-02-18T08:48:08"/>
    <m/>
  </r>
  <r>
    <s v="Rachel Wood"/>
    <n v="100211"/>
    <x v="4"/>
    <d v="2026-02-09T00:00:00"/>
    <x v="1"/>
    <s v="Kevin Villarreal"/>
    <x v="0"/>
    <s v="benjaminsmith@example.com"/>
    <s v="496-746-1293x900"/>
    <d v="2026-02-19T09:46:08"/>
    <m/>
  </r>
  <r>
    <s v="Richard Harris"/>
    <n v="100063"/>
    <x v="3"/>
    <d v="2025-05-31T00:00:00"/>
    <x v="15"/>
    <s v="Felicia Long"/>
    <x v="0"/>
    <s v="allison96@example.org"/>
    <s v="695-570-8619x93145"/>
    <d v="2026-02-25T02:04:08"/>
    <m/>
  </r>
  <r>
    <s v="Garrett Hughes"/>
    <n v="100730"/>
    <x v="1"/>
    <d v="2025-12-27T00:00:00"/>
    <x v="29"/>
    <s v="Daniel Weaver"/>
    <x v="0"/>
    <s v="brandon34@example.org"/>
    <s v="662.420.3347"/>
    <d v="2026-03-06T08:36:08"/>
    <s v="Duplicate Employee ID"/>
  </r>
  <r>
    <s v="Daniel Rodriguez"/>
    <n v="100477"/>
    <x v="3"/>
    <d v="2025-03-30T00:00:00"/>
    <x v="34"/>
    <s v="Matthew Klein"/>
    <x v="0"/>
    <s v="sgordon@example.net"/>
    <s v="+1-368-900-8529x46902"/>
    <d v="2026-02-03T16:28:08"/>
    <m/>
  </r>
  <r>
    <s v="Dustin Owens"/>
    <n v="100555"/>
    <x v="1"/>
    <d v="2026-04-20T00:00:00"/>
    <x v="15"/>
    <s v="Andrew Clark"/>
    <x v="0"/>
    <s v="brian38@example.com"/>
    <s v="4229894665"/>
    <d v="2026-02-23T21:22:08"/>
    <m/>
  </r>
  <r>
    <s v="Monica Molina"/>
    <n v="101304"/>
    <x v="4"/>
    <d v="2025-04-17T00:00:00"/>
    <x v="26"/>
    <s v="Christina Anderson"/>
    <x v="1"/>
    <s v="cindyhall@example.org"/>
    <s v="5252691330"/>
    <d v="2026-03-08T09:51:08"/>
    <m/>
  </r>
  <r>
    <s v="David Mcdonald"/>
    <n v="100417"/>
    <x v="3"/>
    <d v="2026-01-02T00:00:00"/>
    <x v="30"/>
    <s v="Michael Santiago"/>
    <x v="1"/>
    <s v="xlogan@example.org"/>
    <s v="762.579.9553x024"/>
    <d v="2026-03-11T09:47:08"/>
    <m/>
  </r>
  <r>
    <s v="Todd Thompson"/>
    <n v="100965"/>
    <x v="1"/>
    <d v="2025-05-17T00:00:00"/>
    <x v="34"/>
    <s v="Kevin Hammond"/>
    <x v="1"/>
    <s v="bjackson@example.org"/>
    <s v="420-428-4719x017"/>
    <d v="2026-03-01T03:28:08"/>
    <m/>
  </r>
  <r>
    <s v="Brandi Williams"/>
    <n v="101418"/>
    <x v="2"/>
    <d v="2025-05-28T00:00:00"/>
    <x v="11"/>
    <s v="Jeffrey Johns"/>
    <x v="0"/>
    <s v="qhendricks@example.net"/>
    <s v="+1-471-677-5461"/>
    <d v="2026-02-27T02:54:08"/>
    <m/>
  </r>
  <r>
    <s v="Ian Weaver"/>
    <n v="101136"/>
    <x v="5"/>
    <d v="2025-07-24T00:00:00"/>
    <x v="8"/>
    <s v="Tami Moore"/>
    <x v="0"/>
    <s v="vfuller@example.net"/>
    <s v="822-659-0956"/>
    <d v="2026-02-23T23:17:08"/>
    <m/>
  </r>
  <r>
    <s v="Suzanne Hardy"/>
    <n v="100723"/>
    <x v="5"/>
    <d v="2025-11-14T00:00:00"/>
    <x v="37"/>
    <s v="David Wright"/>
    <x v="1"/>
    <s v="shannonhammond@example.org"/>
    <s v="(212)511-0187"/>
    <d v="2026-02-14T05:21:08"/>
    <m/>
  </r>
  <r>
    <s v="Vickie Tran"/>
    <n v="100156"/>
    <x v="4"/>
    <d v="2025-03-26T00:00:00"/>
    <x v="18"/>
    <s v="Natalie Williams"/>
    <x v="0"/>
    <s v="gibsonbrandon@example.com"/>
    <s v="703-392-5199x9452"/>
    <d v="2026-02-27T23:03:08"/>
    <m/>
  </r>
  <r>
    <s v="Christopher Thomas MD"/>
    <n v="100710"/>
    <x v="5"/>
    <d v="2025-08-21T00:00:00"/>
    <x v="0"/>
    <s v="David Robinson"/>
    <x v="0"/>
    <s v="bwhite@example.com"/>
    <s v="222-516-2654x9633"/>
    <d v="2026-02-16T04:39:08"/>
    <m/>
  </r>
  <r>
    <s v="Dylan Turner"/>
    <n v="101026"/>
    <x v="0"/>
    <d v="2025-10-03T00:00:00"/>
    <x v="26"/>
    <s v="Sandra Torres"/>
    <x v="0"/>
    <s v="lromero@example.com"/>
    <s v="7473020596"/>
    <d v="2026-02-25T10:44:08"/>
    <m/>
  </r>
  <r>
    <s v="Sheri Lopez"/>
    <n v="101048"/>
    <x v="3"/>
    <d v="2025-10-26T00:00:00"/>
    <x v="8"/>
    <s v="Kathleen Hanson"/>
    <x v="1"/>
    <s v="raywalters@example.org"/>
    <s v="(995)763-4277"/>
    <d v="2026-03-11T01:08:08"/>
    <m/>
  </r>
  <r>
    <s v="Caitlin Howard"/>
    <n v="101201"/>
    <x v="1"/>
    <d v="2026-03-28T00:00:00"/>
    <x v="6"/>
    <s v="Jason Blackwell"/>
    <x v="0"/>
    <s v="amy29@example.org"/>
    <s v="7598229411"/>
    <d v="2026-03-05T18:04:08"/>
    <m/>
  </r>
  <r>
    <s v="Christian Stewart"/>
    <n v="101406"/>
    <x v="2"/>
    <d v="2025-11-30T00:00:00"/>
    <x v="1"/>
    <s v="Meredith Morales"/>
    <x v="1"/>
    <s v="qsanchez@example.net"/>
    <s v="(362)794-2066"/>
    <d v="2026-02-05T23:13:08"/>
    <s v="Extra Name Spaces"/>
  </r>
  <r>
    <s v="Loretta Johnson"/>
    <n v="100082"/>
    <x v="4"/>
    <d v="2025-11-03T00:00:00"/>
    <x v="10"/>
    <s v="Gina Lee"/>
    <x v="1"/>
    <s v="walkeramanda@example.org"/>
    <s v="4493832112"/>
    <d v="2026-02-03T13:16:08"/>
    <m/>
  </r>
  <r>
    <s v="Carrie Jones"/>
    <n v="100553"/>
    <x v="0"/>
    <d v="2025-10-07T00:00:00"/>
    <x v="28"/>
    <s v="Kayla Buck"/>
    <x v="1"/>
    <s v="dawsonamanda@example.com"/>
    <s v="+1-368-776-4019"/>
    <d v="2026-02-23T22:15:08"/>
    <m/>
  </r>
  <r>
    <s v="Joshua Price"/>
    <n v="101364"/>
    <x v="6"/>
    <d v="2025-05-11T00:00:00"/>
    <x v="11"/>
    <s v="Nicole Hood DDS"/>
    <x v="0"/>
    <s v="nortongregory@example.net"/>
    <s v="378.873.5856x6464"/>
    <d v="2026-02-05T18:30:08"/>
    <s v="Missing Department"/>
  </r>
  <r>
    <s v="Claudia Barrett"/>
    <n v="100986"/>
    <x v="5"/>
    <d v="2026-04-25T00:00:00"/>
    <x v="40"/>
    <s v="Charles Conrad"/>
    <x v="0"/>
    <s v="haroldlee@example.org"/>
    <s v="310-342-9483x1478"/>
    <d v="2026-02-28T11:59:08"/>
    <m/>
  </r>
  <r>
    <s v="Lucas Hernandez"/>
    <n v="100278"/>
    <x v="1"/>
    <d v="2026-05-13T00:00:00"/>
    <x v="31"/>
    <s v="Leah Wheeler"/>
    <x v="0"/>
    <s v="barbara81@example.net"/>
    <s v="(883)818-0036"/>
    <d v="2026-02-18T05:22:08"/>
    <m/>
  </r>
  <r>
    <s v="Michael Jackson"/>
    <n v="100981"/>
    <x v="6"/>
    <d v="2025-10-03T00:00:00"/>
    <x v="32"/>
    <s v="Aaron Mayer"/>
    <x v="0"/>
    <s v="amberlee@example.com"/>
    <s v="510.250.5243"/>
    <d v="2026-03-14T22:51:08"/>
    <s v="Missing Department"/>
  </r>
  <r>
    <s v="Kristen Martin"/>
    <n v="101491"/>
    <x v="1"/>
    <d v="2026-01-30T00:00:00"/>
    <x v="15"/>
    <s v="Robert Jackson"/>
    <x v="1"/>
    <s v="brownraymond@example.net"/>
    <s v="(927)863-3283x89633"/>
    <d v="2026-03-04T08:58:08"/>
    <m/>
  </r>
  <r>
    <s v="Angela Rogers"/>
    <n v="100730"/>
    <x v="3"/>
    <d v="2025-04-10T00:00:00"/>
    <x v="9"/>
    <s v="Mark Daniels"/>
    <x v="1"/>
    <s v="dthompson@example.org"/>
    <s v="468.541.0132"/>
    <d v="2026-03-07T14:52:08"/>
    <m/>
  </r>
  <r>
    <s v="Michelle Hernandez"/>
    <n v="101079"/>
    <x v="4"/>
    <d v="2025-06-11T00:00:00"/>
    <x v="23"/>
    <s v="Sarah Simon"/>
    <x v="1"/>
    <s v="michaellopez@example.net"/>
    <s v="+1-818-775-0677x610"/>
    <d v="2026-02-01T01:02:08"/>
    <m/>
  </r>
  <r>
    <s v="Carol Walters"/>
    <n v="100450"/>
    <x v="3"/>
    <d v="2025-07-08T00:00:00"/>
    <x v="37"/>
    <s v="Kelly Chase"/>
    <x v="1"/>
    <s v="john19@example.org"/>
    <s v="597.661.7815x969"/>
    <d v="2026-02-13T04:52:08"/>
    <m/>
  </r>
  <r>
    <s v="Jonathan Navarro"/>
    <n v="100281"/>
    <x v="3"/>
    <d v="2025-10-22T00:00:00"/>
    <x v="3"/>
    <s v="Mike Dennis"/>
    <x v="0"/>
    <s v="sbennett@example.com"/>
    <s v="+1-962-595-9125"/>
    <d v="2026-02-25T18:48:08"/>
    <m/>
  </r>
  <r>
    <s v="Jordan Cunningham"/>
    <n v="100244"/>
    <x v="2"/>
    <d v="2025-10-16T00:00:00"/>
    <x v="7"/>
    <s v="Gwendolyn Walker"/>
    <x v="0"/>
    <s v="emily07@example.net"/>
    <s v="629-390-7472x9669"/>
    <d v="2026-03-15T08:00:08"/>
    <m/>
  </r>
  <r>
    <s v="Laura Sanders"/>
    <n v="100641"/>
    <x v="2"/>
    <d v="2025-07-14T00:00:00"/>
    <x v="21"/>
    <s v="Aaron Casey"/>
    <x v="1"/>
    <s v="rparker@example.com"/>
    <s v="685-399-4641x839"/>
    <d v="2026-03-11T17:33:08"/>
    <m/>
  </r>
  <r>
    <s v="David Combs"/>
    <n v="100496"/>
    <x v="1"/>
    <d v="2025-05-23T00:00:00"/>
    <x v="40"/>
    <s v="Lori Clark"/>
    <x v="0"/>
    <s v="osbornkelly@example.net"/>
    <s v="+1-804-245-0928"/>
    <d v="2026-01-30T04:49:08"/>
    <m/>
  </r>
  <r>
    <s v="Christopher Houston"/>
    <n v="100533"/>
    <x v="5"/>
    <d v="2026-03-27T00:00:00"/>
    <x v="30"/>
    <s v="Mrs. Brenda Ellis"/>
    <x v="0"/>
    <s v="jross@example.net"/>
    <s v="3085248458"/>
    <d v="2026-03-13T06:33:08"/>
    <m/>
  </r>
  <r>
    <s v="Shawn Berry"/>
    <n v="100796"/>
    <x v="2"/>
    <d v="2025-11-12T00:00:00"/>
    <x v="2"/>
    <s v="Max Williams"/>
    <x v="0"/>
    <s v="itorres@example.net"/>
    <s v="599.274.1856"/>
    <d v="2026-03-16T09:15:08"/>
    <m/>
  </r>
  <r>
    <s v="Tyler Kramer"/>
    <n v="100784"/>
    <x v="1"/>
    <d v="2026-01-27T00:00:00"/>
    <x v="6"/>
    <s v="Amber Lewis"/>
    <x v="1"/>
    <s v="jennifer61@example.net"/>
    <s v="001-695-830-5641x84937"/>
    <d v="2026-03-07T22:49:08"/>
    <m/>
  </r>
  <r>
    <s v="Anthony Juarez"/>
    <n v="101420"/>
    <x v="0"/>
    <d v="2026-01-07T00:00:00"/>
    <x v="1"/>
    <s v="Susan Valdez"/>
    <x v="0"/>
    <s v="pmartin@example.org"/>
    <s v="6136651034"/>
    <d v="2026-02-12T01:05:08"/>
    <m/>
  </r>
  <r>
    <s v="Darlene Guzman"/>
    <n v="100652"/>
    <x v="4"/>
    <d v="2025-11-10T00:00:00"/>
    <x v="15"/>
    <s v="Jennifer Hill"/>
    <x v="1"/>
    <s v="stephanie86@example.com"/>
    <s v="(840)962-2155"/>
    <d v="2026-01-29T23:48:08"/>
    <m/>
  </r>
  <r>
    <s v="Timothy Tate"/>
    <n v="100860"/>
    <x v="5"/>
    <d v="2025-05-27T00:00:00"/>
    <x v="26"/>
    <s v="Scott Martinez"/>
    <x v="0"/>
    <s v="riverajason@example.net"/>
    <s v="+1-747-504-7476x4845"/>
    <d v="2026-03-08T00:52:08"/>
    <m/>
  </r>
  <r>
    <s v="Erika Davis"/>
    <n v="100253"/>
    <x v="2"/>
    <d v="2026-04-02T00:00:00"/>
    <x v="6"/>
    <s v="Crystal Perez"/>
    <x v="1"/>
    <s v="burnschristopher@example.org"/>
    <s v="355-331-2900x3622"/>
    <d v="2026-02-05T08:54:08"/>
    <m/>
  </r>
  <r>
    <s v="Peggy Young"/>
    <n v="100997"/>
    <x v="1"/>
    <d v="2025-08-23T00:00:00"/>
    <x v="31"/>
    <s v="Briana Booker"/>
    <x v="1"/>
    <s v="xmoore@example.com"/>
    <s v="+1-783-495-8558"/>
    <d v="2026-03-06T22:56:08"/>
    <m/>
  </r>
  <r>
    <s v="Michael Jackson"/>
    <n v="100265"/>
    <x v="5"/>
    <d v="2025-04-12T00:00:00"/>
    <x v="11"/>
    <s v="Brenda Villarreal"/>
    <x v="0"/>
    <s v="sullivantiffany@example.com"/>
    <s v="359.617.1050x8054"/>
    <d v="2026-03-02T11:39:08"/>
    <m/>
  </r>
  <r>
    <s v="Eric Ruiz"/>
    <n v="101288"/>
    <x v="0"/>
    <d v="2025-11-11T00:00:00"/>
    <x v="33"/>
    <s v="Margaret Kelly"/>
    <x v="1"/>
    <s v="kennethrusso@example.net"/>
    <s v="001-541-271-5949x7344"/>
    <d v="2026-03-09T01:01:08"/>
    <m/>
  </r>
  <r>
    <s v="John Ferguson"/>
    <n v="100971"/>
    <x v="0"/>
    <d v="2025-10-28T00:00:00"/>
    <x v="2"/>
    <s v="Calvin Robinson"/>
    <x v="1"/>
    <s v="russocasey@example.org"/>
    <s v="489.326.0878"/>
    <d v="2026-02-15T01:05:08"/>
    <m/>
  </r>
  <r>
    <s v="Christopher Daniels"/>
    <n v="101255"/>
    <x v="3"/>
    <d v="2026-03-19T00:00:00"/>
    <x v="15"/>
    <s v="Dustin Peters"/>
    <x v="1"/>
    <s v="lesliebrown@example.org"/>
    <s v="274-365-3537"/>
    <d v="2026-03-11T10:57:08"/>
    <m/>
  </r>
  <r>
    <s v="Sharon Kelly"/>
    <n v="100761"/>
    <x v="4"/>
    <d v="2025-06-16T00:00:00"/>
    <x v="28"/>
    <s v="Chelsea Ramirez"/>
    <x v="1"/>
    <s v="vcrawford@example.com"/>
    <s v="662.896.9143x362"/>
    <d v="2026-02-07T19:16:08"/>
    <m/>
  </r>
  <r>
    <s v="Jessica Bonilla"/>
    <n v="100162"/>
    <x v="1"/>
    <d v="2025-07-02T00:00:00"/>
    <x v="36"/>
    <s v="Leonard Andrews"/>
    <x v="1"/>
    <s v="norrisdaniel@example.net"/>
    <s v="+1-385-873-9083x521"/>
    <d v="2026-03-12T09:30:08"/>
    <m/>
  </r>
  <r>
    <s v="Donna Roberts"/>
    <n v="101071"/>
    <x v="1"/>
    <d v="2026-02-25T00:00:00"/>
    <x v="1"/>
    <s v="Jean Fitzgerald"/>
    <x v="0"/>
    <s v="christine97@example.net"/>
    <s v="(372)285-7595x828"/>
    <d v="2026-02-25T18:39:08"/>
    <m/>
  </r>
  <r>
    <s v="Benjamin Mcgee"/>
    <n v="101018"/>
    <x v="3"/>
    <d v="2025-10-03T00:00:00"/>
    <x v="17"/>
    <s v="Joshua Guerrero"/>
    <x v="1"/>
    <s v="wilkinskevin@example.net"/>
    <s v="697.617.0598"/>
    <d v="2026-03-07T16:55:08"/>
    <m/>
  </r>
  <r>
    <s v="Rita Tyler"/>
    <n v="100850"/>
    <x v="0"/>
    <d v="2025-11-06T00:00:00"/>
    <x v="22"/>
    <s v="Christine Crawford"/>
    <x v="1"/>
    <s v="alexandramyers@example.net"/>
    <s v="812-330-3885"/>
    <d v="2026-02-05T19:27:08"/>
    <m/>
  </r>
  <r>
    <s v="Laura Lynch"/>
    <n v="101177"/>
    <x v="0"/>
    <d v="2025-08-31T00:00:00"/>
    <x v="28"/>
    <s v="Dr. Angela Landry"/>
    <x v="1"/>
    <s v="barbara09@example.net"/>
    <s v="001-892-517-7905x5286"/>
    <d v="2026-02-23T22:29:08"/>
    <m/>
  </r>
  <r>
    <s v="Richard Davis"/>
    <n v="100516"/>
    <x v="3"/>
    <d v="2025-07-02T00:00:00"/>
    <x v="28"/>
    <s v="Emily Wagner"/>
    <x v="1"/>
    <s v="webstersteven@example.net"/>
    <s v="5533260119"/>
    <d v="2026-02-24T16:01:08"/>
    <m/>
  </r>
  <r>
    <s v="Tyler Patel"/>
    <n v="100913"/>
    <x v="0"/>
    <d v="2025-12-21T00:00:00"/>
    <x v="23"/>
    <s v="Victoria Parker"/>
    <x v="1"/>
    <s v="michael36@example.org"/>
    <s v="001-608-758-1810"/>
    <d v="2026-03-05T09:43:08"/>
    <m/>
  </r>
  <r>
    <s v="Chad Lewis"/>
    <n v="100736"/>
    <x v="5"/>
    <d v="2025-04-30T00:00:00"/>
    <x v="11"/>
    <s v="James Bullock"/>
    <x v="0"/>
    <s v="wharris@example.com"/>
    <s v="(571)535-8969"/>
    <d v="2026-02-20T04:10:08"/>
    <m/>
  </r>
  <r>
    <s v="Robert Brown"/>
    <n v="100834"/>
    <x v="4"/>
    <d v="2026-02-10T00:00:00"/>
    <x v="20"/>
    <s v="Gene Morris"/>
    <x v="1"/>
    <s v="odavis@example.com"/>
    <s v="731.356.6397x925"/>
    <d v="2026-02-17T07:19:08"/>
    <m/>
  </r>
  <r>
    <s v="Dylan Long"/>
    <n v="100627"/>
    <x v="1"/>
    <d v="2025-05-22T00:00:00"/>
    <x v="14"/>
    <s v="Amanda Anderson"/>
    <x v="1"/>
    <s v="thomaswhite@example.org"/>
    <s v="(689)466-6053"/>
    <d v="2026-02-12T11:05:08"/>
    <m/>
  </r>
  <r>
    <s v="Jamie Scott"/>
    <n v="100453"/>
    <x v="1"/>
    <d v="2025-10-30T00:00:00"/>
    <x v="6"/>
    <s v="Michael Gutierrez"/>
    <x v="1"/>
    <s v="barrycindy@example.net"/>
    <s v="553.258.4640x510"/>
    <d v="2026-03-11T03:29:08"/>
    <m/>
  </r>
  <r>
    <s v="William Smith"/>
    <n v="100912"/>
    <x v="4"/>
    <d v="2026-01-24T00:00:00"/>
    <x v="7"/>
    <s v="Jason Henderson"/>
    <x v="1"/>
    <s v="bakerjonathon@example.com"/>
    <s v="218.893.9530x969"/>
    <d v="2026-03-11T16:32:08"/>
    <m/>
  </r>
  <r>
    <s v="David Avila DVM"/>
    <n v="100773"/>
    <x v="1"/>
    <d v="2025-09-06T00:00:00"/>
    <x v="19"/>
    <s v="Lori Holt"/>
    <x v="0"/>
    <s v="hudsonglen@example.net"/>
    <s v="001-949-387-4551x35872"/>
    <d v="2026-02-12T23:55:08"/>
    <m/>
  </r>
  <r>
    <s v="Stephen Smith"/>
    <n v="100324"/>
    <x v="1"/>
    <d v="2025-04-27T00:00:00"/>
    <x v="40"/>
    <s v="Renee Moyer"/>
    <x v="0"/>
    <s v="mccormickkatherine@example.com"/>
    <s v="001-903-743-9881x87387"/>
    <d v="2026-02-14T07:39:08"/>
    <m/>
  </r>
  <r>
    <s v="Courtney Young"/>
    <n v="100609"/>
    <x v="3"/>
    <d v="2025-05-20T00:00:00"/>
    <x v="21"/>
    <s v="Philip Cole"/>
    <x v="1"/>
    <s v="clinton09@example.org"/>
    <s v="+1-715-638-6028x262"/>
    <d v="2026-02-08T16:17:08"/>
    <m/>
  </r>
  <r>
    <s v="Tracy Bradshaw"/>
    <n v="100572"/>
    <x v="1"/>
    <d v="2025-04-24T00:00:00"/>
    <x v="3"/>
    <s v="Ryan Huffman"/>
    <x v="0"/>
    <s v="patriciacarr@example.net"/>
    <s v="+1-657-372-0441x0079"/>
    <d v="2026-02-12T03:24:08"/>
    <m/>
  </r>
  <r>
    <s v="Caitlin Watson"/>
    <n v="101055"/>
    <x v="5"/>
    <d v="2025-05-03T00:00:00"/>
    <x v="2"/>
    <s v="Sara Day"/>
    <x v="1"/>
    <s v="howelljennifer@example.com"/>
    <s v="922-448-7098"/>
    <d v="2026-02-22T09:13:08"/>
    <m/>
  </r>
  <r>
    <s v="Victoria Glenn"/>
    <n v="101118"/>
    <x v="1"/>
    <d v="2025-04-26T00:00:00"/>
    <x v="23"/>
    <s v="Christine Thompson"/>
    <x v="0"/>
    <s v="braunmegan@example.org"/>
    <s v="(240)243-2611"/>
    <d v="2026-03-05T04:30:08"/>
    <m/>
  </r>
  <r>
    <s v="James Reynolds"/>
    <n v="100937"/>
    <x v="6"/>
    <d v="2025-04-27T00:00:00"/>
    <x v="5"/>
    <s v="Cindy Wells"/>
    <x v="1"/>
    <s v="amywest@example.net"/>
    <s v="(802)400-9536"/>
    <d v="2026-02-07T02:23:08"/>
    <s v="Missing Department"/>
  </r>
  <r>
    <s v="Isaac Ortiz"/>
    <n v="100820"/>
    <x v="5"/>
    <d v="2026-01-29T00:00:00"/>
    <x v="31"/>
    <s v="Amanda Morgan"/>
    <x v="0"/>
    <s v="bjacobs@example.org"/>
    <s v="573-925-9007"/>
    <d v="2026-03-05T15:14:08"/>
    <m/>
  </r>
  <r>
    <s v="Paul Johnson"/>
    <n v="100136"/>
    <x v="1"/>
    <d v="2025-07-26T00:00:00"/>
    <x v="23"/>
    <s v="Christopher Rodriguez"/>
    <x v="0"/>
    <s v="vknight@example.net"/>
    <s v="916.372.2104x5461"/>
    <d v="2026-02-19T13:56:08"/>
    <m/>
  </r>
  <r>
    <s v="Kimberly Haney"/>
    <n v="100467"/>
    <x v="0"/>
    <d v="2025-06-11T00:00:00"/>
    <x v="22"/>
    <s v="Roy Gibson"/>
    <x v="1"/>
    <s v="john02@example.org"/>
    <s v="001-644-322-5216x02523"/>
    <d v="2026-02-24T20:48:08"/>
    <m/>
  </r>
  <r>
    <s v="Nicholas Zuniga"/>
    <n v="101200"/>
    <x v="1"/>
    <d v="2025-09-16T00:00:00"/>
    <x v="27"/>
    <s v="Lauren Torres"/>
    <x v="0"/>
    <s v="esalinas@example.org"/>
    <s v="(390)932-6551x3276"/>
    <d v="2026-03-08T13:18:08"/>
    <m/>
  </r>
  <r>
    <s v="Elizabeth Grant"/>
    <n v="100868"/>
    <x v="0"/>
    <d v="2025-06-21T00:00:00"/>
    <x v="15"/>
    <s v="Megan Nelson"/>
    <x v="0"/>
    <s v="margaret59@example.net"/>
    <s v="(316)402-1191x589"/>
    <d v="2026-03-15T10:46:08"/>
    <m/>
  </r>
  <r>
    <s v="Kimberly Sullivan"/>
    <n v="101481"/>
    <x v="1"/>
    <d v="2026-02-11T00:00:00"/>
    <x v="28"/>
    <s v="Donna Obrien"/>
    <x v="0"/>
    <s v="jscott@example.com"/>
    <s v="262.537.6008x84474"/>
    <d v="2026-02-16T20:32:08"/>
    <m/>
  </r>
  <r>
    <s v="Matthew Bray"/>
    <n v="101066"/>
    <x v="1"/>
    <d v="2025-06-21T00:00:00"/>
    <x v="1"/>
    <s v="Ashley Johnson"/>
    <x v="1"/>
    <s v="christine92@example.org"/>
    <s v="(640)606-9836x92353"/>
    <d v="2026-03-07T01:44:08"/>
    <m/>
  </r>
  <r>
    <s v="Debra Blackburn"/>
    <n v="101497"/>
    <x v="5"/>
    <d v="2025-03-27T00:00:00"/>
    <x v="11"/>
    <s v="Christopher Walker"/>
    <x v="0"/>
    <s v="bflores@example.org"/>
    <s v="(702)712-3720"/>
    <d v="2026-01-31T02:43:08"/>
    <m/>
  </r>
  <r>
    <s v="Daniel Robinson"/>
    <n v="100475"/>
    <x v="1"/>
    <d v="2025-11-12T00:00:00"/>
    <x v="7"/>
    <s v="Albert Stone"/>
    <x v="0"/>
    <s v="lauramanning@example.com"/>
    <s v="339.619.0088x991"/>
    <d v="2026-03-04T07:51:08"/>
    <m/>
  </r>
  <r>
    <s v="Robert Johnson"/>
    <n v="100530"/>
    <x v="1"/>
    <d v="2026-05-14T00:00:00"/>
    <x v="26"/>
    <s v="Sarah Cruz"/>
    <x v="0"/>
    <s v="loritaylor@example.com"/>
    <s v="279.789.7906"/>
    <d v="2026-03-09T20:23:08"/>
    <m/>
  </r>
  <r>
    <s v="William Tapia"/>
    <n v="100712"/>
    <x v="5"/>
    <d v="2025-10-14T00:00:00"/>
    <x v="2"/>
    <s v="Sharon Kelley"/>
    <x v="1"/>
    <s v="ycooke@example.org"/>
    <s v="8003998433"/>
    <d v="2026-03-14T01:16:08"/>
    <m/>
  </r>
  <r>
    <s v="Miranda Sanchez"/>
    <n v="100823"/>
    <x v="5"/>
    <d v="2025-11-19T00:00:00"/>
    <x v="22"/>
    <s v="Timothy Mills"/>
    <x v="0"/>
    <s v="floreseileen@example.net"/>
    <s v="+1-354-758-2942x0340"/>
    <d v="2026-01-30T15:50:08"/>
    <m/>
  </r>
  <r>
    <s v="Phillip Ramirez"/>
    <n v="100180"/>
    <x v="1"/>
    <d v="2025-03-25T00:00:00"/>
    <x v="34"/>
    <s v="Jeremy Brooks"/>
    <x v="0"/>
    <s v="justin46@example.com"/>
    <s v="420.410.8240x281"/>
    <d v="2026-02-26T19:47:08"/>
    <m/>
  </r>
  <r>
    <s v="Kayla Carlson"/>
    <n v="101367"/>
    <x v="5"/>
    <d v="2025-11-13T00:00:00"/>
    <x v="7"/>
    <s v="Tracy Hernandez"/>
    <x v="1"/>
    <s v="htaylor@example.com"/>
    <s v="717.945.2735x36423"/>
    <d v="2026-02-15T18:06:08"/>
    <m/>
  </r>
  <r>
    <s v="Edward Moore"/>
    <n v="101391"/>
    <x v="5"/>
    <d v="2025-03-26T00:00:00"/>
    <x v="1"/>
    <s v="Raymond Clements"/>
    <x v="0"/>
    <s v="daniel16@example.org"/>
    <s v="+1-425-559-0461x0079"/>
    <d v="2026-02-14T06:10:08"/>
    <m/>
  </r>
  <r>
    <s v="Jeffery Johnson"/>
    <n v="100797"/>
    <x v="5"/>
    <d v="2025-07-12T00:00:00"/>
    <x v="16"/>
    <s v="Justin Boyd"/>
    <x v="1"/>
    <s v="fmiller@example.net"/>
    <s v="001-723-229-6151x2048"/>
    <d v="2026-03-08T07:54:08"/>
    <m/>
  </r>
  <r>
    <s v="Mr. Paul Walker PhD"/>
    <n v="100109"/>
    <x v="5"/>
    <d v="2025-10-15T00:00:00"/>
    <x v="27"/>
    <s v="Susan Molina"/>
    <x v="0"/>
    <s v="patrick04@example.net"/>
    <s v="(327)763-4601"/>
    <d v="2026-02-05T10:50:08"/>
    <m/>
  </r>
  <r>
    <s v="Jacob Ball"/>
    <n v="100906"/>
    <x v="4"/>
    <d v="2026-03-04T00:00:00"/>
    <x v="12"/>
    <s v="Victoria Maynard"/>
    <x v="0"/>
    <s v="travis24@example.org"/>
    <s v="(986)417-6822x512"/>
    <d v="2026-03-04T12:34:08"/>
    <m/>
  </r>
  <r>
    <s v="William Hicks"/>
    <n v="101046"/>
    <x v="6"/>
    <d v="2025-11-22T00:00:00"/>
    <x v="7"/>
    <s v="Michele Hughes"/>
    <x v="1"/>
    <s v="sarah62@example.org"/>
    <s v="919-376-8784x947"/>
    <d v="2026-02-25T09:54:08"/>
    <s v="Missing Department"/>
  </r>
  <r>
    <s v="Laura Fowler"/>
    <n v="100881"/>
    <x v="2"/>
    <d v="2025-12-26T00:00:00"/>
    <x v="15"/>
    <s v="Andrew Proctor"/>
    <x v="1"/>
    <s v="drakekevin@example.net"/>
    <s v="442.323.5434x0466"/>
    <d v="2026-02-28T05:43:08"/>
    <m/>
  </r>
  <r>
    <s v="George Walsh"/>
    <n v="100768"/>
    <x v="3"/>
    <d v="2025-06-13T00:00:00"/>
    <x v="0"/>
    <s v="Lindsey Potter"/>
    <x v="1"/>
    <s v="michaelandrews@example.org"/>
    <s v="5643411197"/>
    <d v="2026-03-08T20:50:08"/>
    <m/>
  </r>
  <r>
    <s v="Julie Smith"/>
    <n v="100914"/>
    <x v="2"/>
    <d v="2025-05-16T00:00:00"/>
    <x v="21"/>
    <s v="Cynthia Perez"/>
    <x v="1"/>
    <s v="vincent82@example.net"/>
    <s v="888-649-6806"/>
    <d v="2026-02-22T16:19:08"/>
    <m/>
  </r>
  <r>
    <s v="Alicia Bradford"/>
    <n v="100005"/>
    <x v="1"/>
    <d v="2025-07-30T00:00:00"/>
    <x v="28"/>
    <s v="Wendy White"/>
    <x v="0"/>
    <s v="lisawatson@example.org"/>
    <s v="+1-541-923-0160x49860"/>
    <d v="2026-01-30T16:11:08"/>
    <m/>
  </r>
  <r>
    <s v="Micheal May"/>
    <n v="101453"/>
    <x v="5"/>
    <d v="2026-04-29T00:00:00"/>
    <x v="14"/>
    <s v="Amy Brown"/>
    <x v="0"/>
    <s v="bryanhale@example.org"/>
    <s v="+1-578-699-9011x400"/>
    <d v="2026-02-09T16:29:08"/>
    <m/>
  </r>
  <r>
    <s v="Karen Wilson"/>
    <n v="100671"/>
    <x v="1"/>
    <d v="2025-05-08T00:00:00"/>
    <x v="28"/>
    <s v="Michael Adkins"/>
    <x v="0"/>
    <s v="jgill@example.com"/>
    <s v="3166259084"/>
    <d v="2026-03-03T05:34:08"/>
    <m/>
  </r>
  <r>
    <s v="Makayla Underwood"/>
    <n v="100151"/>
    <x v="3"/>
    <d v="2026-03-23T00:00:00"/>
    <x v="40"/>
    <s v="Jacob Smith"/>
    <x v="1"/>
    <s v="jonessusan@example.com"/>
    <s v="958.221.0728"/>
    <d v="2026-03-10T12:39:08"/>
    <m/>
  </r>
  <r>
    <s v="Richard George"/>
    <n v="100249"/>
    <x v="4"/>
    <d v="2025-09-03T00:00:00"/>
    <x v="15"/>
    <s v="Darrell Rodriguez"/>
    <x v="0"/>
    <s v="brodriguez@example.net"/>
    <s v="001-981-997-2239x964"/>
    <d v="2026-02-16T03:43:08"/>
    <m/>
  </r>
  <r>
    <s v="Kimberly Washington"/>
    <n v="100409"/>
    <x v="0"/>
    <d v="2025-07-19T00:00:00"/>
    <x v="5"/>
    <s v="Amanda Johns"/>
    <x v="0"/>
    <s v="yoderadam@example.com"/>
    <s v="+1-408-655-7800"/>
    <d v="2026-03-11T08:50:08"/>
    <s v="Extra Name Spaces"/>
  </r>
  <r>
    <s v="Elaine Lindsey"/>
    <n v="100506"/>
    <x v="4"/>
    <d v="2026-03-17T00:00:00"/>
    <x v="31"/>
    <s v="Shawn Maynard"/>
    <x v="0"/>
    <s v="taramartinez@example.net"/>
    <s v="9692685746"/>
    <d v="2026-02-11T03:31:08"/>
    <m/>
  </r>
  <r>
    <s v="Jeremy Fleming"/>
    <n v="101438"/>
    <x v="2"/>
    <d v="2025-05-25T00:00:00"/>
    <x v="40"/>
    <s v="Manuel Wilson"/>
    <x v="1"/>
    <s v="heidi21@example.com"/>
    <s v="2165426107"/>
    <d v="2026-02-10T18:37:08"/>
    <m/>
  </r>
  <r>
    <s v="Anthony Everett"/>
    <n v="100713"/>
    <x v="4"/>
    <d v="2025-03-31T00:00:00"/>
    <x v="24"/>
    <s v="Kelly Scott"/>
    <x v="0"/>
    <s v="julianlewis@example.net"/>
    <s v="001-519-283-9248x481"/>
    <d v="2026-03-11T06:22:08"/>
    <m/>
  </r>
  <r>
    <s v="Thomas Rodgers"/>
    <n v="101454"/>
    <x v="4"/>
    <d v="2025-10-07T00:00:00"/>
    <x v="7"/>
    <s v="Rhonda Cervantes"/>
    <x v="0"/>
    <s v="michele02@example.org"/>
    <s v="(716)575-8646x339"/>
    <d v="2026-02-19T16:39:08"/>
    <m/>
  </r>
  <r>
    <s v="Brandon Smith"/>
    <n v="100199"/>
    <x v="3"/>
    <d v="2026-01-04T00:00:00"/>
    <x v="28"/>
    <s v="Bryan Juarez"/>
    <x v="1"/>
    <s v="xfisher@example.org"/>
    <s v="389.961.5738x5512"/>
    <d v="2026-02-18T04:11:08"/>
    <m/>
  </r>
  <r>
    <s v="Erin Garcia"/>
    <n v="100589"/>
    <x v="1"/>
    <d v="2025-08-18T00:00:00"/>
    <x v="13"/>
    <s v="Jacob Hart"/>
    <x v="0"/>
    <s v="petersonjordan@example.com"/>
    <s v="+1-609-872-3602x4465"/>
    <d v="2026-02-26T23:54:08"/>
    <m/>
  </r>
  <r>
    <s v="Julie Johnson"/>
    <n v="101392"/>
    <x v="1"/>
    <d v="2025-05-30T00:00:00"/>
    <x v="39"/>
    <s v="Brian Murray"/>
    <x v="1"/>
    <s v="serranosteven@example.com"/>
    <s v="(247)483-7031x7543"/>
    <d v="2026-01-31T06:07:08"/>
    <m/>
  </r>
  <r>
    <s v="Elizabeth Jones"/>
    <n v="101480"/>
    <x v="5"/>
    <d v="2026-04-17T00:00:00"/>
    <x v="1"/>
    <s v="Ryan Thornton"/>
    <x v="0"/>
    <s v="patrickmartin@example.org"/>
    <s v="846-686-2728x84076"/>
    <d v="2026-03-13T23:34:08"/>
    <m/>
  </r>
  <r>
    <s v="Jeremy Stafford"/>
    <n v="100424"/>
    <x v="4"/>
    <d v="2025-10-01T00:00:00"/>
    <x v="37"/>
    <s v="Briana Dougherty"/>
    <x v="0"/>
    <s v="sherryclark@example.net"/>
    <s v="(276)825-9238x6879"/>
    <d v="2026-03-11T00:27:08"/>
    <m/>
  </r>
  <r>
    <s v="Melissa Salinas"/>
    <n v="101072"/>
    <x v="1"/>
    <d v="2025-08-22T00:00:00"/>
    <x v="20"/>
    <s v="Taylor Chaney"/>
    <x v="0"/>
    <s v="gregorybenson@example.com"/>
    <s v="001-734-905-0892x73961"/>
    <d v="2026-02-09T21:41:08"/>
    <m/>
  </r>
  <r>
    <s v="David Smith"/>
    <n v="100074"/>
    <x v="2"/>
    <d v="2025-07-17T00:00:00"/>
    <x v="40"/>
    <s v="Matthew Morris"/>
    <x v="0"/>
    <s v="ebrown@example.net"/>
    <s v="+1-677-455-4261x903"/>
    <d v="2026-03-13T05:11:08"/>
    <m/>
  </r>
  <r>
    <s v="Karen Dalton"/>
    <n v="100786"/>
    <x v="2"/>
    <d v="2026-01-31T00:00:00"/>
    <x v="30"/>
    <s v="Bianca Chandler"/>
    <x v="0"/>
    <s v="brianthompson@example.net"/>
    <s v="(371)911-7576"/>
    <d v="2026-02-16T07:44:08"/>
    <m/>
  </r>
  <r>
    <s v="Christopher Chan"/>
    <n v="100870"/>
    <x v="1"/>
    <d v="2026-03-28T00:00:00"/>
    <x v="7"/>
    <s v="Stephen Watson"/>
    <x v="1"/>
    <s v="joseph86@example.net"/>
    <s v="+1-530-452-1690"/>
    <d v="2026-02-28T22:03:08"/>
    <m/>
  </r>
  <r>
    <s v="Steven Burgess"/>
    <n v="101073"/>
    <x v="1"/>
    <d v="2026-03-16T00:00:00"/>
    <x v="38"/>
    <s v="Victoria Norton MD"/>
    <x v="1"/>
    <s v="jack64@example.com"/>
    <s v="506-380-1770"/>
    <d v="2026-02-25T08:12:08"/>
    <m/>
  </r>
  <r>
    <s v="Cory Eaton"/>
    <n v="100486"/>
    <x v="1"/>
    <d v="2026-02-23T00:00:00"/>
    <x v="28"/>
    <s v="Grant Smith"/>
    <x v="1"/>
    <s v="carterjames@example.org"/>
    <s v="(872)544-6931x72947"/>
    <d v="2026-02-11T09:27:08"/>
    <m/>
  </r>
  <r>
    <s v="Abigail Walker"/>
    <n v="100250"/>
    <x v="3"/>
    <d v="2025-08-30T00:00:00"/>
    <x v="16"/>
    <s v="Natalie Avila"/>
    <x v="1"/>
    <s v="jordan25@example.net"/>
    <s v="001-498-351-9393x2727"/>
    <d v="2026-03-10T12:54:08"/>
    <m/>
  </r>
  <r>
    <s v="Kenneth Short"/>
    <n v="100047"/>
    <x v="5"/>
    <d v="2026-05-14T00:00:00"/>
    <x v="14"/>
    <s v="Matthew Evans"/>
    <x v="0"/>
    <s v="bbrown@example.net"/>
    <s v="(776)252-7284x53974"/>
    <d v="2026-02-17T13:28:08"/>
    <m/>
  </r>
  <r>
    <s v="Aaron Villarreal"/>
    <n v="100025"/>
    <x v="1"/>
    <d v="2025-07-03T00:00:00"/>
    <x v="26"/>
    <s v="Robert Barnes"/>
    <x v="1"/>
    <s v="wchaney@example.com"/>
    <s v="2204801929"/>
    <d v="2026-02-06T22:50:08"/>
    <m/>
  </r>
  <r>
    <s v="Blake Watson"/>
    <n v="101159"/>
    <x v="1"/>
    <d v="2026-04-18T00:00:00"/>
    <x v="34"/>
    <s v="Elizabeth Cervantes"/>
    <x v="1"/>
    <s v="ramirezamy@example.org"/>
    <s v="001-232-425-3332"/>
    <d v="2026-02-04T03:27:08"/>
    <m/>
  </r>
  <r>
    <s v="Austin Moore"/>
    <n v="100203"/>
    <x v="5"/>
    <d v="2026-03-03T00:00:00"/>
    <x v="40"/>
    <s v="Matthew Rivera"/>
    <x v="0"/>
    <s v="wilsonnicole@example.org"/>
    <s v="545-503-6988x84393"/>
    <d v="2026-03-07T00:39:08"/>
    <m/>
  </r>
  <r>
    <s v="Elizabeth Sanchez"/>
    <n v="100825"/>
    <x v="3"/>
    <d v="2025-11-19T00:00:00"/>
    <x v="12"/>
    <s v="Leslie Anderson"/>
    <x v="0"/>
    <s v="reedjulie@example.net"/>
    <s v="+1-831-724-4129x0759"/>
    <d v="2026-02-15T01:45:08"/>
    <m/>
  </r>
  <r>
    <s v="Lisa Mendez"/>
    <n v="100230"/>
    <x v="0"/>
    <d v="2026-04-02T00:00:00"/>
    <x v="3"/>
    <s v="Bailey Sanchez"/>
    <x v="1"/>
    <s v="emorales@example.com"/>
    <s v="349.554.2106x294"/>
    <d v="2026-03-08T21:22:08"/>
    <m/>
  </r>
  <r>
    <s v="Gloria Odom"/>
    <n v="101207"/>
    <x v="5"/>
    <d v="2025-05-11T00:00:00"/>
    <x v="1"/>
    <s v="Casey Foster"/>
    <x v="1"/>
    <s v="warnercory@example.com"/>
    <s v="862.664.7528"/>
    <d v="2026-03-14T00:04:08"/>
    <m/>
  </r>
  <r>
    <s v="Steven Thomas"/>
    <n v="100688"/>
    <x v="3"/>
    <d v="2025-05-15T00:00:00"/>
    <x v="5"/>
    <s v="Marc Martinez"/>
    <x v="1"/>
    <s v="anthonyduncan@example.org"/>
    <s v="+1-784-252-4032x11535"/>
    <d v="2026-02-26T01:19:08"/>
    <m/>
  </r>
  <r>
    <s v="Devin Cortez"/>
    <n v="100240"/>
    <x v="0"/>
    <d v="2026-04-25T00:00:00"/>
    <x v="11"/>
    <s v="Kevin Garcia"/>
    <x v="1"/>
    <s v="elizabethwilliams@example.com"/>
    <s v="597.624.7925x4221"/>
    <d v="2026-03-13T07:30:08"/>
    <m/>
  </r>
  <r>
    <s v="Megan Graves"/>
    <n v="100769"/>
    <x v="4"/>
    <d v="2025-07-04T00:00:00"/>
    <x v="28"/>
    <s v="Ashley White"/>
    <x v="1"/>
    <s v="turneramy@example.com"/>
    <s v="8677693332"/>
    <d v="2026-03-16T13:44:08"/>
    <m/>
  </r>
  <r>
    <s v="Shane Bender"/>
    <n v="100974"/>
    <x v="1"/>
    <d v="2025-09-10T00:00:00"/>
    <x v="15"/>
    <s v="John Daniels"/>
    <x v="1"/>
    <s v="susan40@example.net"/>
    <s v="285-688-3825x67262"/>
    <d v="2026-02-13T22:21:08"/>
    <m/>
  </r>
  <r>
    <s v="Calvin Silva"/>
    <n v="100838"/>
    <x v="4"/>
    <d v="2025-12-30T00:00:00"/>
    <x v="6"/>
    <s v="Eric Robinson"/>
    <x v="1"/>
    <s v="jillian19@example.com"/>
    <s v="(482)722-5018"/>
    <d v="2026-02-06T13:23:08"/>
    <m/>
  </r>
  <r>
    <s v="Mary Reid"/>
    <n v="100095"/>
    <x v="3"/>
    <d v="2025-11-29T00:00:00"/>
    <x v="22"/>
    <s v="Stephen Evans"/>
    <x v="0"/>
    <s v="andrealopez@example.com"/>
    <s v="(401)222-3414"/>
    <d v="2026-02-24T14:52:08"/>
    <m/>
  </r>
  <r>
    <s v="Lisa Rios"/>
    <n v="100343"/>
    <x v="1"/>
    <d v="2026-02-19T00:00:00"/>
    <x v="39"/>
    <s v="Ronald Ramos"/>
    <x v="1"/>
    <s v="robertsmith@example.com"/>
    <s v="2952632174"/>
    <d v="2026-02-22T23:27:08"/>
    <m/>
  </r>
  <r>
    <s v="Lisa Williams"/>
    <n v="100634"/>
    <x v="0"/>
    <d v="2026-02-22T00:00:00"/>
    <x v="5"/>
    <s v="Laura Sanchez"/>
    <x v="0"/>
    <s v="amberthompson@example.org"/>
    <s v="971-919-3600x6082"/>
    <d v="2026-03-06T17:04:08"/>
    <m/>
  </r>
  <r>
    <s v="Erica Campbell"/>
    <n v="100648"/>
    <x v="1"/>
    <d v="2026-02-01T00:00:00"/>
    <x v="30"/>
    <s v="Michael Butler"/>
    <x v="0"/>
    <s v="wellsryan@example.org"/>
    <s v="(643)885-0095x3723"/>
    <d v="2026-03-03T20:47:08"/>
    <m/>
  </r>
  <r>
    <s v="Ronald Hopkins"/>
    <n v="100679"/>
    <x v="1"/>
    <d v="2026-01-05T00:00:00"/>
    <x v="3"/>
    <s v="Megan Harris"/>
    <x v="0"/>
    <s v="kristinwilson@example.net"/>
    <s v="+1-644-316-4231x654"/>
    <d v="2026-02-14T00:45:08"/>
    <m/>
  </r>
  <r>
    <s v="Christina White"/>
    <n v="100527"/>
    <x v="0"/>
    <d v="2025-05-16T00:00:00"/>
    <x v="36"/>
    <s v="Steven Mills"/>
    <x v="1"/>
    <s v="wtapia@example.org"/>
    <s v="(334)994-2904x61755"/>
    <d v="2026-03-03T09:32:08"/>
    <m/>
  </r>
  <r>
    <s v="Brandon Mathis"/>
    <n v="100290"/>
    <x v="1"/>
    <d v="2025-10-29T00:00:00"/>
    <x v="3"/>
    <s v="Krystal Thompson"/>
    <x v="1"/>
    <s v="blakejackson@example.net"/>
    <s v="674.744.1723"/>
    <d v="2026-02-18T21:48:08"/>
    <m/>
  </r>
  <r>
    <s v="George Gonzalez"/>
    <n v="100086"/>
    <x v="0"/>
    <d v="2025-11-22T00:00:00"/>
    <x v="1"/>
    <s v="Laura West"/>
    <x v="1"/>
    <s v="martinmorgan@example.net"/>
    <s v="(836)626-8904x723"/>
    <d v="2026-03-05T03:45:08"/>
    <m/>
  </r>
  <r>
    <s v="Adam Bernard"/>
    <n v="100674"/>
    <x v="0"/>
    <d v="2025-12-11T00:00:00"/>
    <x v="6"/>
    <s v="Crystal Baxter"/>
    <x v="0"/>
    <s v="timothy42@example.org"/>
    <s v="(643)859-9009x3781"/>
    <d v="2026-03-09T14:31:08"/>
    <m/>
  </r>
  <r>
    <s v="John Holland"/>
    <n v="100173"/>
    <x v="1"/>
    <d v="2025-06-10T00:00:00"/>
    <x v="19"/>
    <s v="Brandon Walker"/>
    <x v="1"/>
    <s v="joshua70@example.com"/>
    <s v="001-861-387-5646x7263"/>
    <d v="2026-03-11T12:39:08"/>
    <m/>
  </r>
  <r>
    <s v="Edward Benson"/>
    <n v="100753"/>
    <x v="4"/>
    <d v="2025-10-10T00:00:00"/>
    <x v="20"/>
    <s v="Rose Francis"/>
    <x v="0"/>
    <s v="maysedward@example.com"/>
    <s v="001-229-610-8450x786"/>
    <d v="2026-03-15T15:55:08"/>
    <m/>
  </r>
  <r>
    <s v="Heidi Mullins"/>
    <n v="100815"/>
    <x v="4"/>
    <d v="2025-10-01T00:00:00"/>
    <x v="1"/>
    <s v="George Johnson"/>
    <x v="0"/>
    <s v="seanmelendez@example.net"/>
    <s v="433.406.7730x67182"/>
    <d v="2026-02-18T06:51:08"/>
    <m/>
  </r>
  <r>
    <s v="Stephen Alvarez"/>
    <n v="100982"/>
    <x v="2"/>
    <d v="2025-09-24T00:00:00"/>
    <x v="15"/>
    <s v="Diana Miller"/>
    <x v="0"/>
    <s v="wiseshannon@example.net"/>
    <s v="665.438.5906x73963"/>
    <d v="2026-02-28T21:32:08"/>
    <m/>
  </r>
  <r>
    <s v="Melissa Oneill"/>
    <n v="100922"/>
    <x v="1"/>
    <d v="2025-07-15T00:00:00"/>
    <x v="2"/>
    <s v="Karen Ross"/>
    <x v="1"/>
    <s v="lauren50@example.net"/>
    <s v="+1-849-922-1704x8618"/>
    <d v="2026-03-09T08:43:08"/>
    <m/>
  </r>
  <r>
    <s v="James Lopez"/>
    <n v="100812"/>
    <x v="0"/>
    <d v="2025-08-25T00:00:00"/>
    <x v="9"/>
    <s v="Benjamin Hines"/>
    <x v="0"/>
    <s v="wellssherry@example.net"/>
    <s v="001-328-491-9827"/>
    <d v="2026-02-14T16:55:08"/>
    <m/>
  </r>
  <r>
    <s v="Frank Stephenson"/>
    <n v="101092"/>
    <x v="5"/>
    <d v="2026-02-03T00:00:00"/>
    <x v="15"/>
    <s v="Robert Ford"/>
    <x v="1"/>
    <s v="amclaughlin@example.net"/>
    <s v="(349)542-6942x03983"/>
    <d v="2026-02-08T21:54:08"/>
    <m/>
  </r>
  <r>
    <s v="Elizabeth Mayo"/>
    <n v="100523"/>
    <x v="3"/>
    <d v="2025-07-20T00:00:00"/>
    <x v="37"/>
    <s v="Alicia Campbell"/>
    <x v="1"/>
    <s v="ycole@example.net"/>
    <s v="(619)458-7305"/>
    <d v="2026-02-16T15:03:08"/>
    <m/>
  </r>
  <r>
    <s v="Denise Hoffman"/>
    <n v="100218"/>
    <x v="1"/>
    <d v="2025-06-28T00:00:00"/>
    <x v="1"/>
    <s v="Patty Hopkins"/>
    <x v="0"/>
    <s v="lisaterry@example.net"/>
    <s v="+1-717-281-6780x66431"/>
    <d v="2026-02-28T23:34:08"/>
    <m/>
  </r>
  <r>
    <s v="Matthew King"/>
    <n v="100691"/>
    <x v="5"/>
    <d v="2025-12-25T00:00:00"/>
    <x v="14"/>
    <s v="Tammy Barrett"/>
    <x v="1"/>
    <s v="murphyjames@example.com"/>
    <s v="001-201-370-9264x07030"/>
    <d v="2026-02-05T08:02:08"/>
    <m/>
  </r>
  <r>
    <s v="James Rice"/>
    <n v="101458"/>
    <x v="3"/>
    <d v="2025-03-16T00:00:00"/>
    <x v="7"/>
    <s v="Jennifer Thompson"/>
    <x v="1"/>
    <s v="marissa85@example.org"/>
    <s v="+1-807-228-8959x27411"/>
    <d v="2026-02-06T09:21:08"/>
    <s v="Duplicate Employee ID"/>
  </r>
  <r>
    <s v="Kevin Rodriguez"/>
    <n v="100452"/>
    <x v="5"/>
    <d v="2025-09-11T00:00:00"/>
    <x v="16"/>
    <s v="Stephanie Garrison"/>
    <x v="0"/>
    <s v="laurensullivan@example.org"/>
    <s v="9802820391"/>
    <d v="2026-03-05T23:41:08"/>
    <m/>
  </r>
  <r>
    <s v="Regina Gamble"/>
    <n v="101431"/>
    <x v="1"/>
    <d v="2025-04-20T00:00:00"/>
    <x v="29"/>
    <s v="Michael Khan"/>
    <x v="0"/>
    <s v="joseph59@example.com"/>
    <s v="+1-424-758-7012x0424"/>
    <d v="2026-03-07T22:55:08"/>
    <m/>
  </r>
  <r>
    <s v="Kyle Richards"/>
    <n v="100329"/>
    <x v="2"/>
    <d v="2025-10-23T00:00:00"/>
    <x v="3"/>
    <s v="Brooke Walker"/>
    <x v="1"/>
    <s v="john28@example.com"/>
    <s v="001-476-603-9670"/>
    <d v="2026-02-01T06:13:08"/>
    <m/>
  </r>
  <r>
    <s v="Evan Richard"/>
    <n v="100670"/>
    <x v="2"/>
    <d v="2026-04-05T00:00:00"/>
    <x v="21"/>
    <s v="Elizabeth Bell"/>
    <x v="1"/>
    <s v="hollycoleman@example.net"/>
    <s v="001-718-975-4036x48821"/>
    <d v="2026-02-23T10:43:08"/>
    <m/>
  </r>
  <r>
    <s v="Mrs. Jaclyn Crosby MD"/>
    <n v="100621"/>
    <x v="5"/>
    <d v="2026-01-16T00:00:00"/>
    <x v="24"/>
    <s v="Craig Martinez"/>
    <x v="0"/>
    <s v="zjohnson@example.com"/>
    <s v="+1-998-464-9125x949"/>
    <d v="2026-02-06T01:39:08"/>
    <m/>
  </r>
  <r>
    <s v="Anthony Scott"/>
    <n v="100593"/>
    <x v="0"/>
    <d v="2025-03-20T00:00:00"/>
    <x v="4"/>
    <s v="Jasmine Martin"/>
    <x v="1"/>
    <s v="ielliott@example.org"/>
    <s v="(466)517-9962x3569"/>
    <d v="2026-02-10T15:08:08"/>
    <m/>
  </r>
  <r>
    <s v="Paul Navarro"/>
    <n v="100804"/>
    <x v="0"/>
    <d v="2025-12-16T00:00:00"/>
    <x v="28"/>
    <s v="Jennifer Robertson"/>
    <x v="1"/>
    <s v="lhayes@example.com"/>
    <s v="001-360-741-3482x08493"/>
    <d v="2026-02-01T13:42:08"/>
    <m/>
  </r>
  <r>
    <s v="Joseph Lopez"/>
    <n v="100071"/>
    <x v="4"/>
    <d v="2026-05-06T00:00:00"/>
    <x v="34"/>
    <s v="Angela Ritter"/>
    <x v="1"/>
    <s v="asmith@example.org"/>
    <s v="340-576-2914x3049"/>
    <d v="2026-03-04T18:07:08"/>
    <s v="Duplicate Employee ID"/>
  </r>
  <r>
    <s v="Alan Black"/>
    <n v="100215"/>
    <x v="0"/>
    <d v="2025-05-18T00:00:00"/>
    <x v="31"/>
    <s v="Erica Santana"/>
    <x v="1"/>
    <s v="landerson@example.net"/>
    <s v="+1-765-464-2240"/>
    <d v="2026-03-16T10:21:08"/>
    <m/>
  </r>
  <r>
    <s v="Clayton Rogers"/>
    <n v="100293"/>
    <x v="0"/>
    <d v="2026-04-08T00:00:00"/>
    <x v="5"/>
    <s v="Kelly Washington"/>
    <x v="0"/>
    <s v="zpatterson@example.org"/>
    <s v="+1-448-296-2980x568"/>
    <d v="2026-03-10T20:58:08"/>
    <m/>
  </r>
  <r>
    <s v="Matthew Sanchez"/>
    <n v="100311"/>
    <x v="4"/>
    <d v="2026-05-03T00:00:00"/>
    <x v="39"/>
    <s v="Joan Ortiz"/>
    <x v="1"/>
    <s v="mayerryan@example.com"/>
    <s v="324.504.3474x1253"/>
    <d v="2026-03-14T08:20:08"/>
    <m/>
  </r>
  <r>
    <s v="Mr. Samuel Davis"/>
    <n v="100000"/>
    <x v="1"/>
    <d v="2026-03-11T00:00:00"/>
    <x v="36"/>
    <s v="John Gonzalez"/>
    <x v="0"/>
    <s v="charlesewing@example.com"/>
    <s v="3365192025"/>
    <d v="2026-02-04T04:23:08"/>
    <m/>
  </r>
  <r>
    <s v="Cheryl Stevens"/>
    <n v="100853"/>
    <x v="3"/>
    <d v="2025-08-05T00:00:00"/>
    <x v="4"/>
    <s v="Nicholas Patrick"/>
    <x v="0"/>
    <s v="joshua74@example.net"/>
    <s v="+1-304-276-0786x235"/>
    <d v="2026-02-01T22:36:08"/>
    <m/>
  </r>
  <r>
    <s v="Julie Morris"/>
    <n v="100561"/>
    <x v="1"/>
    <d v="2025-12-30T00:00:00"/>
    <x v="15"/>
    <s v="Lisa Hartman"/>
    <x v="0"/>
    <s v="maddenhailey@example.com"/>
    <s v="773-828-9514"/>
    <d v="2026-03-12T13:34:08"/>
    <m/>
  </r>
  <r>
    <s v="David Jacobs"/>
    <n v="100415"/>
    <x v="2"/>
    <d v="2026-01-01T00:00:00"/>
    <x v="3"/>
    <s v="Robert Hicks"/>
    <x v="1"/>
    <s v="michael11@example.com"/>
    <s v="944.296.5391x607"/>
    <d v="2026-03-03T18:46:08"/>
    <m/>
  </r>
  <r>
    <s v="Adam Sanchez"/>
    <n v="100308"/>
    <x v="6"/>
    <d v="2026-03-05T00:00:00"/>
    <x v="13"/>
    <s v="Alexandria Collins"/>
    <x v="1"/>
    <s v="david40@example.org"/>
    <s v="+1-282-521-8039x662"/>
    <d v="2026-03-16T03:20:08"/>
    <s v="Missing Department"/>
  </r>
  <r>
    <s v="Suzanne Stephens"/>
    <n v="100582"/>
    <x v="0"/>
    <d v="2025-08-28T00:00:00"/>
    <x v="6"/>
    <s v="Travis Fuller"/>
    <x v="0"/>
    <s v="kelleramanda@example.org"/>
    <s v="(865)529-5164"/>
    <d v="2026-02-01T00:13:08"/>
    <m/>
  </r>
  <r>
    <s v="Miranda Cooper"/>
    <n v="100630"/>
    <x v="5"/>
    <d v="2025-11-24T00:00:00"/>
    <x v="17"/>
    <s v="Curtis Cantu"/>
    <x v="0"/>
    <s v="bevans@example.net"/>
    <s v="306.670.8987x09201"/>
    <d v="2026-03-13T08:25:08"/>
    <m/>
  </r>
  <r>
    <s v="Angela Gonzalez"/>
    <n v="100356"/>
    <x v="5"/>
    <d v="2025-12-13T00:00:00"/>
    <x v="26"/>
    <s v="Brianna Price"/>
    <x v="1"/>
    <s v="davisamanda@example.net"/>
    <s v="980-452-6321x19604"/>
    <d v="2026-03-04T06:29:08"/>
    <m/>
  </r>
  <r>
    <s v="Erik Burke"/>
    <n v="101216"/>
    <x v="0"/>
    <d v="2026-01-02T00:00:00"/>
    <x v="28"/>
    <s v="Adam Woods"/>
    <x v="0"/>
    <s v="michael44@example.com"/>
    <s v="001-708-523-1714x6199"/>
    <d v="2026-01-31T03:27:08"/>
    <m/>
  </r>
  <r>
    <s v="Jennifer Sparks"/>
    <n v="100861"/>
    <x v="0"/>
    <d v="2025-07-21T00:00:00"/>
    <x v="11"/>
    <s v="Yolanda Anderson"/>
    <x v="1"/>
    <s v="uwhite@example.net"/>
    <s v="001-796-905-3026x18402"/>
    <d v="2026-02-25T15:46:08"/>
    <m/>
  </r>
  <r>
    <s v="Susan Smith"/>
    <n v="101243"/>
    <x v="3"/>
    <d v="2025-03-30T00:00:00"/>
    <x v="29"/>
    <s v="Kelly Williams"/>
    <x v="1"/>
    <s v="longbob@example.com"/>
    <s v="660.250.2816"/>
    <d v="2026-02-28T09:28:08"/>
    <s v="Extra Name Spaces"/>
  </r>
  <r>
    <s v="Laurie Smith"/>
    <n v="100260"/>
    <x v="3"/>
    <d v="2025-11-13T00:00:00"/>
    <x v="1"/>
    <s v="Andrew Wilson"/>
    <x v="0"/>
    <s v="brianyang@example.net"/>
    <s v="5259209452"/>
    <d v="2026-02-23T00:10:08"/>
    <m/>
  </r>
  <r>
    <s v="Laura Horton"/>
    <n v="100605"/>
    <x v="2"/>
    <d v="2025-04-22T00:00:00"/>
    <x v="25"/>
    <s v="Scott Andrews"/>
    <x v="1"/>
    <s v="tanyawilliams@example.net"/>
    <s v="001-486-202-7574x544"/>
    <d v="2026-02-07T13:39:08"/>
    <m/>
  </r>
  <r>
    <s v="Paul Estes"/>
    <n v="101332"/>
    <x v="0"/>
    <d v="2025-04-16T00:00:00"/>
    <x v="7"/>
    <s v="Dustin Murphy"/>
    <x v="1"/>
    <s v="martinezallen@example.net"/>
    <s v="689-765-5834"/>
    <d v="2026-01-31T15:41:08"/>
    <m/>
  </r>
  <r>
    <s v="Jared Camacho"/>
    <n v="100668"/>
    <x v="3"/>
    <d v="2025-04-16T00:00:00"/>
    <x v="26"/>
    <s v="Melissa Hernandez"/>
    <x v="1"/>
    <s v="djensen@example.com"/>
    <s v="001-266-903-6162x486"/>
    <d v="2026-03-12T14:26:08"/>
    <m/>
  </r>
  <r>
    <s v="Jerry Bowman"/>
    <n v="100836"/>
    <x v="0"/>
    <d v="2025-12-27T00:00:00"/>
    <x v="1"/>
    <s v="Stephanie Sullivan"/>
    <x v="1"/>
    <s v="jamesmarsh@example.org"/>
    <s v="(885)901-5301x731"/>
    <d v="2026-02-19T14:38:08"/>
    <m/>
  </r>
  <r>
    <s v="Emily Brown"/>
    <n v="100633"/>
    <x v="1"/>
    <d v="2026-04-05T00:00:00"/>
    <x v="32"/>
    <s v="Laura Brooks"/>
    <x v="0"/>
    <s v="jonathanjones@example.org"/>
    <s v="001-754-579-4064"/>
    <d v="2026-02-15T04:48:08"/>
    <m/>
  </r>
  <r>
    <s v="Robert Benson"/>
    <n v="100615"/>
    <x v="5"/>
    <d v="2026-04-27T00:00:00"/>
    <x v="2"/>
    <s v="Mrs. Amy Sharp"/>
    <x v="0"/>
    <s v="armstrongjill@example.net"/>
    <s v="598.566.4693x65618"/>
    <d v="2026-02-22T19:41:08"/>
    <m/>
  </r>
  <r>
    <s v="Michelle Simpson"/>
    <n v="101447"/>
    <x v="0"/>
    <d v="2025-11-03T00:00:00"/>
    <x v="16"/>
    <s v="Kristin Foster"/>
    <x v="0"/>
    <s v="brookstaylor@example.org"/>
    <s v="477.418.4301"/>
    <d v="2026-03-10T17:29:08"/>
    <s v="Extra Name Spaces"/>
  </r>
  <r>
    <s v="Ian Burns"/>
    <n v="101050"/>
    <x v="1"/>
    <d v="2026-03-16T00:00:00"/>
    <x v="3"/>
    <s v="Samuel Thomas"/>
    <x v="0"/>
    <s v="rlewis@example.org"/>
    <s v="796.544.0282"/>
    <d v="2026-02-08T13:36:08"/>
    <m/>
  </r>
  <r>
    <s v="Robin Donovan"/>
    <n v="101273"/>
    <x v="1"/>
    <d v="2025-07-25T00:00:00"/>
    <x v="40"/>
    <s v="Julia Williamson"/>
    <x v="1"/>
    <s v="jonathangonzales@example.org"/>
    <s v="+1-323-685-2023x209"/>
    <d v="2026-03-05T09:37:08"/>
    <m/>
  </r>
  <r>
    <s v="April Henderson"/>
    <n v="100143"/>
    <x v="3"/>
    <d v="2026-04-28T00:00:00"/>
    <x v="15"/>
    <s v="Philip Thompson"/>
    <x v="0"/>
    <s v="kelly34@example.com"/>
    <s v="+1-719-498-2907x55154"/>
    <d v="2026-02-24T21:57:08"/>
    <m/>
  </r>
  <r>
    <s v="Amy Howe"/>
    <n v="100883"/>
    <x v="5"/>
    <d v="2025-12-03T00:00:00"/>
    <x v="37"/>
    <s v="Keith Lynch"/>
    <x v="0"/>
    <s v="harrissusan@example.org"/>
    <s v="4064433226"/>
    <d v="2026-02-14T07:22:08"/>
    <m/>
  </r>
  <r>
    <s v="John Robinson DVM"/>
    <n v="100745"/>
    <x v="1"/>
    <d v="2025-09-07T00:00:00"/>
    <x v="26"/>
    <s v="Nicholas Graves"/>
    <x v="0"/>
    <s v="friedmanrichard@example.com"/>
    <s v="001-770-470-3850x3605"/>
    <d v="2026-03-13T09:48:08"/>
    <m/>
  </r>
  <r>
    <s v="Rebecca Taylor"/>
    <n v="100403"/>
    <x v="1"/>
    <d v="2026-05-09T00:00:00"/>
    <x v="8"/>
    <s v="Nicholas Johnson"/>
    <x v="0"/>
    <s v="tmoody@example.net"/>
    <s v="4278406758"/>
    <d v="2026-03-03T20:03:08"/>
    <m/>
  </r>
  <r>
    <s v="Chad Carroll"/>
    <n v="100003"/>
    <x v="2"/>
    <d v="2026-04-22T00:00:00"/>
    <x v="1"/>
    <s v="Timothy Greer"/>
    <x v="0"/>
    <s v="cameronjohn@example.com"/>
    <s v="985.664.6149"/>
    <d v="2026-02-02T01:40:08"/>
    <m/>
  </r>
  <r>
    <s v="John Willis"/>
    <n v="101049"/>
    <x v="5"/>
    <d v="2026-01-17T00:00:00"/>
    <x v="13"/>
    <s v="Timothy Pollard"/>
    <x v="1"/>
    <s v="igoodman@example.net"/>
    <s v="291-649-8609x955"/>
    <d v="2026-02-18T06:41:08"/>
    <m/>
  </r>
  <r>
    <s v="Rebecca Clark"/>
    <n v="101120"/>
    <x v="3"/>
    <d v="2025-05-08T00:00:00"/>
    <x v="29"/>
    <s v="Patricia Kim"/>
    <x v="0"/>
    <s v="davidmcgee@example.net"/>
    <s v="661-721-2898x115"/>
    <d v="2026-03-15T20:06:08"/>
    <m/>
  </r>
  <r>
    <s v="Alan Lyons"/>
    <n v="100521"/>
    <x v="2"/>
    <d v="2026-03-05T00:00:00"/>
    <x v="7"/>
    <s v="Jerry Figueroa"/>
    <x v="0"/>
    <s v="derricklee@example.net"/>
    <s v="447.442.2567x87188"/>
    <d v="2026-03-01T01:30:08"/>
    <m/>
  </r>
  <r>
    <s v="Joseph Payne"/>
    <n v="101426"/>
    <x v="4"/>
    <d v="2026-05-03T00:00:00"/>
    <x v="39"/>
    <s v="Mr. Joshua Abbott"/>
    <x v="0"/>
    <s v="hughesbrandon@example.net"/>
    <s v="634-895-6479"/>
    <d v="2026-03-16T05:31:08"/>
    <m/>
  </r>
  <r>
    <s v="Michael Robertson"/>
    <n v="101360"/>
    <x v="0"/>
    <d v="2025-04-22T00:00:00"/>
    <x v="17"/>
    <s v="Loretta Bradley"/>
    <x v="0"/>
    <s v="rlee@example.net"/>
    <s v="209.472.3610"/>
    <d v="2026-03-07T07:59:08"/>
    <m/>
  </r>
  <r>
    <s v="James Anderson"/>
    <n v="101058"/>
    <x v="5"/>
    <d v="2025-06-23T00:00:00"/>
    <x v="30"/>
    <s v="Frank Santana"/>
    <x v="0"/>
    <s v="acohen@example.com"/>
    <s v="678-265-5575x12476"/>
    <d v="2026-03-04T11:09:08"/>
    <m/>
  </r>
  <r>
    <s v="James Griffin"/>
    <n v="101047"/>
    <x v="4"/>
    <d v="2025-06-13T00:00:00"/>
    <x v="1"/>
    <s v="Rhonda Stokes"/>
    <x v="0"/>
    <s v="kellybrown@example.org"/>
    <s v="(965)645-1224x44189"/>
    <d v="2026-02-22T22:59:08"/>
    <m/>
  </r>
  <r>
    <s v="Robert Whitaker"/>
    <n v="100893"/>
    <x v="2"/>
    <d v="2025-06-15T00:00:00"/>
    <x v="15"/>
    <s v="Jason Ferguson"/>
    <x v="0"/>
    <s v="xsmith@example.org"/>
    <s v="570-817-0363x09442"/>
    <d v="2026-02-28T14:27:08"/>
    <m/>
  </r>
  <r>
    <s v="Andrew Steele"/>
    <n v="101199"/>
    <x v="0"/>
    <d v="2026-05-15T00:00:00"/>
    <x v="12"/>
    <s v="Kimberly Fitzgerald"/>
    <x v="1"/>
    <s v="anthonyfranklin@example.com"/>
    <s v="001-913-449-0961x9797"/>
    <d v="2026-03-03T07:30:08"/>
    <m/>
  </r>
  <r>
    <s v="Gabrielle Hernandez"/>
    <n v="100707"/>
    <x v="5"/>
    <d v="2025-07-16T00:00:00"/>
    <x v="31"/>
    <s v="Daniel Price"/>
    <x v="1"/>
    <s v="alisha45@example.org"/>
    <s v="635.267.4809x573"/>
    <d v="2026-01-30T15:41:08"/>
    <m/>
  </r>
  <r>
    <s v="Lauren Burton"/>
    <m/>
    <x v="6"/>
    <d v="2025-05-28T00:00:00"/>
    <x v="11"/>
    <s v="Brenda Haas"/>
    <x v="0"/>
    <s v="jacksonchristina@example.com"/>
    <s v="(603)215-8925"/>
    <d v="2026-02-10T05:00:08"/>
    <s v="Missing Department; Missing Employee ID"/>
  </r>
  <r>
    <s v="Ryan Hernandez"/>
    <n v="100222"/>
    <x v="4"/>
    <d v="2025-08-25T00:00:00"/>
    <x v="12"/>
    <s v="Justin Alexander"/>
    <x v="0"/>
    <s v="iruiz@example.com"/>
    <s v="559.251.4186x482"/>
    <d v="2026-02-10T07:52:08"/>
    <m/>
  </r>
  <r>
    <s v="Nicole Anderson"/>
    <n v="100078"/>
    <x v="3"/>
    <d v="2025-08-30T00:00:00"/>
    <x v="15"/>
    <s v="Rachel Meyer"/>
    <x v="1"/>
    <s v="zhorton@example.com"/>
    <s v="796-823-3260"/>
    <d v="2026-03-08T00:34:08"/>
    <m/>
  </r>
  <r>
    <s v="Nicole Martin"/>
    <n v="101155"/>
    <x v="1"/>
    <d v="2025-11-21T00:00:00"/>
    <x v="28"/>
    <s v="John Reilly"/>
    <x v="0"/>
    <s v="coreyhendrix@example.org"/>
    <s v="001-906-462-9315x181"/>
    <d v="2026-02-13T19:16:08"/>
    <m/>
  </r>
  <r>
    <s v="Charles James"/>
    <n v="101339"/>
    <x v="1"/>
    <d v="2025-04-18T00:00:00"/>
    <x v="3"/>
    <s v="Gerald Edwards"/>
    <x v="1"/>
    <s v="mahoneysarah@example.org"/>
    <s v="(272)437-1798"/>
    <d v="2026-02-03T00:32:08"/>
    <m/>
  </r>
  <r>
    <s v="Crystal Shelton"/>
    <n v="101174"/>
    <x v="4"/>
    <d v="2025-11-26T00:00:00"/>
    <x v="21"/>
    <s v="Amanda Hess"/>
    <x v="1"/>
    <s v="rstewart@example.net"/>
    <s v="+1-670-384-7795"/>
    <d v="2026-02-10T18:12:08"/>
    <m/>
  </r>
  <r>
    <s v="Jill Crawford"/>
    <n v="101137"/>
    <x v="1"/>
    <d v="2026-03-17T00:00:00"/>
    <x v="6"/>
    <s v="Kevin Jones"/>
    <x v="1"/>
    <s v="cameronkaitlyn@example.com"/>
    <s v="815.491.5790x89458"/>
    <d v="2026-02-03T21:59:08"/>
    <m/>
  </r>
  <r>
    <s v="Joshua Wagner"/>
    <n v="100056"/>
    <x v="0"/>
    <d v="2025-06-30T00:00:00"/>
    <x v="11"/>
    <s v="Jessica Harris"/>
    <x v="1"/>
    <s v="callahansusan@example.net"/>
    <s v="361.323.9612x1905"/>
    <d v="2026-03-01T04:24:08"/>
    <m/>
  </r>
  <r>
    <s v="Keith Mccormick"/>
    <n v="100678"/>
    <x v="2"/>
    <d v="2025-08-19T00:00:00"/>
    <x v="9"/>
    <s v="Jasmine Rios"/>
    <x v="0"/>
    <s v="dixondennis@example.org"/>
    <s v="+1-970-466-9010x7923"/>
    <d v="2026-02-21T09:13:08"/>
    <m/>
  </r>
  <r>
    <s v="Brianna Tran"/>
    <n v="100818"/>
    <x v="1"/>
    <d v="2025-04-28T00:00:00"/>
    <x v="15"/>
    <s v="Courtney Whitehead"/>
    <x v="1"/>
    <s v="mstanley@example.com"/>
    <s v="8355067578"/>
    <d v="2026-02-16T00:12:08"/>
    <m/>
  </r>
  <r>
    <s v="Cheryl Gomez MD"/>
    <n v="101371"/>
    <x v="4"/>
    <d v="2025-07-11T00:00:00"/>
    <x v="8"/>
    <s v="Jessica Singh"/>
    <x v="1"/>
    <s v="marybarrett@example.org"/>
    <s v="455-350-5705"/>
    <d v="2026-02-16T01:57:08"/>
    <m/>
  </r>
  <r>
    <s v="Lisa Lowe"/>
    <n v="100719"/>
    <x v="5"/>
    <d v="2025-10-11T00:00:00"/>
    <x v="6"/>
    <s v="Kellie Page"/>
    <x v="1"/>
    <s v="jose45@example.net"/>
    <s v="+1-331-414-1470"/>
    <d v="2026-02-20T17:04:08"/>
    <m/>
  </r>
  <r>
    <s v="Vanessa Mcguire"/>
    <n v="100571"/>
    <x v="3"/>
    <d v="2025-10-28T00:00:00"/>
    <x v="1"/>
    <s v="Christina Nichols"/>
    <x v="0"/>
    <s v="owilson@example.com"/>
    <s v="001-689-610-9779x78023"/>
    <d v="2026-02-22T15:06:08"/>
    <m/>
  </r>
  <r>
    <s v="Jose Baker"/>
    <m/>
    <x v="4"/>
    <d v="2025-11-27T00:00:00"/>
    <x v="30"/>
    <s v="Laura Carter"/>
    <x v="0"/>
    <s v="lorihenderson@example.com"/>
    <s v="301-763-2957x3783"/>
    <d v="2026-03-10T13:52:08"/>
    <s v="Missing Employee ID"/>
  </r>
  <r>
    <s v="Kathleen Chavez"/>
    <n v="101452"/>
    <x v="0"/>
    <d v="2025-09-16T00:00:00"/>
    <x v="3"/>
    <s v="Lindsay Warner"/>
    <x v="0"/>
    <s v="elainehall@example.net"/>
    <s v="(583)402-9158x5423"/>
    <d v="2026-02-23T11:12:08"/>
    <m/>
  </r>
  <r>
    <s v="James Haney"/>
    <n v="100672"/>
    <x v="4"/>
    <d v="2025-07-22T00:00:00"/>
    <x v="5"/>
    <s v="Joshua Sims"/>
    <x v="0"/>
    <s v="amanda96@example.com"/>
    <s v="4733446746"/>
    <d v="2026-01-29T21:17:08"/>
    <m/>
  </r>
  <r>
    <s v="Mark Kelly"/>
    <n v="100816"/>
    <x v="3"/>
    <d v="2026-04-05T00:00:00"/>
    <x v="13"/>
    <s v="Bradley Burton"/>
    <x v="0"/>
    <s v="joy91@example.com"/>
    <s v="370-850-2218"/>
    <d v="2026-02-25T08:17:08"/>
    <m/>
  </r>
  <r>
    <s v="Andrea Flowers"/>
    <n v="100395"/>
    <x v="4"/>
    <d v="2026-04-20T00:00:00"/>
    <x v="9"/>
    <s v="Zachary Perez"/>
    <x v="0"/>
    <s v="mary76@example.net"/>
    <s v="4944837740"/>
    <d v="2026-02-13T19:35:08"/>
    <m/>
  </r>
  <r>
    <s v="Donna Walsh"/>
    <n v="100048"/>
    <x v="1"/>
    <d v="2026-04-09T00:00:00"/>
    <x v="7"/>
    <s v="Dakota Villa"/>
    <x v="0"/>
    <s v="rogerfarrell@example.com"/>
    <s v="001-309-896-2183x6677"/>
    <d v="2026-03-02T10:45:08"/>
    <m/>
  </r>
  <r>
    <s v="Jennifer Cisneros MD"/>
    <n v="100456"/>
    <x v="1"/>
    <d v="2025-07-13T00:00:00"/>
    <x v="22"/>
    <s v="Nicole Herman MD"/>
    <x v="1"/>
    <s v="taylormelinda@example.org"/>
    <s v="(934)899-8013"/>
    <d v="2026-02-23T14:59:08"/>
    <m/>
  </r>
  <r>
    <s v="Stephanie Freeman"/>
    <n v="101434"/>
    <x v="4"/>
    <d v="2025-06-20T00:00:00"/>
    <x v="40"/>
    <s v="Alexis Wells"/>
    <x v="0"/>
    <s v="umendez@example.org"/>
    <s v="+1-344-961-4409x2335"/>
    <d v="2026-02-16T02:33:08"/>
    <m/>
  </r>
  <r>
    <s v="James Ward"/>
    <n v="100625"/>
    <x v="1"/>
    <d v="2025-03-31T00:00:00"/>
    <x v="32"/>
    <s v="Brenda Lamb"/>
    <x v="0"/>
    <s v="rodriguezpatrick@example.com"/>
    <s v="001-426-931-9956x95592"/>
    <d v="2026-02-25T17:35:08"/>
    <m/>
  </r>
  <r>
    <s v="Jaime Gilmore"/>
    <n v="100716"/>
    <x v="1"/>
    <d v="2026-05-04T00:00:00"/>
    <x v="37"/>
    <s v="Elizabeth Williams"/>
    <x v="1"/>
    <s v="saranovak@example.net"/>
    <s v="402-555-1344x48672"/>
    <d v="2026-02-16T18:30:08"/>
    <m/>
  </r>
  <r>
    <s v="Elizabeth Fischer"/>
    <n v="100942"/>
    <x v="5"/>
    <d v="2026-04-10T00:00:00"/>
    <x v="13"/>
    <s v="Andrea Buckley"/>
    <x v="0"/>
    <s v="nicholas15@example.net"/>
    <s v="949.732.5114x9788"/>
    <d v="2026-02-08T16:49:08"/>
    <m/>
  </r>
  <r>
    <s v="Cesar Watts"/>
    <n v="100408"/>
    <x v="3"/>
    <d v="2025-06-02T00:00:00"/>
    <x v="2"/>
    <s v="Kevin Mitchell"/>
    <x v="1"/>
    <s v="bsimpson@example.com"/>
    <s v="383-908-5800"/>
    <d v="2026-02-20T10:56:08"/>
    <m/>
  </r>
  <r>
    <s v="Angelica Harris"/>
    <n v="100455"/>
    <x v="5"/>
    <d v="2025-04-17T00:00:00"/>
    <x v="39"/>
    <s v="Brandon Brown"/>
    <x v="0"/>
    <s v="ryannichols@example.org"/>
    <s v="+1-710-878-1871x0968"/>
    <d v="2026-02-22T22:28:08"/>
    <m/>
  </r>
  <r>
    <s v="Gary Gibson"/>
    <n v="100963"/>
    <x v="5"/>
    <d v="2026-02-06T00:00:00"/>
    <x v="24"/>
    <s v="Martin Pearson"/>
    <x v="0"/>
    <s v="thomasronald@example.net"/>
    <s v="+1-233-415-4230x60023"/>
    <d v="2026-01-31T23:02:08"/>
    <m/>
  </r>
  <r>
    <s v="Jessica Rogers"/>
    <n v="100079"/>
    <x v="3"/>
    <d v="2025-04-01T00:00:00"/>
    <x v="25"/>
    <s v="Terri Kent"/>
    <x v="0"/>
    <s v="leonardruth@example.org"/>
    <s v="(941)214-2066"/>
    <d v="2026-03-04T15:32:08"/>
    <m/>
  </r>
  <r>
    <s v="Bernard Flores"/>
    <n v="100783"/>
    <x v="5"/>
    <d v="2025-08-08T00:00:00"/>
    <x v="11"/>
    <s v="Brenda Davis"/>
    <x v="1"/>
    <s v="pcoleman@example.org"/>
    <s v="001-482-422-2400x5392"/>
    <d v="2026-02-02T00:01:08"/>
    <m/>
  </r>
  <r>
    <s v="James Pena"/>
    <n v="100221"/>
    <x v="0"/>
    <d v="2025-11-03T00:00:00"/>
    <x v="1"/>
    <s v="Matthew Austin"/>
    <x v="0"/>
    <s v="jeffersondaniel@example.org"/>
    <s v="884-333-9133x252"/>
    <d v="2026-03-06T06:45:08"/>
    <m/>
  </r>
  <r>
    <s v="Brooke Quinn"/>
    <n v="101476"/>
    <x v="5"/>
    <d v="2025-10-02T00:00:00"/>
    <x v="15"/>
    <s v="Ronnie Jenkins"/>
    <x v="0"/>
    <s v="mathew34@example.org"/>
    <s v="564.649.7602x49866"/>
    <d v="2026-02-10T03:38:08"/>
    <m/>
  </r>
  <r>
    <s v="Anthony Patrick"/>
    <n v="101350"/>
    <x v="1"/>
    <d v="2026-03-31T00:00:00"/>
    <x v="7"/>
    <s v="Danielle Christensen"/>
    <x v="0"/>
    <s v="pweber@example.com"/>
    <s v="+1-898-752-9735x61526"/>
    <d v="2026-03-08T10:53:08"/>
    <m/>
  </r>
  <r>
    <s v="Kristine Jones"/>
    <n v="100508"/>
    <x v="4"/>
    <d v="2025-10-23T00:00:00"/>
    <x v="39"/>
    <s v="Steven Horne MD"/>
    <x v="1"/>
    <s v="monicadixon@example.net"/>
    <s v="(964)614-7533x69524"/>
    <d v="2026-02-07T10:59:08"/>
    <m/>
  </r>
  <r>
    <s v="Jennifer Cortez"/>
    <n v="100843"/>
    <x v="1"/>
    <d v="2026-03-17T00:00:00"/>
    <x v="21"/>
    <s v="Gina Hoffman"/>
    <x v="0"/>
    <s v="omartinez@example.net"/>
    <s v="+1-453-624-3679"/>
    <d v="2026-03-07T02:42:08"/>
    <m/>
  </r>
  <r>
    <s v="John Moore"/>
    <n v="100680"/>
    <x v="0"/>
    <d v="2026-05-12T00:00:00"/>
    <x v="32"/>
    <s v="Matthew Villa"/>
    <x v="1"/>
    <s v="juliepayne@example.org"/>
    <s v="843-446-8586x39061"/>
    <d v="2026-02-08T01:09:08"/>
    <m/>
  </r>
  <r>
    <s v="John Fowler"/>
    <n v="100367"/>
    <x v="5"/>
    <d v="2025-11-07T00:00:00"/>
    <x v="0"/>
    <s v="Nicole Blake"/>
    <x v="1"/>
    <s v="perrymichael@example.org"/>
    <s v="+1-981-416-8371x03073"/>
    <d v="2026-02-21T18:00:08"/>
    <m/>
  </r>
  <r>
    <s v="John Martin"/>
    <n v="100050"/>
    <x v="4"/>
    <d v="2025-10-02T00:00:00"/>
    <x v="39"/>
    <s v="April Davis"/>
    <x v="0"/>
    <s v="jolsen@example.net"/>
    <s v="3826649312"/>
    <d v="2026-02-05T03:10:08"/>
    <m/>
  </r>
  <r>
    <s v="Craig Tate"/>
    <n v="100844"/>
    <x v="5"/>
    <d v="2025-09-28T00:00:00"/>
    <x v="36"/>
    <s v="Jessica White"/>
    <x v="1"/>
    <s v="mary92@example.com"/>
    <s v="001-645-263-3917x299"/>
    <d v="2026-01-31T16:25:08"/>
    <m/>
  </r>
  <r>
    <s v="Robert Baker"/>
    <n v="100362"/>
    <x v="2"/>
    <d v="2025-06-04T00:00:00"/>
    <x v="2"/>
    <s v="Angela Contreras"/>
    <x v="1"/>
    <s v="dawnpark@example.com"/>
    <s v="001-549-771-9670x683"/>
    <d v="2026-02-02T15:38:08"/>
    <m/>
  </r>
  <r>
    <s v="Brian Garcia"/>
    <n v="100332"/>
    <x v="2"/>
    <d v="2025-11-23T00:00:00"/>
    <x v="17"/>
    <s v="Christopher Glover"/>
    <x v="1"/>
    <s v="wilsonkimberly@example.org"/>
    <s v="001-694-690-1333"/>
    <d v="2026-03-12T14:19:08"/>
    <m/>
  </r>
  <r>
    <s v="Thomas Barnes"/>
    <n v="101225"/>
    <x v="1"/>
    <d v="2026-04-12T00:00:00"/>
    <x v="40"/>
    <s v="Dr. Tyler Hill"/>
    <x v="0"/>
    <s v="campbellmargaret@example.net"/>
    <s v="001-341-301-6793x014"/>
    <d v="2026-02-28T10:50:08"/>
    <m/>
  </r>
  <r>
    <s v="William Lane"/>
    <n v="100316"/>
    <x v="1"/>
    <d v="2025-04-07T00:00:00"/>
    <x v="14"/>
    <s v="Mary Miller"/>
    <x v="1"/>
    <s v="williamslarry@example.org"/>
    <s v="2283866168"/>
    <d v="2026-02-20T06:11:08"/>
    <m/>
  </r>
  <r>
    <s v="Lindsey Wright"/>
    <n v="101223"/>
    <x v="5"/>
    <d v="2025-06-23T00:00:00"/>
    <x v="14"/>
    <s v="Troy Carrillo"/>
    <x v="1"/>
    <s v="wayne54@example.net"/>
    <s v="920-335-3160x791"/>
    <d v="2026-03-09T13:15:08"/>
    <m/>
  </r>
  <r>
    <s v="Joshua Brown"/>
    <n v="100724"/>
    <x v="4"/>
    <d v="2026-02-22T00:00:00"/>
    <x v="22"/>
    <s v="John Wyatt"/>
    <x v="0"/>
    <s v="gibbsdarren@example.org"/>
    <s v="001-319-640-2470x288"/>
    <d v="2026-03-10T23:11:08"/>
    <m/>
  </r>
  <r>
    <s v="Casey Ferguson"/>
    <n v="100210"/>
    <x v="2"/>
    <d v="2026-03-16T00:00:00"/>
    <x v="33"/>
    <s v="Elizabeth Taylor"/>
    <x v="1"/>
    <s v="epeck@example.net"/>
    <s v="567.385.7646"/>
    <d v="2026-03-06T12:05:08"/>
    <m/>
  </r>
  <r>
    <s v="Richard Miller"/>
    <n v="101234"/>
    <x v="0"/>
    <d v="2026-01-20T00:00:00"/>
    <x v="11"/>
    <s v="Kathryn Mendez"/>
    <x v="1"/>
    <s v="sandovalnicholas@example.net"/>
    <s v="723-221-5401x3153"/>
    <d v="2026-03-08T23:40:08"/>
    <m/>
  </r>
  <r>
    <s v="Matthew Church"/>
    <n v="100430"/>
    <x v="5"/>
    <d v="2025-06-10T00:00:00"/>
    <x v="28"/>
    <s v="Austin Kelley"/>
    <x v="0"/>
    <s v="matthew52@example.net"/>
    <s v="641.702.5471x7989"/>
    <d v="2026-02-01T08:35:08"/>
    <m/>
  </r>
  <r>
    <s v="Larry Hunter"/>
    <n v="100732"/>
    <x v="3"/>
    <d v="2025-10-27T00:00:00"/>
    <x v="19"/>
    <s v="Ms. Veronica Johnson"/>
    <x v="0"/>
    <s v="garzacourtney@example.net"/>
    <s v="967-456-3558x42271"/>
    <d v="2026-01-31T23:44:08"/>
    <m/>
  </r>
  <r>
    <s v="Casey Valdez"/>
    <n v="101263"/>
    <x v="2"/>
    <d v="2025-10-28T00:00:00"/>
    <x v="18"/>
    <s v="Alexander Reyes"/>
    <x v="1"/>
    <s v="alvarezelizabeth@example.org"/>
    <s v="341-230-6862x4087"/>
    <d v="2026-01-31T07:23:08"/>
    <m/>
  </r>
  <r>
    <s v="Mark Hess"/>
    <n v="100746"/>
    <x v="5"/>
    <d v="2025-04-11T00:00:00"/>
    <x v="23"/>
    <s v="Kyle Chambers"/>
    <x v="0"/>
    <s v="tuckeramanda@example.org"/>
    <s v="462.438.1152x2328"/>
    <d v="2026-03-01T05:07:08"/>
    <m/>
  </r>
  <r>
    <s v="Christopher Smith"/>
    <n v="100631"/>
    <x v="2"/>
    <d v="2025-06-26T00:00:00"/>
    <x v="15"/>
    <s v="Gabriel Moore"/>
    <x v="1"/>
    <s v="michaelobrien@example.net"/>
    <s v="300-341-0847x9135"/>
    <d v="2026-03-15T17:25:08"/>
    <m/>
  </r>
  <r>
    <s v="Hannah Johnson"/>
    <n v="100085"/>
    <x v="4"/>
    <d v="2026-05-10T00:00:00"/>
    <x v="28"/>
    <s v="Patricia Lee"/>
    <x v="0"/>
    <s v="kpennington@example.net"/>
    <s v="592.206.4157x80978"/>
    <d v="2026-03-02T14:37:08"/>
    <m/>
  </r>
  <r>
    <s v="Joshua York"/>
    <n v="100261"/>
    <x v="3"/>
    <d v="2026-03-21T00:00:00"/>
    <x v="15"/>
    <s v="Eric Howell"/>
    <x v="1"/>
    <s v="john19@example.com"/>
    <s v="001-428-314-4786x74280"/>
    <d v="2026-02-12T14:14:08"/>
    <m/>
  </r>
  <r>
    <s v="Megan House"/>
    <n v="100880"/>
    <x v="4"/>
    <d v="2025-08-28T00:00:00"/>
    <x v="38"/>
    <s v="James Avila"/>
    <x v="1"/>
    <s v="jzavala@example.net"/>
    <s v="001-603-578-9121x397"/>
    <d v="2026-02-17T13:47:08"/>
    <m/>
  </r>
  <r>
    <s v="Jennifer Johnston"/>
    <n v="100303"/>
    <x v="2"/>
    <d v="2025-07-03T00:00:00"/>
    <x v="1"/>
    <s v="Gary Morris"/>
    <x v="1"/>
    <s v="robyn59@example.net"/>
    <s v="708-442-9069x6904"/>
    <d v="2026-03-05T17:24:08"/>
    <m/>
  </r>
  <r>
    <s v="Rebecca Patterson"/>
    <n v="101150"/>
    <x v="5"/>
    <d v="2026-02-13T00:00:00"/>
    <x v="29"/>
    <s v="Nicholas Price"/>
    <x v="0"/>
    <s v="ostevens@example.com"/>
    <s v="001-345-670-1652x76136"/>
    <d v="2026-02-15T10:24:08"/>
    <m/>
  </r>
  <r>
    <s v="Kristen Taylor"/>
    <n v="100073"/>
    <x v="0"/>
    <d v="2026-02-15T00:00:00"/>
    <x v="2"/>
    <s v="Alex Ramirez"/>
    <x v="1"/>
    <s v="nsharp@example.net"/>
    <s v="(796)244-4772"/>
    <d v="2026-03-14T15:37:08"/>
    <m/>
  </r>
  <r>
    <s v="Megan Allen"/>
    <m/>
    <x v="2"/>
    <d v="2025-10-12T00:00:00"/>
    <x v="9"/>
    <s v="David Lewis"/>
    <x v="0"/>
    <s v="wangjoshua@example.com"/>
    <s v="001-724-715-5369x158"/>
    <d v="2026-01-29T23:36:08"/>
    <s v="Missing Employee ID"/>
  </r>
  <r>
    <s v="Ryan Richards"/>
    <n v="101233"/>
    <x v="1"/>
    <d v="2025-06-11T00:00:00"/>
    <x v="17"/>
    <s v="Christopher Porter"/>
    <x v="1"/>
    <s v="rsmith@example.org"/>
    <s v="(470)533-3295x945"/>
    <d v="2026-02-03T18:08:08"/>
    <m/>
  </r>
  <r>
    <s v="Erica Medina"/>
    <n v="101320"/>
    <x v="5"/>
    <d v="2026-02-26T00:00:00"/>
    <x v="37"/>
    <s v="Kelly Perez"/>
    <x v="1"/>
    <s v="andrew29@example.com"/>
    <s v="(429)291-7217x4292"/>
    <d v="2026-02-02T01:27:08"/>
    <m/>
  </r>
  <r>
    <s v="Jason Weaver"/>
    <n v="101163"/>
    <x v="0"/>
    <d v="2025-09-03T00:00:00"/>
    <x v="3"/>
    <s v="Susan Howard"/>
    <x v="1"/>
    <s v="brittanyyoder@example.com"/>
    <s v="+1-437-206-3250x313"/>
    <d v="2026-02-20T00:28:08"/>
    <m/>
  </r>
  <r>
    <s v="Richard Nicholson"/>
    <n v="100875"/>
    <x v="2"/>
    <d v="2025-11-28T00:00:00"/>
    <x v="10"/>
    <s v="Chris Butler"/>
    <x v="0"/>
    <s v="rodriguezjohn@example.org"/>
    <s v="259.237.9719"/>
    <d v="2026-02-05T13:40:08"/>
    <m/>
  </r>
  <r>
    <s v="Alex Erickson"/>
    <n v="100904"/>
    <x v="4"/>
    <d v="2025-07-15T00:00:00"/>
    <x v="12"/>
    <s v="Jessica Bennett"/>
    <x v="0"/>
    <s v="meaganbennett@example.net"/>
    <s v="+1-547-218-5594x07992"/>
    <d v="2026-03-08T05:07:08"/>
    <m/>
  </r>
  <r>
    <s v="Richard Acosta"/>
    <n v="101328"/>
    <x v="1"/>
    <d v="2025-08-14T00:00:00"/>
    <x v="11"/>
    <s v="Breanna Young"/>
    <x v="1"/>
    <s v="dcurtis@example.com"/>
    <s v="+1-914-256-4743"/>
    <d v="2026-03-02T20:00:08"/>
    <m/>
  </r>
  <r>
    <s v="Bailey Phillips"/>
    <n v="100536"/>
    <x v="0"/>
    <d v="2025-07-15T00:00:00"/>
    <x v="35"/>
    <s v="Christina Mendez"/>
    <x v="0"/>
    <s v="moraelizabeth@example.com"/>
    <s v="(366)750-5276x12092"/>
    <d v="2026-02-27T07:04:08"/>
    <m/>
  </r>
  <r>
    <s v="Anthony Bates"/>
    <n v="100267"/>
    <x v="0"/>
    <d v="2025-12-07T00:00:00"/>
    <x v="5"/>
    <s v="Lori Moore"/>
    <x v="0"/>
    <s v="chadwilson@example.com"/>
    <s v="+1-987-306-7635x3223"/>
    <d v="2026-03-02T06:36:08"/>
    <m/>
  </r>
  <r>
    <s v="Laurie Jones"/>
    <n v="100683"/>
    <x v="4"/>
    <d v="2025-07-18T00:00:00"/>
    <x v="3"/>
    <s v="Robert Black"/>
    <x v="0"/>
    <s v="deborah56@example.org"/>
    <s v="711.542.9430x0037"/>
    <d v="2026-02-02T09:26:08"/>
    <m/>
  </r>
  <r>
    <s v="Kimberly Velez"/>
    <n v="100007"/>
    <x v="2"/>
    <d v="2026-01-21T00:00:00"/>
    <x v="34"/>
    <s v="David Terry"/>
    <x v="0"/>
    <s v="douglaskim@example.net"/>
    <s v="+1-986-869-3278x41783"/>
    <d v="2026-02-15T20:25:08"/>
    <m/>
  </r>
  <r>
    <s v="Benjamin Duke"/>
    <n v="100090"/>
    <x v="6"/>
    <d v="2025-04-18T00:00:00"/>
    <x v="24"/>
    <s v="Tamara Taylor"/>
    <x v="0"/>
    <s v="garciajoshua@example.org"/>
    <s v="(952)466-4267x3512"/>
    <d v="2026-02-04T13:05:08"/>
    <s v="Missing Department"/>
  </r>
  <r>
    <s v="Emily Reed DVM"/>
    <n v="100566"/>
    <x v="2"/>
    <d v="2025-05-19T00:00:00"/>
    <x v="11"/>
    <s v="Katherine Davenport"/>
    <x v="0"/>
    <s v="wedwards@example.com"/>
    <s v="+1-676-648-7849x622"/>
    <d v="2026-03-01T00:35:08"/>
    <m/>
  </r>
  <r>
    <s v="Sandra Smith"/>
    <n v="101253"/>
    <x v="0"/>
    <d v="2025-10-20T00:00:00"/>
    <x v="21"/>
    <s v="Charles Smith"/>
    <x v="0"/>
    <s v="klane@example.com"/>
    <s v="568-751-2062x76729"/>
    <d v="2026-03-01T03:26:08"/>
    <m/>
  </r>
  <r>
    <s v="Lisa Silva"/>
    <n v="101457"/>
    <x v="3"/>
    <d v="2026-01-20T00:00:00"/>
    <x v="1"/>
    <s v="Michael Adams"/>
    <x v="1"/>
    <s v="charlesjohnston@example.com"/>
    <s v="(950)422-3477x80457"/>
    <d v="2026-02-08T02:36:08"/>
    <m/>
  </r>
  <r>
    <s v="Sean Carter"/>
    <n v="100104"/>
    <x v="2"/>
    <d v="2025-08-02T00:00:00"/>
    <x v="26"/>
    <s v="Judy Harris"/>
    <x v="1"/>
    <s v="claytonchavez@example.net"/>
    <s v="(333)872-0945"/>
    <d v="2026-02-20T12:11:08"/>
    <m/>
  </r>
  <r>
    <s v="Ralph Wallace MD"/>
    <n v="101355"/>
    <x v="1"/>
    <d v="2025-10-27T00:00:00"/>
    <x v="2"/>
    <s v="Daniel Taylor"/>
    <x v="1"/>
    <s v="hgonzalez@example.org"/>
    <s v="(820)608-4842"/>
    <d v="2026-03-07T01:27:08"/>
    <m/>
  </r>
  <r>
    <s v="Sheila Harris"/>
    <n v="101322"/>
    <x v="0"/>
    <d v="2026-04-10T00:00:00"/>
    <x v="29"/>
    <s v="Christy Sweeney DDS"/>
    <x v="1"/>
    <s v="yjohnson@example.net"/>
    <s v="(789)667-1360"/>
    <d v="2026-02-05T23:34:08"/>
    <m/>
  </r>
  <r>
    <s v="Donna Graham"/>
    <n v="101035"/>
    <x v="3"/>
    <d v="2025-12-24T00:00:00"/>
    <x v="21"/>
    <s v="Brandi Hart"/>
    <x v="1"/>
    <s v="samantha49@example.net"/>
    <s v="5137249519"/>
    <d v="2026-02-25T02:26:08"/>
    <m/>
  </r>
  <r>
    <s v="Matthew Wu"/>
    <n v="100540"/>
    <x v="4"/>
    <d v="2025-09-24T00:00:00"/>
    <x v="25"/>
    <s v="Brian Rivera"/>
    <x v="1"/>
    <s v="wrodriguez@example.net"/>
    <s v="001-208-603-8890x441"/>
    <d v="2026-03-08T01:53:08"/>
    <m/>
  </r>
  <r>
    <s v="David Bailey"/>
    <n v="100416"/>
    <x v="2"/>
    <d v="2025-06-03T00:00:00"/>
    <x v="15"/>
    <s v="Jordan Jones"/>
    <x v="0"/>
    <s v="marthalee@example.net"/>
    <s v="+1-214-283-7475x5803"/>
    <d v="2026-02-12T05:08:08"/>
    <m/>
  </r>
  <r>
    <s v="Jamie Velazquez"/>
    <n v="100702"/>
    <x v="1"/>
    <d v="2025-10-09T00:00:00"/>
    <x v="6"/>
    <s v="Jermaine Tucker"/>
    <x v="1"/>
    <s v="cdunn@example.org"/>
    <s v="+1-802-371-6988x371"/>
    <d v="2026-02-13T07:24:08"/>
    <m/>
  </r>
  <r>
    <s v="Jose Price"/>
    <n v="100431"/>
    <x v="1"/>
    <d v="2025-04-21T00:00:00"/>
    <x v="14"/>
    <s v="Ms. Jenny Miller"/>
    <x v="1"/>
    <s v="yserrano@example.com"/>
    <s v="(798)533-2617x050"/>
    <d v="2026-02-08T12:22:08"/>
    <m/>
  </r>
  <r>
    <s v="David Schneider"/>
    <n v="100577"/>
    <x v="2"/>
    <d v="2026-04-10T00:00:00"/>
    <x v="5"/>
    <s v="Gregory Murphy"/>
    <x v="1"/>
    <s v="amywright@example.org"/>
    <s v="499.382.4266"/>
    <d v="2026-02-03T18:24:08"/>
    <m/>
  </r>
  <r>
    <s v="Ricardo Olson"/>
    <n v="100557"/>
    <x v="4"/>
    <d v="2026-03-07T00:00:00"/>
    <x v="28"/>
    <s v="Andrea Rivera"/>
    <x v="1"/>
    <s v="sarah68@example.com"/>
    <s v="+1-930-830-2853x272"/>
    <d v="2026-02-17T09:29:08"/>
    <s v="Extra Name Spaces"/>
  </r>
  <r>
    <s v="Justin Holland"/>
    <n v="101461"/>
    <x v="2"/>
    <d v="2025-11-15T00:00:00"/>
    <x v="1"/>
    <s v="Benjamin Watson"/>
    <x v="0"/>
    <s v="martindavid@example.net"/>
    <s v="(946)413-0873x089"/>
    <d v="2026-01-30T19:11:08"/>
    <m/>
  </r>
  <r>
    <s v="Sarah Fowler"/>
    <n v="101435"/>
    <x v="3"/>
    <d v="2025-07-27T00:00:00"/>
    <x v="21"/>
    <s v="Courtney Grimes"/>
    <x v="0"/>
    <s v="stephanieleon@example.com"/>
    <s v="211.284.2527x863"/>
    <d v="2026-02-05T22:10:08"/>
    <m/>
  </r>
  <r>
    <s v="Terry Thomas"/>
    <n v="100219"/>
    <x v="3"/>
    <d v="2025-03-22T00:00:00"/>
    <x v="15"/>
    <s v="Charles Mathews"/>
    <x v="1"/>
    <s v="jamesleonard@example.com"/>
    <s v="305.977.7196"/>
    <d v="2026-02-18T21:54:08"/>
    <m/>
  </r>
  <r>
    <s v="Jacob Bishop"/>
    <n v="100236"/>
    <x v="0"/>
    <d v="2025-12-06T00:00:00"/>
    <x v="7"/>
    <s v="James Carrillo"/>
    <x v="0"/>
    <s v="mphillips@example.net"/>
    <s v="001-668-433-4400x9522"/>
    <d v="2026-02-17T09:17:08"/>
    <m/>
  </r>
  <r>
    <s v="Mrs. Michelle Gonzalez"/>
    <n v="101451"/>
    <x v="4"/>
    <d v="2025-11-27T00:00:00"/>
    <x v="27"/>
    <s v="Curtis Neal"/>
    <x v="1"/>
    <s v="maryriley@example.com"/>
    <s v="890.270.5473"/>
    <d v="2026-03-11T14:11:08"/>
    <m/>
  </r>
  <r>
    <s v="Felicia Kramer"/>
    <n v="100275"/>
    <x v="1"/>
    <d v="2026-04-17T00:00:00"/>
    <x v="31"/>
    <s v="Angela Duffy"/>
    <x v="0"/>
    <s v="mcgeecole@example.org"/>
    <s v="(626)900-8026x5893"/>
    <d v="2026-02-18T18:03:08"/>
    <m/>
  </r>
  <r>
    <s v="Linda Boyer"/>
    <n v="100212"/>
    <x v="4"/>
    <d v="2025-03-19T00:00:00"/>
    <x v="7"/>
    <s v="Christina Flores"/>
    <x v="0"/>
    <s v="michaelkline@example.net"/>
    <s v="(814)596-7914"/>
    <d v="2026-03-10T15:31:08"/>
    <m/>
  </r>
  <r>
    <s v="Michelle Glass"/>
    <n v="100613"/>
    <x v="5"/>
    <d v="2025-12-09T00:00:00"/>
    <x v="5"/>
    <s v="Mrs. Diane Decker"/>
    <x v="1"/>
    <s v="andrewclark@example.com"/>
    <s v="001-626-465-2824x685"/>
    <d v="2026-03-06T11:53:08"/>
    <m/>
  </r>
  <r>
    <s v="Kathleen Anderson MD"/>
    <n v="101135"/>
    <x v="4"/>
    <d v="2025-06-19T00:00:00"/>
    <x v="39"/>
    <s v="Melissa Navarro"/>
    <x v="0"/>
    <s v="andrewmyers@example.org"/>
    <s v="746-605-1908"/>
    <d v="2026-02-12T14:09:08"/>
    <m/>
  </r>
  <r>
    <s v="Charles Rich"/>
    <n v="100016"/>
    <x v="5"/>
    <d v="2025-12-31T00:00:00"/>
    <x v="11"/>
    <s v="Matthew Blair"/>
    <x v="0"/>
    <s v="vanessaflores@example.com"/>
    <s v="+1-536-393-0100x0908"/>
    <d v="2026-03-13T11:40:08"/>
    <m/>
  </r>
  <r>
    <s v="Kelly Acosta"/>
    <n v="101356"/>
    <x v="2"/>
    <d v="2025-07-26T00:00:00"/>
    <x v="9"/>
    <s v="Emily Holloway"/>
    <x v="0"/>
    <s v="thompsondawn@example.org"/>
    <s v="941-858-9290x93043"/>
    <d v="2026-02-04T12:14:08"/>
    <m/>
  </r>
  <r>
    <s v="David Butler"/>
    <n v="100619"/>
    <x v="0"/>
    <d v="2025-08-13T00:00:00"/>
    <x v="7"/>
    <s v="Thomas Johnson"/>
    <x v="0"/>
    <s v="taylorderrick@example.net"/>
    <s v="(281)759-4747x05311"/>
    <d v="2026-02-27T15:43:08"/>
    <m/>
  </r>
  <r>
    <s v="Theresa Craig"/>
    <n v="101112"/>
    <x v="4"/>
    <d v="2025-03-31T00:00:00"/>
    <x v="4"/>
    <s v="Alejandra Salazar"/>
    <x v="0"/>
    <s v="mspears@example.com"/>
    <s v="+1-584-921-8914x269"/>
    <d v="2026-03-16T15:49:08"/>
    <m/>
  </r>
  <r>
    <s v="Dr. Heather Johnson PhD"/>
    <n v="101293"/>
    <x v="2"/>
    <d v="2026-04-04T00:00:00"/>
    <x v="28"/>
    <s v="John Mendoza"/>
    <x v="0"/>
    <s v="hickstimothy@example.org"/>
    <s v="+1-988-836-3688x50162"/>
    <d v="2026-03-10T10:42:08"/>
    <m/>
  </r>
  <r>
    <s v="Christopher Coleman"/>
    <n v="101344"/>
    <x v="1"/>
    <d v="2026-04-25T00:00:00"/>
    <x v="7"/>
    <s v="Jose Vazquez"/>
    <x v="1"/>
    <s v="hudsongwendolyn@example.com"/>
    <s v="+1-661-565-2289x8907"/>
    <d v="2026-02-13T01:45:08"/>
    <m/>
  </r>
  <r>
    <s v="Krystal Rodriguez"/>
    <n v="100583"/>
    <x v="4"/>
    <d v="2026-01-19T00:00:00"/>
    <x v="5"/>
    <s v="Marcus Castillo"/>
    <x v="1"/>
    <s v="ryanvillegas@example.com"/>
    <s v="(340)983-8580x5014"/>
    <d v="2026-02-24T09:44:08"/>
    <m/>
  </r>
  <r>
    <s v="Travis Hughes"/>
    <n v="100756"/>
    <x v="4"/>
    <d v="2026-02-19T00:00:00"/>
    <x v="9"/>
    <s v="Mr. Kenneth Ashley"/>
    <x v="0"/>
    <s v="brittanyrush@example.com"/>
    <s v="(751)288-7114x8600"/>
    <d v="2026-02-22T06:38:08"/>
    <m/>
  </r>
  <r>
    <s v="Larry Green"/>
    <n v="100500"/>
    <x v="3"/>
    <d v="2025-03-17T00:00:00"/>
    <x v="40"/>
    <s v="Margaret Mills"/>
    <x v="0"/>
    <s v="fhoffman@example.com"/>
    <s v="+1-270-330-2930x1125"/>
    <d v="2026-03-14T21:22:08"/>
    <m/>
  </r>
  <r>
    <s v="Jenna Garrett"/>
    <n v="101187"/>
    <x v="3"/>
    <d v="2025-12-12T00:00:00"/>
    <x v="19"/>
    <s v="Christopher Webster Jr."/>
    <x v="1"/>
    <s v="edward22@example.org"/>
    <s v="269.231.8062"/>
    <d v="2026-02-15T20:48:08"/>
    <m/>
  </r>
  <r>
    <s v="Kathleen Gonzalez"/>
    <n v="100714"/>
    <x v="1"/>
    <d v="2025-12-04T00:00:00"/>
    <x v="19"/>
    <s v="Robin Floyd"/>
    <x v="0"/>
    <s v="bcurtis@example.org"/>
    <s v="697-853-7405x714"/>
    <d v="2026-02-04T06:55:08"/>
    <m/>
  </r>
  <r>
    <s v="Tonya Richardson"/>
    <n v="100271"/>
    <x v="0"/>
    <d v="2026-02-03T00:00:00"/>
    <x v="26"/>
    <s v="Richard Crawford"/>
    <x v="1"/>
    <s v="leamy@example.com"/>
    <s v="654.845.3451"/>
    <d v="2026-03-01T21:12:08"/>
    <m/>
  </r>
  <r>
    <s v="Stephanie Hester"/>
    <n v="101170"/>
    <x v="1"/>
    <d v="2025-10-06T00:00:00"/>
    <x v="30"/>
    <s v="Jennifer Pennington"/>
    <x v="1"/>
    <s v="elizabethbrennan@example.net"/>
    <s v="948.535.8626"/>
    <d v="2026-02-13T19:26:08"/>
    <m/>
  </r>
  <r>
    <s v="James Evans"/>
    <n v="101036"/>
    <x v="3"/>
    <d v="2026-03-26T00:00:00"/>
    <x v="34"/>
    <s v="Christian Valencia"/>
    <x v="0"/>
    <s v="hkennedy@example.com"/>
    <s v="5896432698"/>
    <d v="2026-01-30T13:01:08"/>
    <m/>
  </r>
  <r>
    <s v="Seth Daniel"/>
    <n v="100436"/>
    <x v="1"/>
    <d v="2026-01-02T00:00:00"/>
    <x v="36"/>
    <s v="Melissa Delacruz MD"/>
    <x v="1"/>
    <s v="hineskrystal@example.com"/>
    <s v="4502928467"/>
    <d v="2026-03-11T07:37:08"/>
    <m/>
  </r>
  <r>
    <s v="Craig Jackson"/>
    <n v="101101"/>
    <x v="1"/>
    <d v="2025-11-10T00:00:00"/>
    <x v="7"/>
    <s v="Miss Christina Williams"/>
    <x v="0"/>
    <s v="vgriffin@example.com"/>
    <s v="(395)845-0380"/>
    <d v="2026-02-13T19:17:08"/>
    <m/>
  </r>
  <r>
    <s v="Justin Bell"/>
    <n v="100150"/>
    <x v="1"/>
    <d v="2025-07-17T00:00:00"/>
    <x v="11"/>
    <s v="Michael Norris"/>
    <x v="0"/>
    <s v="evansmatthew@example.net"/>
    <s v="(981)643-5312"/>
    <d v="2026-02-01T18:01:08"/>
    <m/>
  </r>
  <r>
    <s v="Melissa Cohen"/>
    <n v="100204"/>
    <x v="0"/>
    <d v="2025-05-09T00:00:00"/>
    <x v="14"/>
    <s v="Nicole Oliver"/>
    <x v="0"/>
    <s v="jacob11@example.org"/>
    <s v="959.604.2652"/>
    <d v="2026-02-24T04:49:08"/>
    <m/>
  </r>
  <r>
    <s v="Jeffrey Lowe"/>
    <n v="101153"/>
    <x v="2"/>
    <d v="2025-07-06T00:00:00"/>
    <x v="8"/>
    <s v="Renee Cooper"/>
    <x v="0"/>
    <s v="millstyler@example.net"/>
    <s v="285.354.5146"/>
    <d v="2026-02-09T20:17:08"/>
    <m/>
  </r>
  <r>
    <s v="Erika Miller"/>
    <n v="100938"/>
    <x v="1"/>
    <d v="2025-05-01T00:00:00"/>
    <x v="20"/>
    <s v="Tammy Cooper"/>
    <x v="1"/>
    <s v="larry37@example.net"/>
    <s v="5625728167"/>
    <d v="2026-02-20T04:53:08"/>
    <m/>
  </r>
  <r>
    <s v="James Cuevas"/>
    <n v="100019"/>
    <x v="1"/>
    <d v="2025-10-25T00:00:00"/>
    <x v="11"/>
    <s v="Brandon Stewart"/>
    <x v="1"/>
    <s v="bbrooks@example.net"/>
    <s v="001-926-841-2608x4818"/>
    <d v="2026-03-09T07:59:08"/>
    <m/>
  </r>
  <r>
    <s v="Kevin Fitzpatrick"/>
    <m/>
    <x v="0"/>
    <d v="2025-05-12T00:00:00"/>
    <x v="1"/>
    <s v="David Munoz"/>
    <x v="0"/>
    <s v="yallen@example.org"/>
    <s v="+1-495-416-7045x059"/>
    <d v="2026-03-08T22:21:08"/>
    <s v="Missing Employee ID"/>
  </r>
  <r>
    <s v="Michele Barnes"/>
    <n v="101175"/>
    <x v="4"/>
    <d v="2025-05-20T00:00:00"/>
    <x v="9"/>
    <s v="Robert Meza"/>
    <x v="0"/>
    <s v="juanperez@example.net"/>
    <s v="+1-280-448-5142"/>
    <d v="2026-02-25T15:48:08"/>
    <m/>
  </r>
  <r>
    <s v="Robert Morales"/>
    <n v="100936"/>
    <x v="1"/>
    <d v="2025-12-15T00:00:00"/>
    <x v="7"/>
    <s v="Scott Thomas"/>
    <x v="1"/>
    <s v="kristenyoung@example.org"/>
    <s v="327-755-7672x991"/>
    <d v="2026-02-24T05:27:08"/>
    <m/>
  </r>
  <r>
    <s v="Alexander Mitchell"/>
    <n v="100614"/>
    <x v="3"/>
    <d v="2025-12-07T00:00:00"/>
    <x v="38"/>
    <s v="Steven Boyd"/>
    <x v="0"/>
    <s v="deborahwright@example.net"/>
    <s v="(831)402-9771x150"/>
    <d v="2026-02-19T17:36:08"/>
    <m/>
  </r>
  <r>
    <s v="Ashley Nunez"/>
    <n v="100268"/>
    <x v="1"/>
    <d v="2025-11-06T00:00:00"/>
    <x v="31"/>
    <s v="Cameron Berger"/>
    <x v="0"/>
    <s v="lisa73@example.org"/>
    <s v="516.829.1087x39221"/>
    <d v="2026-02-12T18:42:08"/>
    <s v="Extra Name Spaces"/>
  </r>
  <r>
    <s v="Angela Morris"/>
    <n v="101388"/>
    <x v="5"/>
    <d v="2025-05-30T00:00:00"/>
    <x v="20"/>
    <s v="Joe Strickland"/>
    <x v="1"/>
    <s v="mejiamichael@example.net"/>
    <s v="677.707.4599x15304"/>
    <d v="2026-02-25T00:46:08"/>
    <m/>
  </r>
  <r>
    <s v="Robert Thompson"/>
    <n v="101213"/>
    <x v="3"/>
    <d v="2025-08-03T00:00:00"/>
    <x v="4"/>
    <s v="Matthew Newton"/>
    <x v="1"/>
    <s v="annpeters@example.org"/>
    <s v="945.802.9586"/>
    <d v="2026-02-26T05:03:08"/>
    <m/>
  </r>
  <r>
    <s v="Matthew Williams"/>
    <n v="100488"/>
    <x v="0"/>
    <d v="2026-05-04T00:00:00"/>
    <x v="19"/>
    <s v="Richard Kramer"/>
    <x v="0"/>
    <s v="ricky75@example.com"/>
    <s v="+1-418-923-6881x0138"/>
    <d v="2026-01-31T16:07:08"/>
    <m/>
  </r>
  <r>
    <s v="Anthony Christensen"/>
    <n v="100643"/>
    <x v="3"/>
    <d v="2025-11-20T00:00:00"/>
    <x v="21"/>
    <s v="David Brooks"/>
    <x v="0"/>
    <s v="gardnererik@example.org"/>
    <s v="538-382-5320"/>
    <d v="2026-02-09T04:31:08"/>
    <m/>
  </r>
  <r>
    <s v="Megan Mills"/>
    <n v="100418"/>
    <x v="4"/>
    <d v="2025-10-18T00:00:00"/>
    <x v="27"/>
    <s v="Mandy Walker"/>
    <x v="1"/>
    <s v="youngannette@example.net"/>
    <s v="+1-417-236-9078x94767"/>
    <d v="2026-03-11T23:53:08"/>
    <m/>
  </r>
  <r>
    <s v="Hayden Miller"/>
    <n v="100534"/>
    <x v="4"/>
    <d v="2025-08-07T00:00:00"/>
    <x v="4"/>
    <s v="Ariel Williams"/>
    <x v="0"/>
    <s v="dgentry@example.org"/>
    <s v="(734)385-0895x12370"/>
    <d v="2026-03-08T06:52:08"/>
    <s v="Extra Name Spaces"/>
  </r>
  <r>
    <s v="Sonia Silva"/>
    <n v="100647"/>
    <x v="1"/>
    <d v="2026-05-02T00:00:00"/>
    <x v="28"/>
    <s v="Dennis Day"/>
    <x v="1"/>
    <s v="jordan56@example.net"/>
    <s v="329.565.5619x2767"/>
    <d v="2026-02-14T19:34:08"/>
    <m/>
  </r>
  <r>
    <s v="Nicholas Cochran"/>
    <n v="101070"/>
    <x v="3"/>
    <d v="2026-01-05T00:00:00"/>
    <x v="7"/>
    <s v="Megan Mason"/>
    <x v="1"/>
    <s v="meghanallen@example.com"/>
    <s v="(912)366-7830x5573"/>
    <d v="2026-02-26T12:58:08"/>
    <m/>
  </r>
  <r>
    <s v="Ryan Warren"/>
    <n v="101157"/>
    <x v="2"/>
    <d v="2025-07-05T00:00:00"/>
    <x v="20"/>
    <s v="Samantha Williams"/>
    <x v="0"/>
    <s v="jeffrios@example.net"/>
    <s v="001-646-314-4662x76330"/>
    <d v="2026-02-01T12:52:08"/>
    <m/>
  </r>
  <r>
    <s v="Jim Maxwell"/>
    <n v="100858"/>
    <x v="5"/>
    <d v="2025-10-20T00:00:00"/>
    <x v="36"/>
    <s v="Carrie Lambert"/>
    <x v="1"/>
    <s v="jacob83@example.org"/>
    <s v="+1-868-863-6470x465"/>
    <d v="2026-02-14T11:47:08"/>
    <m/>
  </r>
  <r>
    <s v="Stephanie Mcintosh"/>
    <n v="100167"/>
    <x v="0"/>
    <d v="2025-05-15T00:00:00"/>
    <x v="27"/>
    <s v="Juan Chan"/>
    <x v="0"/>
    <s v="aaronramirez@example.org"/>
    <s v="993.263.1592x2912"/>
    <d v="2026-02-04T04:07:08"/>
    <m/>
  </r>
  <r>
    <s v="Kyle Ramirez"/>
    <n v="100081"/>
    <x v="6"/>
    <d v="2025-04-02T00:00:00"/>
    <x v="11"/>
    <s v="Dennis Bennett"/>
    <x v="1"/>
    <s v="bethmiller@example.com"/>
    <s v="(228)324-7183"/>
    <d v="2026-02-13T07:35:08"/>
    <s v="Missing Department"/>
  </r>
  <r>
    <s v="Jill Silva"/>
    <n v="100504"/>
    <x v="1"/>
    <d v="2025-06-12T00:00:00"/>
    <x v="23"/>
    <s v="Jennifer Brown DVM"/>
    <x v="1"/>
    <s v="erica89@example.net"/>
    <s v="001-484-497-4997x9905"/>
    <d v="2026-02-03T04:52:08"/>
    <m/>
  </r>
  <r>
    <s v="Caleb Ramirez"/>
    <n v="101166"/>
    <x v="2"/>
    <d v="2026-02-02T00:00:00"/>
    <x v="8"/>
    <s v="Rachel Travis"/>
    <x v="0"/>
    <s v="zachary18@example.net"/>
    <s v="+1-510-361-7356"/>
    <d v="2026-03-09T15:05:08"/>
    <m/>
  </r>
  <r>
    <s v="Christina Davis DDS"/>
    <n v="100245"/>
    <x v="3"/>
    <d v="2025-11-21T00:00:00"/>
    <x v="38"/>
    <s v="Mrs. Heather Meyers"/>
    <x v="0"/>
    <s v="mgarcia@example.com"/>
    <s v="+1-263-878-8119x389"/>
    <d v="2026-02-06T22:21:08"/>
    <m/>
  </r>
  <r>
    <s v="Theresa Wolfe"/>
    <n v="100826"/>
    <x v="1"/>
    <d v="2025-11-16T00:00:00"/>
    <x v="14"/>
    <s v="Daniel Morrow"/>
    <x v="0"/>
    <s v="fjones@example.com"/>
    <s v="321.963.3613"/>
    <d v="2026-02-20T01:23:08"/>
    <m/>
  </r>
  <r>
    <s v="Kelsey Adams"/>
    <n v="100481"/>
    <x v="5"/>
    <d v="2025-08-15T00:00:00"/>
    <x v="20"/>
    <s v="Ryan Collins"/>
    <x v="0"/>
    <s v="sanchezemily@example.net"/>
    <s v="(345)485-8356x399"/>
    <d v="2026-01-29T23:34:08"/>
    <s v="Extra Name Spaces"/>
  </r>
  <r>
    <s v="Mr. Nicholas Munoz"/>
    <n v="100139"/>
    <x v="3"/>
    <d v="2025-10-09T00:00:00"/>
    <x v="25"/>
    <s v="Thomas Waters"/>
    <x v="0"/>
    <s v="daniel41@example.net"/>
    <s v="001-825-281-4762x123"/>
    <d v="2026-02-10T21:57:08"/>
    <m/>
  </r>
  <r>
    <s v="Joshua Hall"/>
    <n v="100140"/>
    <x v="1"/>
    <d v="2026-03-16T00:00:00"/>
    <x v="10"/>
    <s v="Heather Davis"/>
    <x v="0"/>
    <s v="jenniferpeters@example.com"/>
    <s v="915.863.0930"/>
    <d v="2026-02-05T18:11:08"/>
    <m/>
  </r>
  <r>
    <s v="Nancy Rowe"/>
    <n v="100380"/>
    <x v="3"/>
    <d v="2025-03-18T00:00:00"/>
    <x v="8"/>
    <s v="Marie Patterson"/>
    <x v="0"/>
    <s v="michael98@example.com"/>
    <s v="(940)589-9217"/>
    <d v="2026-03-07T22:17:08"/>
    <m/>
  </r>
  <r>
    <s v="Tracy Frost"/>
    <n v="100164"/>
    <x v="2"/>
    <d v="2026-02-13T00:00:00"/>
    <x v="15"/>
    <s v="Jordan Jones"/>
    <x v="1"/>
    <s v="jasonhowell@example.org"/>
    <s v="(470)672-1734x02422"/>
    <d v="2026-03-14T15:01:08"/>
    <m/>
  </r>
  <r>
    <s v="Luis Suarez"/>
    <n v="101040"/>
    <x v="3"/>
    <d v="2025-11-30T00:00:00"/>
    <x v="34"/>
    <s v="Crystal Pacheco"/>
    <x v="0"/>
    <s v="pnunez@example.org"/>
    <s v="001-636-654-0181x4442"/>
    <d v="2026-02-16T19:27:08"/>
    <m/>
  </r>
  <r>
    <s v="William Johnson"/>
    <n v="100116"/>
    <x v="0"/>
    <d v="2025-07-21T00:00:00"/>
    <x v="17"/>
    <s v="Dana Copeland"/>
    <x v="1"/>
    <s v="adrian94@example.com"/>
    <s v="(351)618-6156x40994"/>
    <d v="2026-02-01T23:41:08"/>
    <m/>
  </r>
  <r>
    <s v="Corey Ryan DDS"/>
    <n v="100322"/>
    <x v="5"/>
    <d v="2025-05-26T00:00:00"/>
    <x v="35"/>
    <s v="Julie Flores"/>
    <x v="0"/>
    <s v="kevinnguyen@example.org"/>
    <s v="+1-690-482-6110x35659"/>
    <d v="2026-01-31T14:32:08"/>
    <m/>
  </r>
  <r>
    <s v="Linda Thompson"/>
    <n v="101087"/>
    <x v="0"/>
    <d v="2025-07-15T00:00:00"/>
    <x v="11"/>
    <s v="Carrie Castillo"/>
    <x v="0"/>
    <s v="qreynolds@example.com"/>
    <s v="+1-322-395-3386x194"/>
    <d v="2026-02-25T10:34:08"/>
    <m/>
  </r>
  <r>
    <s v="Kimberly Webster"/>
    <n v="101029"/>
    <x v="3"/>
    <d v="2026-01-18T00:00:00"/>
    <x v="16"/>
    <s v="Alexis Oliver"/>
    <x v="1"/>
    <s v="kristatorres@example.com"/>
    <s v="+1-624-506-6283x4633"/>
    <d v="2026-03-07T20:40:08"/>
    <m/>
  </r>
  <r>
    <s v="Dawn Kennedy"/>
    <n v="100976"/>
    <x v="5"/>
    <d v="2025-04-23T00:00:00"/>
    <x v="27"/>
    <s v="Tyler Rose"/>
    <x v="0"/>
    <s v="qorr@example.net"/>
    <s v="4868542438"/>
    <d v="2026-02-19T02:20:08"/>
    <m/>
  </r>
  <r>
    <s v="Theresa Spencer"/>
    <n v="101196"/>
    <x v="0"/>
    <d v="2025-07-24T00:00:00"/>
    <x v="4"/>
    <s v="Jerry Harris"/>
    <x v="0"/>
    <s v="lanemichael@example.net"/>
    <s v="+1-689-759-4703x9696"/>
    <d v="2026-02-04T08:43:08"/>
    <m/>
  </r>
  <r>
    <s v="Kyle Franco"/>
    <n v="100102"/>
    <x v="2"/>
    <d v="2026-03-16T00:00:00"/>
    <x v="2"/>
    <s v="Garrett Green"/>
    <x v="0"/>
    <s v="langalexandra@example.org"/>
    <s v="5996542887"/>
    <d v="2026-02-18T12:40:08"/>
    <m/>
  </r>
  <r>
    <s v="Dr. Lisa Morales"/>
    <n v="100117"/>
    <x v="4"/>
    <d v="2026-04-23T00:00:00"/>
    <x v="29"/>
    <s v="Victor Jordan"/>
    <x v="0"/>
    <s v="stephen61@example.com"/>
    <s v="001-506-690-1497x110"/>
    <d v="2026-03-12T08:41:08"/>
    <m/>
  </r>
  <r>
    <s v="Tiffany Randolph"/>
    <n v="100642"/>
    <x v="3"/>
    <d v="2025-12-13T00:00:00"/>
    <x v="28"/>
    <s v="George Castillo"/>
    <x v="1"/>
    <s v="robert50@example.net"/>
    <s v="618-586-0167x44923"/>
    <d v="2026-03-12T06:40:08"/>
    <m/>
  </r>
  <r>
    <s v="Isabel Clay"/>
    <n v="101248"/>
    <x v="0"/>
    <d v="2025-09-17T00:00:00"/>
    <x v="31"/>
    <s v="Ms. Erin Andrade"/>
    <x v="0"/>
    <s v="mario05@example.com"/>
    <s v="(493)775-4024x28617"/>
    <d v="2026-02-27T17:34:08"/>
    <m/>
  </r>
  <r>
    <s v="Belinda Haley"/>
    <n v="101110"/>
    <x v="3"/>
    <d v="2025-09-25T00:00:00"/>
    <x v="7"/>
    <s v="Erin Baird"/>
    <x v="0"/>
    <s v="ambersavage@example.com"/>
    <s v="(226)848-1638x49368"/>
    <d v="2026-03-09T11:55:08"/>
    <m/>
  </r>
  <r>
    <s v="Jose Walker"/>
    <n v="101186"/>
    <x v="1"/>
    <d v="2026-03-23T00:00:00"/>
    <x v="9"/>
    <s v="Angela Carrillo"/>
    <x v="0"/>
    <s v="scottlane@example.net"/>
    <s v="919-230-4852x77586"/>
    <d v="2026-02-11T06:00:08"/>
    <m/>
  </r>
  <r>
    <s v="Jasmine Perry"/>
    <n v="100119"/>
    <x v="1"/>
    <d v="2025-08-07T00:00:00"/>
    <x v="30"/>
    <s v="Cory Henderson"/>
    <x v="0"/>
    <s v="kevin43@example.net"/>
    <s v="+1-546-589-6331x812"/>
    <d v="2026-03-06T07:03:08"/>
    <m/>
  </r>
  <r>
    <s v="Michael Davis"/>
    <n v="100445"/>
    <x v="5"/>
    <d v="2025-06-16T00:00:00"/>
    <x v="2"/>
    <s v="Natalie Williams"/>
    <x v="1"/>
    <s v="maryblackwell@example.com"/>
    <s v="757-276-2626x367"/>
    <d v="2026-02-13T21:41:08"/>
    <m/>
  </r>
  <r>
    <s v="Stephanie Spencer"/>
    <n v="100607"/>
    <x v="3"/>
    <d v="2025-07-26T00:00:00"/>
    <x v="28"/>
    <s v="Katherine Simpson"/>
    <x v="0"/>
    <s v="xburch@example.net"/>
    <s v="643-248-5295x377"/>
    <d v="2026-02-02T13:36:08"/>
    <m/>
  </r>
  <r>
    <s v="Rachel Alvarez"/>
    <n v="100388"/>
    <x v="3"/>
    <d v="2025-09-25T00:00:00"/>
    <x v="0"/>
    <s v="Justin Campbell"/>
    <x v="1"/>
    <s v="monica07@example.com"/>
    <s v="951.549.7534x115"/>
    <d v="2026-01-30T09:24:08"/>
    <m/>
  </r>
  <r>
    <s v="Christine Howell"/>
    <n v="100317"/>
    <x v="1"/>
    <d v="2025-10-16T00:00:00"/>
    <x v="39"/>
    <s v="Andrew Robbins"/>
    <x v="1"/>
    <s v="joanna65@example.com"/>
    <s v="(582)734-4538x565"/>
    <d v="2026-02-15T00:46:08"/>
    <m/>
  </r>
  <r>
    <s v="Suzanne Hancock"/>
    <n v="100996"/>
    <x v="4"/>
    <d v="2025-08-04T00:00:00"/>
    <x v="32"/>
    <s v="Jason Riggs"/>
    <x v="1"/>
    <s v="hensleybenjamin@example.com"/>
    <s v="8913103495"/>
    <d v="2026-02-04T14:56:08"/>
    <m/>
  </r>
  <r>
    <s v="Michael Harper"/>
    <n v="101138"/>
    <x v="4"/>
    <d v="2025-10-10T00:00:00"/>
    <x v="14"/>
    <s v="Nancy Bass"/>
    <x v="0"/>
    <s v="millercristian@example.com"/>
    <s v="837.946.6144x77618"/>
    <d v="2026-03-01T14:43:08"/>
    <m/>
  </r>
  <r>
    <s v="Diana Murray"/>
    <m/>
    <x v="3"/>
    <d v="2026-01-04T00:00:00"/>
    <x v="15"/>
    <s v="Jennifer Curtis"/>
    <x v="1"/>
    <s v="jkelley@example.net"/>
    <s v="+1-305-625-6599x508"/>
    <d v="2026-02-09T01:05:08"/>
    <s v="Missing Employee ID"/>
  </r>
  <r>
    <s v="Meredith Holt"/>
    <n v="100584"/>
    <x v="0"/>
    <d v="2025-10-19T00:00:00"/>
    <x v="4"/>
    <s v="Christopher Bush"/>
    <x v="1"/>
    <s v="shenderson@example.org"/>
    <s v="547-339-8622x14051"/>
    <d v="2026-02-11T18:31:08"/>
    <m/>
  </r>
  <r>
    <s v="Jamie Parker"/>
    <n v="100931"/>
    <x v="1"/>
    <d v="2026-03-08T00:00:00"/>
    <x v="7"/>
    <s v="Sean Lewis"/>
    <x v="0"/>
    <s v="kingjessica@example.net"/>
    <s v="224-474-4203x59441"/>
    <d v="2026-02-05T11:25:08"/>
    <m/>
  </r>
  <r>
    <s v="Courtney Wagner"/>
    <n v="100543"/>
    <x v="0"/>
    <d v="2026-03-16T00:00:00"/>
    <x v="2"/>
    <s v="Sara Gay"/>
    <x v="1"/>
    <s v="fgutierrez@example.com"/>
    <s v="713-513-5183x0258"/>
    <d v="2026-02-28T19:20:08"/>
    <m/>
  </r>
  <r>
    <s v="Tony Barnes"/>
    <n v="100799"/>
    <x v="1"/>
    <d v="2026-03-01T00:00:00"/>
    <x v="25"/>
    <s v="Robert Bailey"/>
    <x v="0"/>
    <s v="dana17@example.net"/>
    <s v="+1-855-799-0984x128"/>
    <d v="2026-02-01T00:02:08"/>
    <m/>
  </r>
  <r>
    <s v="Joseph Eaton"/>
    <n v="100004"/>
    <x v="2"/>
    <d v="2025-06-13T00:00:00"/>
    <x v="1"/>
    <s v="Jamie Reed"/>
    <x v="0"/>
    <s v="jasonharris@example.org"/>
    <s v="001-534-389-1800"/>
    <d v="2026-02-12T05:51:08"/>
    <m/>
  </r>
  <r>
    <s v="Sharon Lopez"/>
    <n v="100776"/>
    <x v="0"/>
    <d v="2025-10-18T00:00:00"/>
    <x v="33"/>
    <s v="Lawrence Velasquez"/>
    <x v="1"/>
    <s v="robin19@example.com"/>
    <s v="001-773-409-1218"/>
    <d v="2026-03-09T06:22:08"/>
    <m/>
  </r>
  <r>
    <s v="Corey Davis"/>
    <n v="100337"/>
    <x v="2"/>
    <d v="2026-05-15T00:00:00"/>
    <x v="30"/>
    <s v="Nathaniel Davis"/>
    <x v="1"/>
    <s v="christopherandrade@example.com"/>
    <s v="(930)915-3030x440"/>
    <d v="2026-02-26T08:52:08"/>
    <m/>
  </r>
  <r>
    <s v="Megan Garcia"/>
    <n v="101277"/>
    <x v="2"/>
    <d v="2025-03-17T00:00:00"/>
    <x v="22"/>
    <s v="Zachary Yang"/>
    <x v="0"/>
    <s v="christina45@example.com"/>
    <s v="366.434.5418x299"/>
    <d v="2026-02-24T19:58:08"/>
    <m/>
  </r>
  <r>
    <s v="Louis Stein"/>
    <n v="101397"/>
    <x v="1"/>
    <d v="2026-05-12T00:00:00"/>
    <x v="7"/>
    <s v="Christian Butler"/>
    <x v="1"/>
    <s v="donovansamantha@example.org"/>
    <s v="4614669100"/>
    <d v="2026-03-13T05:46:08"/>
    <m/>
  </r>
  <r>
    <s v="Brandi Singh"/>
    <n v="100437"/>
    <x v="0"/>
    <d v="2026-01-25T00:00:00"/>
    <x v="5"/>
    <s v="Charles Holloway"/>
    <x v="1"/>
    <s v="edwinmiller@example.com"/>
    <s v="(962)369-9620x834"/>
    <d v="2026-03-10T17:44:08"/>
    <m/>
  </r>
  <r>
    <s v="Alexandra Carroll"/>
    <n v="100985"/>
    <x v="4"/>
    <d v="2026-03-20T00:00:00"/>
    <x v="7"/>
    <s v="Robert Schultz"/>
    <x v="1"/>
    <s v="travis28@example.net"/>
    <s v="903.422.0074x859"/>
    <d v="2026-03-16T14:27:08"/>
    <m/>
  </r>
  <r>
    <s v="Corey Ford"/>
    <n v="101268"/>
    <x v="5"/>
    <d v="2025-11-22T00:00:00"/>
    <x v="15"/>
    <s v="Leonard Davis"/>
    <x v="0"/>
    <s v="jacob05@example.net"/>
    <s v="202.886.0604x80224"/>
    <d v="2026-02-18T13:41:08"/>
    <m/>
  </r>
  <r>
    <s v="Sarah Tanner"/>
    <n v="100832"/>
    <x v="1"/>
    <d v="2025-03-19T00:00:00"/>
    <x v="28"/>
    <s v="Troy Ross"/>
    <x v="1"/>
    <s v="bobby90@example.com"/>
    <s v="289-385-6643"/>
    <d v="2026-03-02T01:51:08"/>
    <m/>
  </r>
  <r>
    <s v="Erin Randall"/>
    <n v="100340"/>
    <x v="5"/>
    <d v="2025-09-23T00:00:00"/>
    <x v="6"/>
    <s v="Chad Robertson"/>
    <x v="0"/>
    <s v="gschmidt@example.com"/>
    <s v="001-465-269-9313x6062"/>
    <d v="2026-02-10T08:43:08"/>
    <m/>
  </r>
  <r>
    <s v="Wendy Lloyd"/>
    <n v="100484"/>
    <x v="3"/>
    <d v="2025-10-26T00:00:00"/>
    <x v="4"/>
    <s v="Kristi Smith"/>
    <x v="1"/>
    <s v="timothy94@example.net"/>
    <s v="001-771-599-0380x35148"/>
    <d v="2026-02-17T17:43:08"/>
    <m/>
  </r>
  <r>
    <s v="Tiffany Hudson"/>
    <n v="101484"/>
    <x v="6"/>
    <d v="2026-03-14T00:00:00"/>
    <x v="15"/>
    <s v="Kevin Molina"/>
    <x v="0"/>
    <s v="steve90@example.com"/>
    <s v="847.928.3951"/>
    <d v="2026-02-26T16:32:08"/>
    <s v="Missing Department"/>
  </r>
  <r>
    <s v="Anthony Elliott"/>
    <n v="100030"/>
    <x v="3"/>
    <d v="2025-10-04T00:00:00"/>
    <x v="5"/>
    <s v="Beth Cross"/>
    <x v="0"/>
    <s v="jsmith@example.com"/>
    <s v="486.286.5629x25822"/>
    <d v="2026-03-05T19:10:08"/>
    <m/>
  </r>
  <r>
    <s v="Ashley Robinson"/>
    <n v="101107"/>
    <x v="2"/>
    <d v="2025-11-16T00:00:00"/>
    <x v="8"/>
    <s v="Daniel Kim"/>
    <x v="1"/>
    <s v="ronald46@example.com"/>
    <s v="(778)909-6458x37449"/>
    <d v="2026-02-09T01:00:08"/>
    <m/>
  </r>
  <r>
    <s v="Bobby Howard"/>
    <n v="100103"/>
    <x v="3"/>
    <d v="2025-08-29T00:00:00"/>
    <x v="9"/>
    <s v="Timothy Morris"/>
    <x v="0"/>
    <s v="gabriela59@example.net"/>
    <s v="(389)674-8741"/>
    <d v="2026-03-09T14:14:08"/>
    <m/>
  </r>
  <r>
    <s v="Janice Clay"/>
    <n v="100200"/>
    <x v="0"/>
    <d v="2025-05-19T00:00:00"/>
    <x v="1"/>
    <s v="Jessica Morris"/>
    <x v="0"/>
    <s v="combsdenise@example.net"/>
    <s v="+1-776-845-3496x551"/>
    <d v="2026-02-01T09:50:08"/>
    <m/>
  </r>
  <r>
    <s v="Brian Powell"/>
    <n v="101127"/>
    <x v="0"/>
    <d v="2026-02-26T00:00:00"/>
    <x v="9"/>
    <s v="Jessica Mcconnell"/>
    <x v="0"/>
    <s v="mcintyrebrendan@example.org"/>
    <s v="(482)401-6301x597"/>
    <d v="2026-02-17T01:31:08"/>
    <m/>
  </r>
  <r>
    <s v="Brianna Warren"/>
    <n v="100907"/>
    <x v="4"/>
    <d v="2025-08-07T00:00:00"/>
    <x v="29"/>
    <s v="Rebecca Lewis"/>
    <x v="0"/>
    <s v="timothyortiz@example.org"/>
    <s v="001-284-560-1804"/>
    <d v="2026-02-05T12:42:08"/>
    <m/>
  </r>
  <r>
    <s v="Elijah Smith"/>
    <n v="100154"/>
    <x v="1"/>
    <d v="2025-06-19T00:00:00"/>
    <x v="1"/>
    <s v="Felicia Robinson"/>
    <x v="0"/>
    <s v="nicholasibarra@example.com"/>
    <s v="(871)255-4460x5392"/>
    <d v="2026-02-27T17:59:08"/>
    <m/>
  </r>
  <r>
    <s v="Jessica Foley"/>
    <n v="100511"/>
    <x v="2"/>
    <d v="2026-02-20T00:00:00"/>
    <x v="33"/>
    <s v="Samantha Powell"/>
    <x v="0"/>
    <s v="tylerwilliams@example.com"/>
    <s v="001-936-449-9119x2856"/>
    <d v="2026-01-31T00:46:08"/>
    <m/>
  </r>
  <r>
    <s v="Holly Williams"/>
    <n v="100947"/>
    <x v="1"/>
    <d v="2025-06-16T00:00:00"/>
    <x v="3"/>
    <s v="Dr. Tiffany Booker"/>
    <x v="0"/>
    <s v="angelavalencia@example.net"/>
    <s v="775.858.2126x2643"/>
    <d v="2026-03-02T13:48:08"/>
    <m/>
  </r>
  <r>
    <s v="Jose Roberts"/>
    <n v="101269"/>
    <x v="3"/>
    <d v="2025-10-07T00:00:00"/>
    <x v="1"/>
    <s v="Jeremy Lynch"/>
    <x v="0"/>
    <s v="guerramaria@example.org"/>
    <s v="+1-699-619-8177x55129"/>
    <d v="2026-03-07T03:21:08"/>
    <m/>
  </r>
  <r>
    <s v="Eric Norman"/>
    <n v="100375"/>
    <x v="0"/>
    <d v="2026-01-25T00:00:00"/>
    <x v="15"/>
    <s v="Michael Jordan"/>
    <x v="0"/>
    <s v="christine28@example.net"/>
    <s v="001-238-959-7477x65659"/>
    <d v="2026-02-20T04:00:08"/>
    <m/>
  </r>
  <r>
    <s v="Gabriel Swanson"/>
    <n v="101363"/>
    <x v="1"/>
    <d v="2025-08-19T00:00:00"/>
    <x v="38"/>
    <s v="Riley Clark"/>
    <x v="1"/>
    <s v="jeffrey68@example.com"/>
    <s v="+1-871-556-9220x94907"/>
    <d v="2026-02-17T01:33:08"/>
    <m/>
  </r>
  <r>
    <s v="Brian Clark"/>
    <n v="100287"/>
    <x v="0"/>
    <d v="2025-12-02T00:00:00"/>
    <x v="14"/>
    <s v="Julie Mcknight"/>
    <x v="1"/>
    <s v="rodriguezstephanie@example.net"/>
    <s v="477-434-9431x487"/>
    <d v="2026-03-09T08:43:08"/>
    <m/>
  </r>
  <r>
    <s v="Jacob Hayden"/>
    <n v="100918"/>
    <x v="4"/>
    <d v="2025-08-06T00:00:00"/>
    <x v="40"/>
    <s v="David Walker"/>
    <x v="0"/>
    <s v="deborah74@example.org"/>
    <s v="(785)757-3952x3285"/>
    <d v="2026-02-24T16:17:08"/>
    <m/>
  </r>
  <r>
    <s v="Sandra Craig"/>
    <n v="101448"/>
    <x v="3"/>
    <d v="2025-04-05T00:00:00"/>
    <x v="15"/>
    <s v="Tracy Cooper"/>
    <x v="1"/>
    <s v="marissa58@example.org"/>
    <s v="+1-666-902-8413x6233"/>
    <d v="2026-03-03T08:10:08"/>
    <m/>
  </r>
  <r>
    <s v="Albert Garcia"/>
    <n v="101258"/>
    <x v="1"/>
    <d v="2025-08-06T00:00:00"/>
    <x v="12"/>
    <s v="Kevin Daugherty"/>
    <x v="1"/>
    <s v="scotttiffany@example.net"/>
    <s v="001-773-241-8559"/>
    <d v="2026-02-13T05:30:08"/>
    <m/>
  </r>
  <r>
    <s v="Claire Mcmillan"/>
    <n v="100392"/>
    <x v="4"/>
    <d v="2025-08-18T00:00:00"/>
    <x v="15"/>
    <s v="Randall Johnson"/>
    <x v="0"/>
    <s v="mjohnson@example.com"/>
    <s v="901-275-9001"/>
    <d v="2026-01-31T23:04:08"/>
    <m/>
  </r>
  <r>
    <s v="Julia Gibbs"/>
    <n v="100509"/>
    <x v="3"/>
    <d v="2025-09-01T00:00:00"/>
    <x v="5"/>
    <s v="Andrew Daniels"/>
    <x v="1"/>
    <s v="sherryedwards@example.net"/>
    <s v="862-915-9389"/>
    <d v="2026-02-28T19:43:08"/>
    <m/>
  </r>
  <r>
    <s v="David Bolton"/>
    <n v="100223"/>
    <x v="2"/>
    <d v="2025-07-01T00:00:00"/>
    <x v="25"/>
    <s v="Katelyn Allen"/>
    <x v="0"/>
    <s v="jacqueline96@example.org"/>
    <s v="307.522.8834x1335"/>
    <d v="2026-02-03T21:22:08"/>
    <m/>
  </r>
  <r>
    <s v="Angela Lopez"/>
    <n v="100694"/>
    <x v="3"/>
    <d v="2025-04-06T00:00:00"/>
    <x v="38"/>
    <s v="Susan Collins"/>
    <x v="1"/>
    <s v="nreid@example.org"/>
    <s v="(263)957-9671x48030"/>
    <d v="2026-03-10T15:21:08"/>
    <m/>
  </r>
  <r>
    <s v="Crystal Diaz"/>
    <n v="100824"/>
    <x v="6"/>
    <d v="2026-01-26T00:00:00"/>
    <x v="6"/>
    <s v="Sarah Castro"/>
    <x v="0"/>
    <s v="peterjohnson@example.org"/>
    <s v="326-337-9412x88669"/>
    <d v="2026-02-10T12:40:08"/>
    <s v="Missing Department"/>
  </r>
  <r>
    <s v="Megan Krueger"/>
    <n v="100124"/>
    <x v="0"/>
    <d v="2025-05-20T00:00:00"/>
    <x v="7"/>
    <s v="Carol Baker"/>
    <x v="1"/>
    <s v="marcomoore@example.com"/>
    <s v="619-878-9259"/>
    <d v="2026-02-09T06:03:08"/>
    <m/>
  </r>
  <r>
    <s v="Olivia Hayes"/>
    <n v="100201"/>
    <x v="4"/>
    <d v="2025-10-31T00:00:00"/>
    <x v="23"/>
    <s v="Mark Gray"/>
    <x v="0"/>
    <s v="isabel25@example.net"/>
    <s v="244-711-8185x13673"/>
    <d v="2026-02-14T03:36:08"/>
    <m/>
  </r>
  <r>
    <s v="Daniel Petersen"/>
    <n v="100110"/>
    <x v="1"/>
    <d v="2025-11-28T00:00:00"/>
    <x v="11"/>
    <s v="Ariel Watkins"/>
    <x v="1"/>
    <s v="umonroe@example.com"/>
    <s v="541.584.7146x22014"/>
    <d v="2026-01-31T13:30:08"/>
    <m/>
  </r>
  <r>
    <s v="Derek Brown"/>
    <n v="100956"/>
    <x v="4"/>
    <d v="2025-04-08T00:00:00"/>
    <x v="12"/>
    <s v="Cody Jackson"/>
    <x v="1"/>
    <s v="rhondasmith@example.org"/>
    <s v="576.947.7090x67618"/>
    <d v="2026-01-31T23:44:08"/>
    <m/>
  </r>
  <r>
    <s v="Patrick Brooks"/>
    <n v="100841"/>
    <x v="1"/>
    <d v="2025-04-23T00:00:00"/>
    <x v="7"/>
    <s v="Mr. Michael Jones"/>
    <x v="1"/>
    <s v="glopez@example.com"/>
    <s v="(604)388-8680"/>
    <d v="2026-02-09T04:35:08"/>
    <m/>
  </r>
  <r>
    <s v="Robin Walker"/>
    <n v="100867"/>
    <x v="5"/>
    <d v="2026-01-20T00:00:00"/>
    <x v="19"/>
    <s v="Ronald Martin"/>
    <x v="0"/>
    <s v="destiny64@example.net"/>
    <s v="(674)219-9160x53906"/>
    <d v="2026-03-05T22:23:08"/>
    <m/>
  </r>
  <r>
    <s v="Michelle Christensen"/>
    <n v="100725"/>
    <x v="2"/>
    <d v="2026-01-13T00:00:00"/>
    <x v="25"/>
    <s v="Crystal Anderson"/>
    <x v="1"/>
    <s v="thorntoncaitlyn@example.net"/>
    <s v="8184158913"/>
    <d v="2026-02-25T10:23:08"/>
    <m/>
  </r>
  <r>
    <s v="Julie Smith"/>
    <n v="100882"/>
    <x v="4"/>
    <d v="2026-03-13T00:00:00"/>
    <x v="17"/>
    <s v="Bruce Rivera"/>
    <x v="0"/>
    <s v="carlwright@example.com"/>
    <s v="001-925-726-0221x6908"/>
    <d v="2026-03-02T16:21:08"/>
    <m/>
  </r>
  <r>
    <s v="Kayla Thomas"/>
    <n v="101455"/>
    <x v="1"/>
    <d v="2025-07-15T00:00:00"/>
    <x v="24"/>
    <s v="Lindsey Gonzalez"/>
    <x v="1"/>
    <s v="amy84@example.org"/>
    <s v="+1-891-506-5735x17454"/>
    <d v="2026-03-08T08:41:08"/>
    <m/>
  </r>
  <r>
    <s v="Michelle Martinez"/>
    <n v="100193"/>
    <x v="0"/>
    <d v="2026-02-07T00:00:00"/>
    <x v="11"/>
    <s v="Morgan Torres"/>
    <x v="0"/>
    <s v="hernandezamy@example.org"/>
    <s v="295-558-9799"/>
    <d v="2026-03-15T19:46:08"/>
    <m/>
  </r>
  <r>
    <s v="Peter Morrison"/>
    <n v="100389"/>
    <x v="4"/>
    <d v="2026-02-02T00:00:00"/>
    <x v="0"/>
    <s v="Timothy Miller"/>
    <x v="1"/>
    <s v="mlyons@example.org"/>
    <s v="(768)370-9412x460"/>
    <d v="2026-03-08T03:58:08"/>
    <m/>
  </r>
  <r>
    <s v="Dawn Lamb"/>
    <n v="100833"/>
    <x v="1"/>
    <d v="2025-08-13T00:00:00"/>
    <x v="14"/>
    <s v="Lynn Garza"/>
    <x v="1"/>
    <s v="johncruz@example.com"/>
    <s v="887-667-7600"/>
    <d v="2026-03-02T08:22:08"/>
    <m/>
  </r>
  <r>
    <s v="Frederick Finley"/>
    <n v="101262"/>
    <x v="3"/>
    <d v="2025-07-25T00:00:00"/>
    <x v="3"/>
    <s v="Tara Lloyd"/>
    <x v="0"/>
    <s v="qrhodes@example.org"/>
    <s v="873-903-3249"/>
    <d v="2026-01-31T04:52:08"/>
    <m/>
  </r>
  <r>
    <s v="Paul Porter"/>
    <n v="100497"/>
    <x v="2"/>
    <d v="2026-01-30T00:00:00"/>
    <x v="38"/>
    <s v="Wendy Peterson"/>
    <x v="1"/>
    <s v="turnerjuan@example.net"/>
    <s v="8942731815"/>
    <d v="2026-03-02T06:50:08"/>
    <m/>
  </r>
  <r>
    <s v="Sarah Martin"/>
    <n v="100968"/>
    <x v="2"/>
    <d v="2025-06-28T00:00:00"/>
    <x v="39"/>
    <s v="Kristopher Allison"/>
    <x v="1"/>
    <s v="lisa47@example.com"/>
    <s v="911-707-9764"/>
    <d v="2026-03-02T03:06:08"/>
    <m/>
  </r>
  <r>
    <s v="Patrick Barnes"/>
    <n v="101180"/>
    <x v="4"/>
    <d v="2025-05-30T00:00:00"/>
    <x v="29"/>
    <s v="Jorge Tyler"/>
    <x v="0"/>
    <s v="garrettvega@example.org"/>
    <s v="785-840-3909x8468"/>
    <d v="2026-02-15T11:36:08"/>
    <m/>
  </r>
  <r>
    <s v="Jeffrey Cummings"/>
    <n v="101169"/>
    <x v="3"/>
    <d v="2025-06-20T00:00:00"/>
    <x v="21"/>
    <s v="Catherine Glenn"/>
    <x v="0"/>
    <s v="hjones@example.org"/>
    <s v="(887)409-7777x95703"/>
    <d v="2026-02-25T12:21:08"/>
    <m/>
  </r>
  <r>
    <s v="Jonathan Lawrence"/>
    <n v="100270"/>
    <x v="3"/>
    <d v="2026-05-08T00:00:00"/>
    <x v="2"/>
    <s v="Rhonda Livingston"/>
    <x v="0"/>
    <s v="santiagochristopher@example.com"/>
    <s v="001-635-512-8962x20682"/>
    <d v="2026-03-12T13:01:08"/>
    <m/>
  </r>
  <r>
    <s v="Corey David"/>
    <n v="101298"/>
    <x v="0"/>
    <d v="2025-10-20T00:00:00"/>
    <x v="7"/>
    <s v="Richard Lewis"/>
    <x v="1"/>
    <s v="johnnygray@example.com"/>
    <s v="001-706-994-3069x523"/>
    <d v="2026-03-09T23:56:08"/>
    <m/>
  </r>
  <r>
    <s v="Jenna Osborne"/>
    <n v="100438"/>
    <x v="3"/>
    <d v="2026-03-23T00:00:00"/>
    <x v="3"/>
    <s v="Ann Wagner"/>
    <x v="0"/>
    <s v="timothydavenport@example.org"/>
    <s v="(244)688-5487x5311"/>
    <d v="2026-02-20T04:48:08"/>
    <m/>
  </r>
  <r>
    <s v="Gregory Collins"/>
    <n v="100994"/>
    <x v="0"/>
    <d v="2025-05-11T00:00:00"/>
    <x v="28"/>
    <s v="Robert Nguyen"/>
    <x v="0"/>
    <s v="tortiz@example.org"/>
    <s v="(450)278-6887x860"/>
    <d v="2026-03-08T09:26:08"/>
    <m/>
  </r>
  <r>
    <s v="Kevin Anderson"/>
    <n v="100570"/>
    <x v="0"/>
    <d v="2025-07-31T00:00:00"/>
    <x v="28"/>
    <s v="Stephen Stark"/>
    <x v="0"/>
    <s v="winterschristopher@example.net"/>
    <s v="986-563-9928x79872"/>
    <d v="2026-03-16T14:17:08"/>
    <m/>
  </r>
  <r>
    <s v="Melissa King"/>
    <n v="100487"/>
    <x v="1"/>
    <d v="2026-03-27T00:00:00"/>
    <x v="14"/>
    <s v="Eric Cox"/>
    <x v="0"/>
    <s v="hthompson@example.com"/>
    <s v="+1-296-944-1603x32888"/>
    <d v="2026-03-08T01:31:08"/>
    <m/>
  </r>
  <r>
    <s v="Fred Miles"/>
    <n v="101052"/>
    <x v="1"/>
    <d v="2025-10-29T00:00:00"/>
    <x v="1"/>
    <s v="John Morgan"/>
    <x v="1"/>
    <s v="hernandezandrew@example.net"/>
    <s v="(801)675-4541"/>
    <d v="2026-02-14T12:38:08"/>
    <m/>
  </r>
  <r>
    <s v="Lisa Barrett"/>
    <n v="101278"/>
    <x v="2"/>
    <d v="2025-04-13T00:00:00"/>
    <x v="0"/>
    <s v="Amy Barron"/>
    <x v="0"/>
    <s v="dperry@example.com"/>
    <s v="+1-801-252-6974x4203"/>
    <d v="2026-03-14T14:24:08"/>
    <m/>
  </r>
  <r>
    <s v="Dr. Glenn Moss"/>
    <n v="100676"/>
    <x v="1"/>
    <d v="2025-08-14T00:00:00"/>
    <x v="3"/>
    <s v="Renee Harris"/>
    <x v="1"/>
    <s v="william72@example.org"/>
    <s v="001-483-568-0601x457"/>
    <d v="2026-03-07T17:52:08"/>
    <m/>
  </r>
  <r>
    <s v="John Adams"/>
    <n v="100064"/>
    <x v="2"/>
    <d v="2025-03-28T00:00:00"/>
    <x v="7"/>
    <s v="Gloria Padilla"/>
    <x v="1"/>
    <s v="xsmith@example.org"/>
    <s v="001-419-267-9720x9251"/>
    <d v="2026-03-07T05:51:08"/>
    <m/>
  </r>
  <r>
    <s v="Justin Dunn"/>
    <n v="100138"/>
    <x v="4"/>
    <d v="2025-07-09T00:00:00"/>
    <x v="23"/>
    <s v="Beth Perez"/>
    <x v="0"/>
    <s v="taracole@example.org"/>
    <s v="793-779-5829x158"/>
    <d v="2026-03-09T10:15:08"/>
    <m/>
  </r>
  <r>
    <s v="Angela Kirby"/>
    <n v="100468"/>
    <x v="3"/>
    <d v="2025-08-07T00:00:00"/>
    <x v="17"/>
    <s v="Maria Miller"/>
    <x v="1"/>
    <s v="teresamckee@example.com"/>
    <s v="474-714-2487x39626"/>
    <d v="2026-03-09T05:36:08"/>
    <m/>
  </r>
  <r>
    <s v="Kelly Gardner"/>
    <n v="100120"/>
    <x v="0"/>
    <d v="2025-04-07T00:00:00"/>
    <x v="39"/>
    <s v="Cassandra Delgado"/>
    <x v="1"/>
    <s v="pluna@example.net"/>
    <s v="(977)424-4343x54978"/>
    <d v="2026-02-06T11:43:08"/>
    <m/>
  </r>
  <r>
    <s v="Sharon Cox"/>
    <n v="100145"/>
    <x v="6"/>
    <d v="2025-05-31T00:00:00"/>
    <x v="13"/>
    <s v="Stuart Goodwin"/>
    <x v="1"/>
    <s v="jeffrey80@example.org"/>
    <s v="+1-890-234-8042x479"/>
    <d v="2026-03-10T08:39:08"/>
    <s v="Missing Department"/>
  </r>
  <r>
    <s v="Michelle Bradley"/>
    <n v="100014"/>
    <x v="1"/>
    <d v="2026-02-17T00:00:00"/>
    <x v="26"/>
    <s v="Austin Hale"/>
    <x v="0"/>
    <s v="aperez@example.org"/>
    <s v="526-262-2549x2036"/>
    <d v="2026-03-06T19:31:08"/>
    <m/>
  </r>
  <r>
    <s v="Angela Bernard"/>
    <n v="101471"/>
    <x v="3"/>
    <d v="2025-08-26T00:00:00"/>
    <x v="7"/>
    <s v="Lori Brown"/>
    <x v="1"/>
    <s v="sheltoneddie@example.org"/>
    <s v="917-722-6414"/>
    <d v="2026-02-14T15:37:08"/>
    <m/>
  </r>
  <r>
    <s v="Wayne Smith"/>
    <n v="101205"/>
    <x v="3"/>
    <d v="2026-01-05T00:00:00"/>
    <x v="5"/>
    <s v="Austin Adams"/>
    <x v="0"/>
    <s v="jeffrivera@example.net"/>
    <s v="001-947-942-2983x5966"/>
    <d v="2026-03-11T06:53:08"/>
    <m/>
  </r>
  <r>
    <s v="Angela Gomez"/>
    <n v="100471"/>
    <x v="3"/>
    <d v="2025-06-17T00:00:00"/>
    <x v="5"/>
    <s v="Alicia Jackson"/>
    <x v="1"/>
    <s v="khammond@example.net"/>
    <s v="273-265-0032x9909"/>
    <d v="2026-02-17T01:29:08"/>
    <m/>
  </r>
  <r>
    <s v="Ryan Russell"/>
    <n v="101134"/>
    <x v="5"/>
    <d v="2026-01-18T00:00:00"/>
    <x v="16"/>
    <s v="Maria Turner"/>
    <x v="1"/>
    <s v="pgordon@example.net"/>
    <s v="001-455-240-4231x697"/>
    <d v="2026-02-17T23:09:08"/>
    <m/>
  </r>
  <r>
    <s v="Jessica Cox"/>
    <n v="101204"/>
    <x v="1"/>
    <d v="2025-12-16T00:00:00"/>
    <x v="4"/>
    <s v="Theresa Walker"/>
    <x v="1"/>
    <s v="kevinhall@example.net"/>
    <s v="(590)745-3925x2878"/>
    <d v="2026-03-10T22:05:08"/>
    <m/>
  </r>
  <r>
    <s v="David Yates"/>
    <n v="100043"/>
    <x v="5"/>
    <d v="2025-12-10T00:00:00"/>
    <x v="10"/>
    <s v="Stephanie Sanchez"/>
    <x v="0"/>
    <s v="vhall@example.org"/>
    <s v="+1-230-723-6412x2474"/>
    <d v="2026-02-21T17:49:08"/>
    <m/>
  </r>
  <r>
    <s v="Robert Moore"/>
    <n v="100692"/>
    <x v="2"/>
    <d v="2025-03-24T00:00:00"/>
    <x v="9"/>
    <s v="Gregory Nguyen"/>
    <x v="0"/>
    <s v="rossdavid@example.org"/>
    <s v="610-471-5558x70940"/>
    <d v="2026-03-09T15:52:08"/>
    <m/>
  </r>
  <r>
    <s v="Matthew Mcdaniel"/>
    <n v="100131"/>
    <x v="4"/>
    <d v="2025-09-16T00:00:00"/>
    <x v="1"/>
    <s v="Glen Torres"/>
    <x v="1"/>
    <s v="wheelereric@example.com"/>
    <s v="325-538-0781"/>
    <d v="2026-03-06T23:05:08"/>
    <m/>
  </r>
  <r>
    <s v="Morgan Blackwell"/>
    <n v="100460"/>
    <x v="5"/>
    <d v="2025-07-18T00:00:00"/>
    <x v="11"/>
    <s v="Hannah Paul"/>
    <x v="0"/>
    <s v="cheryl41@example.net"/>
    <s v="001-471-457-5571x663"/>
    <d v="2026-03-08T13:54:08"/>
    <m/>
  </r>
  <r>
    <s v="Mrs. Alicia Bowers"/>
    <n v="100507"/>
    <x v="3"/>
    <d v="2025-09-25T00:00:00"/>
    <x v="8"/>
    <s v="Jason Bruce"/>
    <x v="0"/>
    <s v="powersmonique@example.net"/>
    <s v="(663)452-0076x150"/>
    <d v="2026-01-31T14:17:08"/>
    <m/>
  </r>
  <r>
    <s v="Lawrence Keller"/>
    <n v="100247"/>
    <x v="1"/>
    <d v="2025-04-22T00:00:00"/>
    <x v="32"/>
    <s v="Heather Pearson"/>
    <x v="0"/>
    <s v="emurray@example.com"/>
    <s v="236.308.0901"/>
    <d v="2026-03-07T05:26:08"/>
    <m/>
  </r>
  <r>
    <s v="Pamela Butler"/>
    <n v="100924"/>
    <x v="3"/>
    <d v="2025-04-25T00:00:00"/>
    <x v="15"/>
    <s v="Anthony Robinson"/>
    <x v="0"/>
    <s v="toddpalmer@example.net"/>
    <s v="+1-818-593-0461"/>
    <d v="2026-02-08T03:42:08"/>
    <m/>
  </r>
  <r>
    <s v="Ashley Rasmussen"/>
    <n v="101059"/>
    <x v="3"/>
    <d v="2026-04-11T00:00:00"/>
    <x v="7"/>
    <s v="Joseph Gomez"/>
    <x v="0"/>
    <s v="sarah90@example.com"/>
    <s v="+1-209-265-6882x6728"/>
    <d v="2026-02-10T18:04:08"/>
    <m/>
  </r>
  <r>
    <s v="Christopher Freeman"/>
    <n v="100897"/>
    <x v="4"/>
    <d v="2025-11-11T00:00:00"/>
    <x v="5"/>
    <s v="Misty Lucero"/>
    <x v="1"/>
    <s v="nunezsherry@example.com"/>
    <s v="223.573.5640x783"/>
    <d v="2026-02-02T18:11:08"/>
    <m/>
  </r>
  <r>
    <s v="James Ramos"/>
    <n v="100764"/>
    <x v="0"/>
    <d v="2025-08-09T00:00:00"/>
    <x v="11"/>
    <s v="Paige Silva"/>
    <x v="0"/>
    <s v="dakota45@example.com"/>
    <s v="+1-883-867-1467x490"/>
    <d v="2026-02-03T16:49:08"/>
    <m/>
  </r>
  <r>
    <s v="Miranda Cole"/>
    <n v="101375"/>
    <x v="1"/>
    <d v="2026-04-04T00:00:00"/>
    <x v="3"/>
    <s v="Justin Hines"/>
    <x v="0"/>
    <s v="millerkevin@example.com"/>
    <s v="2599563431"/>
    <d v="2026-03-16T04:23:08"/>
    <m/>
  </r>
  <r>
    <s v="Timothy Smith"/>
    <n v="100638"/>
    <x v="5"/>
    <d v="2026-02-27T00:00:00"/>
    <x v="34"/>
    <s v="Gregory Davenport"/>
    <x v="1"/>
    <s v="roy33@example.com"/>
    <s v="001-477-830-3167x871"/>
    <d v="2026-01-30T10:09:08"/>
    <m/>
  </r>
  <r>
    <s v="Douglas Castillo"/>
    <n v="101008"/>
    <x v="5"/>
    <d v="2025-06-04T00:00:00"/>
    <x v="17"/>
    <s v="Samuel Thomas"/>
    <x v="1"/>
    <s v="taylornicholas@example.com"/>
    <s v="950-805-4908x09983"/>
    <d v="2026-03-08T10:41:08"/>
    <s v="Duplicate Employee ID"/>
  </r>
  <r>
    <s v="Cynthia Hicks"/>
    <m/>
    <x v="5"/>
    <d v="2026-01-26T00:00:00"/>
    <x v="11"/>
    <s v="James Myers"/>
    <x v="1"/>
    <s v="harrislaura@example.com"/>
    <s v="583.700.0914"/>
    <d v="2026-03-04T22:49:08"/>
    <s v="Missing Employee ID"/>
  </r>
  <r>
    <s v="Eric Giles"/>
    <n v="100433"/>
    <x v="1"/>
    <d v="2025-04-24T00:00:00"/>
    <x v="27"/>
    <s v="Mrs. Valerie Ramirez"/>
    <x v="1"/>
    <s v="kfrey@example.net"/>
    <s v="(854)466-2897x35189"/>
    <d v="2026-02-20T12:17:08"/>
    <m/>
  </r>
  <r>
    <s v="Christopher Strickland"/>
    <n v="100866"/>
    <x v="0"/>
    <d v="2026-05-01T00:00:00"/>
    <x v="40"/>
    <s v="Amy Martin"/>
    <x v="0"/>
    <s v="benjaminwalker@example.com"/>
    <s v="7562771251"/>
    <d v="2026-02-27T14:12:08"/>
    <m/>
  </r>
  <r>
    <s v="Ashley Black"/>
    <n v="101242"/>
    <x v="3"/>
    <d v="2025-04-24T00:00:00"/>
    <x v="34"/>
    <s v="Patricia Hunter"/>
    <x v="0"/>
    <s v="rogersrobert@example.com"/>
    <s v="6816239278"/>
    <d v="2026-03-01T08:17:08"/>
    <m/>
  </r>
  <r>
    <s v="Mr. Kevin James"/>
    <n v="101080"/>
    <x v="3"/>
    <d v="2025-12-18T00:00:00"/>
    <x v="15"/>
    <s v="Bradley Taylor"/>
    <x v="0"/>
    <s v="jcarr@example.com"/>
    <s v="542-302-2482x4886"/>
    <d v="2026-02-06T17:32:08"/>
    <m/>
  </r>
  <r>
    <s v="Joel Murray"/>
    <n v="101384"/>
    <x v="4"/>
    <d v="2025-06-20T00:00:00"/>
    <x v="10"/>
    <s v="Andrew Hahn"/>
    <x v="1"/>
    <s v="gentryanthony@example.org"/>
    <s v="(269)614-1939x6061"/>
    <d v="2026-03-10T22:27:08"/>
    <m/>
  </r>
  <r>
    <s v="Richard Davis"/>
    <n v="100338"/>
    <x v="1"/>
    <d v="2025-04-07T00:00:00"/>
    <x v="25"/>
    <s v="Sandra Martinez"/>
    <x v="1"/>
    <s v="olsenlinda@example.net"/>
    <s v="(556)692-4768"/>
    <d v="2026-03-11T07:22:08"/>
    <m/>
  </r>
  <r>
    <s v="Andrew Green"/>
    <n v="101125"/>
    <x v="0"/>
    <d v="2025-09-14T00:00:00"/>
    <x v="9"/>
    <s v="Craig Jones"/>
    <x v="0"/>
    <s v="rodriguezmichaela@example.net"/>
    <s v="+1-614-605-1325x1790"/>
    <d v="2026-02-24T04:34:08"/>
    <m/>
  </r>
  <r>
    <s v="Jonathan Gutierrez"/>
    <n v="100973"/>
    <x v="4"/>
    <d v="2025-05-21T00:00:00"/>
    <x v="0"/>
    <s v="Denise Williams"/>
    <x v="1"/>
    <s v="schavez@example.net"/>
    <s v="478.431.0314x56457"/>
    <d v="2026-02-12T14:28:08"/>
    <m/>
  </r>
  <r>
    <s v="Matthew Kennedy"/>
    <n v="100262"/>
    <x v="1"/>
    <d v="2026-05-03T00:00:00"/>
    <x v="15"/>
    <s v="Anthony Swanson"/>
    <x v="1"/>
    <s v="walkermichaela@example.com"/>
    <s v="349-599-8709x339"/>
    <d v="2026-02-13T21:54:08"/>
    <m/>
  </r>
  <r>
    <s v="Wayne Mendez"/>
    <n v="100257"/>
    <x v="0"/>
    <d v="2025-08-11T00:00:00"/>
    <x v="11"/>
    <s v="Robert Sullivan"/>
    <x v="1"/>
    <s v="chad60@example.org"/>
    <s v="(967)853-1805"/>
    <d v="2026-03-10T20:33:08"/>
    <m/>
  </r>
  <r>
    <s v="Michael Johnson"/>
    <n v="101090"/>
    <x v="0"/>
    <d v="2026-03-18T00:00:00"/>
    <x v="11"/>
    <s v="Joseph Sullivan"/>
    <x v="0"/>
    <s v="kenneth12@example.com"/>
    <s v="660.864.0047"/>
    <d v="2026-01-30T12:25:08"/>
    <m/>
  </r>
  <r>
    <s v="Eric Hoffman"/>
    <n v="100141"/>
    <x v="1"/>
    <d v="2025-12-05T00:00:00"/>
    <x v="13"/>
    <s v="Makayla Velasquez"/>
    <x v="1"/>
    <s v="william81@example.com"/>
    <s v="3369100770"/>
    <d v="2026-03-08T06:20:08"/>
    <m/>
  </r>
  <r>
    <s v="Dr. Scott Valdez"/>
    <n v="100995"/>
    <x v="4"/>
    <d v="2025-09-16T00:00:00"/>
    <x v="23"/>
    <s v="Terry Larson"/>
    <x v="0"/>
    <s v="lisavilla@example.com"/>
    <s v="311.617.1960x04902"/>
    <d v="2026-03-02T21:04:08"/>
    <m/>
  </r>
  <r>
    <s v="Brandon Bonilla"/>
    <n v="100175"/>
    <x v="1"/>
    <d v="2025-04-23T00:00:00"/>
    <x v="3"/>
    <s v="Samuel Henderson"/>
    <x v="1"/>
    <s v="jeremy38@example.com"/>
    <s v="+1-596-255-2391x70335"/>
    <d v="2026-03-10T17:24:08"/>
    <m/>
  </r>
  <r>
    <s v="Nicole Collins"/>
    <n v="101445"/>
    <x v="3"/>
    <d v="2026-04-12T00:00:00"/>
    <x v="17"/>
    <s v="Laurie White"/>
    <x v="1"/>
    <s v="nwhitney@example.net"/>
    <s v="(619)977-3173x9462"/>
    <d v="2026-03-10T02:23:08"/>
    <m/>
  </r>
  <r>
    <s v="Brittany Hull"/>
    <n v="101393"/>
    <x v="4"/>
    <d v="2025-06-10T00:00:00"/>
    <x v="24"/>
    <s v="Robin Carson"/>
    <x v="1"/>
    <s v="qhodge@example.org"/>
    <s v="+1-527-368-7141x349"/>
    <d v="2026-02-08T05:30:08"/>
    <m/>
  </r>
  <r>
    <s v="Karen Lynch"/>
    <n v="100493"/>
    <x v="4"/>
    <d v="2025-04-30T00:00:00"/>
    <x v="11"/>
    <s v="Andrew Smith"/>
    <x v="1"/>
    <s v="anita17@example.org"/>
    <s v="579-721-1625x06989"/>
    <d v="2026-02-28T01:45:08"/>
    <m/>
  </r>
  <r>
    <s v="Jennifer Morales"/>
    <n v="100118"/>
    <x v="2"/>
    <d v="2026-04-10T00:00:00"/>
    <x v="19"/>
    <s v="Kimberly Carlson"/>
    <x v="0"/>
    <s v="garciakenneth@example.net"/>
    <s v="+1-855-870-3934x2718"/>
    <d v="2026-02-08T01:15:08"/>
    <m/>
  </r>
  <r>
    <s v="Lauren Hernandez"/>
    <n v="100490"/>
    <x v="0"/>
    <d v="2025-09-18T00:00:00"/>
    <x v="40"/>
    <s v="Larry Phelps"/>
    <x v="0"/>
    <s v="murphychristine@example.org"/>
    <s v="(900)501-1015x6161"/>
    <d v="2026-02-16T05:23:08"/>
    <m/>
  </r>
  <r>
    <s v="Rachel Faulkner"/>
    <n v="100629"/>
    <x v="1"/>
    <d v="2026-01-29T00:00:00"/>
    <x v="26"/>
    <s v="Lori Miller"/>
    <x v="1"/>
    <s v="foleyaaron@example.net"/>
    <s v="001-988-423-8469x9086"/>
    <d v="2026-02-12T02:33:08"/>
    <m/>
  </r>
  <r>
    <s v="Timothy Jones"/>
    <n v="100743"/>
    <x v="2"/>
    <d v="2026-02-28T00:00:00"/>
    <x v="3"/>
    <s v="Dennis Martinez"/>
    <x v="0"/>
    <s v="pfry@example.net"/>
    <s v="(855)561-9221x88220"/>
    <d v="2026-02-28T18:01:08"/>
    <m/>
  </r>
  <r>
    <s v="Kelsey Riggs"/>
    <n v="100229"/>
    <x v="1"/>
    <d v="2025-03-20T00:00:00"/>
    <x v="15"/>
    <s v="Barbara Cruz"/>
    <x v="1"/>
    <s v="mariamoore@example.com"/>
    <s v="816-993-6835x991"/>
    <d v="2026-02-20T12:30:08"/>
    <m/>
  </r>
  <r>
    <s v="Adrian Sanchez"/>
    <n v="100039"/>
    <x v="1"/>
    <d v="2025-10-06T00:00:00"/>
    <x v="11"/>
    <s v="Kenneth Jones"/>
    <x v="1"/>
    <s v="donnamadden@example.org"/>
    <s v="+1-926-671-2693"/>
    <d v="2026-02-14T19:04:08"/>
    <m/>
  </r>
  <r>
    <s v="Lori Flores"/>
    <n v="101000"/>
    <x v="0"/>
    <d v="2025-09-10T00:00:00"/>
    <x v="9"/>
    <s v="Taylor Edwards"/>
    <x v="1"/>
    <s v="qgill@example.com"/>
    <s v="+1-284-836-8681x11433"/>
    <d v="2026-03-10T14:59:08"/>
    <m/>
  </r>
  <r>
    <s v="Larry Stone"/>
    <n v="100663"/>
    <x v="3"/>
    <d v="2026-03-25T00:00:00"/>
    <x v="7"/>
    <s v="Jonathan Miller"/>
    <x v="1"/>
    <s v="logan59@example.net"/>
    <s v="+1-206-627-8790x25912"/>
    <d v="2026-03-04T04:12:08"/>
    <m/>
  </r>
  <r>
    <s v="Tiffany Mcdonald"/>
    <n v="101226"/>
    <x v="4"/>
    <d v="2025-04-18T00:00:00"/>
    <x v="34"/>
    <s v="Christopher Ramsey"/>
    <x v="1"/>
    <s v="bfoster@example.org"/>
    <s v="(735)784-1802"/>
    <d v="2026-03-02T17:56:08"/>
    <m/>
  </r>
  <r>
    <s v="Leah Bean"/>
    <n v="100001"/>
    <x v="1"/>
    <d v="2025-05-13T00:00:00"/>
    <x v="29"/>
    <s v="Darren Gibson"/>
    <x v="0"/>
    <s v="carolynhoward@example.com"/>
    <s v="001-355-319-2474"/>
    <d v="2026-02-14T12:56:08"/>
    <m/>
  </r>
  <r>
    <s v="Michael Huerta"/>
    <n v="101086"/>
    <x v="2"/>
    <d v="2025-08-26T00:00:00"/>
    <x v="25"/>
    <s v="Joy Robinson"/>
    <x v="0"/>
    <s v="whernandez@example.com"/>
    <s v="+1-276-211-2584x2330"/>
    <d v="2026-02-21T03:14:08"/>
    <m/>
  </r>
  <r>
    <s v="Tyler Johnson"/>
    <n v="101104"/>
    <x v="1"/>
    <d v="2025-07-03T00:00:00"/>
    <x v="11"/>
    <s v="Melissa Lane"/>
    <x v="0"/>
    <s v="courtneygamble@example.net"/>
    <s v="(587)332-1078"/>
    <d v="2026-02-01T03:28:08"/>
    <m/>
  </r>
  <r>
    <s v="Jeremy Moran"/>
    <n v="100330"/>
    <x v="2"/>
    <d v="2025-07-23T00:00:00"/>
    <x v="10"/>
    <s v="Dr. Donna Bailey"/>
    <x v="0"/>
    <s v="aaronanderson@example.org"/>
    <s v="+1-970-884-2874x162"/>
    <d v="2026-02-27T04:05:08"/>
    <m/>
  </r>
  <r>
    <s v="Christine Foster"/>
    <n v="100765"/>
    <x v="0"/>
    <d v="2025-08-15T00:00:00"/>
    <x v="39"/>
    <s v="Mario Cross"/>
    <x v="1"/>
    <s v="martin00@example.com"/>
    <s v="408-819-4842"/>
    <d v="2026-03-05T16:04:08"/>
    <m/>
  </r>
  <r>
    <s v="Christine Williams"/>
    <n v="101366"/>
    <x v="0"/>
    <d v="2025-10-21T00:00:00"/>
    <x v="31"/>
    <s v="Adam Hayes"/>
    <x v="0"/>
    <s v="johnjohnson@example.net"/>
    <s v="+1-383-803-4243x7539"/>
    <d v="2026-02-22T03:36:08"/>
    <m/>
  </r>
  <r>
    <s v="Brenda Frye"/>
    <n v="101477"/>
    <x v="1"/>
    <d v="2025-11-14T00:00:00"/>
    <x v="39"/>
    <s v="Larry Pitts"/>
    <x v="1"/>
    <s v="bwalker@example.com"/>
    <s v="+1-668-374-0330x454"/>
    <d v="2026-01-30T22:26:08"/>
    <m/>
  </r>
  <r>
    <s v="Jean Graham"/>
    <n v="101415"/>
    <x v="5"/>
    <d v="2026-05-11T00:00:00"/>
    <x v="3"/>
    <s v="John Johnson"/>
    <x v="0"/>
    <s v="kelly58@example.org"/>
    <s v="451-276-4296"/>
    <d v="2026-03-11T19:07:08"/>
    <m/>
  </r>
  <r>
    <s v="Elizabeth Wilson"/>
    <n v="101338"/>
    <x v="1"/>
    <d v="2026-01-25T00:00:00"/>
    <x v="1"/>
    <s v="Robert Pena"/>
    <x v="1"/>
    <s v="tgilbert@example.com"/>
    <s v="431-452-5523"/>
    <d v="2026-03-16T12:46:08"/>
    <m/>
  </r>
  <r>
    <s v="Veronica Walls"/>
    <n v="101308"/>
    <x v="5"/>
    <d v="2025-05-30T00:00:00"/>
    <x v="26"/>
    <s v="Ryan Lee"/>
    <x v="1"/>
    <s v="owong@example.com"/>
    <s v="554.704.7625"/>
    <d v="2026-02-28T00:08:08"/>
    <m/>
  </r>
  <r>
    <s v="Brian Wilson"/>
    <n v="100611"/>
    <x v="0"/>
    <d v="2025-11-01T00:00:00"/>
    <x v="28"/>
    <s v="Christopher Nguyen"/>
    <x v="1"/>
    <s v="ddavenport@example.com"/>
    <s v="001-288-582-6031x748"/>
    <d v="2026-02-03T22:10:08"/>
    <m/>
  </r>
  <r>
    <s v="Terry Howard"/>
    <n v="101280"/>
    <x v="3"/>
    <d v="2025-04-03T00:00:00"/>
    <x v="28"/>
    <s v="Stephanie Romero"/>
    <x v="0"/>
    <s v="iwilson@example.com"/>
    <s v="742-429-3554"/>
    <d v="2026-02-17T18:08:08"/>
    <m/>
  </r>
  <r>
    <s v="Noah Gomez"/>
    <n v="100217"/>
    <x v="1"/>
    <d v="2026-04-16T00:00:00"/>
    <x v="3"/>
    <s v="Frank Crawford"/>
    <x v="1"/>
    <s v="rodriguezjacob@example.com"/>
    <s v="001-983-604-5762"/>
    <d v="2026-03-03T06:02:08"/>
    <m/>
  </r>
  <r>
    <s v="Sean Garcia"/>
    <n v="101039"/>
    <x v="2"/>
    <d v="2025-06-21T00:00:00"/>
    <x v="30"/>
    <s v="April Hudson DVM"/>
    <x v="1"/>
    <s v="tammy97@example.org"/>
    <s v="001-515-622-1336x89600"/>
    <d v="2026-03-15T07:36:08"/>
    <m/>
  </r>
  <r>
    <s v="Michael Jones"/>
    <n v="100365"/>
    <x v="4"/>
    <d v="2025-11-28T00:00:00"/>
    <x v="28"/>
    <s v="Madison Beasley"/>
    <x v="1"/>
    <s v="adrianmcneil@example.com"/>
    <s v="361-713-9979x927"/>
    <d v="2026-02-03T02:21:08"/>
    <m/>
  </r>
  <r>
    <s v="Taylor Gaines"/>
    <n v="101025"/>
    <x v="5"/>
    <d v="2025-10-12T00:00:00"/>
    <x v="34"/>
    <s v="Connie Meyer"/>
    <x v="1"/>
    <s v="hgoodman@example.net"/>
    <s v="(528)958-9868x184"/>
    <d v="2026-02-11T06:27:08"/>
    <m/>
  </r>
  <r>
    <s v="David Joseph"/>
    <n v="100539"/>
    <x v="3"/>
    <d v="2025-06-14T00:00:00"/>
    <x v="6"/>
    <s v="Alexa Smith"/>
    <x v="0"/>
    <s v="tylermitchell@example.net"/>
    <s v="+1-444-857-4441x076"/>
    <d v="2026-02-08T21:36:08"/>
    <m/>
  </r>
  <r>
    <s v="Mark Howe"/>
    <n v="100006"/>
    <x v="3"/>
    <d v="2025-12-18T00:00:00"/>
    <x v="6"/>
    <s v="David Mack"/>
    <x v="1"/>
    <s v="victoria16@example.org"/>
    <s v="001-843-759-8398x5907"/>
    <d v="2026-02-04T08:14:08"/>
    <m/>
  </r>
  <r>
    <s v="Emily Romero"/>
    <n v="100929"/>
    <x v="1"/>
    <d v="2025-05-05T00:00:00"/>
    <x v="15"/>
    <s v="Michael Rivera"/>
    <x v="0"/>
    <s v="grayalicia@example.org"/>
    <s v="207-230-7177x6135"/>
    <d v="2026-02-03T17:21:08"/>
    <m/>
  </r>
  <r>
    <s v="Joseph Hughes Jr."/>
    <n v="100323"/>
    <x v="1"/>
    <d v="2025-10-12T00:00:00"/>
    <x v="7"/>
    <s v="Mike Mason"/>
    <x v="0"/>
    <s v="alexander36@example.net"/>
    <s v="001-395-428-5023"/>
    <d v="2026-02-04T02:45:08"/>
    <m/>
  </r>
  <r>
    <s v="Melinda Long"/>
    <n v="100890"/>
    <x v="1"/>
    <d v="2026-01-07T00:00:00"/>
    <x v="28"/>
    <s v="Jimmy Edwards"/>
    <x v="1"/>
    <s v="lisa49@example.com"/>
    <s v="(949)903-2234"/>
    <d v="2026-02-18T10:41:08"/>
    <m/>
  </r>
  <r>
    <s v="Jeff Salazar"/>
    <n v="100601"/>
    <x v="2"/>
    <d v="2026-04-17T00:00:00"/>
    <x v="9"/>
    <s v="Lauren Page"/>
    <x v="0"/>
    <s v="micheal70@example.org"/>
    <s v="6066174136"/>
    <d v="2026-03-04T01:53:08"/>
    <m/>
  </r>
  <r>
    <s v="Rebecca Elliott"/>
    <n v="101498"/>
    <x v="3"/>
    <d v="2025-09-11T00:00:00"/>
    <x v="40"/>
    <s v="Rebecca Rodriguez"/>
    <x v="0"/>
    <s v="danielelliott@example.net"/>
    <s v="+1-412-470-6507x612"/>
    <d v="2026-02-21T10:16:08"/>
    <m/>
  </r>
  <r>
    <s v="Kimberly Young"/>
    <n v="101171"/>
    <x v="1"/>
    <d v="2025-08-08T00:00:00"/>
    <x v="5"/>
    <s v="Allison Hughes"/>
    <x v="1"/>
    <s v="robert53@example.net"/>
    <s v="4458555950"/>
    <d v="2026-02-17T18:56:08"/>
    <s v="Duplicate Employee ID"/>
  </r>
  <r>
    <s v="Gary Smith"/>
    <n v="101312"/>
    <x v="2"/>
    <d v="2025-03-18T00:00:00"/>
    <x v="14"/>
    <s v="Dr. Larry Chambers DVM"/>
    <x v="0"/>
    <s v="jessetaylor@example.com"/>
    <s v="499.504.6008"/>
    <d v="2026-03-07T05:08:08"/>
    <m/>
  </r>
  <r>
    <s v="James Guerrero"/>
    <n v="101419"/>
    <x v="1"/>
    <d v="2026-05-09T00:00:00"/>
    <x v="13"/>
    <s v="Brenda Choi"/>
    <x v="0"/>
    <s v="whitegina@example.org"/>
    <s v="2978550617"/>
    <d v="2026-02-08T03:14:08"/>
    <m/>
  </r>
  <r>
    <s v="Sydney Johnson"/>
    <n v="101099"/>
    <x v="2"/>
    <d v="2025-12-25T00:00:00"/>
    <x v="32"/>
    <s v="Tina Gregory"/>
    <x v="1"/>
    <s v="benjaminclark@example.org"/>
    <s v="349-507-6972x162"/>
    <d v="2026-03-12T22:11:08"/>
    <m/>
  </r>
  <r>
    <s v="Nicole Meyers"/>
    <n v="100234"/>
    <x v="5"/>
    <d v="2025-05-20T00:00:00"/>
    <x v="39"/>
    <s v="Madison Combs"/>
    <x v="1"/>
    <s v="beckygray@example.net"/>
    <s v="+1-221-205-3071x226"/>
    <d v="2026-02-11T12:30:08"/>
    <m/>
  </r>
  <r>
    <s v="Beth Thomas"/>
    <n v="100023"/>
    <x v="5"/>
    <d v="2025-07-12T00:00:00"/>
    <x v="28"/>
    <s v="Joel Goodman"/>
    <x v="0"/>
    <s v="shawnbrown@example.com"/>
    <s v="+1-585-478-8728x206"/>
    <d v="2026-02-12T13:52:08"/>
    <m/>
  </r>
  <r>
    <s v="Matthew Rivas"/>
    <n v="101133"/>
    <x v="1"/>
    <d v="2026-04-21T00:00:00"/>
    <x v="5"/>
    <s v="Allison Miller"/>
    <x v="0"/>
    <s v="robertray@example.org"/>
    <s v="846-265-8952x4760"/>
    <d v="2026-02-24T10:57:08"/>
    <m/>
  </r>
  <r>
    <s v="Stacey Tapia"/>
    <n v="100514"/>
    <x v="0"/>
    <d v="2025-05-02T00:00:00"/>
    <x v="7"/>
    <s v="Michael Scott"/>
    <x v="0"/>
    <s v="gregory73@example.com"/>
    <s v="+1-974-277-8840"/>
    <d v="2026-02-03T21:39:08"/>
    <m/>
  </r>
  <r>
    <s v="Melissa Nelson"/>
    <n v="101083"/>
    <x v="3"/>
    <d v="2025-03-30T00:00:00"/>
    <x v="18"/>
    <s v="John Rowe"/>
    <x v="1"/>
    <s v="mcknightchristopher@example.net"/>
    <s v="489.872.8426x80928"/>
    <d v="2026-03-15T13:27:08"/>
    <m/>
  </r>
  <r>
    <s v="Andrea Schneider"/>
    <n v="100958"/>
    <x v="5"/>
    <d v="2026-02-03T00:00:00"/>
    <x v="16"/>
    <s v="Bryan Johnson"/>
    <x v="0"/>
    <s v="james71@example.net"/>
    <s v="960.756.6880x31664"/>
    <d v="2026-02-25T11:18:08"/>
    <m/>
  </r>
  <r>
    <s v="Brianna Aguilar"/>
    <n v="101220"/>
    <x v="1"/>
    <d v="2025-07-19T00:00:00"/>
    <x v="8"/>
    <s v="Bryce Thompson"/>
    <x v="1"/>
    <s v="dennis53@example.com"/>
    <s v="+1-941-260-1991x98480"/>
    <d v="2026-03-11T13:00:08"/>
    <m/>
  </r>
  <r>
    <s v="Bailey Smith"/>
    <n v="100781"/>
    <x v="0"/>
    <d v="2026-02-05T00:00:00"/>
    <x v="23"/>
    <s v="Misty Morales"/>
    <x v="0"/>
    <s v="richardsonbenjamin@example.com"/>
    <s v="+1-910-874-0433x6895"/>
    <d v="2026-03-10T13:04:08"/>
    <m/>
  </r>
  <r>
    <s v="Christian Barr"/>
    <n v="100788"/>
    <x v="4"/>
    <d v="2025-07-28T00:00:00"/>
    <x v="15"/>
    <s v="Michael Murphy"/>
    <x v="0"/>
    <s v="davissara@example.net"/>
    <s v="4072017850"/>
    <d v="2026-02-13T05:34:08"/>
    <m/>
  </r>
  <r>
    <s v="Charles Ortega"/>
    <n v="100130"/>
    <x v="2"/>
    <d v="2025-10-02T00:00:00"/>
    <x v="7"/>
    <s v="Carla Farmer"/>
    <x v="0"/>
    <s v="jacquelinewilliamson@example.org"/>
    <s v="602-997-5997"/>
    <d v="2026-02-18T15:24:08"/>
    <m/>
  </r>
  <r>
    <s v="Martha Dalton"/>
    <n v="101221"/>
    <x v="1"/>
    <d v="2026-01-30T00:00:00"/>
    <x v="11"/>
    <s v="David Greene"/>
    <x v="1"/>
    <s v="brooke74@example.com"/>
    <s v="001-725-526-9420x41641"/>
    <d v="2026-02-20T07:12:08"/>
    <m/>
  </r>
  <r>
    <s v="Andrew Leon"/>
    <n v="101487"/>
    <x v="5"/>
    <d v="2026-05-03T00:00:00"/>
    <x v="11"/>
    <s v="Holly Lester"/>
    <x v="1"/>
    <s v="johnpineda@example.net"/>
    <s v="001-737-766-9976x81608"/>
    <d v="2026-03-16T11:49:08"/>
    <m/>
  </r>
  <r>
    <s v="Brandon Flynn MD"/>
    <n v="100327"/>
    <x v="1"/>
    <d v="2026-02-02T00:00:00"/>
    <x v="0"/>
    <s v="Rebecca Meyer"/>
    <x v="1"/>
    <s v="fblack@example.com"/>
    <s v="299-708-0358x624"/>
    <d v="2026-02-13T20:57:08"/>
    <m/>
  </r>
  <r>
    <s v="Derek Johnson"/>
    <n v="101285"/>
    <x v="1"/>
    <d v="2025-12-20T00:00:00"/>
    <x v="11"/>
    <s v="Kristin Clark"/>
    <x v="1"/>
    <s v="nathaniel35@example.org"/>
    <s v="891.811.1085x184"/>
    <d v="2026-03-09T11:20:08"/>
    <m/>
  </r>
  <r>
    <s v="Lisa Barnett"/>
    <n v="100313"/>
    <x v="1"/>
    <d v="2025-03-31T00:00:00"/>
    <x v="36"/>
    <s v="Linda Cardenas"/>
    <x v="0"/>
    <s v="sanchezmargaret@example.com"/>
    <s v="283-407-3480"/>
    <d v="2026-02-21T13:59:08"/>
    <m/>
  </r>
  <r>
    <s v="Scott Baker"/>
    <n v="100224"/>
    <x v="2"/>
    <d v="2025-03-31T00:00:00"/>
    <x v="19"/>
    <s v="Walter Simpson"/>
    <x v="0"/>
    <s v="alanyork@example.com"/>
    <s v="+1-329-687-8192"/>
    <d v="2026-01-31T13:35:08"/>
    <m/>
  </r>
  <r>
    <s v="Michael Lynch"/>
    <n v="100096"/>
    <x v="2"/>
    <d v="2025-08-03T00:00:00"/>
    <x v="24"/>
    <s v="Jillian Hughes"/>
    <x v="1"/>
    <s v="greg37@example.org"/>
    <s v="284.672.1461x7275"/>
    <d v="2026-01-29T23:05:08"/>
    <m/>
  </r>
  <r>
    <s v="Charles Collier"/>
    <n v="100186"/>
    <x v="4"/>
    <d v="2025-11-10T00:00:00"/>
    <x v="22"/>
    <s v="Jeremy Bender"/>
    <x v="0"/>
    <s v="gharvey@example.net"/>
    <s v="+1-697-998-8775x4458"/>
    <d v="2026-02-28T12:00:08"/>
    <m/>
  </r>
  <r>
    <s v="Tracy Young"/>
    <n v="101010"/>
    <x v="2"/>
    <d v="2026-03-02T00:00:00"/>
    <x v="8"/>
    <s v="Thomas Howe"/>
    <x v="1"/>
    <s v="jenniferperkins@example.net"/>
    <s v="360.559.6275"/>
    <d v="2026-03-06T10:53:08"/>
    <m/>
  </r>
  <r>
    <s v="Steven Black"/>
    <n v="101043"/>
    <x v="1"/>
    <d v="2025-10-23T00:00:00"/>
    <x v="9"/>
    <s v="Christian Ramirez"/>
    <x v="1"/>
    <s v="kristin79@example.org"/>
    <s v="(256)811-5686x22307"/>
    <d v="2026-02-23T20:39:08"/>
    <m/>
  </r>
  <r>
    <s v="David Johnson"/>
    <n v="100283"/>
    <x v="3"/>
    <d v="2026-01-20T00:00:00"/>
    <x v="33"/>
    <s v="David Gray"/>
    <x v="1"/>
    <s v="jasminecole@example.com"/>
    <s v="830.437.2718"/>
    <d v="2026-02-20T20:19:08"/>
    <m/>
  </r>
  <r>
    <s v="Jesus Sawyer"/>
    <n v="101404"/>
    <x v="0"/>
    <d v="2025-11-01T00:00:00"/>
    <x v="15"/>
    <s v="Scott Marsh"/>
    <x v="1"/>
    <s v="andersoncharles@example.net"/>
    <s v="001-707-682-8780x661"/>
    <d v="2026-02-07T03:55:08"/>
    <m/>
  </r>
  <r>
    <s v="Scott Rivera"/>
    <n v="100741"/>
    <x v="4"/>
    <d v="2026-01-19T00:00:00"/>
    <x v="35"/>
    <s v="David Hamilton"/>
    <x v="0"/>
    <s v="christopher02@example.net"/>
    <s v="+1-882-852-1288"/>
    <d v="2026-03-09T11:46:08"/>
    <m/>
  </r>
  <r>
    <s v="Susan Stewart"/>
    <n v="100817"/>
    <x v="6"/>
    <d v="2025-10-21T00:00:00"/>
    <x v="1"/>
    <s v="Denise Lawrence"/>
    <x v="0"/>
    <s v="gregory82@example.net"/>
    <s v="+1-547-405-2031"/>
    <d v="2026-03-12T10:34:08"/>
    <s v="Missing Department"/>
  </r>
  <r>
    <s v="Kimberly Camacho"/>
    <n v="101195"/>
    <x v="4"/>
    <d v="2025-09-22T00:00:00"/>
    <x v="1"/>
    <s v="Ricky Fischer"/>
    <x v="0"/>
    <s v="jasonmoore@example.org"/>
    <s v="866.486.4277"/>
    <d v="2026-03-16T07:02:08"/>
    <m/>
  </r>
  <r>
    <s v="Joshua Alvarado"/>
    <n v="100877"/>
    <x v="0"/>
    <d v="2026-03-18T00:00:00"/>
    <x v="33"/>
    <s v="John Rice"/>
    <x v="1"/>
    <s v="ujarvis@example.org"/>
    <s v="(308)277-8347"/>
    <d v="2026-03-01T22:44:08"/>
    <m/>
  </r>
  <r>
    <s v="Maxwell Perez"/>
    <n v="101197"/>
    <x v="0"/>
    <d v="2025-09-29T00:00:00"/>
    <x v="32"/>
    <s v="Mark Reed"/>
    <x v="0"/>
    <s v="timothy56@example.org"/>
    <s v="727.770.0453"/>
    <d v="2026-03-09T22:46:08"/>
    <m/>
  </r>
  <r>
    <s v="Julie Brown"/>
    <n v="100538"/>
    <x v="2"/>
    <d v="2026-03-17T00:00:00"/>
    <x v="23"/>
    <s v="Joel Mcgee"/>
    <x v="1"/>
    <s v="georgecooper@example.com"/>
    <s v="6428402555"/>
    <d v="2026-02-24T06:59:08"/>
    <m/>
  </r>
  <r>
    <s v="Molly Graves"/>
    <n v="101103"/>
    <x v="2"/>
    <d v="2025-06-24T00:00:00"/>
    <x v="7"/>
    <s v="Kent Cole"/>
    <x v="1"/>
    <s v="sbanks@example.org"/>
    <s v="667-888-1596"/>
    <d v="2026-03-14T08:32:08"/>
    <m/>
  </r>
  <r>
    <s v="Julia Rose"/>
    <n v="101478"/>
    <x v="5"/>
    <d v="2025-05-16T00:00:00"/>
    <x v="7"/>
    <s v="Victoria Cooper"/>
    <x v="0"/>
    <s v="phillipstammy@example.net"/>
    <s v="+1-746-773-3229x12489"/>
    <d v="2026-02-06T06:45:08"/>
    <m/>
  </r>
  <r>
    <s v="Tamara Kim"/>
    <n v="100505"/>
    <x v="1"/>
    <d v="2025-09-28T00:00:00"/>
    <x v="3"/>
    <s v="Samuel Vance"/>
    <x v="0"/>
    <s v="ericagreen@example.com"/>
    <s v="001-294-726-4076"/>
    <d v="2026-02-26T17:18:08"/>
    <m/>
  </r>
  <r>
    <s v="Bradley Raymond"/>
    <n v="101493"/>
    <x v="1"/>
    <d v="2025-03-18T00:00:00"/>
    <x v="31"/>
    <s v="Scott Sanchez"/>
    <x v="1"/>
    <s v="bensonjohn@example.net"/>
    <s v="316.228.3356x8905"/>
    <d v="2026-03-13T23:42:08"/>
    <m/>
  </r>
  <r>
    <s v="Alice Wilson"/>
    <n v="100542"/>
    <x v="1"/>
    <d v="2025-04-05T00:00:00"/>
    <x v="14"/>
    <s v="Christine Ramirez"/>
    <x v="0"/>
    <s v="markellis@example.org"/>
    <s v="+1-777-928-7156x5969"/>
    <d v="2026-02-14T14:40:09"/>
    <m/>
  </r>
  <r>
    <s v="Lauren Hurst"/>
    <n v="100292"/>
    <x v="5"/>
    <d v="2026-03-21T00:00:00"/>
    <x v="5"/>
    <s v="Johnny Carroll"/>
    <x v="1"/>
    <s v="theresa05@example.com"/>
    <s v="+1-536-729-1714x8541"/>
    <d v="2026-02-19T15:11:09"/>
    <m/>
  </r>
  <r>
    <s v="Melissa Anderson"/>
    <n v="100939"/>
    <x v="1"/>
    <d v="2026-04-16T00:00:00"/>
    <x v="9"/>
    <s v="Stephanie Thomas"/>
    <x v="0"/>
    <s v="dunlappatricia@example.net"/>
    <s v="+1-982-616-5119x2145"/>
    <d v="2026-02-19T07:43:09"/>
    <m/>
  </r>
  <r>
    <s v="Emma Brown"/>
    <n v="101316"/>
    <x v="5"/>
    <d v="2025-11-23T00:00:00"/>
    <x v="0"/>
    <s v="Richard Ortega"/>
    <x v="0"/>
    <s v="wmccoy@example.net"/>
    <s v="473-308-8240x353"/>
    <d v="2026-03-02T16:17:09"/>
    <m/>
  </r>
  <r>
    <s v="Nancy Mitchell"/>
    <n v="100810"/>
    <x v="0"/>
    <d v="2025-05-26T00:00:00"/>
    <x v="1"/>
    <s v="Alexandra Park DDS"/>
    <x v="1"/>
    <s v="phall@example.org"/>
    <s v="001-741-921-8052"/>
    <d v="2026-03-02T12:06:09"/>
    <m/>
  </r>
  <r>
    <s v="Lauren Brown"/>
    <n v="101022"/>
    <x v="0"/>
    <d v="2025-06-21T00:00:00"/>
    <x v="30"/>
    <s v="Timothy Mendoza"/>
    <x v="0"/>
    <s v="christopher32@example.com"/>
    <s v="760-918-9113x4348"/>
    <d v="2026-02-28T16:26:09"/>
    <m/>
  </r>
  <r>
    <s v="Daniel Wang"/>
    <n v="101342"/>
    <x v="3"/>
    <d v="2025-04-09T00:00:00"/>
    <x v="26"/>
    <s v="Melissa Stafford"/>
    <x v="1"/>
    <s v="fpayne@example.org"/>
    <s v="334.521.1202x9138"/>
    <d v="2026-01-30T21:00:09"/>
    <m/>
  </r>
  <r>
    <s v="Dylan Villarreal"/>
    <n v="100435"/>
    <x v="5"/>
    <d v="2025-08-01T00:00:00"/>
    <x v="39"/>
    <s v="Carla Fox"/>
    <x v="0"/>
    <s v="hawkinsdeanna@example.net"/>
    <s v="396-264-5231"/>
    <d v="2026-03-08T07:01:09"/>
    <s v="Extra Name Spaces"/>
  </r>
  <r>
    <s v="Andrea Robinson"/>
    <n v="100644"/>
    <x v="3"/>
    <d v="2026-04-05T00:00:00"/>
    <x v="23"/>
    <s v="Victor Acosta"/>
    <x v="0"/>
    <s v="clintonhaley@example.org"/>
    <s v="001-366-970-4171x03891"/>
    <d v="2026-02-08T01:36:09"/>
    <m/>
  </r>
  <r>
    <s v="Frank Delacruz"/>
    <n v="101161"/>
    <x v="1"/>
    <d v="2025-08-06T00:00:00"/>
    <x v="40"/>
    <s v="Nathan Harrington"/>
    <x v="0"/>
    <s v="hinesvalerie@example.com"/>
    <s v="295-960-7148x765"/>
    <d v="2026-03-11T08:54:09"/>
    <m/>
  </r>
  <r>
    <s v="Paul Hernandez"/>
    <n v="100432"/>
    <x v="4"/>
    <d v="2026-03-15T00:00:00"/>
    <x v="1"/>
    <s v="Marissa Hernandez"/>
    <x v="0"/>
    <s v="petersenkatelyn@example.org"/>
    <s v="760-937-8110"/>
    <d v="2026-02-01T19:49:09"/>
    <m/>
  </r>
  <r>
    <s v="Tricia Finley"/>
    <n v="100135"/>
    <x v="2"/>
    <d v="2026-03-06T00:00:00"/>
    <x v="15"/>
    <s v="Laura Gray"/>
    <x v="1"/>
    <s v="bruceross@example.com"/>
    <s v="8055994696"/>
    <d v="2026-03-13T10:39:09"/>
    <m/>
  </r>
  <r>
    <s v="Breanna Cannon"/>
    <n v="100548"/>
    <x v="0"/>
    <d v="2026-02-22T00:00:00"/>
    <x v="7"/>
    <s v="Joel Johnson"/>
    <x v="1"/>
    <s v="harmonlucas@example.org"/>
    <s v="5974140863"/>
    <d v="2026-03-04T01:16:09"/>
    <m/>
  </r>
  <r>
    <s v="Daniel Johnson"/>
    <n v="100821"/>
    <x v="3"/>
    <d v="2025-09-06T00:00:00"/>
    <x v="3"/>
    <s v="Gail Nichols"/>
    <x v="1"/>
    <s v="scarter@example.net"/>
    <s v="001-988-439-2375x909"/>
    <d v="2026-02-25T02:25:09"/>
    <m/>
  </r>
  <r>
    <s v="Samuel Nguyen"/>
    <n v="100646"/>
    <x v="3"/>
    <d v="2025-11-29T00:00:00"/>
    <x v="11"/>
    <s v="Melissa Jennings"/>
    <x v="0"/>
    <s v="julia55@example.org"/>
    <s v="491.596.0348"/>
    <d v="2026-02-21T04:45:09"/>
    <m/>
  </r>
  <r>
    <s v="Joshua Stout"/>
    <n v="101486"/>
    <x v="5"/>
    <d v="2026-01-27T00:00:00"/>
    <x v="39"/>
    <s v="Katherine Sanders"/>
    <x v="0"/>
    <s v="dustinallen@example.org"/>
    <s v="8438647584"/>
    <d v="2026-02-27T03:28:09"/>
    <m/>
  </r>
  <r>
    <s v="Denise Jordan"/>
    <n v="100469"/>
    <x v="3"/>
    <d v="2026-03-02T00:00:00"/>
    <x v="17"/>
    <s v="Michael Garcia"/>
    <x v="0"/>
    <s v="travisdavis@example.org"/>
    <s v="(631)775-5297x7601"/>
    <d v="2026-02-15T14:15:09"/>
    <m/>
  </r>
  <r>
    <s v="Abigail Garcia"/>
    <n v="100114"/>
    <x v="3"/>
    <d v="2025-07-17T00:00:00"/>
    <x v="7"/>
    <s v="Debra Lloyd"/>
    <x v="0"/>
    <s v="scott81@example.net"/>
    <s v="536-811-6861x1460"/>
    <d v="2026-02-27T16:56:09"/>
    <m/>
  </r>
  <r>
    <s v="Jose Jackson"/>
    <n v="100664"/>
    <x v="1"/>
    <d v="2026-02-17T00:00:00"/>
    <x v="35"/>
    <s v="Alison Cook"/>
    <x v="0"/>
    <s v="jenna46@example.com"/>
    <s v="626-283-6843x771"/>
    <d v="2026-02-09T15:02:09"/>
    <m/>
  </r>
  <r>
    <s v="Shawn Rhodes"/>
    <n v="101402"/>
    <x v="4"/>
    <d v="2025-10-22T00:00:00"/>
    <x v="11"/>
    <s v="Emily Braun"/>
    <x v="1"/>
    <s v="emily60@example.org"/>
    <s v="401.519.6227"/>
    <d v="2026-02-12T03:12:09"/>
    <m/>
  </r>
  <r>
    <s v="Jamie Matthews"/>
    <n v="100449"/>
    <x v="1"/>
    <d v="2025-09-02T00:00:00"/>
    <x v="7"/>
    <s v="Melissa Vaughn"/>
    <x v="1"/>
    <s v="zmanning@example.org"/>
    <s v="(283)385-0957x0934"/>
    <d v="2026-02-21T14:34:09"/>
    <m/>
  </r>
  <r>
    <s v="Thomas Ward"/>
    <n v="101140"/>
    <x v="0"/>
    <d v="2026-02-11T00:00:00"/>
    <x v="40"/>
    <s v="Andrea Jenkins"/>
    <x v="0"/>
    <s v="melissa03@example.com"/>
    <s v="748.343.7700x62795"/>
    <d v="2026-02-26T11:27:09"/>
    <m/>
  </r>
  <r>
    <s v="Christopher Blevins"/>
    <n v="101310"/>
    <x v="5"/>
    <d v="2025-06-14T00:00:00"/>
    <x v="35"/>
    <s v="Louis Hughes"/>
    <x v="1"/>
    <s v="kelly17@example.net"/>
    <s v="001-356-927-5280x016"/>
    <d v="2026-03-09T18:39:09"/>
    <m/>
  </r>
  <r>
    <s v="Eric Carpenter"/>
    <n v="100552"/>
    <x v="0"/>
    <d v="2026-02-09T00:00:00"/>
    <x v="15"/>
    <s v="Melissa Flores"/>
    <x v="0"/>
    <s v="jimcraig@example.com"/>
    <s v="001-238-332-6489x710"/>
    <d v="2026-03-09T16:06:09"/>
    <m/>
  </r>
  <r>
    <s v="John Church"/>
    <n v="100777"/>
    <x v="0"/>
    <d v="2026-01-04T00:00:00"/>
    <x v="24"/>
    <s v="Michael Dean"/>
    <x v="0"/>
    <s v="shane13@example.org"/>
    <s v="594-584-1423x552"/>
    <d v="2026-02-27T10:11:09"/>
    <s v="Extra Name Spaces"/>
  </r>
  <r>
    <s v="Mr. Robert Marquez"/>
    <n v="100946"/>
    <x v="1"/>
    <d v="2026-03-09T00:00:00"/>
    <x v="22"/>
    <s v="Mary Berry"/>
    <x v="0"/>
    <s v="kellerbrandon@example.org"/>
    <s v="(956)247-7115x88218"/>
    <d v="2026-03-01T18:18:09"/>
    <m/>
  </r>
  <r>
    <s v="Kelly Wheeler"/>
    <m/>
    <x v="2"/>
    <d v="2025-11-24T00:00:00"/>
    <x v="11"/>
    <s v="Nathan Smith"/>
    <x v="0"/>
    <s v="wilsonrobert@example.org"/>
    <s v="764-646-1198x3097"/>
    <d v="2026-02-21T20:10:09"/>
    <s v="Missing Employee ID"/>
  </r>
  <r>
    <s v="Randall Marks"/>
    <n v="101495"/>
    <x v="4"/>
    <d v="2026-03-12T00:00:00"/>
    <x v="30"/>
    <s v="Tyler Li DDS"/>
    <x v="0"/>
    <s v="tara23@example.com"/>
    <s v="001-774-587-7007x8812"/>
    <d v="2026-02-11T18:00:09"/>
    <m/>
  </r>
  <r>
    <s v="Timothy Moore"/>
    <n v="101093"/>
    <x v="1"/>
    <d v="2025-11-15T00:00:00"/>
    <x v="16"/>
    <s v="Monica Peters"/>
    <x v="1"/>
    <s v="piercefrank@example.org"/>
    <s v="(779)590-9666x0286"/>
    <d v="2026-02-01T15:32:09"/>
    <m/>
  </r>
  <r>
    <s v="Cindy Duncan"/>
    <n v="100350"/>
    <x v="3"/>
    <d v="2025-06-19T00:00:00"/>
    <x v="33"/>
    <s v="Julia Ortiz MD"/>
    <x v="0"/>
    <s v="theresamack@example.org"/>
    <s v="9372090703"/>
    <d v="2026-02-02T01:43:09"/>
    <m/>
  </r>
  <r>
    <s v="Kayla Quinn"/>
    <n v="101300"/>
    <x v="5"/>
    <d v="2025-09-03T00:00:00"/>
    <x v="11"/>
    <s v="Michele Hamilton"/>
    <x v="1"/>
    <s v="frankjimenez@example.net"/>
    <s v="8989348492"/>
    <d v="2026-03-12T12:05:09"/>
    <m/>
  </r>
  <r>
    <s v="Kimberly Grimes"/>
    <n v="101247"/>
    <x v="0"/>
    <d v="2026-01-14T00:00:00"/>
    <x v="9"/>
    <s v="Casey Ortiz"/>
    <x v="0"/>
    <s v="phelpslauren@example.net"/>
    <s v="456-357-2676x541"/>
    <d v="2026-02-13T09:28:09"/>
    <m/>
  </r>
  <r>
    <s v="Kevin Jimenez"/>
    <n v="100146"/>
    <x v="1"/>
    <d v="2025-05-11T00:00:00"/>
    <x v="15"/>
    <s v="April Calhoun"/>
    <x v="1"/>
    <s v="leematthew@example.org"/>
    <s v="001-720-426-2693x03264"/>
    <d v="2026-03-01T23:59:09"/>
    <m/>
  </r>
  <r>
    <s v="Jacqueline Ramos"/>
    <n v="101327"/>
    <x v="1"/>
    <d v="2025-06-09T00:00:00"/>
    <x v="15"/>
    <s v="Logan Baldwin"/>
    <x v="0"/>
    <s v="duartesteven@example.com"/>
    <s v="001-906-735-1685x22476"/>
    <d v="2026-02-25T06:27:09"/>
    <m/>
  </r>
  <r>
    <s v="Grant Grant"/>
    <n v="101399"/>
    <x v="5"/>
    <d v="2025-11-22T00:00:00"/>
    <x v="13"/>
    <s v="Mr. Kevin Johnson"/>
    <x v="1"/>
    <s v="mary36@example.net"/>
    <s v="001-769-833-2763x34228"/>
    <d v="2026-02-28T05:28:09"/>
    <m/>
  </r>
  <r>
    <s v="Travis Stone"/>
    <n v="100546"/>
    <x v="5"/>
    <d v="2025-03-22T00:00:00"/>
    <x v="5"/>
    <s v="Steven Wall"/>
    <x v="1"/>
    <s v="tylerthompson@example.com"/>
    <s v="001-593-610-3370x08942"/>
    <d v="2026-03-09T08:42:09"/>
    <m/>
  </r>
  <r>
    <s v="Amanda Paul"/>
    <m/>
    <x v="1"/>
    <d v="2026-03-23T00:00:00"/>
    <x v="12"/>
    <s v="Craig Hall"/>
    <x v="0"/>
    <s v="feliciachen@example.net"/>
    <s v="538.945.6125x78047"/>
    <d v="2026-02-02T13:04:09"/>
    <s v="Missing Employee ID"/>
  </r>
  <r>
    <s v="Joseph Page"/>
    <n v="100429"/>
    <x v="4"/>
    <d v="2025-11-25T00:00:00"/>
    <x v="11"/>
    <s v="Nicole Mcdaniel"/>
    <x v="1"/>
    <s v="woodsrobert@example.net"/>
    <s v="(580)964-5544x2157"/>
    <d v="2026-02-21T10:52:09"/>
    <m/>
  </r>
  <r>
    <s v="Brooke Roberts"/>
    <n v="100727"/>
    <x v="0"/>
    <d v="2025-06-23T00:00:00"/>
    <x v="14"/>
    <s v="Micheal Soto"/>
    <x v="1"/>
    <s v="mgonzalez@example.com"/>
    <s v="985.993.4288x39039"/>
    <d v="2026-02-03T18:44:09"/>
    <m/>
  </r>
  <r>
    <s v="Megan Holmes"/>
    <n v="100758"/>
    <x v="1"/>
    <d v="2025-11-01T00:00:00"/>
    <x v="16"/>
    <s v="Daniel Steele"/>
    <x v="1"/>
    <s v="youngcody@example.net"/>
    <s v="(896)855-1025x066"/>
    <d v="2026-02-18T21:48:09"/>
    <m/>
  </r>
  <r>
    <s v="Pamela Powell"/>
    <n v="100333"/>
    <x v="5"/>
    <d v="2025-08-04T00:00:00"/>
    <x v="24"/>
    <s v="William Snyder"/>
    <x v="1"/>
    <s v="tdavis@example.net"/>
    <s v="001-386-232-8959"/>
    <d v="2026-02-05T13:43:09"/>
    <m/>
  </r>
  <r>
    <s v="George Collins"/>
    <n v="100747"/>
    <x v="6"/>
    <d v="2026-04-27T00:00:00"/>
    <x v="34"/>
    <s v="Jane Hernandez"/>
    <x v="1"/>
    <s v="michael63@example.net"/>
    <s v="643.296.3994x959"/>
    <d v="2026-03-09T17:37:09"/>
    <s v="Missing Department"/>
  </r>
  <r>
    <s v="Justin Flores"/>
    <n v="101301"/>
    <x v="1"/>
    <d v="2026-03-01T00:00:00"/>
    <x v="7"/>
    <s v="Jennifer Graham"/>
    <x v="0"/>
    <s v="james70@example.net"/>
    <s v="430.702.1027x3663"/>
    <d v="2026-02-11T08:01:09"/>
    <m/>
  </r>
  <r>
    <s v="Mary Murray"/>
    <n v="100928"/>
    <x v="1"/>
    <d v="2025-12-26T00:00:00"/>
    <x v="21"/>
    <s v="Samantha Jackson"/>
    <x v="1"/>
    <s v="justinwagner@example.com"/>
    <s v="001-339-216-6019"/>
    <d v="2026-03-12T07:51:09"/>
    <m/>
  </r>
  <r>
    <s v="Elizabeth Stone"/>
    <n v="101462"/>
    <x v="0"/>
    <d v="2025-11-03T00:00:00"/>
    <x v="11"/>
    <s v="Wayne Johnson"/>
    <x v="1"/>
    <s v="vclark@example.org"/>
    <s v="(944)878-9378x59541"/>
    <d v="2026-02-07T13:42:09"/>
    <m/>
  </r>
  <r>
    <s v="Rachel Jensen"/>
    <n v="101456"/>
    <x v="0"/>
    <d v="2025-11-21T00:00:00"/>
    <x v="29"/>
    <s v="Craig Davis"/>
    <x v="1"/>
    <s v="xcarter@example.net"/>
    <s v="+1-658-910-4573x46694"/>
    <d v="2026-02-02T17:53:09"/>
    <s v="Extra Name Spaces"/>
  </r>
  <r>
    <s v="Melissa Schmitt"/>
    <n v="100206"/>
    <x v="6"/>
    <d v="2025-07-22T00:00:00"/>
    <x v="1"/>
    <s v="Patricia Khan"/>
    <x v="1"/>
    <s v="david90@example.net"/>
    <s v="566-951-8378x47719"/>
    <d v="2026-02-11T19:12:09"/>
    <s v="Missing Department"/>
  </r>
  <r>
    <s v="Robert Kelly"/>
    <n v="101482"/>
    <x v="1"/>
    <d v="2025-06-03T00:00:00"/>
    <x v="28"/>
    <s v="Jennifer Flores"/>
    <x v="1"/>
    <s v="wesleyfoster@example.net"/>
    <s v="502-630-8996x46924"/>
    <d v="2026-03-07T11:12:09"/>
    <m/>
  </r>
  <r>
    <s v="Crystal King"/>
    <n v="100163"/>
    <x v="5"/>
    <d v="2026-01-09T00:00:00"/>
    <x v="1"/>
    <s v="Gary Barajas"/>
    <x v="0"/>
    <s v="loriparks@example.com"/>
    <s v="5387710880"/>
    <d v="2026-03-14T01:45:09"/>
    <m/>
  </r>
  <r>
    <s v="Jennifer Roberts"/>
    <n v="100592"/>
    <x v="4"/>
    <d v="2025-07-21T00:00:00"/>
    <x v="22"/>
    <s v="Tanner Matthews"/>
    <x v="1"/>
    <s v="lewisrichard@example.com"/>
    <s v="276-591-1612x215"/>
    <d v="2026-03-10T08:59:09"/>
    <m/>
  </r>
  <r>
    <s v="Rose Sullivan"/>
    <n v="100466"/>
    <x v="4"/>
    <d v="2026-01-15T00:00:00"/>
    <x v="32"/>
    <s v="Gregory Kramer"/>
    <x v="1"/>
    <s v="littlerebecca@example.org"/>
    <s v="7414589333"/>
    <d v="2026-02-01T06:54:09"/>
    <m/>
  </r>
  <r>
    <s v="Jennifer Espinoza"/>
    <n v="101354"/>
    <x v="1"/>
    <d v="2025-05-26T00:00:00"/>
    <x v="37"/>
    <s v="Brian Walker"/>
    <x v="1"/>
    <s v="leslie00@example.org"/>
    <s v="001-457-638-0101"/>
    <d v="2026-02-09T11:06:09"/>
    <m/>
  </r>
  <r>
    <s v="Savannah Davis"/>
    <m/>
    <x v="4"/>
    <d v="2025-08-19T00:00:00"/>
    <x v="1"/>
    <s v="Susan Hansen"/>
    <x v="1"/>
    <s v="padkins@example.org"/>
    <s v="+1-349-399-1365x055"/>
    <d v="2026-02-10T11:39:09"/>
    <s v="Missing Employee ID"/>
  </r>
  <r>
    <s v="Nancy Watkins"/>
    <n v="100142"/>
    <x v="5"/>
    <d v="2026-04-20T00:00:00"/>
    <x v="24"/>
    <s v="Laura Patel"/>
    <x v="1"/>
    <s v="shawlaura@example.com"/>
    <s v="570-480-4929"/>
    <d v="2026-01-31T07:13:09"/>
    <m/>
  </r>
  <r>
    <s v="Theresa Atkinson"/>
    <n v="100393"/>
    <x v="1"/>
    <d v="2026-03-01T00:00:00"/>
    <x v="27"/>
    <s v="Tiffany Abbott"/>
    <x v="1"/>
    <s v="andre19@example.com"/>
    <s v="729-433-2134"/>
    <d v="2026-02-15T03:33:09"/>
    <m/>
  </r>
  <r>
    <s v="Amanda Savage"/>
    <n v="101182"/>
    <x v="5"/>
    <d v="2025-11-07T00:00:00"/>
    <x v="3"/>
    <s v="Rhonda Williams"/>
    <x v="0"/>
    <s v="acevedomargaret@example.com"/>
    <s v="+1-817-875-8856x27480"/>
    <d v="2026-02-18T14:53:09"/>
    <m/>
  </r>
  <r>
    <s v="Michael Kemp"/>
    <n v="100740"/>
    <x v="3"/>
    <d v="2026-01-24T00:00:00"/>
    <x v="32"/>
    <s v="Dr. Rachel Yang"/>
    <x v="1"/>
    <s v="santossabrina@example.com"/>
    <s v="001-351-865-7121"/>
    <d v="2026-03-07T20:43:09"/>
    <m/>
  </r>
  <r>
    <s v="Mason Weaver"/>
    <n v="101266"/>
    <x v="1"/>
    <d v="2025-12-30T00:00:00"/>
    <x v="29"/>
    <s v="Mary Anderson"/>
    <x v="0"/>
    <s v="nancymendez@example.net"/>
    <s v="430.225.5987"/>
    <d v="2026-02-18T19:02:09"/>
    <m/>
  </r>
  <r>
    <s v="Chris Wilson"/>
    <n v="101287"/>
    <x v="0"/>
    <d v="2025-11-07T00:00:00"/>
    <x v="25"/>
    <s v="Matthew Greene"/>
    <x v="0"/>
    <s v="singletonnicole@example.net"/>
    <s v="(419)268-0450x5211"/>
    <d v="2026-02-26T19:44:09"/>
    <m/>
  </r>
  <r>
    <s v="Rebecca Smith"/>
    <n v="100600"/>
    <x v="3"/>
    <d v="2025-09-02T00:00:00"/>
    <x v="8"/>
    <s v="Richard Parsons"/>
    <x v="1"/>
    <s v="kingjulie@example.com"/>
    <s v="5816971408"/>
    <d v="2026-03-13T13:46:09"/>
    <m/>
  </r>
  <r>
    <s v="Gabriel Ramirez"/>
    <n v="101130"/>
    <x v="1"/>
    <d v="2026-02-24T00:00:00"/>
    <x v="10"/>
    <s v="Amanda Powell"/>
    <x v="0"/>
    <s v="maria80@example.com"/>
    <s v="(774)256-6983"/>
    <d v="2026-02-09T01:00:09"/>
    <m/>
  </r>
  <r>
    <s v="Mr. William Miller"/>
    <n v="100161"/>
    <x v="3"/>
    <d v="2025-07-08T00:00:00"/>
    <x v="37"/>
    <s v="Luke Smith"/>
    <x v="1"/>
    <s v="shawn76@example.org"/>
    <s v="838-647-6691x95301"/>
    <d v="2026-03-16T01:21:09"/>
    <m/>
  </r>
  <r>
    <s v="Joseph Mccoy Jr."/>
    <n v="100775"/>
    <x v="1"/>
    <d v="2026-03-03T00:00:00"/>
    <x v="15"/>
    <s v="Megan Bennett DDS"/>
    <x v="0"/>
    <s v="taylorkimberly@example.net"/>
    <s v="(229)576-1166x2866"/>
    <d v="2026-03-16T12:41:09"/>
    <m/>
  </r>
  <r>
    <s v="Joseph Nelson"/>
    <n v="100255"/>
    <x v="1"/>
    <d v="2025-05-16T00:00:00"/>
    <x v="36"/>
    <s v="Sherri Wheeler"/>
    <x v="0"/>
    <s v="cwebb@example.org"/>
    <s v="(556)327-7402x1572"/>
    <d v="2026-02-14T17:04:09"/>
    <m/>
  </r>
  <r>
    <s v="Brittany Hernandez"/>
    <n v="101098"/>
    <x v="1"/>
    <d v="2025-10-29T00:00:00"/>
    <x v="14"/>
    <s v="Dale Hernandez"/>
    <x v="1"/>
    <s v="aguerra@example.net"/>
    <s v="289-749-6172x15052"/>
    <d v="2026-02-19T01:24:09"/>
    <m/>
  </r>
  <r>
    <s v="Stephanie Rivera"/>
    <n v="100940"/>
    <x v="3"/>
    <d v="2026-05-09T00:00:00"/>
    <x v="3"/>
    <s v="Chelsea Wilson"/>
    <x v="1"/>
    <s v="nathan60@example.com"/>
    <s v="+1-493-642-3221x091"/>
    <d v="2026-02-04T18:39:09"/>
    <m/>
  </r>
  <r>
    <s v="Stacy Perez"/>
    <n v="100088"/>
    <x v="5"/>
    <d v="2026-02-15T00:00:00"/>
    <x v="12"/>
    <s v="Robert Stout"/>
    <x v="0"/>
    <s v="campbellanthony@example.net"/>
    <s v="383.343.7798x2402"/>
    <d v="2026-03-05T13:04:09"/>
    <m/>
  </r>
  <r>
    <s v="Joseph Perez"/>
    <n v="100541"/>
    <x v="2"/>
    <d v="2025-06-11T00:00:00"/>
    <x v="38"/>
    <s v="Marcus Knight"/>
    <x v="1"/>
    <s v="shawdenise@example.org"/>
    <s v="+1-796-924-2657x89635"/>
    <d v="2026-02-14T08:01:09"/>
    <m/>
  </r>
  <r>
    <s v="Douglas Raymond"/>
    <n v="101236"/>
    <x v="4"/>
    <d v="2026-02-20T00:00:00"/>
    <x v="3"/>
    <s v="Cameron Lewis"/>
    <x v="1"/>
    <s v="wayne82@example.org"/>
    <s v="001-972-454-4225x3511"/>
    <d v="2026-02-20T19:07:09"/>
    <m/>
  </r>
  <r>
    <s v="Erin Mercer"/>
    <n v="100704"/>
    <x v="2"/>
    <d v="2025-10-02T00:00:00"/>
    <x v="14"/>
    <s v="Jacob Spencer"/>
    <x v="1"/>
    <s v="williamruiz@example.org"/>
    <s v="976-676-6608x288"/>
    <d v="2026-02-18T03:24:09"/>
    <m/>
  </r>
  <r>
    <s v="Michael Mason"/>
    <n v="100735"/>
    <x v="3"/>
    <d v="2025-03-30T00:00:00"/>
    <x v="29"/>
    <s v="Maurice Brown"/>
    <x v="1"/>
    <s v="eedwards@example.net"/>
    <s v="868.459.3152"/>
    <d v="2026-03-15T22:06:09"/>
    <m/>
  </r>
  <r>
    <s v="Matthew Castillo"/>
    <n v="100198"/>
    <x v="4"/>
    <d v="2025-04-02T00:00:00"/>
    <x v="22"/>
    <s v="Steven Miller"/>
    <x v="0"/>
    <s v="jeffrey10@example.com"/>
    <s v="744-952-9964"/>
    <d v="2026-02-22T13:09:09"/>
    <m/>
  </r>
  <r>
    <s v="Timothy Lewis"/>
    <n v="100778"/>
    <x v="5"/>
    <d v="2026-03-21T00:00:00"/>
    <x v="26"/>
    <s v="Lisa Mendoza"/>
    <x v="0"/>
    <s v="suttonmichael@example.org"/>
    <s v="249.372.9697"/>
    <d v="2026-02-22T00:49:09"/>
    <m/>
  </r>
  <r>
    <s v="Angel Harris"/>
    <n v="100189"/>
    <x v="1"/>
    <d v="2025-07-01T00:00:00"/>
    <x v="2"/>
    <s v="Courtney Turner"/>
    <x v="1"/>
    <s v="tdiaz@example.net"/>
    <s v="001-258-461-8881x786"/>
    <d v="2026-02-12T15:46:09"/>
    <m/>
  </r>
  <r>
    <s v="Kenneth Hernandez"/>
    <n v="101492"/>
    <x v="3"/>
    <d v="2026-02-14T00:00:00"/>
    <x v="1"/>
    <s v="Claudia Kim"/>
    <x v="1"/>
    <s v="zacharyhenry@example.com"/>
    <s v="001-703-631-2223"/>
    <d v="2026-02-15T13:08:09"/>
    <m/>
  </r>
  <r>
    <s v="Tanya Gonzales"/>
    <n v="100689"/>
    <x v="2"/>
    <d v="2026-04-21T00:00:00"/>
    <x v="8"/>
    <s v="Daniel Wilson"/>
    <x v="1"/>
    <s v="jessica83@example.com"/>
    <s v="+1-274-577-7407"/>
    <d v="2026-02-20T01:48:09"/>
    <m/>
  </r>
  <r>
    <s v="Jason Bolton"/>
    <n v="100440"/>
    <x v="1"/>
    <d v="2026-02-16T00:00:00"/>
    <x v="3"/>
    <s v="Jennifer Smith"/>
    <x v="1"/>
    <s v="tgray@example.org"/>
    <s v="(582)812-8219"/>
    <d v="2026-03-07T18:05:09"/>
    <m/>
  </r>
  <r>
    <s v="Kimberly Castillo"/>
    <n v="100318"/>
    <x v="4"/>
    <d v="2026-01-11T00:00:00"/>
    <x v="35"/>
    <s v="Pamela Anderson"/>
    <x v="0"/>
    <s v="jeanette39@example.org"/>
    <s v="804.859.6920"/>
    <d v="2026-03-14T16:54:09"/>
    <m/>
  </r>
  <r>
    <s v="Jennifer Clay"/>
    <n v="101468"/>
    <x v="3"/>
    <d v="2025-07-12T00:00:00"/>
    <x v="28"/>
    <s v="Virginia Davis"/>
    <x v="0"/>
    <s v="johnnysloan@example.org"/>
    <s v="484-398-1184x65124"/>
    <d v="2026-02-12T18:43:09"/>
    <m/>
  </r>
  <r>
    <s v="James Young"/>
    <n v="100696"/>
    <x v="1"/>
    <d v="2025-08-28T00:00:00"/>
    <x v="28"/>
    <s v="Anita Sherman"/>
    <x v="0"/>
    <s v="parkerjennifer@example.org"/>
    <s v="(648)411-6595x5859"/>
    <d v="2026-03-10T11:58:09"/>
    <m/>
  </r>
  <r>
    <s v="David Berry"/>
    <n v="100865"/>
    <x v="5"/>
    <d v="2026-04-06T00:00:00"/>
    <x v="14"/>
    <s v="Brian Hines"/>
    <x v="1"/>
    <s v="slee@example.com"/>
    <s v="597-727-6768x77759"/>
    <d v="2026-03-09T16:38:09"/>
    <m/>
  </r>
  <r>
    <s v="Jessica Clark"/>
    <n v="101429"/>
    <x v="0"/>
    <d v="2025-10-28T00:00:00"/>
    <x v="17"/>
    <s v="Ann Scott"/>
    <x v="0"/>
    <s v="richardsjeffrey@example.net"/>
    <s v="5882426723"/>
    <d v="2026-02-24T14:14:09"/>
    <m/>
  </r>
  <r>
    <s v="Katherine Sullivan"/>
    <n v="100326"/>
    <x v="5"/>
    <d v="2025-09-25T00:00:00"/>
    <x v="28"/>
    <s v="Alexander Davis"/>
    <x v="0"/>
    <s v="walkerdaniel@example.com"/>
    <s v="204.342.3647x92149"/>
    <d v="2026-03-04T09:17:09"/>
    <m/>
  </r>
  <r>
    <s v="Nicholas Sampson"/>
    <n v="100013"/>
    <x v="1"/>
    <d v="2025-10-26T00:00:00"/>
    <x v="16"/>
    <s v="Timothy Waters"/>
    <x v="0"/>
    <s v="margaret90@example.com"/>
    <s v="+1-899-915-7380x6799"/>
    <d v="2026-02-16T23:52:09"/>
    <m/>
  </r>
  <r>
    <s v="Jasmine White"/>
    <n v="100569"/>
    <x v="2"/>
    <d v="2025-04-29T00:00:00"/>
    <x v="10"/>
    <s v="Michael Wilson"/>
    <x v="0"/>
    <s v="kathleenellis@example.com"/>
    <s v="932-305-8699x7245"/>
    <d v="2026-03-08T17:44:09"/>
    <m/>
  </r>
  <r>
    <s v="Nicole Cox"/>
    <n v="101206"/>
    <x v="4"/>
    <d v="2026-04-16T00:00:00"/>
    <x v="2"/>
    <s v="Jill Gonzalez"/>
    <x v="0"/>
    <s v="howens@example.org"/>
    <s v="+1-754-891-7732x60968"/>
    <d v="2026-02-23T11:35:09"/>
    <m/>
  </r>
  <r>
    <s v="Melissa Dillon"/>
    <n v="100919"/>
    <x v="1"/>
    <d v="2025-11-25T00:00:00"/>
    <x v="11"/>
    <s v="Jennifer Brown"/>
    <x v="1"/>
    <s v="emily73@example.com"/>
    <s v="567.494.3364x47026"/>
    <d v="2026-02-12T05:53:09"/>
    <m/>
  </r>
  <r>
    <s v="Ryan Barrett PhD"/>
    <n v="100451"/>
    <x v="4"/>
    <d v="2026-01-26T00:00:00"/>
    <x v="12"/>
    <s v="Heather Long"/>
    <x v="1"/>
    <s v="jill87@example.net"/>
    <s v="001-966-694-9471x5534"/>
    <d v="2026-02-04T05:04:09"/>
    <m/>
  </r>
  <r>
    <s v="Maria Love"/>
    <n v="100859"/>
    <x v="0"/>
    <d v="2026-01-01T00:00:00"/>
    <x v="11"/>
    <s v="Alexander Diaz"/>
    <x v="1"/>
    <s v="msimpson@example.net"/>
    <s v="6847896539"/>
    <d v="2026-03-10T13:53:09"/>
    <m/>
  </r>
  <r>
    <s v="Cynthia Ballard"/>
    <n v="101490"/>
    <x v="1"/>
    <d v="2025-07-12T00:00:00"/>
    <x v="3"/>
    <s v="Julian Mcmahon"/>
    <x v="1"/>
    <s v="xwarren@example.org"/>
    <s v="+1-333-585-6932"/>
    <d v="2026-03-15T10:16:09"/>
    <m/>
  </r>
  <r>
    <s v="James Cherry"/>
    <n v="101436"/>
    <x v="4"/>
    <d v="2026-05-14T00:00:00"/>
    <x v="6"/>
    <s v="Melissa Hill"/>
    <x v="0"/>
    <s v="wellsstephen@example.org"/>
    <s v="415-806-3240x510"/>
    <d v="2026-03-06T08:05:09"/>
    <m/>
  </r>
  <r>
    <s v="David Patel"/>
    <n v="101330"/>
    <x v="0"/>
    <d v="2025-12-14T00:00:00"/>
    <x v="16"/>
    <s v="Jessica Harris"/>
    <x v="1"/>
    <s v="sandra74@example.net"/>
    <s v="(346)760-3327x39974"/>
    <d v="2026-02-05T15:58:09"/>
    <m/>
  </r>
  <r>
    <s v="Rachel Erickson"/>
    <n v="101466"/>
    <x v="1"/>
    <d v="2026-03-08T00:00:00"/>
    <x v="3"/>
    <s v="Diane Cabrera"/>
    <x v="1"/>
    <s v="wileyandrew@example.net"/>
    <s v="960.978.1951x6484"/>
    <d v="2026-02-27T19:37:09"/>
    <m/>
  </r>
  <r>
    <s v="Julie Holmes"/>
    <n v="100407"/>
    <x v="0"/>
    <d v="2025-04-01T00:00:00"/>
    <x v="6"/>
    <s v="Sharon Johnson MD"/>
    <x v="0"/>
    <s v="jason57@example.net"/>
    <s v="(447)989-3505x260"/>
    <d v="2026-02-23T15:53:09"/>
    <m/>
  </r>
  <r>
    <s v="Jamie Rose"/>
    <n v="101149"/>
    <x v="3"/>
    <d v="2025-06-28T00:00:00"/>
    <x v="0"/>
    <s v="Peter Brown"/>
    <x v="0"/>
    <s v="fieldsrobin@example.net"/>
    <s v="+1-912-692-3613x91237"/>
    <d v="2026-02-13T15:25:09"/>
    <m/>
  </r>
  <r>
    <s v="Matthew Meyer"/>
    <n v="100054"/>
    <x v="1"/>
    <d v="2026-01-22T00:00:00"/>
    <x v="0"/>
    <s v="Michael Graves"/>
    <x v="1"/>
    <s v="reginawright@example.com"/>
    <s v="870.658.0791x06510"/>
    <d v="2026-02-05T21:00:09"/>
    <m/>
  </r>
  <r>
    <s v="Andrew Gibson"/>
    <n v="101232"/>
    <x v="0"/>
    <d v="2025-12-23T00:00:00"/>
    <x v="31"/>
    <s v="Joshua Brewer"/>
    <x v="0"/>
    <s v="rschmidt@example.net"/>
    <s v="703.648.5736"/>
    <d v="2026-03-10T16:42:09"/>
    <m/>
  </r>
  <r>
    <s v="Adrienne Carter"/>
    <n v="101034"/>
    <x v="1"/>
    <d v="2025-11-30T00:00:00"/>
    <x v="28"/>
    <s v="Carl Lopez"/>
    <x v="1"/>
    <s v="mendezjaime@example.com"/>
    <s v="+1-783-664-3167"/>
    <d v="2026-02-17T01:36:09"/>
    <m/>
  </r>
  <r>
    <s v="Wendy Oneal"/>
    <n v="100476"/>
    <x v="4"/>
    <d v="2026-04-20T00:00:00"/>
    <x v="15"/>
    <s v="Mary Santana"/>
    <x v="0"/>
    <s v="andrewforbes@example.net"/>
    <s v="2753605269"/>
    <d v="2026-03-15T11:13:09"/>
    <m/>
  </r>
  <r>
    <s v="Caitlin Whitaker"/>
    <n v="100447"/>
    <x v="1"/>
    <d v="2026-01-21T00:00:00"/>
    <x v="14"/>
    <s v="Stephanie Lawson"/>
    <x v="1"/>
    <s v="ojames@example.org"/>
    <s v="+1-323-756-5403x079"/>
    <d v="2026-03-13T04:42:09"/>
    <m/>
  </r>
  <r>
    <s v="Robert Brown"/>
    <n v="100191"/>
    <x v="5"/>
    <d v="2026-03-07T00:00:00"/>
    <x v="7"/>
    <s v="Joel Glass"/>
    <x v="1"/>
    <s v="wilsonmichelle@example.net"/>
    <s v="+1-453-218-5004x231"/>
    <d v="2026-02-09T13:12:09"/>
    <m/>
  </r>
  <r>
    <s v="Melissa Cruz"/>
    <n v="100061"/>
    <x v="3"/>
    <d v="2025-10-26T00:00:00"/>
    <x v="3"/>
    <s v="Rhonda Brown"/>
    <x v="1"/>
    <s v="caseyantonio@example.org"/>
    <s v="9549847385"/>
    <d v="2026-02-22T11:18:09"/>
    <m/>
  </r>
  <r>
    <s v="Stacey Matthews"/>
    <n v="100065"/>
    <x v="4"/>
    <d v="2025-10-25T00:00:00"/>
    <x v="11"/>
    <s v="Nicole Nelson"/>
    <x v="0"/>
    <s v="danielle53@example.net"/>
    <s v="451-882-7238"/>
    <d v="2026-03-10T21:49:09"/>
    <m/>
  </r>
  <r>
    <s v="Sarah Matthews"/>
    <n v="100864"/>
    <x v="0"/>
    <d v="2025-07-10T00:00:00"/>
    <x v="2"/>
    <s v="Annette Cooper"/>
    <x v="0"/>
    <s v="michael76@example.net"/>
    <s v="615.659.0308x19695"/>
    <d v="2026-03-16T09:23:09"/>
    <m/>
  </r>
  <r>
    <s v="Jody Garcia"/>
    <n v="101209"/>
    <x v="0"/>
    <d v="2025-04-24T00:00:00"/>
    <x v="11"/>
    <s v="Alexis Erickson"/>
    <x v="1"/>
    <s v="william49@example.net"/>
    <s v="650-289-2446"/>
    <d v="2026-03-05T08:16:09"/>
    <m/>
  </r>
  <r>
    <s v="Gary Wallace"/>
    <n v="100178"/>
    <x v="0"/>
    <d v="2025-08-23T00:00:00"/>
    <x v="32"/>
    <s v="Linda Ward"/>
    <x v="1"/>
    <s v="carolyn35@example.com"/>
    <s v="981.608.2277x54777"/>
    <d v="2026-03-07T21:13:09"/>
    <m/>
  </r>
  <r>
    <s v="Shane Wood"/>
    <n v="101116"/>
    <x v="5"/>
    <d v="2025-11-16T00:00:00"/>
    <x v="18"/>
    <s v="Autumn Robinson"/>
    <x v="1"/>
    <s v="shernandez@example.net"/>
    <s v="001-237-697-9007"/>
    <d v="2026-02-10T10:53:09"/>
    <m/>
  </r>
  <r>
    <s v="Stephanie Greene"/>
    <n v="101385"/>
    <x v="1"/>
    <d v="2026-03-12T00:00:00"/>
    <x v="21"/>
    <s v="Ronnie Carroll"/>
    <x v="1"/>
    <s v="qmurray@example.net"/>
    <s v="366-423-9567"/>
    <d v="2026-02-20T23:05:09"/>
    <m/>
  </r>
  <r>
    <s v="Kevin Cooper"/>
    <n v="100209"/>
    <x v="4"/>
    <d v="2026-02-13T00:00:00"/>
    <x v="3"/>
    <s v="Christopher Cole"/>
    <x v="1"/>
    <s v="ubaker@example.org"/>
    <s v="(741)322-7276x5314"/>
    <d v="2026-02-23T18:05:09"/>
    <m/>
  </r>
  <r>
    <s v="Christina Garcia"/>
    <n v="100285"/>
    <x v="1"/>
    <d v="2025-11-28T00:00:00"/>
    <x v="15"/>
    <s v="Mallory Williams"/>
    <x v="1"/>
    <s v="justin55@example.net"/>
    <s v="345.859.5562"/>
    <d v="2026-02-17T20:41:09"/>
    <m/>
  </r>
  <r>
    <s v="Tina Alvarado MD"/>
    <n v="100457"/>
    <x v="1"/>
    <d v="2025-08-06T00:00:00"/>
    <x v="11"/>
    <s v="Tanya Webb"/>
    <x v="0"/>
    <s v="dperry@example.net"/>
    <s v="+1-350-949-1086x043"/>
    <d v="2026-02-11T10:02:09"/>
    <m/>
  </r>
  <r>
    <s v="Thomas Becker"/>
    <n v="100501"/>
    <x v="4"/>
    <d v="2026-03-30T00:00:00"/>
    <x v="20"/>
    <s v="Pamela Davis"/>
    <x v="0"/>
    <s v="oaguilar@example.com"/>
    <s v="+1-760-293-1608"/>
    <d v="2026-03-14T09:53:09"/>
    <m/>
  </r>
  <r>
    <s v="Amanda Watson"/>
    <n v="100563"/>
    <x v="5"/>
    <d v="2026-02-11T00:00:00"/>
    <x v="14"/>
    <s v="Christina Miller"/>
    <x v="1"/>
    <s v="woodjames@example.org"/>
    <s v="(864)500-9333"/>
    <d v="2026-03-14T08:41:09"/>
    <m/>
  </r>
  <r>
    <s v="Mr. Theodore Wade PhD"/>
    <n v="100051"/>
    <x v="2"/>
    <d v="2026-01-11T00:00:00"/>
    <x v="26"/>
    <s v="Makayla Stone"/>
    <x v="0"/>
    <s v="hansenchristina@example.net"/>
    <s v="547-681-6766x3420"/>
    <d v="2026-02-26T21:06:09"/>
    <m/>
  </r>
  <r>
    <s v="Anna Carter"/>
    <n v="100228"/>
    <x v="5"/>
    <d v="2025-11-24T00:00:00"/>
    <x v="7"/>
    <s v="Jennifer Carter"/>
    <x v="1"/>
    <s v="eduardo64@example.com"/>
    <s v="8475832796"/>
    <d v="2026-02-16T16:24:09"/>
    <m/>
  </r>
  <r>
    <s v="Richard Murphy"/>
    <n v="101309"/>
    <x v="2"/>
    <d v="2025-06-29T00:00:00"/>
    <x v="33"/>
    <s v="Michael Wells"/>
    <x v="0"/>
    <s v="joseph92@example.com"/>
    <s v="(387)714-4693x9953"/>
    <d v="2026-02-02T07:30:09"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977">
  <r>
    <s v="Allison Hill"/>
    <n v="101303"/>
    <s v="Engineering"/>
    <d v="2025-08-10T00:00:00"/>
    <x v="0"/>
    <s v="Noah Rhodes"/>
    <s v="Yes"/>
    <s v="garzaanthony@example.org"/>
    <s v="538.990.8386"/>
    <d v="2026-03-06T19:30:08"/>
    <m/>
  </r>
  <r>
    <s v="Allison Hill"/>
    <n v="101303"/>
    <s v="Engineering"/>
    <d v="2025-08-10T00:00:00"/>
    <x v="1"/>
    <s v="Noah Rhodes"/>
    <s v="Yes"/>
    <s v="garzaanthony@example.org"/>
    <s v="538.990.8386"/>
    <d v="2026-03-06T19:30:08"/>
    <m/>
  </r>
  <r>
    <s v="Allison Hill"/>
    <n v="101303"/>
    <s v="Engineering"/>
    <d v="2025-08-10T00:00:00"/>
    <x v="2"/>
    <s v="Noah Rhodes"/>
    <s v="Yes"/>
    <s v="garzaanthony@example.org"/>
    <s v="538.990.8386"/>
    <d v="2026-03-06T19:30:08"/>
    <m/>
  </r>
  <r>
    <s v="Rhonda Smith"/>
    <n v="100397"/>
    <s v="IT"/>
    <d v="2025-07-08T00:00:00"/>
    <x v="1"/>
    <s v="Melissa Peterson"/>
    <s v="No"/>
    <s v="jasongallagher@example.org"/>
    <s v="361-855-9407"/>
    <d v="2026-03-09T08:24:08"/>
    <m/>
  </r>
  <r>
    <s v="Edward Fuller"/>
    <n v="100386"/>
    <s v="IT"/>
    <d v="2025-07-09T00:00:00"/>
    <x v="0"/>
    <s v="Heidi Lee"/>
    <s v="Yes"/>
    <s v="williamsjeremy@example.com"/>
    <s v="731-564-7525"/>
    <d v="2026-02-05T19:27:08"/>
    <m/>
  </r>
  <r>
    <s v="Edward Fuller"/>
    <n v="100386"/>
    <s v="IT"/>
    <d v="2025-07-09T00:00:00"/>
    <x v="3"/>
    <s v="Heidi Lee"/>
    <s v="Yes"/>
    <s v="williamsjeremy@example.com"/>
    <s v="731-564-7525"/>
    <d v="2026-02-05T19:27:08"/>
    <m/>
  </r>
  <r>
    <s v="Mia Sutton"/>
    <n v="100549"/>
    <s v="Finance"/>
    <d v="2025-03-30T00:00:00"/>
    <x v="1"/>
    <s v="Mark Ferguson"/>
    <s v="No"/>
    <s v="frankgray@example.net"/>
    <s v="001-783-550-3056x413"/>
    <d v="2026-02-23T05:56:08"/>
    <m/>
  </r>
  <r>
    <s v="Jennifer Rocha"/>
    <n v="100597"/>
    <s v="Engineering"/>
    <d v="2025-06-16T00:00:00"/>
    <x v="3"/>
    <s v="Derek Wright"/>
    <s v="No"/>
    <s v="julie69@example.com"/>
    <s v="(332)887-1012x269"/>
    <d v="2026-03-12T13:04:08"/>
    <m/>
  </r>
  <r>
    <s v="Zachary Rice"/>
    <n v="101113"/>
    <s v="Engineering"/>
    <d v="2025-05-01T00:00:00"/>
    <x v="3"/>
    <s v="Shannon Smith"/>
    <s v="No"/>
    <s v="maldonadoamanda@example.com"/>
    <s v="001-551-446-2704x82814"/>
    <d v="2026-02-15T06:16:08"/>
    <m/>
  </r>
  <r>
    <s v="Zachary Rice"/>
    <n v="101113"/>
    <s v="Engineering"/>
    <d v="2025-05-01T00:00:00"/>
    <x v="4"/>
    <s v="Shannon Smith"/>
    <s v="No"/>
    <s v="maldonadoamanda@example.com"/>
    <s v="001-551-446-2704x82814"/>
    <d v="2026-02-15T06:16:08"/>
    <m/>
  </r>
  <r>
    <s v="Zachary Rice"/>
    <n v="101113"/>
    <s v="Engineering"/>
    <d v="2025-05-01T00:00:00"/>
    <x v="5"/>
    <s v="Shannon Smith"/>
    <s v="No"/>
    <s v="maldonadoamanda@example.com"/>
    <s v="001-551-446-2704x82814"/>
    <d v="2026-02-15T06:16:08"/>
    <m/>
  </r>
  <r>
    <s v="Christopher Ashley"/>
    <n v="101365"/>
    <s v="Marketing"/>
    <d v="2025-09-21T00:00:00"/>
    <x v="0"/>
    <s v="Tamara George"/>
    <s v="Yes"/>
    <s v="xsmith@example.com"/>
    <s v="403.491.1718"/>
    <d v="2026-03-13T12:36:08"/>
    <m/>
  </r>
  <r>
    <s v="Christopher Ashley"/>
    <n v="101365"/>
    <s v="Marketing"/>
    <d v="2025-09-21T00:00:00"/>
    <x v="1"/>
    <s v="Tamara George"/>
    <s v="Yes"/>
    <s v="xsmith@example.com"/>
    <s v="403.491.1718"/>
    <d v="2026-03-13T12:36:08"/>
    <m/>
  </r>
  <r>
    <s v="Theresa Martin"/>
    <n v="100134"/>
    <s v="Marketing"/>
    <d v="2026-04-06T00:00:00"/>
    <x v="0"/>
    <s v="Lisa Brandt"/>
    <s v="No"/>
    <s v="jenniferross@example.net"/>
    <s v="+1-557-587-1331x5098"/>
    <d v="2026-02-02T03:26:08"/>
    <m/>
  </r>
  <r>
    <s v="Theresa Martin"/>
    <n v="100134"/>
    <s v="Marketing"/>
    <d v="2026-04-06T00:00:00"/>
    <x v="1"/>
    <s v="Lisa Brandt"/>
    <s v="No"/>
    <s v="jenniferross@example.net"/>
    <s v="+1-557-587-1331x5098"/>
    <d v="2026-02-02T03:26:08"/>
    <m/>
  </r>
  <r>
    <s v="Theresa Martin"/>
    <n v="100134"/>
    <s v="Marketing"/>
    <d v="2026-04-06T00:00:00"/>
    <x v="2"/>
    <s v="Lisa Brandt"/>
    <s v="No"/>
    <s v="jenniferross@example.net"/>
    <s v="+1-557-587-1331x5098"/>
    <d v="2026-02-02T03:26:08"/>
    <m/>
  </r>
  <r>
    <s v="Michael Brown"/>
    <n v="101117"/>
    <s v="IT"/>
    <d v="2026-01-20T00:00:00"/>
    <x v="1"/>
    <s v="Andre Rivera"/>
    <s v="Yes"/>
    <s v="joshuawashington@example.net"/>
    <s v="(399)873-7631"/>
    <d v="2026-02-12T14:01:08"/>
    <m/>
  </r>
  <r>
    <s v="Michael Brown"/>
    <n v="101117"/>
    <s v="IT"/>
    <d v="2026-01-20T00:00:00"/>
    <x v="5"/>
    <s v="Andre Rivera"/>
    <s v="Yes"/>
    <s v="joshuawashington@example.net"/>
    <s v="(399)873-7631"/>
    <d v="2026-02-12T14:01:08"/>
    <m/>
  </r>
  <r>
    <s v="Jason Shields"/>
    <n v="101164"/>
    <s v="HR"/>
    <d v="2025-10-22T00:00:00"/>
    <x v="1"/>
    <s v="Matthew Lucas"/>
    <s v="No"/>
    <s v="powellmatthew@example.org"/>
    <s v="933.587.2624"/>
    <d v="2026-02-10T19:08:08"/>
    <m/>
  </r>
  <r>
    <s v="Angela Morton"/>
    <n v="100213"/>
    <s v="HR"/>
    <d v="2025-04-08T00:00:00"/>
    <x v="5"/>
    <s v="Annette Pearson"/>
    <s v="Yes"/>
    <s v="novaksara@example.org"/>
    <s v="(267)873-6026"/>
    <d v="2026-03-16T10:56:08"/>
    <m/>
  </r>
  <r>
    <s v="Richard Gibson"/>
    <n v="101181"/>
    <s v="HR"/>
    <d v="2025-07-02T00:00:00"/>
    <x v="1"/>
    <s v="Tyler Cowan"/>
    <s v="No"/>
    <s v="smoore@example.org"/>
    <s v="4982050097"/>
    <d v="2026-02-24T13:49:08"/>
    <m/>
  </r>
  <r>
    <s v="Angela Lopez"/>
    <n v="100789"/>
    <s v="Engineering"/>
    <d v="2025-11-25T00:00:00"/>
    <x v="3"/>
    <s v="Megan Young"/>
    <s v="No"/>
    <s v="davidashley@example.net"/>
    <s v="+1-509-616-9985x435"/>
    <d v="2026-02-10T10:03:08"/>
    <m/>
  </r>
  <r>
    <s v="Angela Lopez"/>
    <n v="100789"/>
    <s v="Engineering"/>
    <d v="2025-11-25T00:00:00"/>
    <x v="4"/>
    <s v="Megan Young"/>
    <s v="No"/>
    <s v="davidashley@example.net"/>
    <s v="+1-509-616-9985x435"/>
    <d v="2026-02-10T10:03:08"/>
    <m/>
  </r>
  <r>
    <s v="Angela Lopez"/>
    <n v="100789"/>
    <s v="Engineering"/>
    <d v="2025-11-25T00:00:00"/>
    <x v="5"/>
    <s v="Megan Young"/>
    <s v="No"/>
    <s v="davidashley@example.net"/>
    <s v="+1-509-616-9985x435"/>
    <d v="2026-02-10T10:03:08"/>
    <m/>
  </r>
  <r>
    <s v="Michael Evans"/>
    <n v="100760"/>
    <s v="IT"/>
    <d v="2025-12-27T00:00:00"/>
    <x v="1"/>
    <s v="Paul Jones"/>
    <s v="Yes"/>
    <s v="khowell@example.org"/>
    <s v="783-684-2513"/>
    <d v="2026-02-17T17:16:08"/>
    <m/>
  </r>
  <r>
    <s v="Michael Evans"/>
    <n v="100760"/>
    <s v="IT"/>
    <d v="2025-12-27T00:00:00"/>
    <x v="2"/>
    <s v="Paul Jones"/>
    <s v="Yes"/>
    <s v="khowell@example.org"/>
    <s v="783-684-2513"/>
    <d v="2026-02-17T17:16:08"/>
    <m/>
  </r>
  <r>
    <s v="Michael Evans"/>
    <n v="100760"/>
    <s v="IT"/>
    <d v="2025-12-27T00:00:00"/>
    <x v="5"/>
    <s v="Paul Jones"/>
    <s v="Yes"/>
    <s v="khowell@example.org"/>
    <s v="783-684-2513"/>
    <d v="2026-02-17T17:16:08"/>
    <m/>
  </r>
  <r>
    <s v="Roy Warner"/>
    <n v="100510"/>
    <s v="Operations"/>
    <d v="2025-04-24T00:00:00"/>
    <x v="3"/>
    <s v="Victoria Valdez"/>
    <s v="No"/>
    <s v="contrerasangela@example.net"/>
    <s v="524-711-8244"/>
    <d v="2026-01-29T20:03:08"/>
    <m/>
  </r>
  <r>
    <s v="Roy Warner"/>
    <n v="100510"/>
    <s v="Operations"/>
    <d v="2025-04-24T00:00:00"/>
    <x v="5"/>
    <s v="Victoria Valdez"/>
    <s v="No"/>
    <s v="contrerasangela@example.net"/>
    <s v="524-711-8244"/>
    <d v="2026-01-29T20:03:08"/>
    <m/>
  </r>
  <r>
    <s v="Mark Baker"/>
    <n v="100444"/>
    <s v="Operations"/>
    <d v="2025-08-11T00:00:00"/>
    <x v="5"/>
    <s v="Taylor Mathis Jr."/>
    <s v="Yes"/>
    <s v="ccalderon@example.org"/>
    <s v="724-427-8680x11280"/>
    <d v="2026-02-24T12:03:08"/>
    <m/>
  </r>
  <r>
    <s v="Andrew Diaz"/>
    <n v="100705"/>
    <s v="IT"/>
    <d v="2025-11-06T00:00:00"/>
    <x v="1"/>
    <s v="Valerie Williams"/>
    <s v="Yes"/>
    <s v="jason31@example.com"/>
    <s v="001-686-492-3226x02563"/>
    <d v="2026-03-01T03:02:08"/>
    <m/>
  </r>
  <r>
    <s v="Andrew Diaz"/>
    <n v="100705"/>
    <s v="IT"/>
    <d v="2025-11-06T00:00:00"/>
    <x v="2"/>
    <s v="Valerie Williams"/>
    <s v="Yes"/>
    <s v="jason31@example.com"/>
    <s v="001-686-492-3226x02563"/>
    <d v="2026-03-01T03:02:08"/>
    <m/>
  </r>
  <r>
    <s v="Andrew Diaz"/>
    <n v="100705"/>
    <s v="IT"/>
    <d v="2025-11-06T00:00:00"/>
    <x v="5"/>
    <s v="Valerie Williams"/>
    <s v="Yes"/>
    <s v="jason31@example.com"/>
    <s v="001-686-492-3226x02563"/>
    <d v="2026-03-01T03:02:08"/>
    <m/>
  </r>
  <r>
    <s v="Ashley Brennan"/>
    <n v="101007"/>
    <s v="IT"/>
    <d v="2025-10-07T00:00:00"/>
    <x v="1"/>
    <s v="Courtney Velasquez"/>
    <s v="No"/>
    <s v="ybailey@example.org"/>
    <s v="803.765.4145"/>
    <d v="2026-03-02T06:32:08"/>
    <m/>
  </r>
  <r>
    <s v="Ashley Brennan"/>
    <n v="101007"/>
    <s v="IT"/>
    <d v="2025-10-07T00:00:00"/>
    <x v="2"/>
    <s v="Courtney Velasquez"/>
    <s v="No"/>
    <s v="ybailey@example.org"/>
    <s v="803.765.4145"/>
    <d v="2026-03-02T06:32:08"/>
    <m/>
  </r>
  <r>
    <s v="Ashley Brennan"/>
    <n v="101007"/>
    <s v="IT"/>
    <d v="2025-10-07T00:00:00"/>
    <x v="5"/>
    <s v="Courtney Velasquez"/>
    <s v="No"/>
    <s v="ybailey@example.org"/>
    <s v="803.765.4145"/>
    <d v="2026-03-02T06:32:08"/>
    <m/>
  </r>
  <r>
    <s v="Ashley Waller"/>
    <m/>
    <s v="Marketing"/>
    <d v="2025-04-24T00:00:00"/>
    <x v="0"/>
    <s v="Victor Baker"/>
    <s v="No"/>
    <s v="carlsonmichael@example.com"/>
    <s v="(798)816-9340x60883"/>
    <d v="2026-02-21T19:53:08"/>
    <s v="Missing Employee ID"/>
  </r>
  <r>
    <s v="Ashley Waller"/>
    <m/>
    <s v="Marketing"/>
    <d v="2025-04-24T00:00:00"/>
    <x v="2"/>
    <s v="Victor Baker"/>
    <s v="No"/>
    <s v="carlsonmichael@example.com"/>
    <s v="(798)816-9340x60883"/>
    <d v="2026-02-21T19:53:08"/>
    <s v="Missing Employee ID"/>
  </r>
  <r>
    <s v="Ashley Waller"/>
    <m/>
    <s v="Marketing"/>
    <d v="2025-04-24T00:00:00"/>
    <x v="4"/>
    <s v="Victor Baker"/>
    <s v="No"/>
    <s v="carlsonmichael@example.com"/>
    <s v="(798)816-9340x60883"/>
    <d v="2026-02-21T19:53:08"/>
    <s v="Missing Employee ID"/>
  </r>
  <r>
    <s v="Matthew Rivera"/>
    <n v="100632"/>
    <s v="Marketing"/>
    <d v="2025-07-14T00:00:00"/>
    <x v="4"/>
    <s v="Ryan Cortez"/>
    <s v="No"/>
    <s v="william65@example.com"/>
    <s v="001-248-623-6629x946"/>
    <d v="2026-03-04T11:59:08"/>
    <s v="Extra Name Spaces"/>
  </r>
  <r>
    <s v="Jeffrey Carpenter"/>
    <n v="101425"/>
    <s v="IT"/>
    <d v="2025-06-02T00:00:00"/>
    <x v="2"/>
    <s v="Julie Ramos"/>
    <s v="No"/>
    <s v="williamleon@example.net"/>
    <s v="(514)589-5134"/>
    <d v="2026-02-07T22:08:08"/>
    <m/>
  </r>
  <r>
    <s v="Jeffrey Carpenter"/>
    <n v="101425"/>
    <s v="IT"/>
    <d v="2025-06-02T00:00:00"/>
    <x v="4"/>
    <s v="Julie Ramos"/>
    <s v="No"/>
    <s v="williamleon@example.net"/>
    <s v="(514)589-5134"/>
    <d v="2026-02-07T22:08:08"/>
    <m/>
  </r>
  <r>
    <s v="Jeffrey Carpenter"/>
    <n v="101425"/>
    <s v="IT"/>
    <d v="2025-06-02T00:00:00"/>
    <x v="5"/>
    <s v="Julie Ramos"/>
    <s v="No"/>
    <s v="williamleon@example.net"/>
    <s v="(514)589-5134"/>
    <d v="2026-02-07T22:08:08"/>
    <m/>
  </r>
  <r>
    <s v="Angel Riggs"/>
    <n v="100550"/>
    <s v="Operations"/>
    <d v="2026-02-27T00:00:00"/>
    <x v="0"/>
    <s v="Patricia Gibson"/>
    <s v="No"/>
    <s v="jennifercruz@example.com"/>
    <s v="220.516.3287"/>
    <d v="2026-03-07T02:54:08"/>
    <m/>
  </r>
  <r>
    <s v="Angel Riggs"/>
    <n v="100550"/>
    <s v="Operations"/>
    <d v="2026-02-27T00:00:00"/>
    <x v="3"/>
    <s v="Patricia Gibson"/>
    <s v="No"/>
    <s v="jennifercruz@example.com"/>
    <s v="220.516.3287"/>
    <d v="2026-03-07T02:54:08"/>
    <m/>
  </r>
  <r>
    <s v="Angel Riggs"/>
    <n v="100550"/>
    <s v="Operations"/>
    <d v="2026-02-27T00:00:00"/>
    <x v="1"/>
    <s v="Patricia Gibson"/>
    <s v="No"/>
    <s v="jennifercruz@example.com"/>
    <s v="220.516.3287"/>
    <d v="2026-03-07T02:54:08"/>
    <m/>
  </r>
  <r>
    <s v="Barbara Anderson"/>
    <n v="100068"/>
    <s v="Engineering"/>
    <d v="2025-11-11T00:00:00"/>
    <x v="0"/>
    <s v="Joseph Hansen"/>
    <s v="No"/>
    <s v="stephanie79@example.net"/>
    <s v="968.372.7743x48734"/>
    <d v="2026-02-07T15:59:08"/>
    <m/>
  </r>
  <r>
    <s v="Barbara Anderson"/>
    <n v="100068"/>
    <s v="Engineering"/>
    <d v="2025-11-11T00:00:00"/>
    <x v="1"/>
    <s v="Joseph Hansen"/>
    <s v="No"/>
    <s v="stephanie79@example.net"/>
    <s v="968.372.7743x48734"/>
    <d v="2026-02-07T15:59:08"/>
    <m/>
  </r>
  <r>
    <s v="Cynthia Rogers"/>
    <n v="100226"/>
    <s v="HR"/>
    <d v="2025-11-30T00:00:00"/>
    <x v="1"/>
    <s v="Angela Hernandez"/>
    <s v="No"/>
    <s v="tbenson@example.org"/>
    <s v="866-858-7603"/>
    <d v="2026-02-16T16:37:08"/>
    <s v="Duplicate Employee ID"/>
  </r>
  <r>
    <s v="Lauren Dominguez"/>
    <n v="100558"/>
    <s v="Engineering"/>
    <d v="2025-09-20T00:00:00"/>
    <x v="0"/>
    <s v="Pamela James"/>
    <s v="No"/>
    <s v="benderkenneth@example.com"/>
    <s v="(488)993-7346x70656"/>
    <d v="2026-02-14T22:06:08"/>
    <m/>
  </r>
  <r>
    <s v="Lauren Dominguez"/>
    <n v="100558"/>
    <s v="Engineering"/>
    <d v="2025-09-20T00:00:00"/>
    <x v="2"/>
    <s v="Pamela James"/>
    <s v="No"/>
    <s v="benderkenneth@example.com"/>
    <s v="(488)993-7346x70656"/>
    <d v="2026-02-14T22:06:08"/>
    <m/>
  </r>
  <r>
    <s v="Veronica Ferguson"/>
    <n v="100762"/>
    <s v="IT"/>
    <d v="2026-04-25T00:00:00"/>
    <x v="2"/>
    <s v="Leslie Alvarado"/>
    <s v="No"/>
    <s v="dayderek@example.com"/>
    <s v="(804)665-3755"/>
    <d v="2026-02-06T01:40:08"/>
    <m/>
  </r>
  <r>
    <s v="Veronica Ferguson"/>
    <n v="100762"/>
    <s v="IT"/>
    <d v="2026-04-25T00:00:00"/>
    <x v="4"/>
    <s v="Leslie Alvarado"/>
    <s v="No"/>
    <s v="dayderek@example.com"/>
    <s v="(804)665-3755"/>
    <d v="2026-02-06T01:40:08"/>
    <m/>
  </r>
  <r>
    <s v="Veronica Ferguson"/>
    <n v="100762"/>
    <s v="IT"/>
    <d v="2026-04-25T00:00:00"/>
    <x v="5"/>
    <s v="Leslie Alvarado"/>
    <s v="No"/>
    <s v="dayderek@example.com"/>
    <s v="(804)665-3755"/>
    <d v="2026-02-06T01:40:08"/>
    <m/>
  </r>
  <r>
    <s v="Sandra King"/>
    <n v="101289"/>
    <s v="IT"/>
    <d v="2025-06-01T00:00:00"/>
    <x v="5"/>
    <s v="Alec Ryan"/>
    <s v="Yes"/>
    <s v="jeffrey10@example.org"/>
    <s v="530.992.3271"/>
    <d v="2026-02-23T15:02:08"/>
    <m/>
  </r>
  <r>
    <s v="Pamela Jackson"/>
    <n v="100640"/>
    <s v="IT"/>
    <d v="2026-02-09T00:00:00"/>
    <x v="2"/>
    <s v="Nicole Wilson"/>
    <s v="Yes"/>
    <s v="tamirodriguez@example.org"/>
    <s v="296-763-1931x4919"/>
    <d v="2026-01-30T02:58:08"/>
    <m/>
  </r>
  <r>
    <s v="Mary Jones"/>
    <n v="100133"/>
    <s v="Operations"/>
    <d v="2025-12-09T00:00:00"/>
    <x v="3"/>
    <s v="Alexandria Fisher"/>
    <s v="No"/>
    <s v="xgarcia@example.net"/>
    <s v="626.728.4987x769"/>
    <d v="2026-02-26T04:41:08"/>
    <m/>
  </r>
  <r>
    <s v="Mary Jones"/>
    <n v="100133"/>
    <s v="Operations"/>
    <d v="2025-12-09T00:00:00"/>
    <x v="1"/>
    <s v="Alexandria Fisher"/>
    <s v="No"/>
    <s v="xgarcia@example.net"/>
    <s v="626.728.4987x769"/>
    <d v="2026-02-26T04:41:08"/>
    <m/>
  </r>
  <r>
    <s v="Mary Jones"/>
    <n v="100133"/>
    <s v="Operations"/>
    <d v="2025-12-09T00:00:00"/>
    <x v="4"/>
    <s v="Alexandria Fisher"/>
    <s v="No"/>
    <s v="xgarcia@example.net"/>
    <s v="626.728.4987x769"/>
    <d v="2026-02-26T04:41:08"/>
    <m/>
  </r>
  <r>
    <s v="Sandra Miller"/>
    <n v="100315"/>
    <s v="Operations"/>
    <d v="2026-04-16T00:00:00"/>
    <x v="0"/>
    <s v="Dana Marshall"/>
    <s v="Yes"/>
    <s v="frogers@example.com"/>
    <s v="(273)554-5494"/>
    <d v="2026-02-03T19:49:08"/>
    <m/>
  </r>
  <r>
    <s v="Sandra Miller"/>
    <n v="100315"/>
    <s v="Operations"/>
    <d v="2026-04-16T00:00:00"/>
    <x v="3"/>
    <s v="Dana Marshall"/>
    <s v="Yes"/>
    <s v="frogers@example.com"/>
    <s v="(273)554-5494"/>
    <d v="2026-02-03T19:49:08"/>
    <m/>
  </r>
  <r>
    <s v="Nathan Freeman"/>
    <n v="100346"/>
    <s v="HR"/>
    <d v="2025-04-18T00:00:00"/>
    <x v="3"/>
    <s v="Melissa Brewer"/>
    <s v="No"/>
    <s v="bwest@example.org"/>
    <s v="736-734-9578x8568"/>
    <d v="2026-02-26T09:18:08"/>
    <m/>
  </r>
  <r>
    <s v="Nathan Freeman"/>
    <n v="100346"/>
    <s v="HR"/>
    <d v="2025-04-18T00:00:00"/>
    <x v="2"/>
    <s v="Melissa Brewer"/>
    <s v="No"/>
    <s v="bwest@example.org"/>
    <s v="736-734-9578x8568"/>
    <d v="2026-02-26T09:18:08"/>
    <m/>
  </r>
  <r>
    <s v="Denise King"/>
    <n v="100373"/>
    <s v="IT"/>
    <d v="2025-05-31T00:00:00"/>
    <x v="3"/>
    <s v="Corey Wilson"/>
    <s v="Yes"/>
    <s v="jamesrodgers@example.com"/>
    <s v="001-498-694-1343x5240"/>
    <d v="2026-02-22T07:19:08"/>
    <m/>
  </r>
  <r>
    <s v="Denise King"/>
    <n v="100373"/>
    <s v="IT"/>
    <d v="2025-05-31T00:00:00"/>
    <x v="2"/>
    <s v="Corey Wilson"/>
    <s v="Yes"/>
    <s v="jamesrodgers@example.com"/>
    <s v="001-498-694-1343x5240"/>
    <d v="2026-02-22T07:19:08"/>
    <m/>
  </r>
  <r>
    <s v="Anthony Carter"/>
    <n v="100294"/>
    <s v="Operations"/>
    <d v="2025-05-21T00:00:00"/>
    <x v="0"/>
    <s v="Margaret Mullins"/>
    <s v="No"/>
    <s v="salasaudrey@example.com"/>
    <s v="275.420.4711x6719"/>
    <d v="2026-02-03T06:42:08"/>
    <m/>
  </r>
  <r>
    <s v="Anthony Carter"/>
    <n v="100294"/>
    <s v="Operations"/>
    <d v="2025-05-21T00:00:00"/>
    <x v="1"/>
    <s v="Margaret Mullins"/>
    <s v="No"/>
    <s v="salasaudrey@example.com"/>
    <s v="275.420.4711x6719"/>
    <d v="2026-02-03T06:42:08"/>
    <m/>
  </r>
  <r>
    <s v="Anthony Carter"/>
    <n v="100294"/>
    <s v="Operations"/>
    <d v="2025-05-21T00:00:00"/>
    <x v="2"/>
    <s v="Margaret Mullins"/>
    <s v="No"/>
    <s v="salasaudrey@example.com"/>
    <s v="275.420.4711x6719"/>
    <d v="2026-02-03T06:42:08"/>
    <m/>
  </r>
  <r>
    <s v="Justin Torres"/>
    <n v="101441"/>
    <s v="Marketing"/>
    <d v="2026-02-22T00:00:00"/>
    <x v="0"/>
    <s v="Bailey Duran DDS"/>
    <s v="No"/>
    <s v="kimberlyjames@example.com"/>
    <s v="496-549-9091x3341"/>
    <d v="2026-02-12T05:33:08"/>
    <m/>
  </r>
  <r>
    <s v="Justin Torres"/>
    <n v="101441"/>
    <s v="Marketing"/>
    <d v="2026-02-22T00:00:00"/>
    <x v="3"/>
    <s v="Bailey Duran DDS"/>
    <s v="No"/>
    <s v="kimberlyjames@example.com"/>
    <s v="496-549-9091x3341"/>
    <d v="2026-02-12T05:33:08"/>
    <m/>
  </r>
  <r>
    <s v="Justin Torres"/>
    <n v="101441"/>
    <s v="Marketing"/>
    <d v="2026-02-22T00:00:00"/>
    <x v="2"/>
    <s v="Bailey Duran DDS"/>
    <s v="No"/>
    <s v="kimberlyjames@example.com"/>
    <s v="496-549-9091x3341"/>
    <d v="2026-02-12T05:33:08"/>
    <m/>
  </r>
  <r>
    <s v="Benjamin Smith"/>
    <n v="100526"/>
    <s v="Engineering"/>
    <d v="2025-09-17T00:00:00"/>
    <x v="0"/>
    <s v="Kirk Carter"/>
    <s v="No"/>
    <s v="keithcampbell@example.com"/>
    <s v="434-693-6183"/>
    <d v="2026-02-13T11:21:08"/>
    <m/>
  </r>
  <r>
    <s v="Benjamin Smith"/>
    <n v="100526"/>
    <s v="Engineering"/>
    <d v="2025-09-17T00:00:00"/>
    <x v="4"/>
    <s v="Kirk Carter"/>
    <s v="No"/>
    <s v="keithcampbell@example.com"/>
    <s v="434-693-6183"/>
    <d v="2026-02-13T11:21:08"/>
    <m/>
  </r>
  <r>
    <s v="Andrea Martin"/>
    <n v="101212"/>
    <s v="Finance"/>
    <d v="2025-05-25T00:00:00"/>
    <x v="2"/>
    <s v="Paul Carroll"/>
    <s v="No"/>
    <s v="scott74@example.net"/>
    <s v="(248)387-7190x6594"/>
    <d v="2026-03-10T00:35:08"/>
    <m/>
  </r>
  <r>
    <s v="Michael Valencia"/>
    <n v="101062"/>
    <s v="IT"/>
    <d v="2026-03-29T00:00:00"/>
    <x v="1"/>
    <s v="Alicia Hubbard"/>
    <s v="No"/>
    <s v="barbara27@example.net"/>
    <s v="+1-374-429-6717x5655"/>
    <d v="2026-03-07T12:22:08"/>
    <m/>
  </r>
  <r>
    <s v="Michael Valencia"/>
    <n v="101062"/>
    <s v="IT"/>
    <d v="2026-03-29T00:00:00"/>
    <x v="2"/>
    <s v="Alicia Hubbard"/>
    <s v="No"/>
    <s v="barbara27@example.net"/>
    <s v="+1-374-429-6717x5655"/>
    <d v="2026-03-07T12:22:08"/>
    <m/>
  </r>
  <r>
    <s v="Michael Valencia"/>
    <n v="101062"/>
    <s v="IT"/>
    <d v="2026-03-29T00:00:00"/>
    <x v="4"/>
    <s v="Alicia Hubbard"/>
    <s v="No"/>
    <s v="barbara27@example.net"/>
    <s v="+1-374-429-6717x5655"/>
    <d v="2026-03-07T12:22:08"/>
    <m/>
  </r>
  <r>
    <s v="Michael Roberts"/>
    <n v="100383"/>
    <s v="Marketing"/>
    <d v="2026-05-15T00:00:00"/>
    <x v="3"/>
    <s v="Robin Pierce"/>
    <s v="Yes"/>
    <s v="qmiller@example.com"/>
    <s v="768-908-7603"/>
    <d v="2026-02-18T05:28:08"/>
    <m/>
  </r>
  <r>
    <s v="Michael Roberts"/>
    <n v="100383"/>
    <s v="Marketing"/>
    <d v="2026-05-15T00:00:00"/>
    <x v="4"/>
    <s v="Robin Pierce"/>
    <s v="Yes"/>
    <s v="qmiller@example.com"/>
    <s v="768-908-7603"/>
    <d v="2026-02-18T05:28:08"/>
    <m/>
  </r>
  <r>
    <s v="Michael Roberts"/>
    <n v="100383"/>
    <s v="Marketing"/>
    <d v="2026-05-15T00:00:00"/>
    <x v="5"/>
    <s v="Robin Pierce"/>
    <s v="Yes"/>
    <s v="qmiller@example.com"/>
    <s v="768-908-7603"/>
    <d v="2026-02-18T05:28:08"/>
    <m/>
  </r>
  <r>
    <s v="Olivia Harris"/>
    <n v="101082"/>
    <s v="Finance"/>
    <d v="2025-10-29T00:00:00"/>
    <x v="1"/>
    <s v="Tanya Kim"/>
    <s v="Yes"/>
    <s v="omartinez@example.net"/>
    <s v="324.980.8613"/>
    <d v="2026-02-25T01:54:08"/>
    <m/>
  </r>
  <r>
    <s v="Olivia Harris"/>
    <n v="101082"/>
    <s v="Finance"/>
    <d v="2025-10-29T00:00:00"/>
    <x v="4"/>
    <s v="Tanya Kim"/>
    <s v="Yes"/>
    <s v="omartinez@example.net"/>
    <s v="324.980.8613"/>
    <d v="2026-02-25T01:54:08"/>
    <m/>
  </r>
  <r>
    <s v="Olivia Harris"/>
    <n v="101082"/>
    <s v="Finance"/>
    <d v="2025-10-29T00:00:00"/>
    <x v="5"/>
    <s v="Tanya Kim"/>
    <s v="Yes"/>
    <s v="omartinez@example.net"/>
    <s v="324.980.8613"/>
    <d v="2026-02-25T01:54:08"/>
    <m/>
  </r>
  <r>
    <s v="Maria Moore"/>
    <n v="100701"/>
    <m/>
    <d v="2025-09-20T00:00:00"/>
    <x v="0"/>
    <s v="Dorothy Thornton"/>
    <s v="No"/>
    <s v="edavenport@example.org"/>
    <s v="682.263.9821x465"/>
    <d v="2026-02-20T00:45:08"/>
    <s v="Missing Department"/>
  </r>
  <r>
    <s v="Maria Moore"/>
    <n v="100701"/>
    <m/>
    <d v="2025-09-20T00:00:00"/>
    <x v="3"/>
    <s v="Dorothy Thornton"/>
    <s v="No"/>
    <s v="edavenport@example.org"/>
    <s v="682.263.9821x465"/>
    <d v="2026-02-20T00:45:08"/>
    <s v="Missing Department"/>
  </r>
  <r>
    <s v="Maria Moore"/>
    <n v="100701"/>
    <m/>
    <d v="2025-09-20T00:00:00"/>
    <x v="5"/>
    <s v="Dorothy Thornton"/>
    <s v="No"/>
    <s v="edavenport@example.org"/>
    <s v="682.263.9821x465"/>
    <d v="2026-02-20T00:45:08"/>
    <s v="Missing Department"/>
  </r>
  <r>
    <s v="Edwin Matthews"/>
    <n v="100405"/>
    <s v="IT"/>
    <d v="2025-10-16T00:00:00"/>
    <x v="4"/>
    <s v="Mrs. Brittany Ryan MD"/>
    <s v="Yes"/>
    <s v="ugibson@example.org"/>
    <s v="001-939-263-6057x662"/>
    <d v="2026-02-28T16:08:08"/>
    <m/>
  </r>
  <r>
    <s v="Vincent Rivera"/>
    <n v="100876"/>
    <s v="IT"/>
    <d v="2025-09-22T00:00:00"/>
    <x v="0"/>
    <s v="Ryan Garcia"/>
    <s v="No"/>
    <s v="jsmith@example.com"/>
    <s v="+1-921-274-5961x5865"/>
    <d v="2026-03-11T12:26:08"/>
    <m/>
  </r>
  <r>
    <s v="Vincent Rivera"/>
    <n v="100876"/>
    <s v="IT"/>
    <d v="2025-09-22T00:00:00"/>
    <x v="3"/>
    <s v="Ryan Garcia"/>
    <s v="No"/>
    <s v="jsmith@example.com"/>
    <s v="+1-921-274-5961x5865"/>
    <d v="2026-03-11T12:26:08"/>
    <m/>
  </r>
  <r>
    <s v="Vincent Rivera"/>
    <n v="100876"/>
    <s v="IT"/>
    <d v="2025-09-22T00:00:00"/>
    <x v="2"/>
    <s v="Ryan Garcia"/>
    <s v="No"/>
    <s v="jsmith@example.com"/>
    <s v="+1-921-274-5961x5865"/>
    <d v="2026-03-11T12:26:08"/>
    <m/>
  </r>
  <r>
    <s v="Cynthia Cohen"/>
    <n v="101409"/>
    <s v="Finance"/>
    <d v="2025-11-01T00:00:00"/>
    <x v="2"/>
    <s v="Darren Davis"/>
    <s v="Yes"/>
    <s v="hodgesjane@example.org"/>
    <s v="524.800.5045x562"/>
    <d v="2026-02-16T05:59:08"/>
    <m/>
  </r>
  <r>
    <s v="Cynthia Cohen"/>
    <n v="101409"/>
    <s v="Finance"/>
    <d v="2025-11-01T00:00:00"/>
    <x v="4"/>
    <s v="Darren Davis"/>
    <s v="Yes"/>
    <s v="hodgesjane@example.org"/>
    <s v="524.800.5045x562"/>
    <d v="2026-02-16T05:59:08"/>
    <m/>
  </r>
  <r>
    <s v="Cynthia Cohen"/>
    <n v="101409"/>
    <s v="Finance"/>
    <d v="2025-11-01T00:00:00"/>
    <x v="5"/>
    <s v="Darren Davis"/>
    <s v="Yes"/>
    <s v="hodgesjane@example.org"/>
    <s v="524.800.5045x562"/>
    <d v="2026-02-16T05:59:08"/>
    <m/>
  </r>
  <r>
    <s v="Rebecca Jackson"/>
    <n v="100434"/>
    <s v="Engineering"/>
    <d v="2025-10-14T00:00:00"/>
    <x v="5"/>
    <s v="Seth Harvey"/>
    <s v="No"/>
    <s v="tyleraguilar@example.org"/>
    <s v="647.840.7482x175"/>
    <d v="2026-03-01T04:44:08"/>
    <m/>
  </r>
  <r>
    <s v="Joyce Turner"/>
    <n v="101008"/>
    <s v="Engineering"/>
    <d v="2025-09-23T00:00:00"/>
    <x v="2"/>
    <s v="Dr. Ashley James MD"/>
    <s v="No"/>
    <s v="victoria40@example.net"/>
    <s v="(640)490-9743x9533"/>
    <d v="2026-03-09T19:43:08"/>
    <m/>
  </r>
  <r>
    <s v="Stephanie Lucas"/>
    <n v="101095"/>
    <s v="HR"/>
    <d v="2026-04-25T00:00:00"/>
    <x v="4"/>
    <s v="Jeremiah Riley"/>
    <s v="Yes"/>
    <s v="christopherphillips@example.net"/>
    <s v="(323)928-5884x24745"/>
    <d v="2026-02-26T01:47:08"/>
    <s v="Duplicate Employee ID"/>
  </r>
  <r>
    <s v="Brenda Levy"/>
    <n v="100391"/>
    <s v="Marketing"/>
    <d v="2026-04-08T00:00:00"/>
    <x v="0"/>
    <s v="Misty Whitney"/>
    <s v="Yes"/>
    <s v="christopher60@example.com"/>
    <s v="+1-517-954-9651"/>
    <d v="2026-03-15T09:10:08"/>
    <m/>
  </r>
  <r>
    <s v="Brenda Levy"/>
    <n v="100391"/>
    <s v="Marketing"/>
    <d v="2026-04-08T00:00:00"/>
    <x v="2"/>
    <s v="Misty Whitney"/>
    <s v="Yes"/>
    <s v="christopher60@example.com"/>
    <s v="+1-517-954-9651"/>
    <d v="2026-03-15T09:10:08"/>
    <m/>
  </r>
  <r>
    <s v="Brenda Levy"/>
    <n v="100391"/>
    <s v="Marketing"/>
    <d v="2026-04-08T00:00:00"/>
    <x v="5"/>
    <s v="Misty Whitney"/>
    <s v="Yes"/>
    <s v="christopher60@example.com"/>
    <s v="+1-517-954-9651"/>
    <d v="2026-03-15T09:10:08"/>
    <m/>
  </r>
  <r>
    <s v="Stephen Hoffman"/>
    <n v="100297"/>
    <s v="Finance"/>
    <d v="2025-05-31T00:00:00"/>
    <x v="0"/>
    <s v="Connie Brown"/>
    <s v="Yes"/>
    <s v="tblankenship@example.net"/>
    <s v="(712)800-4711x38267"/>
    <d v="2026-02-26T09:48:08"/>
    <m/>
  </r>
  <r>
    <s v="Stephen Hoffman"/>
    <n v="100297"/>
    <s v="Finance"/>
    <d v="2025-05-31T00:00:00"/>
    <x v="3"/>
    <s v="Connie Brown"/>
    <s v="Yes"/>
    <s v="tblankenship@example.net"/>
    <s v="(712)800-4711x38267"/>
    <d v="2026-02-26T09:48:08"/>
    <m/>
  </r>
  <r>
    <s v="Stephen Hoffman"/>
    <n v="100297"/>
    <s v="Finance"/>
    <d v="2025-05-31T00:00:00"/>
    <x v="5"/>
    <s v="Connie Brown"/>
    <s v="Yes"/>
    <s v="tblankenship@example.net"/>
    <s v="(712)800-4711x38267"/>
    <d v="2026-02-26T09:48:08"/>
    <m/>
  </r>
  <r>
    <s v="Molly Mcclure"/>
    <n v="100157"/>
    <s v="HR"/>
    <d v="2025-05-17T00:00:00"/>
    <x v="4"/>
    <s v="Sandra Gilbert"/>
    <s v="No"/>
    <s v="antonio53@example.com"/>
    <s v="935.315.8506x431"/>
    <d v="2026-02-03T20:39:08"/>
    <m/>
  </r>
  <r>
    <s v="Maria Harper"/>
    <n v="100933"/>
    <s v="Operations"/>
    <d v="2025-04-17T00:00:00"/>
    <x v="5"/>
    <s v="Richard Sanchez"/>
    <s v="Yes"/>
    <s v="kristinharris@example.net"/>
    <s v="493.435.2904"/>
    <d v="2026-02-04T00:19:08"/>
    <m/>
  </r>
  <r>
    <s v="Rebecca Rodriguez"/>
    <n v="101122"/>
    <s v="IT"/>
    <d v="2025-07-17T00:00:00"/>
    <x v="1"/>
    <s v="Bonnie Howard"/>
    <s v="Yes"/>
    <s v="briannasmith@example.com"/>
    <s v="3269811775"/>
    <d v="2026-02-05T05:52:08"/>
    <m/>
  </r>
  <r>
    <s v="Rebecca Rodriguez"/>
    <n v="101122"/>
    <s v="IT"/>
    <d v="2025-07-17T00:00:00"/>
    <x v="4"/>
    <s v="Bonnie Howard"/>
    <s v="Yes"/>
    <s v="briannasmith@example.com"/>
    <s v="3269811775"/>
    <d v="2026-02-05T05:52:08"/>
    <m/>
  </r>
  <r>
    <s v="Rebecca Rodriguez"/>
    <n v="101122"/>
    <s v="IT"/>
    <d v="2025-07-17T00:00:00"/>
    <x v="5"/>
    <s v="Bonnie Howard"/>
    <s v="Yes"/>
    <s v="briannasmith@example.com"/>
    <s v="3269811775"/>
    <d v="2026-02-05T05:52:08"/>
    <m/>
  </r>
  <r>
    <s v="Theresa Williams"/>
    <n v="100879"/>
    <s v="Finance"/>
    <d v="2026-01-02T00:00:00"/>
    <x v="2"/>
    <s v="Sharon Boyd"/>
    <s v="No"/>
    <s v="bschneider@example.org"/>
    <s v="666.717.7115x9212"/>
    <d v="2026-03-11T23:57:08"/>
    <m/>
  </r>
  <r>
    <s v="Theresa Williams"/>
    <n v="100879"/>
    <s v="Finance"/>
    <d v="2026-01-02T00:00:00"/>
    <x v="4"/>
    <s v="Sharon Boyd"/>
    <s v="No"/>
    <s v="bschneider@example.org"/>
    <s v="666.717.7115x9212"/>
    <d v="2026-03-11T23:57:08"/>
    <m/>
  </r>
  <r>
    <s v="Kyle Phillips"/>
    <n v="100182"/>
    <s v="IT"/>
    <d v="2025-11-30T00:00:00"/>
    <x v="3"/>
    <s v="Jessica Mcguire"/>
    <s v="No"/>
    <s v="farrelldebra@example.net"/>
    <s v="001-736-673-6576x6156"/>
    <d v="2026-03-13T20:13:08"/>
    <m/>
  </r>
  <r>
    <s v="Kyle Phillips"/>
    <n v="100182"/>
    <s v="IT"/>
    <d v="2025-11-30T00:00:00"/>
    <x v="2"/>
    <s v="Jessica Mcguire"/>
    <s v="No"/>
    <s v="farrelldebra@example.net"/>
    <s v="001-736-673-6576x6156"/>
    <d v="2026-03-13T20:13:08"/>
    <m/>
  </r>
  <r>
    <s v="Kyle Phillips"/>
    <n v="100182"/>
    <s v="IT"/>
    <d v="2025-11-30T00:00:00"/>
    <x v="5"/>
    <s v="Jessica Mcguire"/>
    <s v="No"/>
    <s v="farrelldebra@example.net"/>
    <s v="001-736-673-6576x6156"/>
    <d v="2026-03-13T20:13:08"/>
    <m/>
  </r>
  <r>
    <s v="Christian Leblanc"/>
    <n v="101357"/>
    <s v="Operations"/>
    <d v="2025-09-23T00:00:00"/>
    <x v="0"/>
    <s v="Ronald Davis"/>
    <s v="No"/>
    <s v="garnernathan@example.org"/>
    <s v="+1-809-288-5165"/>
    <d v="2026-03-12T06:08:08"/>
    <m/>
  </r>
  <r>
    <s v="Christian Leblanc"/>
    <n v="101357"/>
    <s v="Operations"/>
    <d v="2025-09-23T00:00:00"/>
    <x v="2"/>
    <s v="Ronald Davis"/>
    <s v="No"/>
    <s v="garnernathan@example.org"/>
    <s v="+1-809-288-5165"/>
    <d v="2026-03-12T06:08:08"/>
    <m/>
  </r>
  <r>
    <s v="Lindsay Bell"/>
    <n v="100513"/>
    <s v="Finance"/>
    <d v="2026-03-26T00:00:00"/>
    <x v="0"/>
    <s v="Christy Douglas"/>
    <s v="Yes"/>
    <s v="melaniebell@example.net"/>
    <s v="(614)293-6899x809"/>
    <d v="2026-03-14T05:53:08"/>
    <m/>
  </r>
  <r>
    <s v="Lindsay Bell"/>
    <n v="100513"/>
    <s v="Finance"/>
    <d v="2026-03-26T00:00:00"/>
    <x v="1"/>
    <s v="Christy Douglas"/>
    <s v="Yes"/>
    <s v="melaniebell@example.net"/>
    <s v="(614)293-6899x809"/>
    <d v="2026-03-14T05:53:08"/>
    <m/>
  </r>
  <r>
    <s v="Lindsay Bell"/>
    <n v="100513"/>
    <s v="Finance"/>
    <d v="2026-03-26T00:00:00"/>
    <x v="2"/>
    <s v="Christy Douglas"/>
    <s v="Yes"/>
    <s v="melaniebell@example.net"/>
    <s v="(614)293-6899x809"/>
    <d v="2026-03-14T05:53:08"/>
    <m/>
  </r>
  <r>
    <s v="Michael Parker"/>
    <n v="101229"/>
    <s v="IT"/>
    <d v="2025-09-05T00:00:00"/>
    <x v="3"/>
    <s v="Aaron Kane"/>
    <s v="Yes"/>
    <s v="vjones@example.net"/>
    <s v="7186366752"/>
    <d v="2026-03-08T15:45:08"/>
    <m/>
  </r>
  <r>
    <s v="Michael Parker"/>
    <n v="101229"/>
    <s v="IT"/>
    <d v="2025-09-05T00:00:00"/>
    <x v="4"/>
    <s v="Aaron Kane"/>
    <s v="Yes"/>
    <s v="vjones@example.net"/>
    <s v="7186366752"/>
    <d v="2026-03-08T15:45:08"/>
    <m/>
  </r>
  <r>
    <s v="Michael Parker"/>
    <n v="101229"/>
    <s v="IT"/>
    <d v="2025-09-05T00:00:00"/>
    <x v="5"/>
    <s v="Aaron Kane"/>
    <s v="Yes"/>
    <s v="vjones@example.net"/>
    <s v="7186366752"/>
    <d v="2026-03-08T15:45:08"/>
    <m/>
  </r>
  <r>
    <s v="Paula Bradley"/>
    <n v="100374"/>
    <s v="Operations"/>
    <d v="2025-04-03T00:00:00"/>
    <x v="2"/>
    <s v="Anthony Moore"/>
    <s v="Yes"/>
    <s v="craigjoseph@example.net"/>
    <s v="(979)676-4381x56149"/>
    <d v="2026-03-14T07:08:08"/>
    <m/>
  </r>
  <r>
    <s v="Paula Bradley"/>
    <n v="100374"/>
    <s v="Operations"/>
    <d v="2025-04-03T00:00:00"/>
    <x v="4"/>
    <s v="Anthony Moore"/>
    <s v="Yes"/>
    <s v="craigjoseph@example.net"/>
    <s v="(979)676-4381x56149"/>
    <d v="2026-03-14T07:08:08"/>
    <m/>
  </r>
  <r>
    <s v="James Greene"/>
    <n v="101141"/>
    <s v="HR"/>
    <d v="2025-12-04T00:00:00"/>
    <x v="3"/>
    <s v="Eric Clark"/>
    <s v="No"/>
    <s v="kathrynroberts@example.org"/>
    <s v="7763226838"/>
    <d v="2026-03-13T19:50:08"/>
    <m/>
  </r>
  <r>
    <s v="James Greene"/>
    <n v="101141"/>
    <s v="HR"/>
    <d v="2025-12-04T00:00:00"/>
    <x v="5"/>
    <s v="Eric Clark"/>
    <s v="No"/>
    <s v="kathrynroberts@example.org"/>
    <s v="7763226838"/>
    <d v="2026-03-13T19:50:08"/>
    <m/>
  </r>
  <r>
    <s v="Patrick Graham"/>
    <n v="100307"/>
    <s v="Finance"/>
    <d v="2025-08-09T00:00:00"/>
    <x v="1"/>
    <s v="Blake Edwards"/>
    <s v="No"/>
    <s v="tberry@example.net"/>
    <s v="(841)860-5297x51613"/>
    <d v="2026-03-09T05:21:08"/>
    <m/>
  </r>
  <r>
    <s v="Patrick Graham"/>
    <n v="100307"/>
    <s v="Finance"/>
    <d v="2025-08-09T00:00:00"/>
    <x v="2"/>
    <s v="Blake Edwards"/>
    <s v="No"/>
    <s v="tberry@example.net"/>
    <s v="(841)860-5297x51613"/>
    <d v="2026-03-09T05:21:08"/>
    <m/>
  </r>
  <r>
    <s v="Jennifer Collins"/>
    <m/>
    <s v="Operations"/>
    <d v="2025-10-06T00:00:00"/>
    <x v="0"/>
    <s v="Gary Jackson"/>
    <s v="Yes"/>
    <s v="schmidtjames@example.com"/>
    <s v="(923)912-4329x212"/>
    <d v="2026-02-12T18:17:08"/>
    <s v="Missing Employee ID"/>
  </r>
  <r>
    <s v="Jennifer Collins"/>
    <m/>
    <s v="Operations"/>
    <d v="2025-10-06T00:00:00"/>
    <x v="1"/>
    <s v="Gary Jackson"/>
    <s v="Yes"/>
    <s v="schmidtjames@example.com"/>
    <s v="(923)912-4329x212"/>
    <d v="2026-02-12T18:17:08"/>
    <s v="Missing Employee ID"/>
  </r>
  <r>
    <s v="Jennifer Collins"/>
    <m/>
    <s v="Operations"/>
    <d v="2025-10-06T00:00:00"/>
    <x v="5"/>
    <s v="Gary Jackson"/>
    <s v="Yes"/>
    <s v="schmidtjames@example.com"/>
    <s v="(923)912-4329x212"/>
    <d v="2026-02-12T18:17:08"/>
    <s v="Missing Employee ID"/>
  </r>
  <r>
    <s v="Olivia Cole"/>
    <n v="100491"/>
    <s v="IT"/>
    <d v="2025-09-20T00:00:00"/>
    <x v="1"/>
    <s v="Kristy Reid"/>
    <s v="Yes"/>
    <s v="michelle52@example.com"/>
    <s v="377-644-9058"/>
    <d v="2026-02-16T21:21:08"/>
    <m/>
  </r>
  <r>
    <s v="Olivia Cole"/>
    <n v="100491"/>
    <s v="IT"/>
    <d v="2025-09-20T00:00:00"/>
    <x v="2"/>
    <s v="Kristy Reid"/>
    <s v="Yes"/>
    <s v="michelle52@example.com"/>
    <s v="377-644-9058"/>
    <d v="2026-02-16T21:21:08"/>
    <m/>
  </r>
  <r>
    <s v="Olivia Cole"/>
    <n v="100491"/>
    <s v="IT"/>
    <d v="2025-09-20T00:00:00"/>
    <x v="5"/>
    <s v="Kristy Reid"/>
    <s v="Yes"/>
    <s v="michelle52@example.com"/>
    <s v="377-644-9058"/>
    <d v="2026-02-16T21:21:08"/>
    <m/>
  </r>
  <r>
    <s v="Andrew Wood"/>
    <n v="101319"/>
    <s v="Marketing"/>
    <d v="2025-12-20T00:00:00"/>
    <x v="1"/>
    <s v="Matthew Madden"/>
    <s v="Yes"/>
    <s v="gilbertwilliam@example.com"/>
    <s v="001-480-279-3597"/>
    <d v="2026-02-23T19:21:08"/>
    <m/>
  </r>
  <r>
    <s v="Andrew Wood"/>
    <n v="101319"/>
    <s v="Marketing"/>
    <d v="2025-12-20T00:00:00"/>
    <x v="2"/>
    <s v="Matthew Madden"/>
    <s v="Yes"/>
    <s v="gilbertwilliam@example.com"/>
    <s v="001-480-279-3597"/>
    <d v="2026-02-23T19:21:08"/>
    <m/>
  </r>
  <r>
    <s v="Robert Monroe"/>
    <n v="100722"/>
    <s v="HR"/>
    <d v="2025-08-19T00:00:00"/>
    <x v="3"/>
    <s v="Mrs. Maria Williams"/>
    <s v="Yes"/>
    <s v="hritter@example.net"/>
    <s v="+1-725-354-6659x051"/>
    <d v="2026-01-31T02:45:08"/>
    <m/>
  </r>
  <r>
    <s v="Robert Monroe"/>
    <n v="100722"/>
    <s v="HR"/>
    <d v="2025-08-19T00:00:00"/>
    <x v="5"/>
    <s v="Mrs. Maria Williams"/>
    <s v="Yes"/>
    <s v="hritter@example.net"/>
    <s v="+1-725-354-6659x051"/>
    <d v="2026-01-31T02:45:08"/>
    <m/>
  </r>
  <r>
    <s v="Jasmine King"/>
    <n v="101401"/>
    <s v="HR"/>
    <d v="2025-10-30T00:00:00"/>
    <x v="0"/>
    <s v="Tracey Morrison"/>
    <s v="No"/>
    <s v="mathewaguilar@example.org"/>
    <s v="(346)829-1486x528"/>
    <d v="2026-02-05T03:04:08"/>
    <m/>
  </r>
  <r>
    <s v="Alicia Parker"/>
    <n v="100098"/>
    <s v="Finance"/>
    <d v="2026-02-06T00:00:00"/>
    <x v="2"/>
    <s v="Gloria Miranda"/>
    <s v="No"/>
    <s v="jeremytaylor@example.org"/>
    <s v="418-488-0592x9622"/>
    <d v="2026-02-21T00:24:08"/>
    <m/>
  </r>
  <r>
    <s v="Amanda Diaz"/>
    <n v="100682"/>
    <s v="Marketing"/>
    <d v="2025-03-31T00:00:00"/>
    <x v="3"/>
    <s v="Tracy Bishop"/>
    <s v="No"/>
    <s v="pyoung@example.com"/>
    <s v="435.697.7468x8623"/>
    <d v="2026-03-14T13:36:08"/>
    <m/>
  </r>
  <r>
    <s v="John Watson"/>
    <n v="100602"/>
    <s v="Engineering"/>
    <d v="2025-07-14T00:00:00"/>
    <x v="0"/>
    <s v="Michelle Black"/>
    <s v="Yes"/>
    <s v="mitchellkathryn@example.com"/>
    <s v="782.561.3750x606"/>
    <d v="2026-02-06T12:40:08"/>
    <m/>
  </r>
  <r>
    <s v="John Watson"/>
    <n v="100602"/>
    <s v="Engineering"/>
    <d v="2025-07-14T00:00:00"/>
    <x v="1"/>
    <s v="Michelle Black"/>
    <s v="Yes"/>
    <s v="mitchellkathryn@example.com"/>
    <s v="782.561.3750x606"/>
    <d v="2026-02-06T12:40:08"/>
    <m/>
  </r>
  <r>
    <s v="John Watson"/>
    <n v="100602"/>
    <s v="Engineering"/>
    <d v="2025-07-14T00:00:00"/>
    <x v="5"/>
    <s v="Michelle Black"/>
    <s v="Yes"/>
    <s v="mitchellkathryn@example.com"/>
    <s v="782.561.3750x606"/>
    <d v="2026-02-06T12:40:08"/>
    <m/>
  </r>
  <r>
    <s v="Brad Walker"/>
    <n v="101162"/>
    <s v="Operations"/>
    <d v="2025-09-21T00:00:00"/>
    <x v="2"/>
    <s v="Brett Espinoza"/>
    <s v="Yes"/>
    <s v="lacey20@example.com"/>
    <s v="827.379.0104x3289"/>
    <d v="2026-02-11T05:23:08"/>
    <m/>
  </r>
  <r>
    <s v="Brad Walker"/>
    <n v="101162"/>
    <s v="Operations"/>
    <d v="2025-09-21T00:00:00"/>
    <x v="5"/>
    <s v="Brett Espinoza"/>
    <s v="Yes"/>
    <s v="lacey20@example.com"/>
    <s v="827.379.0104x3289"/>
    <d v="2026-02-11T05:23:08"/>
    <m/>
  </r>
  <r>
    <s v="Cynthia Martinez"/>
    <n v="100132"/>
    <s v="Operations"/>
    <d v="2025-08-23T00:00:00"/>
    <x v="1"/>
    <s v="Mark Dean"/>
    <s v="Yes"/>
    <s v="rodriguezrebecca@example.net"/>
    <s v="+1-708-593-2460"/>
    <d v="2026-03-05T00:52:08"/>
    <m/>
  </r>
  <r>
    <s v="Cynthia Martinez"/>
    <n v="100132"/>
    <s v="Operations"/>
    <d v="2025-08-23T00:00:00"/>
    <x v="2"/>
    <s v="Mark Dean"/>
    <s v="Yes"/>
    <s v="rodriguezrebecca@example.net"/>
    <s v="+1-708-593-2460"/>
    <d v="2026-03-05T00:52:08"/>
    <m/>
  </r>
  <r>
    <s v="Cynthia Martinez"/>
    <n v="100132"/>
    <s v="Operations"/>
    <d v="2025-08-23T00:00:00"/>
    <x v="4"/>
    <s v="Mark Dean"/>
    <s v="Yes"/>
    <s v="rodriguezrebecca@example.net"/>
    <s v="+1-708-593-2460"/>
    <d v="2026-03-05T00:52:08"/>
    <m/>
  </r>
  <r>
    <s v="Chelsea Barnett"/>
    <n v="100608"/>
    <s v="IT"/>
    <d v="2025-09-30T00:00:00"/>
    <x v="3"/>
    <s v="Heather Ashley"/>
    <s v="No"/>
    <s v="myerstheodore@example.net"/>
    <s v="(754)705-1531x9520"/>
    <d v="2026-03-02T21:01:08"/>
    <m/>
  </r>
  <r>
    <s v="Chelsea Barnett"/>
    <n v="100608"/>
    <s v="IT"/>
    <d v="2025-09-30T00:00:00"/>
    <x v="1"/>
    <s v="Heather Ashley"/>
    <s v="No"/>
    <s v="myerstheodore@example.net"/>
    <s v="(754)705-1531x9520"/>
    <d v="2026-03-02T21:01:08"/>
    <m/>
  </r>
  <r>
    <s v="Chelsea Barnett"/>
    <n v="100608"/>
    <s v="IT"/>
    <d v="2025-09-30T00:00:00"/>
    <x v="2"/>
    <s v="Heather Ashley"/>
    <s v="No"/>
    <s v="myerstheodore@example.net"/>
    <s v="(754)705-1531x9520"/>
    <d v="2026-03-02T21:01:08"/>
    <m/>
  </r>
  <r>
    <s v="Carrie Maxwell"/>
    <n v="101331"/>
    <s v="HR"/>
    <d v="2026-03-06T00:00:00"/>
    <x v="2"/>
    <s v="Michael Welch"/>
    <s v="Yes"/>
    <s v="bryanparsons@example.com"/>
    <s v="8439030548"/>
    <d v="2026-03-12T02:29:08"/>
    <m/>
  </r>
  <r>
    <s v="Carrie Maxwell"/>
    <n v="101331"/>
    <s v="HR"/>
    <d v="2026-03-06T00:00:00"/>
    <x v="4"/>
    <s v="Michael Welch"/>
    <s v="Yes"/>
    <s v="bryanparsons@example.com"/>
    <s v="8439030548"/>
    <d v="2026-03-12T02:29:08"/>
    <m/>
  </r>
  <r>
    <s v="Paul Lee"/>
    <n v="100845"/>
    <s v="Marketing"/>
    <d v="2026-03-16T00:00:00"/>
    <x v="1"/>
    <s v="Richard Glenn"/>
    <s v="No"/>
    <s v="joshua56@example.com"/>
    <s v="001-876-452-7758x4161"/>
    <d v="2026-01-30T15:42:08"/>
    <m/>
  </r>
  <r>
    <s v="Paul Lee"/>
    <n v="100845"/>
    <s v="Marketing"/>
    <d v="2026-03-16T00:00:00"/>
    <x v="2"/>
    <s v="Richard Glenn"/>
    <s v="No"/>
    <s v="joshua56@example.com"/>
    <s v="001-876-452-7758x4161"/>
    <d v="2026-01-30T15:42:08"/>
    <m/>
  </r>
  <r>
    <s v="Erica Miller"/>
    <n v="100547"/>
    <s v="IT"/>
    <d v="2025-12-18T00:00:00"/>
    <x v="1"/>
    <s v="Elizabeth Morrison"/>
    <s v="Yes"/>
    <s v="cjackson@example.com"/>
    <s v="205.496.4016x582"/>
    <d v="2026-02-21T00:33:08"/>
    <m/>
  </r>
  <r>
    <s v="Erica Miller"/>
    <n v="100547"/>
    <s v="IT"/>
    <d v="2025-12-18T00:00:00"/>
    <x v="4"/>
    <s v="Elizabeth Morrison"/>
    <s v="Yes"/>
    <s v="cjackson@example.com"/>
    <s v="205.496.4016x582"/>
    <d v="2026-02-21T00:33:08"/>
    <m/>
  </r>
  <r>
    <s v="Megan Kim"/>
    <n v="100359"/>
    <s v="Finance"/>
    <d v="2025-05-17T00:00:00"/>
    <x v="4"/>
    <s v="David Brewer"/>
    <s v="Yes"/>
    <s v="patrick90@example.net"/>
    <s v="(775)857-1928"/>
    <d v="2026-02-13T17:01:08"/>
    <m/>
  </r>
  <r>
    <s v="Donald Horne"/>
    <n v="101068"/>
    <s v="HR"/>
    <d v="2025-12-24T00:00:00"/>
    <x v="1"/>
    <s v="Cody Holmes"/>
    <s v="Yes"/>
    <s v="greenjorge@example.com"/>
    <s v="494.973.1217"/>
    <d v="2026-03-12T07:21:08"/>
    <m/>
  </r>
  <r>
    <s v="Donald Horne"/>
    <n v="101068"/>
    <s v="HR"/>
    <d v="2025-12-24T00:00:00"/>
    <x v="4"/>
    <s v="Cody Holmes"/>
    <s v="Yes"/>
    <s v="greenjorge@example.com"/>
    <s v="494.973.1217"/>
    <d v="2026-03-12T07:21:08"/>
    <m/>
  </r>
  <r>
    <s v="Donald Horne"/>
    <n v="101068"/>
    <s v="HR"/>
    <d v="2025-12-24T00:00:00"/>
    <x v="5"/>
    <s v="Cody Holmes"/>
    <s v="Yes"/>
    <s v="greenjorge@example.com"/>
    <s v="494.973.1217"/>
    <d v="2026-03-12T07:21:08"/>
    <m/>
  </r>
  <r>
    <s v="Rita Ponce DVM"/>
    <n v="100635"/>
    <s v="Operations"/>
    <d v="2026-03-18T00:00:00"/>
    <x v="0"/>
    <s v="Michelle Pierce"/>
    <s v="No"/>
    <s v="patricia22@example.com"/>
    <s v="431.332.3705x89578"/>
    <d v="2026-02-08T15:23:08"/>
    <s v="Duplicate Employee ID"/>
  </r>
  <r>
    <s v="Rita Ponce DVM"/>
    <n v="100635"/>
    <s v="Operations"/>
    <d v="2026-03-18T00:00:00"/>
    <x v="3"/>
    <s v="Michelle Pierce"/>
    <s v="No"/>
    <s v="patricia22@example.com"/>
    <s v="431.332.3705x89578"/>
    <d v="2026-02-08T15:23:08"/>
    <s v="Duplicate Employee ID"/>
  </r>
  <r>
    <s v="Rita Ponce DVM"/>
    <n v="100635"/>
    <s v="Operations"/>
    <d v="2026-03-18T00:00:00"/>
    <x v="5"/>
    <s v="Michelle Pierce"/>
    <s v="No"/>
    <s v="patricia22@example.com"/>
    <s v="431.332.3705x89578"/>
    <d v="2026-02-08T15:23:08"/>
    <s v="Duplicate Employee ID"/>
  </r>
  <r>
    <s v="James Love"/>
    <n v="100354"/>
    <s v="Marketing"/>
    <d v="2025-08-25T00:00:00"/>
    <x v="3"/>
    <s v="Jason Ortiz"/>
    <s v="No"/>
    <s v="martinezlogan@example.org"/>
    <s v="378.452.8922x680"/>
    <d v="2026-03-07T23:05:08"/>
    <m/>
  </r>
  <r>
    <s v="James Love"/>
    <n v="100354"/>
    <s v="Marketing"/>
    <d v="2025-08-25T00:00:00"/>
    <x v="2"/>
    <s v="Jason Ortiz"/>
    <s v="No"/>
    <s v="martinezlogan@example.org"/>
    <s v="378.452.8922x680"/>
    <d v="2026-03-07T23:05:08"/>
    <m/>
  </r>
  <r>
    <s v="James Love"/>
    <n v="100354"/>
    <s v="Marketing"/>
    <d v="2025-08-25T00:00:00"/>
    <x v="5"/>
    <s v="Jason Ortiz"/>
    <s v="No"/>
    <s v="martinezlogan@example.org"/>
    <s v="378.452.8922x680"/>
    <d v="2026-03-07T23:05:08"/>
    <m/>
  </r>
  <r>
    <s v="Christopher Donovan"/>
    <n v="100977"/>
    <s v="IT"/>
    <d v="2025-06-17T00:00:00"/>
    <x v="5"/>
    <s v="Travis Stone"/>
    <s v="Yes"/>
    <s v="meghan43@example.net"/>
    <s v="+1-442-449-8182"/>
    <d v="2026-03-09T00:13:08"/>
    <m/>
  </r>
  <r>
    <s v="Michelle Jacobs"/>
    <n v="101358"/>
    <m/>
    <d v="2025-08-18T00:00:00"/>
    <x v="4"/>
    <s v="Kristy Bryan"/>
    <s v="No"/>
    <s v="millerstacy@example.net"/>
    <s v="839-669-0784x473"/>
    <d v="2026-01-30T10:13:08"/>
    <s v="Missing Department"/>
  </r>
  <r>
    <s v="Michael Moore"/>
    <n v="100950"/>
    <s v="HR"/>
    <d v="2025-12-06T00:00:00"/>
    <x v="1"/>
    <s v="John Peterson"/>
    <s v="Yes"/>
    <s v="larryhiggins@example.net"/>
    <s v="(962)558-8153x714"/>
    <d v="2026-02-03T23:06:08"/>
    <m/>
  </r>
  <r>
    <s v="Michael Moore"/>
    <n v="100950"/>
    <s v="HR"/>
    <d v="2025-12-06T00:00:00"/>
    <x v="2"/>
    <s v="John Peterson"/>
    <s v="Yes"/>
    <s v="larryhiggins@example.net"/>
    <s v="(962)558-8153x714"/>
    <d v="2026-02-03T23:06:08"/>
    <m/>
  </r>
  <r>
    <s v="Anthony Dougherty"/>
    <n v="100780"/>
    <s v="Finance"/>
    <d v="2025-05-19T00:00:00"/>
    <x v="3"/>
    <s v="Jennifer Estes"/>
    <s v="Yes"/>
    <s v="lisapeck@example.net"/>
    <s v="532-578-7747x01687"/>
    <d v="2026-02-06T22:05:08"/>
    <m/>
  </r>
  <r>
    <s v="Anthony Dougherty"/>
    <n v="100780"/>
    <s v="Finance"/>
    <d v="2025-05-19T00:00:00"/>
    <x v="1"/>
    <s v="Jennifer Estes"/>
    <s v="Yes"/>
    <s v="lisapeck@example.net"/>
    <s v="532-578-7747x01687"/>
    <d v="2026-02-06T22:05:08"/>
    <m/>
  </r>
  <r>
    <s v="Anthony Dougherty"/>
    <n v="100780"/>
    <s v="Finance"/>
    <d v="2025-05-19T00:00:00"/>
    <x v="2"/>
    <s v="Jennifer Estes"/>
    <s v="Yes"/>
    <s v="lisapeck@example.net"/>
    <s v="532-578-7747x01687"/>
    <d v="2026-02-06T22:05:08"/>
    <m/>
  </r>
  <r>
    <s v="Amber Campbell"/>
    <n v="100368"/>
    <s v="Marketing"/>
    <d v="2025-06-11T00:00:00"/>
    <x v="0"/>
    <s v="Sarah Chambers"/>
    <s v="Yes"/>
    <s v="amanda16@example.org"/>
    <s v="656-350-6098x358"/>
    <d v="2026-03-15T15:08:08"/>
    <m/>
  </r>
  <r>
    <s v="Amber Campbell"/>
    <n v="100368"/>
    <s v="Marketing"/>
    <d v="2025-06-11T00:00:00"/>
    <x v="3"/>
    <s v="Sarah Chambers"/>
    <s v="Yes"/>
    <s v="amanda16@example.org"/>
    <s v="656-350-6098x358"/>
    <d v="2026-03-15T15:08:08"/>
    <m/>
  </r>
  <r>
    <s v="Amber Campbell"/>
    <n v="100368"/>
    <s v="Marketing"/>
    <d v="2025-06-11T00:00:00"/>
    <x v="1"/>
    <s v="Sarah Chambers"/>
    <s v="Yes"/>
    <s v="amanda16@example.org"/>
    <s v="656-350-6098x358"/>
    <d v="2026-03-15T15:08:08"/>
    <m/>
  </r>
  <r>
    <s v="Jerry Pierce"/>
    <n v="101470"/>
    <s v="Engineering"/>
    <d v="2026-02-07T00:00:00"/>
    <x v="1"/>
    <s v="Lisa Carr"/>
    <s v="Yes"/>
    <s v="theresalong@example.com"/>
    <s v="+1-252-239-8680"/>
    <d v="2026-02-12T20:30:08"/>
    <m/>
  </r>
  <r>
    <s v="Jerry Pierce"/>
    <n v="101470"/>
    <s v="Engineering"/>
    <d v="2026-02-07T00:00:00"/>
    <x v="4"/>
    <s v="Lisa Carr"/>
    <s v="Yes"/>
    <s v="theresalong@example.com"/>
    <s v="+1-252-239-8680"/>
    <d v="2026-02-12T20:30:08"/>
    <m/>
  </r>
  <r>
    <s v="Jerry Pierce"/>
    <n v="101470"/>
    <s v="Engineering"/>
    <d v="2026-02-07T00:00:00"/>
    <x v="5"/>
    <s v="Lisa Carr"/>
    <s v="Yes"/>
    <s v="theresalong@example.com"/>
    <s v="+1-252-239-8680"/>
    <d v="2026-02-12T20:30:08"/>
    <m/>
  </r>
  <r>
    <s v="Gary Wells"/>
    <n v="101467"/>
    <s v="IT"/>
    <d v="2025-08-11T00:00:00"/>
    <x v="1"/>
    <s v="Larry Robertson"/>
    <s v="No"/>
    <s v="sarah52@example.com"/>
    <s v="+1-749-758-8879x470"/>
    <d v="2026-02-25T02:26:08"/>
    <m/>
  </r>
  <r>
    <s v="Gary Wells"/>
    <n v="101467"/>
    <s v="IT"/>
    <d v="2025-08-11T00:00:00"/>
    <x v="4"/>
    <s v="Larry Robertson"/>
    <s v="No"/>
    <s v="sarah52@example.com"/>
    <s v="+1-749-758-8879x470"/>
    <d v="2026-02-25T02:26:08"/>
    <m/>
  </r>
  <r>
    <s v="Gary Wells"/>
    <n v="101467"/>
    <s v="IT"/>
    <d v="2025-08-11T00:00:00"/>
    <x v="5"/>
    <s v="Larry Robertson"/>
    <s v="No"/>
    <s v="sarah52@example.com"/>
    <s v="+1-749-758-8879x470"/>
    <d v="2026-02-25T02:26:08"/>
    <m/>
  </r>
  <r>
    <s v="Veronica Silva"/>
    <n v="100754"/>
    <s v="Engineering"/>
    <d v="2026-03-03T00:00:00"/>
    <x v="4"/>
    <s v="Molly Watts"/>
    <s v="No"/>
    <s v="carlsonjoseph@example.net"/>
    <s v="001-399-530-9728x96230"/>
    <d v="2026-02-18T01:23:08"/>
    <m/>
  </r>
  <r>
    <s v="Erik Hernandez"/>
    <n v="101102"/>
    <s v="Operations"/>
    <d v="2025-06-28T00:00:00"/>
    <x v="3"/>
    <s v="Jennifer Hampton"/>
    <s v="No"/>
    <s v="vsalas@example.net"/>
    <s v="7284385786"/>
    <d v="2026-01-30T07:01:08"/>
    <m/>
  </r>
  <r>
    <s v="Erik Hernandez"/>
    <n v="101102"/>
    <s v="Operations"/>
    <d v="2025-06-28T00:00:00"/>
    <x v="4"/>
    <s v="Jennifer Hampton"/>
    <s v="No"/>
    <s v="vsalas@example.net"/>
    <s v="7284385786"/>
    <d v="2026-01-30T07:01:08"/>
    <m/>
  </r>
  <r>
    <s v="Joseph Payne"/>
    <n v="101294"/>
    <s v="HR"/>
    <d v="2025-10-06T00:00:00"/>
    <x v="1"/>
    <s v="Sharon Becker"/>
    <s v="Yes"/>
    <s v="chelsea33@example.com"/>
    <s v="+1-743-644-3757"/>
    <d v="2026-02-24T09:39:08"/>
    <m/>
  </r>
  <r>
    <s v="Kenneth Daniels"/>
    <n v="100400"/>
    <s v="Operations"/>
    <d v="2025-05-17T00:00:00"/>
    <x v="4"/>
    <s v="Jennifer Reed"/>
    <s v="Yes"/>
    <s v="kellyroberts@example.net"/>
    <s v="657-447-3384"/>
    <d v="2026-03-10T16:11:08"/>
    <m/>
  </r>
  <r>
    <s v="Kenneth Daniels"/>
    <n v="100400"/>
    <s v="Operations"/>
    <d v="2025-05-17T00:00:00"/>
    <x v="5"/>
    <s v="Jennifer Reed"/>
    <s v="Yes"/>
    <s v="kellyroberts@example.net"/>
    <s v="657-447-3384"/>
    <d v="2026-03-10T16:11:08"/>
    <m/>
  </r>
  <r>
    <s v="Patrick Allen"/>
    <n v="100961"/>
    <s v="HR"/>
    <d v="2025-09-28T00:00:00"/>
    <x v="3"/>
    <s v="Taylor Perez"/>
    <s v="No"/>
    <s v="briangutierrez@example.net"/>
    <s v="212.308.2677x3454"/>
    <d v="2026-02-08T07:14:08"/>
    <m/>
  </r>
  <r>
    <s v="Patrick Allen"/>
    <n v="100961"/>
    <s v="HR"/>
    <d v="2025-09-28T00:00:00"/>
    <x v="4"/>
    <s v="Taylor Perez"/>
    <s v="No"/>
    <s v="briangutierrez@example.net"/>
    <s v="212.308.2677x3454"/>
    <d v="2026-02-08T07:14:08"/>
    <m/>
  </r>
  <r>
    <s v="Patrick Allen"/>
    <n v="100961"/>
    <s v="HR"/>
    <d v="2025-09-28T00:00:00"/>
    <x v="5"/>
    <s v="Taylor Perez"/>
    <s v="No"/>
    <s v="briangutierrez@example.net"/>
    <s v="212.308.2677x3454"/>
    <d v="2026-02-08T07:14:08"/>
    <m/>
  </r>
  <r>
    <s v="Crystal Rodgers"/>
    <n v="100520"/>
    <s v="Finance"/>
    <d v="2026-04-10T00:00:00"/>
    <x v="5"/>
    <s v="Amanda Dorsey"/>
    <s v="No"/>
    <s v="lkhan@example.org"/>
    <s v="(972)440-0499x1547"/>
    <d v="2026-02-13T07:23:08"/>
    <m/>
  </r>
  <r>
    <s v="Julie Lee"/>
    <n v="101254"/>
    <s v="IT"/>
    <d v="2025-03-27T00:00:00"/>
    <x v="5"/>
    <s v="Christopher Stevens"/>
    <s v="No"/>
    <s v="jennifer05@example.com"/>
    <s v="001-832-396-6851"/>
    <d v="2026-03-01T10:34:08"/>
    <m/>
  </r>
  <r>
    <s v="Charles Morris"/>
    <n v="101230"/>
    <s v="IT"/>
    <d v="2025-09-12T00:00:00"/>
    <x v="2"/>
    <s v="Dean Young"/>
    <s v="No"/>
    <s v="stephanie49@example.net"/>
    <s v="001-404-853-0174"/>
    <d v="2026-02-12T21:31:08"/>
    <m/>
  </r>
  <r>
    <s v="Tammy Barron"/>
    <n v="100353"/>
    <s v="IT"/>
    <d v="2025-08-09T00:00:00"/>
    <x v="0"/>
    <s v="Melissa Fowler"/>
    <s v="Yes"/>
    <s v="michael33@example.org"/>
    <s v="927.795.6878x3391"/>
    <d v="2026-02-28T05:25:08"/>
    <m/>
  </r>
  <r>
    <s v="Tammy Barron"/>
    <n v="100353"/>
    <s v="IT"/>
    <d v="2025-08-09T00:00:00"/>
    <x v="2"/>
    <s v="Melissa Fowler"/>
    <s v="Yes"/>
    <s v="michael33@example.org"/>
    <s v="927.795.6878x3391"/>
    <d v="2026-02-28T05:25:08"/>
    <m/>
  </r>
  <r>
    <s v="Tammy Barron"/>
    <n v="100353"/>
    <s v="IT"/>
    <d v="2025-08-09T00:00:00"/>
    <x v="5"/>
    <s v="Melissa Fowler"/>
    <s v="Yes"/>
    <s v="michael33@example.org"/>
    <s v="927.795.6878x3391"/>
    <d v="2026-02-28T05:25:08"/>
    <m/>
  </r>
  <r>
    <s v="Justin Brown"/>
    <n v="100616"/>
    <s v="Operations"/>
    <d v="2025-09-19T00:00:00"/>
    <x v="5"/>
    <s v="Kathy Armstrong"/>
    <s v="Yes"/>
    <s v="franklinbond@example.com"/>
    <s v="439-871-8707"/>
    <d v="2026-02-07T22:44:08"/>
    <m/>
  </r>
  <r>
    <s v="Anthony Ford"/>
    <n v="100990"/>
    <s v="Finance"/>
    <d v="2025-09-17T00:00:00"/>
    <x v="1"/>
    <s v="Miranda Foster"/>
    <s v="No"/>
    <s v="reesebeth@example.org"/>
    <s v="(851)980-1704x62265"/>
    <d v="2026-02-09T08:22:08"/>
    <m/>
  </r>
  <r>
    <s v="Anthony Ford"/>
    <n v="100990"/>
    <s v="Finance"/>
    <d v="2025-09-17T00:00:00"/>
    <x v="2"/>
    <s v="Miranda Foster"/>
    <s v="No"/>
    <s v="reesebeth@example.org"/>
    <s v="(851)980-1704x62265"/>
    <d v="2026-02-09T08:22:08"/>
    <m/>
  </r>
  <r>
    <s v="Anthony Ford"/>
    <n v="100990"/>
    <s v="Finance"/>
    <d v="2025-09-17T00:00:00"/>
    <x v="5"/>
    <s v="Miranda Foster"/>
    <s v="No"/>
    <s v="reesebeth@example.org"/>
    <s v="(851)980-1704x62265"/>
    <d v="2026-02-09T08:22:08"/>
    <m/>
  </r>
  <r>
    <s v="Susan Bennett"/>
    <n v="100993"/>
    <s v="IT"/>
    <d v="2026-02-27T00:00:00"/>
    <x v="0"/>
    <s v="Mary Ryan"/>
    <s v="No"/>
    <s v="david86@example.net"/>
    <s v="(830)504-7868"/>
    <d v="2026-02-21T06:20:08"/>
    <m/>
  </r>
  <r>
    <s v="Susan Bennett"/>
    <n v="100993"/>
    <s v="IT"/>
    <d v="2026-02-27T00:00:00"/>
    <x v="2"/>
    <s v="Mary Ryan"/>
    <s v="No"/>
    <s v="david86@example.net"/>
    <s v="(830)504-7868"/>
    <d v="2026-02-21T06:20:08"/>
    <m/>
  </r>
  <r>
    <s v="Susan Bennett"/>
    <n v="100993"/>
    <s v="IT"/>
    <d v="2026-02-27T00:00:00"/>
    <x v="4"/>
    <s v="Mary Ryan"/>
    <s v="No"/>
    <s v="david86@example.net"/>
    <s v="(830)504-7868"/>
    <d v="2026-02-21T06:20:08"/>
    <m/>
  </r>
  <r>
    <s v="Gregory Hill"/>
    <n v="100243"/>
    <s v="IT"/>
    <d v="2025-09-19T00:00:00"/>
    <x v="4"/>
    <s v="Molly Rodriguez"/>
    <s v="No"/>
    <s v="bmendez@example.org"/>
    <s v="211.890.7903"/>
    <d v="2026-02-12T16:32:08"/>
    <m/>
  </r>
  <r>
    <s v="Joshua Webster"/>
    <n v="100675"/>
    <s v="Engineering"/>
    <d v="2025-04-04T00:00:00"/>
    <x v="0"/>
    <s v="Brenda Holder"/>
    <s v="No"/>
    <s v="lisadennis@example.com"/>
    <s v="001-695-634-2836"/>
    <d v="2026-02-14T00:11:08"/>
    <m/>
  </r>
  <r>
    <s v="Travis Hobbs"/>
    <n v="100347"/>
    <s v="Operations"/>
    <d v="2025-05-31T00:00:00"/>
    <x v="3"/>
    <s v="Lori Simmons"/>
    <s v="No"/>
    <s v="wwilliams@example.net"/>
    <s v="+1-668-456-6246x28733"/>
    <d v="2026-03-06T04:30:08"/>
    <m/>
  </r>
  <r>
    <s v="Travis Hobbs"/>
    <n v="100347"/>
    <s v="Operations"/>
    <d v="2025-05-31T00:00:00"/>
    <x v="1"/>
    <s v="Lori Simmons"/>
    <s v="No"/>
    <s v="wwilliams@example.net"/>
    <s v="+1-668-456-6246x28733"/>
    <d v="2026-03-06T04:30:08"/>
    <m/>
  </r>
  <r>
    <s v="Travis Hobbs"/>
    <n v="100347"/>
    <s v="Operations"/>
    <d v="2025-05-31T00:00:00"/>
    <x v="4"/>
    <s v="Lori Simmons"/>
    <s v="No"/>
    <s v="wwilliams@example.net"/>
    <s v="+1-668-456-6246x28733"/>
    <d v="2026-03-06T04:30:08"/>
    <m/>
  </r>
  <r>
    <s v="Suzanne Hart"/>
    <n v="100793"/>
    <s v="IT"/>
    <d v="2026-03-29T00:00:00"/>
    <x v="3"/>
    <s v="Kristin Anderson"/>
    <s v="No"/>
    <s v="jonathanrivera@example.org"/>
    <s v="551.583.0469x901"/>
    <d v="2026-01-29T22:42:08"/>
    <m/>
  </r>
  <r>
    <s v="Suzanne Hart"/>
    <n v="100793"/>
    <s v="IT"/>
    <d v="2026-03-29T00:00:00"/>
    <x v="1"/>
    <s v="Kristin Anderson"/>
    <s v="No"/>
    <s v="jonathanrivera@example.org"/>
    <s v="551.583.0469x901"/>
    <d v="2026-01-29T22:42:08"/>
    <m/>
  </r>
  <r>
    <s v="Sean Cook"/>
    <n v="101227"/>
    <s v="HR"/>
    <d v="2025-11-14T00:00:00"/>
    <x v="1"/>
    <s v="Alexis Giles"/>
    <s v="No"/>
    <s v="burgesskaren@example.org"/>
    <s v="001-693-663-8546x785"/>
    <d v="2026-02-01T14:10:08"/>
    <s v="Extra Name Spaces"/>
  </r>
  <r>
    <s v="Stephen Owens"/>
    <n v="100192"/>
    <s v="Operations"/>
    <d v="2026-01-08T00:00:00"/>
    <x v="0"/>
    <s v="Miranda Gill"/>
    <s v="No"/>
    <s v="robin55@example.com"/>
    <s v="8936204899"/>
    <d v="2026-02-27T19:32:08"/>
    <m/>
  </r>
  <r>
    <s v="Stephen Owens"/>
    <n v="100192"/>
    <s v="Operations"/>
    <d v="2026-01-08T00:00:00"/>
    <x v="2"/>
    <s v="Miranda Gill"/>
    <s v="No"/>
    <s v="robin55@example.com"/>
    <s v="8936204899"/>
    <d v="2026-02-27T19:32:08"/>
    <m/>
  </r>
  <r>
    <s v="Gary James"/>
    <n v="100214"/>
    <s v="IT"/>
    <d v="2026-01-05T00:00:00"/>
    <x v="0"/>
    <s v="Kathryn Pena"/>
    <s v="Yes"/>
    <s v="jonathan77@example.com"/>
    <s v="(252)328-7280"/>
    <d v="2026-02-07T01:31:08"/>
    <m/>
  </r>
  <r>
    <s v="Mary Duran"/>
    <n v="101315"/>
    <s v="Marketing"/>
    <d v="2025-12-09T00:00:00"/>
    <x v="0"/>
    <s v="Ryan Hall"/>
    <s v="Yes"/>
    <s v="albertwagner@example.com"/>
    <s v="8992770088"/>
    <d v="2026-02-01T09:38:08"/>
    <m/>
  </r>
  <r>
    <s v="Mary Duran"/>
    <n v="101315"/>
    <s v="Marketing"/>
    <d v="2025-12-09T00:00:00"/>
    <x v="3"/>
    <s v="Ryan Hall"/>
    <s v="Yes"/>
    <s v="albertwagner@example.com"/>
    <s v="8992770088"/>
    <d v="2026-02-01T09:38:08"/>
    <m/>
  </r>
  <r>
    <s v="Mary Duran"/>
    <n v="101315"/>
    <s v="Marketing"/>
    <d v="2025-12-09T00:00:00"/>
    <x v="5"/>
    <s v="Ryan Hall"/>
    <s v="Yes"/>
    <s v="albertwagner@example.com"/>
    <s v="8992770088"/>
    <d v="2026-02-01T09:38:08"/>
    <m/>
  </r>
  <r>
    <s v="Nathan Nichols"/>
    <n v="101311"/>
    <s v="Engineering"/>
    <d v="2026-01-03T00:00:00"/>
    <x v="0"/>
    <s v="Jonathan Wolfe"/>
    <s v="No"/>
    <s v="ldrake@example.org"/>
    <s v="682-833-9845"/>
    <d v="2026-02-24T03:37:08"/>
    <m/>
  </r>
  <r>
    <s v="Nathan Nichols"/>
    <n v="101311"/>
    <s v="Engineering"/>
    <d v="2026-01-03T00:00:00"/>
    <x v="2"/>
    <s v="Jonathan Wolfe"/>
    <s v="No"/>
    <s v="ldrake@example.org"/>
    <s v="682-833-9845"/>
    <d v="2026-02-24T03:37:08"/>
    <m/>
  </r>
  <r>
    <s v="Nathan Nichols"/>
    <n v="101311"/>
    <s v="Engineering"/>
    <d v="2026-01-03T00:00:00"/>
    <x v="4"/>
    <s v="Jonathan Wolfe"/>
    <s v="No"/>
    <s v="ldrake@example.org"/>
    <s v="682-833-9845"/>
    <d v="2026-02-24T03:37:08"/>
    <m/>
  </r>
  <r>
    <s v="Tyler Stevens"/>
    <n v="100492"/>
    <s v="Marketing"/>
    <d v="2025-10-13T00:00:00"/>
    <x v="3"/>
    <s v="Michael Evans"/>
    <s v="Yes"/>
    <s v="valdezmichele@example.org"/>
    <s v="366-968-7002"/>
    <d v="2026-01-30T13:12:08"/>
    <m/>
  </r>
  <r>
    <s v="Tyler Stevens"/>
    <n v="100492"/>
    <s v="Marketing"/>
    <d v="2025-10-13T00:00:00"/>
    <x v="4"/>
    <s v="Michael Evans"/>
    <s v="Yes"/>
    <s v="valdezmichele@example.org"/>
    <s v="366-968-7002"/>
    <d v="2026-01-30T13:12:08"/>
    <m/>
  </r>
  <r>
    <s v="Tyler Stevens"/>
    <n v="100492"/>
    <s v="Marketing"/>
    <d v="2025-10-13T00:00:00"/>
    <x v="5"/>
    <s v="Michael Evans"/>
    <s v="Yes"/>
    <s v="valdezmichele@example.org"/>
    <s v="366-968-7002"/>
    <d v="2026-01-30T13:12:08"/>
    <m/>
  </r>
  <r>
    <s v="Maria Rivera"/>
    <n v="100385"/>
    <s v="IT"/>
    <d v="2025-06-30T00:00:00"/>
    <x v="3"/>
    <s v="Valerie Jacobson"/>
    <s v="No"/>
    <s v="hallrachel@example.net"/>
    <s v="001-474-701-4890"/>
    <d v="2026-03-05T02:13:08"/>
    <m/>
  </r>
  <r>
    <s v="Maria Rivera"/>
    <n v="100385"/>
    <s v="IT"/>
    <d v="2025-06-30T00:00:00"/>
    <x v="1"/>
    <s v="Valerie Jacobson"/>
    <s v="No"/>
    <s v="hallrachel@example.net"/>
    <s v="001-474-701-4890"/>
    <d v="2026-03-05T02:13:08"/>
    <m/>
  </r>
  <r>
    <s v="Maria Rivera"/>
    <n v="100385"/>
    <s v="IT"/>
    <d v="2025-06-30T00:00:00"/>
    <x v="5"/>
    <s v="Valerie Jacobson"/>
    <s v="No"/>
    <s v="hallrachel@example.net"/>
    <s v="001-474-701-4890"/>
    <d v="2026-03-05T02:13:08"/>
    <m/>
  </r>
  <r>
    <s v="Daniel Thomas"/>
    <n v="100084"/>
    <s v="IT"/>
    <d v="2025-09-07T00:00:00"/>
    <x v="0"/>
    <s v="Samantha Hickman"/>
    <s v="Yes"/>
    <s v="francisco39@example.com"/>
    <s v="+1-885-762-1850x16315"/>
    <d v="2026-03-01T08:23:08"/>
    <m/>
  </r>
  <r>
    <s v="Daniel Thomas"/>
    <n v="100084"/>
    <s v="IT"/>
    <d v="2025-09-07T00:00:00"/>
    <x v="1"/>
    <s v="Samantha Hickman"/>
    <s v="Yes"/>
    <s v="francisco39@example.com"/>
    <s v="+1-885-762-1850x16315"/>
    <d v="2026-03-01T08:23:08"/>
    <m/>
  </r>
  <r>
    <s v="Daniel Thomas"/>
    <n v="100084"/>
    <s v="IT"/>
    <d v="2025-09-07T00:00:00"/>
    <x v="5"/>
    <s v="Samantha Hickman"/>
    <s v="Yes"/>
    <s v="francisco39@example.com"/>
    <s v="+1-885-762-1850x16315"/>
    <d v="2026-03-01T08:23:08"/>
    <m/>
  </r>
  <r>
    <s v="Donald Riddle"/>
    <n v="100805"/>
    <s v="IT"/>
    <d v="2025-08-15T00:00:00"/>
    <x v="1"/>
    <s v="Henry Pugh MD"/>
    <s v="No"/>
    <s v="nmiller@example.com"/>
    <s v="711.342.6265"/>
    <d v="2026-01-30T10:50:08"/>
    <m/>
  </r>
  <r>
    <s v="Tommy Wallace"/>
    <n v="100733"/>
    <s v="IT"/>
    <d v="2025-08-25T00:00:00"/>
    <x v="3"/>
    <s v="Ashley Miller"/>
    <s v="No"/>
    <s v="jcole@example.net"/>
    <s v="(810)315-8199x56046"/>
    <d v="2026-02-26T13:45:08"/>
    <m/>
  </r>
  <r>
    <s v="Tommy Wallace"/>
    <n v="100733"/>
    <s v="IT"/>
    <d v="2025-08-25T00:00:00"/>
    <x v="1"/>
    <s v="Ashley Miller"/>
    <s v="No"/>
    <s v="jcole@example.net"/>
    <s v="(810)315-8199x56046"/>
    <d v="2026-02-26T13:45:08"/>
    <m/>
  </r>
  <r>
    <s v="Kristin Haney"/>
    <n v="101032"/>
    <s v="IT"/>
    <d v="2026-02-25T00:00:00"/>
    <x v="0"/>
    <s v="Joseph Jennings"/>
    <s v="Yes"/>
    <s v="dominicturner@example.com"/>
    <s v="(712)664-6471"/>
    <d v="2026-02-26T16:28:08"/>
    <m/>
  </r>
  <r>
    <s v="Kristin Haney"/>
    <n v="101032"/>
    <s v="IT"/>
    <d v="2026-02-25T00:00:00"/>
    <x v="1"/>
    <s v="Joseph Jennings"/>
    <s v="Yes"/>
    <s v="dominicturner@example.com"/>
    <s v="(712)664-6471"/>
    <d v="2026-02-26T16:28:08"/>
    <m/>
  </r>
  <r>
    <s v="Kristin Haney"/>
    <n v="101032"/>
    <s v="IT"/>
    <d v="2026-02-25T00:00:00"/>
    <x v="5"/>
    <s v="Joseph Jennings"/>
    <s v="Yes"/>
    <s v="dominicturner@example.com"/>
    <s v="(712)664-6471"/>
    <d v="2026-02-26T16:28:08"/>
    <m/>
  </r>
  <r>
    <s v="Michelle Simpson"/>
    <n v="101442"/>
    <s v="HR"/>
    <d v="2026-03-16T00:00:00"/>
    <x v="1"/>
    <s v="Judith Taylor"/>
    <s v="No"/>
    <s v="rushmartin@example.net"/>
    <s v="(457)856-9245x9375"/>
    <d v="2026-02-03T09:09:08"/>
    <m/>
  </r>
  <r>
    <s v="Doris Neal"/>
    <n v="100544"/>
    <s v="IT"/>
    <d v="2025-07-03T00:00:00"/>
    <x v="3"/>
    <s v="Kenneth Sanchez MD"/>
    <s v="No"/>
    <s v="kdiaz@example.org"/>
    <s v="001-382-880-7374"/>
    <d v="2026-02-08T18:09:08"/>
    <m/>
  </r>
  <r>
    <s v="Brenda Turner"/>
    <n v="100184"/>
    <s v="Finance"/>
    <d v="2025-05-25T00:00:00"/>
    <x v="3"/>
    <s v="Christian Henderson"/>
    <s v="Yes"/>
    <s v="mjones@example.com"/>
    <s v="001-368-386-8058"/>
    <d v="2026-03-01T16:11:08"/>
    <m/>
  </r>
  <r>
    <s v="Mary Kelly"/>
    <n v="101014"/>
    <s v="IT"/>
    <d v="2025-07-09T00:00:00"/>
    <x v="3"/>
    <s v="Amanda Terrell"/>
    <s v="No"/>
    <s v="vrasmussen@example.com"/>
    <s v="501-943-8889"/>
    <d v="2026-02-23T01:47:08"/>
    <m/>
  </r>
  <r>
    <s v="Mary Kelly"/>
    <n v="101014"/>
    <s v="IT"/>
    <d v="2025-07-09T00:00:00"/>
    <x v="2"/>
    <s v="Amanda Terrell"/>
    <s v="No"/>
    <s v="vrasmussen@example.com"/>
    <s v="501-943-8889"/>
    <d v="2026-02-23T01:47:08"/>
    <m/>
  </r>
  <r>
    <s v="Mary Kelly"/>
    <n v="101014"/>
    <s v="IT"/>
    <d v="2025-07-09T00:00:00"/>
    <x v="4"/>
    <s v="Amanda Terrell"/>
    <s v="No"/>
    <s v="vrasmussen@example.com"/>
    <s v="501-943-8889"/>
    <d v="2026-02-23T01:47:08"/>
    <m/>
  </r>
  <r>
    <s v="Joel Frazier"/>
    <n v="100945"/>
    <s v="Marketing"/>
    <d v="2026-02-27T00:00:00"/>
    <x v="2"/>
    <s v="Brittany Cuevas"/>
    <s v="Yes"/>
    <s v="agarcia@example.org"/>
    <s v="725-945-7387"/>
    <d v="2026-02-17T19:37:08"/>
    <m/>
  </r>
  <r>
    <s v="Nathan Chavez"/>
    <n v="100454"/>
    <s v="IT"/>
    <d v="2025-11-15T00:00:00"/>
    <x v="3"/>
    <s v="Andrew Page"/>
    <s v="No"/>
    <s v="sweeneydeborah@example.net"/>
    <s v="(938)528-2586"/>
    <d v="2026-02-03T15:53:08"/>
    <m/>
  </r>
  <r>
    <s v="Nathan Chavez"/>
    <n v="100454"/>
    <s v="IT"/>
    <d v="2025-11-15T00:00:00"/>
    <x v="1"/>
    <s v="Andrew Page"/>
    <s v="No"/>
    <s v="sweeneydeborah@example.net"/>
    <s v="(938)528-2586"/>
    <d v="2026-02-03T15:53:08"/>
    <m/>
  </r>
  <r>
    <s v="Nathan Chavez"/>
    <n v="100454"/>
    <s v="IT"/>
    <d v="2025-11-15T00:00:00"/>
    <x v="4"/>
    <s v="Andrew Page"/>
    <s v="No"/>
    <s v="sweeneydeborah@example.net"/>
    <s v="(938)528-2586"/>
    <d v="2026-02-03T15:53:08"/>
    <m/>
  </r>
  <r>
    <s v="Lori Lopez"/>
    <n v="101156"/>
    <s v="Engineering"/>
    <d v="2026-02-12T00:00:00"/>
    <x v="3"/>
    <s v="Jennifer Mclaughlin"/>
    <s v="Yes"/>
    <s v="shannonjordan@example.org"/>
    <s v="001-933-341-9182x553"/>
    <d v="2026-02-18T11:54:08"/>
    <m/>
  </r>
  <r>
    <s v="Lori Lopez"/>
    <n v="101156"/>
    <s v="Engineering"/>
    <d v="2026-02-12T00:00:00"/>
    <x v="2"/>
    <s v="Jennifer Mclaughlin"/>
    <s v="Yes"/>
    <s v="shannonjordan@example.org"/>
    <s v="001-933-341-9182x553"/>
    <d v="2026-02-18T11:54:08"/>
    <m/>
  </r>
  <r>
    <s v="Lori Lopez"/>
    <n v="101156"/>
    <s v="Engineering"/>
    <d v="2026-02-12T00:00:00"/>
    <x v="4"/>
    <s v="Jennifer Mclaughlin"/>
    <s v="Yes"/>
    <s v="shannonjordan@example.org"/>
    <s v="001-933-341-9182x553"/>
    <d v="2026-02-18T11:54:08"/>
    <m/>
  </r>
  <r>
    <s v="Scott Rose"/>
    <n v="100835"/>
    <s v="Engineering"/>
    <d v="2025-10-05T00:00:00"/>
    <x v="1"/>
    <s v="Linda Carr"/>
    <s v="Yes"/>
    <s v="baileymegan@example.net"/>
    <s v="(649)391-2513"/>
    <d v="2026-03-16T07:43:08"/>
    <m/>
  </r>
  <r>
    <s v="Scott Rose"/>
    <n v="100835"/>
    <s v="Engineering"/>
    <d v="2025-10-05T00:00:00"/>
    <x v="4"/>
    <s v="Linda Carr"/>
    <s v="Yes"/>
    <s v="baileymegan@example.net"/>
    <s v="(649)391-2513"/>
    <d v="2026-03-16T07:43:08"/>
    <m/>
  </r>
  <r>
    <s v="Michael Dixon"/>
    <n v="101095"/>
    <s v="IT"/>
    <d v="2026-01-18T00:00:00"/>
    <x v="1"/>
    <s v="Chad Reyes"/>
    <s v="No"/>
    <s v="tommymedina@example.net"/>
    <s v="(282)774-2257"/>
    <d v="2026-02-14T20:01:08"/>
    <m/>
  </r>
  <r>
    <s v="Kari Lee"/>
    <n v="100100"/>
    <s v="IT"/>
    <d v="2025-12-09T00:00:00"/>
    <x v="3"/>
    <s v="Justin Delgado"/>
    <s v="No"/>
    <s v="acohen@example.net"/>
    <s v="672.419.0340x438"/>
    <d v="2026-02-27T11:20:08"/>
    <m/>
  </r>
  <r>
    <s v="Kari Lee"/>
    <n v="100100"/>
    <s v="IT"/>
    <d v="2025-12-09T00:00:00"/>
    <x v="4"/>
    <s v="Justin Delgado"/>
    <s v="No"/>
    <s v="acohen@example.net"/>
    <s v="672.419.0340x438"/>
    <d v="2026-02-27T11:20:08"/>
    <m/>
  </r>
  <r>
    <s v="Krystal Barton"/>
    <n v="100654"/>
    <s v="Marketing"/>
    <d v="2025-09-01T00:00:00"/>
    <x v="0"/>
    <s v="Jorge Armstrong III"/>
    <s v="No"/>
    <s v="amber07@example.net"/>
    <s v="361.934.0745"/>
    <d v="2026-02-03T09:08:08"/>
    <m/>
  </r>
  <r>
    <s v="Autumn Cain"/>
    <n v="100181"/>
    <s v="Marketing"/>
    <d v="2025-03-23T00:00:00"/>
    <x v="0"/>
    <s v="Oscar Norris"/>
    <s v="Yes"/>
    <s v="imartin@example.org"/>
    <s v="709.658.4982"/>
    <d v="2026-02-04T20:06:08"/>
    <m/>
  </r>
  <r>
    <s v="Autumn Cain"/>
    <n v="100181"/>
    <s v="Marketing"/>
    <d v="2025-03-23T00:00:00"/>
    <x v="1"/>
    <s v="Oscar Norris"/>
    <s v="Yes"/>
    <s v="imartin@example.org"/>
    <s v="709.658.4982"/>
    <d v="2026-02-04T20:06:08"/>
    <m/>
  </r>
  <r>
    <s v="Autumn Cain"/>
    <n v="100181"/>
    <s v="Marketing"/>
    <d v="2025-03-23T00:00:00"/>
    <x v="4"/>
    <s v="Oscar Norris"/>
    <s v="Yes"/>
    <s v="imartin@example.org"/>
    <s v="709.658.4982"/>
    <d v="2026-02-04T20:06:08"/>
    <m/>
  </r>
  <r>
    <s v="Derek Hodge"/>
    <n v="100402"/>
    <s v="Operations"/>
    <d v="2026-05-13T00:00:00"/>
    <x v="3"/>
    <s v="Miss Anna Estes"/>
    <s v="Yes"/>
    <s v="rsellers@example.net"/>
    <s v="(623)825-3672"/>
    <d v="2026-02-18T19:04:08"/>
    <m/>
  </r>
  <r>
    <s v="Derek Hodge"/>
    <n v="100402"/>
    <s v="Operations"/>
    <d v="2026-05-13T00:00:00"/>
    <x v="1"/>
    <s v="Miss Anna Estes"/>
    <s v="Yes"/>
    <s v="rsellers@example.net"/>
    <s v="(623)825-3672"/>
    <d v="2026-02-18T19:04:08"/>
    <m/>
  </r>
  <r>
    <s v="Bernard Norton"/>
    <n v="100794"/>
    <s v="Marketing"/>
    <d v="2025-06-18T00:00:00"/>
    <x v="5"/>
    <s v="Jennifer Brady"/>
    <s v="No"/>
    <s v="shawn75@example.net"/>
    <s v="5179518636"/>
    <d v="2026-03-01T17:41:08"/>
    <s v="Extra Name Spaces"/>
  </r>
  <r>
    <s v="Ronald Morgan"/>
    <n v="100111"/>
    <s v="Finance"/>
    <d v="2025-09-28T00:00:00"/>
    <x v="5"/>
    <s v="Kylie Washington"/>
    <s v="No"/>
    <s v="patricia00@example.org"/>
    <s v="+1-670-312-7706x3242"/>
    <d v="2026-02-23T07:36:08"/>
    <m/>
  </r>
  <r>
    <s v="Danielle Watson"/>
    <n v="100187"/>
    <s v="IT"/>
    <d v="2026-03-21T00:00:00"/>
    <x v="3"/>
    <s v="Carol Sanders"/>
    <s v="Yes"/>
    <s v="jessica36@example.net"/>
    <s v="910-237-1293"/>
    <d v="2026-03-12T19:07:08"/>
    <s v="Extra Name Spaces"/>
  </r>
  <r>
    <s v="Danielle Watson"/>
    <n v="100187"/>
    <s v="IT"/>
    <d v="2026-03-21T00:00:00"/>
    <x v="1"/>
    <s v="Carol Sanders"/>
    <s v="Yes"/>
    <s v="jessica36@example.net"/>
    <s v="910-237-1293"/>
    <d v="2026-03-12T19:07:08"/>
    <s v="Extra Name Spaces"/>
  </r>
  <r>
    <s v="Danielle Watson"/>
    <n v="100187"/>
    <s v="IT"/>
    <d v="2026-03-21T00:00:00"/>
    <x v="2"/>
    <s v="Carol Sanders"/>
    <s v="Yes"/>
    <s v="jessica36@example.net"/>
    <s v="910-237-1293"/>
    <d v="2026-03-12T19:07:08"/>
    <s v="Extra Name Spaces"/>
  </r>
  <r>
    <s v="Greg Martinez"/>
    <n v="101211"/>
    <s v="Marketing"/>
    <d v="2025-11-09T00:00:00"/>
    <x v="4"/>
    <s v="Melissa Woods"/>
    <s v="No"/>
    <s v="patrickcross@example.org"/>
    <s v="255-442-6221"/>
    <d v="2026-01-31T13:54:08"/>
    <m/>
  </r>
  <r>
    <s v="Greg Martinez"/>
    <n v="101211"/>
    <s v="Marketing"/>
    <d v="2025-11-09T00:00:00"/>
    <x v="5"/>
    <s v="Melissa Woods"/>
    <s v="No"/>
    <s v="patrickcross@example.org"/>
    <s v="255-442-6221"/>
    <d v="2026-01-31T13:54:08"/>
    <m/>
  </r>
  <r>
    <s v="Nathan Fuller"/>
    <n v="101244"/>
    <s v="HR"/>
    <d v="2025-09-20T00:00:00"/>
    <x v="0"/>
    <s v="Jason Parks"/>
    <s v="No"/>
    <s v="christophergarcia@example.org"/>
    <s v="001-565-665-2341"/>
    <d v="2026-03-07T02:23:08"/>
    <m/>
  </r>
  <r>
    <s v="Nathan Fuller"/>
    <n v="101244"/>
    <s v="HR"/>
    <d v="2025-09-20T00:00:00"/>
    <x v="3"/>
    <s v="Jason Parks"/>
    <s v="No"/>
    <s v="christophergarcia@example.org"/>
    <s v="001-565-665-2341"/>
    <d v="2026-03-07T02:23:08"/>
    <m/>
  </r>
  <r>
    <s v="Nathan Fuller"/>
    <n v="101244"/>
    <s v="HR"/>
    <d v="2025-09-20T00:00:00"/>
    <x v="4"/>
    <s v="Jason Parks"/>
    <s v="No"/>
    <s v="christophergarcia@example.org"/>
    <s v="001-565-665-2341"/>
    <d v="2026-03-07T02:23:08"/>
    <m/>
  </r>
  <r>
    <s v="Melissa Abbott"/>
    <n v="101193"/>
    <s v="IT"/>
    <d v="2025-09-23T00:00:00"/>
    <x v="0"/>
    <s v="Elizabeth Holmes"/>
    <s v="No"/>
    <s v="juliephillips@example.org"/>
    <s v="276.713.7918"/>
    <d v="2026-02-09T19:14:08"/>
    <m/>
  </r>
  <r>
    <s v="Melissa Abbott"/>
    <n v="101193"/>
    <s v="IT"/>
    <d v="2025-09-23T00:00:00"/>
    <x v="3"/>
    <s v="Elizabeth Holmes"/>
    <s v="No"/>
    <s v="juliephillips@example.org"/>
    <s v="276.713.7918"/>
    <d v="2026-02-09T19:14:08"/>
    <m/>
  </r>
  <r>
    <s v="Bonnie Valencia"/>
    <n v="101281"/>
    <s v="Finance"/>
    <d v="2026-04-10T00:00:00"/>
    <x v="0"/>
    <s v="Holly Vega"/>
    <s v="Yes"/>
    <s v="xbest@example.org"/>
    <s v="6918043006"/>
    <d v="2026-02-11T02:40:08"/>
    <m/>
  </r>
  <r>
    <s v="James Davidson"/>
    <n v="100032"/>
    <s v="IT"/>
    <d v="2026-03-11T00:00:00"/>
    <x v="3"/>
    <s v="Brittany Miller"/>
    <s v="Yes"/>
    <s v="dixonjames@example.org"/>
    <s v="+1-556-391-4630"/>
    <d v="2026-03-12T23:13:08"/>
    <m/>
  </r>
  <r>
    <s v="James Davidson"/>
    <n v="100032"/>
    <s v="IT"/>
    <d v="2026-03-11T00:00:00"/>
    <x v="2"/>
    <s v="Brittany Miller"/>
    <s v="Yes"/>
    <s v="dixonjames@example.org"/>
    <s v="+1-556-391-4630"/>
    <d v="2026-03-12T23:13:08"/>
    <m/>
  </r>
  <r>
    <s v="Audrey Salazar"/>
    <n v="101494"/>
    <s v="IT"/>
    <d v="2025-06-27T00:00:00"/>
    <x v="0"/>
    <s v="Maxwell Barrett"/>
    <s v="No"/>
    <s v="davidzimmerman@example.net"/>
    <s v="4276588425"/>
    <d v="2026-02-11T02:50:08"/>
    <m/>
  </r>
  <r>
    <s v="Audrey Salazar"/>
    <n v="101494"/>
    <s v="IT"/>
    <d v="2025-06-27T00:00:00"/>
    <x v="3"/>
    <s v="Maxwell Barrett"/>
    <s v="No"/>
    <s v="davidzimmerman@example.net"/>
    <s v="4276588425"/>
    <d v="2026-02-11T02:50:08"/>
    <m/>
  </r>
  <r>
    <s v="Audrey Salazar"/>
    <n v="101494"/>
    <s v="IT"/>
    <d v="2025-06-27T00:00:00"/>
    <x v="4"/>
    <s v="Maxwell Barrett"/>
    <s v="No"/>
    <s v="davidzimmerman@example.net"/>
    <s v="4276588425"/>
    <d v="2026-02-11T02:50:08"/>
    <m/>
  </r>
  <r>
    <s v="Bailey Yoder"/>
    <n v="100325"/>
    <s v="Marketing"/>
    <d v="2026-02-27T00:00:00"/>
    <x v="0"/>
    <s v="Jeffrey Warren"/>
    <s v="No"/>
    <s v="jennifer91@example.com"/>
    <s v="385.507.9252x419"/>
    <d v="2026-03-11T00:29:08"/>
    <m/>
  </r>
  <r>
    <s v="April Trevino"/>
    <n v="101033"/>
    <s v="Operations"/>
    <d v="2026-05-04T00:00:00"/>
    <x v="5"/>
    <s v="Angel Cox"/>
    <s v="Yes"/>
    <s v="haroldhorne@example.org"/>
    <s v="+1-763-353-6541"/>
    <d v="2026-02-12T03:44:08"/>
    <m/>
  </r>
  <r>
    <s v="Stephanie White"/>
    <n v="100951"/>
    <s v="Operations"/>
    <d v="2025-12-29T00:00:00"/>
    <x v="3"/>
    <s v="Vicki Finley"/>
    <s v="No"/>
    <s v="wileymichelle@example.com"/>
    <s v="918-570-5349x49375"/>
    <d v="2026-02-01T07:23:08"/>
    <m/>
  </r>
  <r>
    <s v="Kimberly Flynn"/>
    <n v="100623"/>
    <s v="Engineering"/>
    <d v="2025-10-04T00:00:00"/>
    <x v="2"/>
    <s v="Timothy Johnson"/>
    <s v="Yes"/>
    <s v="cynthia05@example.org"/>
    <s v="001-564-813-8367x02410"/>
    <d v="2026-03-14T03:27:08"/>
    <m/>
  </r>
  <r>
    <s v="Kimberly Flynn"/>
    <n v="100623"/>
    <s v="Engineering"/>
    <d v="2025-10-04T00:00:00"/>
    <x v="4"/>
    <s v="Timothy Johnson"/>
    <s v="Yes"/>
    <s v="cynthia05@example.org"/>
    <s v="001-564-813-8367x02410"/>
    <d v="2026-03-14T03:27:08"/>
    <m/>
  </r>
  <r>
    <s v="Jacqueline Villegas"/>
    <n v="100562"/>
    <s v="HR"/>
    <d v="2026-03-09T00:00:00"/>
    <x v="3"/>
    <s v="Brendan Anderson"/>
    <s v="Yes"/>
    <s v="kjones@example.org"/>
    <s v="(423)344-5655x74313"/>
    <d v="2026-03-12T01:48:08"/>
    <m/>
  </r>
  <r>
    <s v="Christopher Owens"/>
    <n v="100010"/>
    <s v="Engineering"/>
    <d v="2025-08-09T00:00:00"/>
    <x v="0"/>
    <s v="Joshua Oconnell"/>
    <s v="No"/>
    <s v="shannonford@example.org"/>
    <s v="524-790-3521"/>
    <d v="2026-02-21T04:51:08"/>
    <s v="Duplicate Employee ID"/>
  </r>
  <r>
    <s v="Christopher Owens"/>
    <n v="100010"/>
    <s v="Engineering"/>
    <d v="2025-08-09T00:00:00"/>
    <x v="4"/>
    <s v="Joshua Oconnell"/>
    <s v="No"/>
    <s v="shannonford@example.org"/>
    <s v="524-790-3521"/>
    <d v="2026-02-21T04:51:08"/>
    <s v="Duplicate Employee ID"/>
  </r>
  <r>
    <s v="Anthony Evans"/>
    <n v="100588"/>
    <s v="Operations"/>
    <d v="2025-09-25T00:00:00"/>
    <x v="3"/>
    <s v="Carrie Crane"/>
    <s v="Yes"/>
    <s v="jhawkins@example.org"/>
    <s v="571-821-0032"/>
    <d v="2026-02-03T06:02:08"/>
    <m/>
  </r>
  <r>
    <s v="Anthony Evans"/>
    <n v="100588"/>
    <s v="Operations"/>
    <d v="2025-09-25T00:00:00"/>
    <x v="2"/>
    <s v="Carrie Crane"/>
    <s v="Yes"/>
    <s v="jhawkins@example.org"/>
    <s v="571-821-0032"/>
    <d v="2026-02-03T06:02:08"/>
    <m/>
  </r>
  <r>
    <s v="Mark Newman"/>
    <n v="101176"/>
    <s v="Marketing"/>
    <d v="2025-06-15T00:00:00"/>
    <x v="3"/>
    <s v="Deanna Hess"/>
    <s v="Yes"/>
    <s v="osbornjames@example.net"/>
    <s v="921.251.0702x966"/>
    <d v="2026-03-16T17:08:08"/>
    <m/>
  </r>
  <r>
    <s v="Mark Newman"/>
    <n v="101176"/>
    <s v="Marketing"/>
    <d v="2025-06-15T00:00:00"/>
    <x v="4"/>
    <s v="Deanna Hess"/>
    <s v="Yes"/>
    <s v="osbornjames@example.net"/>
    <s v="921.251.0702x966"/>
    <d v="2026-03-16T17:08:08"/>
    <m/>
  </r>
  <r>
    <s v="Mark Newman"/>
    <n v="101176"/>
    <s v="Marketing"/>
    <d v="2025-06-15T00:00:00"/>
    <x v="5"/>
    <s v="Deanna Hess"/>
    <s v="Yes"/>
    <s v="osbornjames@example.net"/>
    <s v="921.251.0702x966"/>
    <d v="2026-03-16T17:08:08"/>
    <m/>
  </r>
  <r>
    <s v="Jeffery Gomez"/>
    <n v="101114"/>
    <s v="HR"/>
    <d v="2025-11-08T00:00:00"/>
    <x v="0"/>
    <s v="Denise Griffin"/>
    <s v="No"/>
    <s v="austinharvey@example.org"/>
    <s v="+1-547-268-7014x6263"/>
    <d v="2026-03-02T09:28:08"/>
    <m/>
  </r>
  <r>
    <s v="Jeffery Gomez"/>
    <n v="101114"/>
    <s v="HR"/>
    <d v="2025-11-08T00:00:00"/>
    <x v="3"/>
    <s v="Denise Griffin"/>
    <s v="No"/>
    <s v="austinharvey@example.org"/>
    <s v="+1-547-268-7014x6263"/>
    <d v="2026-03-02T09:28:08"/>
    <m/>
  </r>
  <r>
    <s v="Jeffery Gomez"/>
    <n v="101114"/>
    <s v="HR"/>
    <d v="2025-11-08T00:00:00"/>
    <x v="5"/>
    <s v="Denise Griffin"/>
    <s v="No"/>
    <s v="austinharvey@example.org"/>
    <s v="+1-547-268-7014x6263"/>
    <d v="2026-03-02T09:28:08"/>
    <m/>
  </r>
  <r>
    <s v="Rachael Howard DDS"/>
    <n v="100581"/>
    <s v="Operations"/>
    <d v="2025-09-09T00:00:00"/>
    <x v="1"/>
    <s v="Dr. Jonathan Price"/>
    <s v="Yes"/>
    <s v="anthonyharper@example.org"/>
    <s v="001-240-578-5932x13348"/>
    <d v="2026-03-09T16:49:08"/>
    <m/>
  </r>
  <r>
    <s v="Vickie Price"/>
    <n v="100015"/>
    <s v="Operations"/>
    <d v="2026-01-24T00:00:00"/>
    <x v="4"/>
    <s v="Wendy Thompson"/>
    <s v="Yes"/>
    <s v="brittanydrake@example.net"/>
    <s v="(490)959-9293x784"/>
    <d v="2026-03-12T14:28:08"/>
    <m/>
  </r>
  <r>
    <s v="Anthony Guzman"/>
    <n v="100091"/>
    <s v="IT"/>
    <d v="2025-04-02T00:00:00"/>
    <x v="3"/>
    <s v="John Rivera"/>
    <s v="Yes"/>
    <s v="lindsaypeterson@example.org"/>
    <s v="700-629-2185x15691"/>
    <d v="2026-03-14T04:11:08"/>
    <m/>
  </r>
  <r>
    <s v="Anthony Guzman"/>
    <n v="100091"/>
    <s v="IT"/>
    <d v="2025-04-02T00:00:00"/>
    <x v="2"/>
    <s v="John Rivera"/>
    <s v="Yes"/>
    <s v="lindsaypeterson@example.org"/>
    <s v="700-629-2185x15691"/>
    <d v="2026-03-14T04:11:08"/>
    <m/>
  </r>
  <r>
    <s v="William Oconnor"/>
    <n v="100964"/>
    <s v="Operations"/>
    <d v="2025-07-13T00:00:00"/>
    <x v="0"/>
    <s v="Mark Freeman"/>
    <s v="No"/>
    <s v="grant89@example.com"/>
    <s v="892.264.4220"/>
    <d v="2026-03-01T22:15:08"/>
    <m/>
  </r>
  <r>
    <s v="William Oconnor"/>
    <n v="100964"/>
    <s v="Operations"/>
    <d v="2025-07-13T00:00:00"/>
    <x v="2"/>
    <s v="Mark Freeman"/>
    <s v="No"/>
    <s v="grant89@example.com"/>
    <s v="892.264.4220"/>
    <d v="2026-03-01T22:15:08"/>
    <m/>
  </r>
  <r>
    <s v="William Oconnor"/>
    <n v="100964"/>
    <s v="Operations"/>
    <d v="2025-07-13T00:00:00"/>
    <x v="4"/>
    <s v="Mark Freeman"/>
    <s v="No"/>
    <s v="grant89@example.com"/>
    <s v="892.264.4220"/>
    <d v="2026-03-01T22:15:08"/>
    <m/>
  </r>
  <r>
    <s v="Evan Lamb"/>
    <n v="100288"/>
    <s v="HR"/>
    <d v="2026-01-05T00:00:00"/>
    <x v="0"/>
    <s v="Margaret Garcia"/>
    <s v="No"/>
    <s v="vtaylor@example.org"/>
    <s v="555.521.5704"/>
    <d v="2026-03-06T19:22:08"/>
    <m/>
  </r>
  <r>
    <s v="Evan Lamb"/>
    <n v="100288"/>
    <s v="HR"/>
    <d v="2026-01-05T00:00:00"/>
    <x v="1"/>
    <s v="Margaret Garcia"/>
    <s v="No"/>
    <s v="vtaylor@example.org"/>
    <s v="555.521.5704"/>
    <d v="2026-03-06T19:22:08"/>
    <m/>
  </r>
  <r>
    <s v="Evan Lamb"/>
    <n v="100288"/>
    <s v="HR"/>
    <d v="2026-01-05T00:00:00"/>
    <x v="4"/>
    <s v="Margaret Garcia"/>
    <s v="No"/>
    <s v="vtaylor@example.org"/>
    <s v="555.521.5704"/>
    <d v="2026-03-06T19:22:08"/>
    <m/>
  </r>
  <r>
    <s v="Hayley Buchanan"/>
    <n v="100190"/>
    <s v="IT"/>
    <d v="2025-07-07T00:00:00"/>
    <x v="0"/>
    <s v="Amber Kim"/>
    <s v="Yes"/>
    <s v="acosta@example.com"/>
    <s v="(258)761-7932x7104"/>
    <d v="2026-02-08T21:43:08"/>
    <m/>
  </r>
  <r>
    <s v="Hayley Buchanan"/>
    <n v="100190"/>
    <s v="IT"/>
    <d v="2025-07-07T00:00:00"/>
    <x v="1"/>
    <s v="Amber Kim"/>
    <s v="Yes"/>
    <s v="acosta@example.com"/>
    <s v="(258)761-7932x7104"/>
    <d v="2026-02-08T21:43:08"/>
    <m/>
  </r>
  <r>
    <s v="Brian Peterson"/>
    <n v="100310"/>
    <s v="Marketing"/>
    <d v="2026-01-30T00:00:00"/>
    <x v="0"/>
    <s v="Candace Jones"/>
    <s v="Yes"/>
    <s v="morgantricia@example.com"/>
    <s v="001-806-629-6201x533"/>
    <d v="2026-02-21T19:57:08"/>
    <m/>
  </r>
  <r>
    <s v="Brian Peterson"/>
    <n v="100310"/>
    <s v="Marketing"/>
    <d v="2026-01-30T00:00:00"/>
    <x v="3"/>
    <s v="Candace Jones"/>
    <s v="Yes"/>
    <s v="morgantricia@example.com"/>
    <s v="001-806-629-6201x533"/>
    <d v="2026-02-21T19:57:08"/>
    <m/>
  </r>
  <r>
    <s v="Brian Peterson"/>
    <n v="100310"/>
    <s v="Marketing"/>
    <d v="2026-01-30T00:00:00"/>
    <x v="5"/>
    <s v="Candace Jones"/>
    <s v="Yes"/>
    <s v="morgantricia@example.com"/>
    <s v="001-806-629-6201x533"/>
    <d v="2026-02-21T19:57:08"/>
    <m/>
  </r>
  <r>
    <s v="Elizabeth Davis"/>
    <n v="101056"/>
    <s v="Operations"/>
    <d v="2026-04-22T00:00:00"/>
    <x v="3"/>
    <s v="Joshua Henry"/>
    <s v="Yes"/>
    <s v="wardronald@example.com"/>
    <s v="+1-997-931-0324x17146"/>
    <d v="2026-02-25T05:04:08"/>
    <m/>
  </r>
  <r>
    <s v="Elizabeth Davis"/>
    <n v="101056"/>
    <s v="Operations"/>
    <d v="2026-04-22T00:00:00"/>
    <x v="1"/>
    <s v="Joshua Henry"/>
    <s v="Yes"/>
    <s v="wardronald@example.com"/>
    <s v="+1-997-931-0324x17146"/>
    <d v="2026-02-25T05:04:08"/>
    <m/>
  </r>
  <r>
    <s v="Elizabeth Davis"/>
    <n v="101056"/>
    <s v="Operations"/>
    <d v="2026-04-22T00:00:00"/>
    <x v="5"/>
    <s v="Joshua Henry"/>
    <s v="Yes"/>
    <s v="wardronald@example.com"/>
    <s v="+1-997-931-0324x17146"/>
    <d v="2026-02-25T05:04:08"/>
    <m/>
  </r>
  <r>
    <s v="Deborah May"/>
    <n v="101162"/>
    <s v="Marketing"/>
    <d v="2026-04-06T00:00:00"/>
    <x v="3"/>
    <s v="Jacob James"/>
    <s v="No"/>
    <s v="seanbaker@example.com"/>
    <s v="534-290-2115x869"/>
    <d v="2026-01-30T12:59:08"/>
    <s v="Duplicate Employee ID"/>
  </r>
  <r>
    <s v="Deborah May"/>
    <n v="101162"/>
    <s v="Marketing"/>
    <d v="2026-04-06T00:00:00"/>
    <x v="4"/>
    <s v="Jacob James"/>
    <s v="No"/>
    <s v="seanbaker@example.com"/>
    <s v="534-290-2115x869"/>
    <d v="2026-01-30T12:59:08"/>
    <s v="Duplicate Employee ID"/>
  </r>
  <r>
    <s v="Deborah May"/>
    <n v="101162"/>
    <s v="Marketing"/>
    <d v="2026-04-06T00:00:00"/>
    <x v="5"/>
    <s v="Jacob James"/>
    <s v="No"/>
    <s v="seanbaker@example.com"/>
    <s v="534-290-2115x869"/>
    <d v="2026-01-30T12:59:08"/>
    <s v="Duplicate Employee ID"/>
  </r>
  <r>
    <s v="Sabrina Barnes"/>
    <n v="100113"/>
    <s v="Operations"/>
    <d v="2025-04-14T00:00:00"/>
    <x v="0"/>
    <s v="Sharon Wells"/>
    <s v="No"/>
    <s v="thomasmiller@example.net"/>
    <s v="4894899217"/>
    <d v="2026-03-01T09:12:08"/>
    <m/>
  </r>
  <r>
    <s v="Sabrina Barnes"/>
    <n v="100113"/>
    <s v="Operations"/>
    <d v="2025-04-14T00:00:00"/>
    <x v="4"/>
    <s v="Sharon Wells"/>
    <s v="No"/>
    <s v="thomasmiller@example.net"/>
    <s v="4894899217"/>
    <d v="2026-03-01T09:12:08"/>
    <m/>
  </r>
  <r>
    <s v="Sabrina Barnes"/>
    <n v="100113"/>
    <s v="Operations"/>
    <d v="2025-04-14T00:00:00"/>
    <x v="5"/>
    <s v="Sharon Wells"/>
    <s v="No"/>
    <s v="thomasmiller@example.net"/>
    <s v="4894899217"/>
    <d v="2026-03-01T09:12:08"/>
    <m/>
  </r>
  <r>
    <s v="Rhonda Martinez"/>
    <n v="100847"/>
    <s v="Finance"/>
    <d v="2025-09-01T00:00:00"/>
    <x v="1"/>
    <s v="William Graham"/>
    <s v="Yes"/>
    <s v="maryscott@example.net"/>
    <s v="916-286-8548"/>
    <d v="2026-02-10T11:24:08"/>
    <m/>
  </r>
  <r>
    <s v="Rhonda Martinez"/>
    <n v="100847"/>
    <s v="Finance"/>
    <d v="2025-09-01T00:00:00"/>
    <x v="2"/>
    <s v="William Graham"/>
    <s v="Yes"/>
    <s v="maryscott@example.net"/>
    <s v="916-286-8548"/>
    <d v="2026-02-10T11:24:08"/>
    <m/>
  </r>
  <r>
    <s v="Rhonda Martinez"/>
    <n v="100847"/>
    <s v="Finance"/>
    <d v="2025-09-01T00:00:00"/>
    <x v="5"/>
    <s v="William Graham"/>
    <s v="Yes"/>
    <s v="maryscott@example.net"/>
    <s v="916-286-8548"/>
    <d v="2026-02-10T11:24:08"/>
    <m/>
  </r>
  <r>
    <s v="Lisa Mills"/>
    <n v="100813"/>
    <s v="Engineering"/>
    <d v="2025-07-31T00:00:00"/>
    <x v="0"/>
    <s v="Jason Hernandez"/>
    <s v="Yes"/>
    <s v="buckleyanna@example.org"/>
    <s v="885-464-6799x7024"/>
    <d v="2026-03-12T11:29:08"/>
    <m/>
  </r>
  <r>
    <s v="Lisa Mills"/>
    <n v="100813"/>
    <s v="Engineering"/>
    <d v="2025-07-31T00:00:00"/>
    <x v="3"/>
    <s v="Jason Hernandez"/>
    <s v="Yes"/>
    <s v="buckleyanna@example.org"/>
    <s v="885-464-6799x7024"/>
    <d v="2026-03-12T11:29:08"/>
    <m/>
  </r>
  <r>
    <s v="Melanie Morales"/>
    <n v="100008"/>
    <s v="IT"/>
    <d v="2026-03-21T00:00:00"/>
    <x v="3"/>
    <s v="Shawn Vaughn"/>
    <s v="Yes"/>
    <s v="reesesamantha@example.com"/>
    <s v="6549447132"/>
    <d v="2026-02-23T07:34:08"/>
    <m/>
  </r>
  <r>
    <s v="Melanie Morales"/>
    <n v="100008"/>
    <s v="IT"/>
    <d v="2026-03-21T00:00:00"/>
    <x v="4"/>
    <s v="Shawn Vaughn"/>
    <s v="Yes"/>
    <s v="reesesamantha@example.com"/>
    <s v="6549447132"/>
    <d v="2026-02-23T07:34:08"/>
    <m/>
  </r>
  <r>
    <s v="Melanie Morales"/>
    <n v="100008"/>
    <s v="IT"/>
    <d v="2026-03-21T00:00:00"/>
    <x v="5"/>
    <s v="Shawn Vaughn"/>
    <s v="Yes"/>
    <s v="reesesamantha@example.com"/>
    <s v="6549447132"/>
    <d v="2026-02-23T07:34:08"/>
    <m/>
  </r>
  <r>
    <s v="Erica Daniel"/>
    <n v="100071"/>
    <s v="Engineering"/>
    <d v="2025-07-02T00:00:00"/>
    <x v="0"/>
    <s v="Ann Alexander"/>
    <s v="Yes"/>
    <s v="wfigueroa@example.net"/>
    <s v="(408)521-4862x890"/>
    <d v="2026-02-14T09:38:08"/>
    <m/>
  </r>
  <r>
    <s v="Christina Brown"/>
    <n v="101489"/>
    <s v="IT"/>
    <d v="2026-03-11T00:00:00"/>
    <x v="5"/>
    <s v="Anthony Ward"/>
    <s v="Yes"/>
    <s v="joshuacolon@example.net"/>
    <s v="(710)435-7972x7985"/>
    <d v="2026-02-09T06:56:08"/>
    <m/>
  </r>
  <r>
    <s v="Deanna Rivas"/>
    <n v="100917"/>
    <s v="HR"/>
    <d v="2025-09-26T00:00:00"/>
    <x v="3"/>
    <s v="Alexander Williams"/>
    <s v="No"/>
    <s v="mercedesholland@example.net"/>
    <s v="246.580.0722"/>
    <d v="2026-02-28T05:38:08"/>
    <m/>
  </r>
  <r>
    <s v="Deanna Rivas"/>
    <n v="100917"/>
    <s v="HR"/>
    <d v="2025-09-26T00:00:00"/>
    <x v="1"/>
    <s v="Alexander Williams"/>
    <s v="No"/>
    <s v="mercedesholland@example.net"/>
    <s v="246.580.0722"/>
    <d v="2026-02-28T05:38:08"/>
    <m/>
  </r>
  <r>
    <s v="Robert Torres"/>
    <n v="100556"/>
    <s v="IT"/>
    <d v="2025-11-25T00:00:00"/>
    <x v="2"/>
    <s v="Maria Coleman"/>
    <s v="No"/>
    <s v="dyork@example.com"/>
    <s v="774.689.6910"/>
    <d v="2026-03-03T05:15:08"/>
    <m/>
  </r>
  <r>
    <s v="Robert Torres"/>
    <n v="100556"/>
    <s v="IT"/>
    <d v="2025-11-25T00:00:00"/>
    <x v="5"/>
    <s v="Maria Coleman"/>
    <s v="No"/>
    <s v="dyork@example.com"/>
    <s v="774.689.6910"/>
    <d v="2026-03-03T05:15:08"/>
    <m/>
  </r>
  <r>
    <s v="Brian Brown"/>
    <n v="101224"/>
    <s v="HR"/>
    <d v="2025-10-13T00:00:00"/>
    <x v="3"/>
    <s v="Margaret Hensley MD"/>
    <s v="Yes"/>
    <s v="jacob83@example.org"/>
    <s v="+1-565-720-7446x660"/>
    <d v="2026-03-07T17:21:08"/>
    <m/>
  </r>
  <r>
    <s v="Courtney Nichols"/>
    <n v="101321"/>
    <s v="Finance"/>
    <d v="2025-12-24T00:00:00"/>
    <x v="3"/>
    <s v="Susan Powers"/>
    <s v="Yes"/>
    <s v="megan82@example.com"/>
    <s v="772-548-2513"/>
    <d v="2026-03-04T06:39:08"/>
    <m/>
  </r>
  <r>
    <s v="Courtney Nichols"/>
    <n v="101321"/>
    <s v="Finance"/>
    <d v="2025-12-24T00:00:00"/>
    <x v="1"/>
    <s v="Susan Powers"/>
    <s v="Yes"/>
    <s v="megan82@example.com"/>
    <s v="772-548-2513"/>
    <d v="2026-03-04T06:39:08"/>
    <m/>
  </r>
  <r>
    <s v="Courtney Nichols"/>
    <n v="101321"/>
    <s v="Finance"/>
    <d v="2025-12-24T00:00:00"/>
    <x v="5"/>
    <s v="Susan Powers"/>
    <s v="Yes"/>
    <s v="megan82@example.com"/>
    <s v="772-548-2513"/>
    <d v="2026-03-04T06:39:08"/>
    <m/>
  </r>
  <r>
    <s v="Elizabeth French"/>
    <n v="101413"/>
    <s v="Finance"/>
    <d v="2025-09-26T00:00:00"/>
    <x v="1"/>
    <s v="David Carter"/>
    <s v="No"/>
    <s v="ruizmichelle@example.net"/>
    <s v="001-691-873-8168"/>
    <d v="2026-02-12T20:00:08"/>
    <m/>
  </r>
  <r>
    <s v="Elizabeth French"/>
    <n v="101413"/>
    <s v="Finance"/>
    <d v="2025-09-26T00:00:00"/>
    <x v="4"/>
    <s v="David Carter"/>
    <s v="No"/>
    <s v="ruizmichelle@example.net"/>
    <s v="001-691-873-8168"/>
    <d v="2026-02-12T20:00:08"/>
    <m/>
  </r>
  <r>
    <s v="Elizabeth French"/>
    <n v="101413"/>
    <s v="Finance"/>
    <d v="2025-09-26T00:00:00"/>
    <x v="5"/>
    <s v="David Carter"/>
    <s v="No"/>
    <s v="ruizmichelle@example.net"/>
    <s v="001-691-873-8168"/>
    <d v="2026-02-12T20:00:08"/>
    <m/>
  </r>
  <r>
    <s v="Scott Taylor"/>
    <n v="100107"/>
    <s v="IT"/>
    <d v="2025-11-06T00:00:00"/>
    <x v="0"/>
    <s v="Jason Hudson"/>
    <s v="No"/>
    <s v="tthomas@example.org"/>
    <s v="001-917-352-5007x43292"/>
    <d v="2026-03-06T13:08:08"/>
    <m/>
  </r>
  <r>
    <s v="Jeffrey Jordan"/>
    <n v="101465"/>
    <s v="IT"/>
    <d v="2025-11-21T00:00:00"/>
    <x v="3"/>
    <s v="John Smith"/>
    <s v="Yes"/>
    <s v="jessicadodson@example.com"/>
    <s v="001-683-400-3354x21689"/>
    <d v="2026-02-11T16:45:08"/>
    <m/>
  </r>
  <r>
    <s v="Angel Fry"/>
    <n v="100782"/>
    <s v="Engineering"/>
    <d v="2026-05-08T00:00:00"/>
    <x v="0"/>
    <s v="Joseph Warren"/>
    <s v="Yes"/>
    <s v="ibarron@example.com"/>
    <s v="453.326.0332x3098"/>
    <d v="2026-02-04T10:01:08"/>
    <m/>
  </r>
  <r>
    <s v="Angel Fry"/>
    <n v="100782"/>
    <s v="Engineering"/>
    <d v="2026-05-08T00:00:00"/>
    <x v="2"/>
    <s v="Joseph Warren"/>
    <s v="Yes"/>
    <s v="ibarron@example.com"/>
    <s v="453.326.0332x3098"/>
    <d v="2026-02-04T10:01:08"/>
    <m/>
  </r>
  <r>
    <s v="Angel Fry"/>
    <n v="100782"/>
    <s v="Engineering"/>
    <d v="2026-05-08T00:00:00"/>
    <x v="5"/>
    <s v="Joseph Warren"/>
    <s v="Yes"/>
    <s v="ibarron@example.com"/>
    <s v="453.326.0332x3098"/>
    <d v="2026-02-04T10:01:08"/>
    <m/>
  </r>
  <r>
    <s v="Matthew Johnson"/>
    <n v="101013"/>
    <s v="Engineering"/>
    <d v="2026-03-13T00:00:00"/>
    <x v="2"/>
    <s v="Dawn Nichols"/>
    <s v="Yes"/>
    <s v="wheelerbrandon@example.org"/>
    <s v="+1-200-616-7618x4723"/>
    <d v="2026-02-12T02:21:08"/>
    <m/>
  </r>
  <r>
    <s v="Brian Meyer"/>
    <n v="100099"/>
    <s v="HR"/>
    <d v="2025-04-15T00:00:00"/>
    <x v="0"/>
    <s v="Mercedes Barnes"/>
    <s v="No"/>
    <s v="huntchristine@example.com"/>
    <s v="717-839-3483"/>
    <d v="2026-03-15T17:41:08"/>
    <m/>
  </r>
  <r>
    <s v="Brian Meyer"/>
    <n v="100099"/>
    <s v="HR"/>
    <d v="2025-04-15T00:00:00"/>
    <x v="3"/>
    <s v="Mercedes Barnes"/>
    <s v="No"/>
    <s v="huntchristine@example.com"/>
    <s v="717-839-3483"/>
    <d v="2026-03-15T17:41:08"/>
    <m/>
  </r>
  <r>
    <s v="Brian Meyer"/>
    <n v="100099"/>
    <s v="HR"/>
    <d v="2025-04-15T00:00:00"/>
    <x v="5"/>
    <s v="Mercedes Barnes"/>
    <s v="No"/>
    <s v="huntchristine@example.com"/>
    <s v="717-839-3483"/>
    <d v="2026-03-15T17:41:08"/>
    <m/>
  </r>
  <r>
    <s v="Andrew Crawford"/>
    <n v="100034"/>
    <s v="IT"/>
    <d v="2025-12-23T00:00:00"/>
    <x v="0"/>
    <s v="Timothy Rivera"/>
    <s v="No"/>
    <s v="smithchristopher@example.org"/>
    <s v="001-972-618-1143"/>
    <d v="2026-02-10T08:07:08"/>
    <m/>
  </r>
  <r>
    <s v="Andrew Crawford"/>
    <n v="100034"/>
    <s v="IT"/>
    <d v="2025-12-23T00:00:00"/>
    <x v="2"/>
    <s v="Timothy Rivera"/>
    <s v="No"/>
    <s v="smithchristopher@example.org"/>
    <s v="001-972-618-1143"/>
    <d v="2026-02-10T08:07:08"/>
    <m/>
  </r>
  <r>
    <s v="Anthony Li"/>
    <n v="100207"/>
    <s v="Engineering"/>
    <d v="2025-11-28T00:00:00"/>
    <x v="0"/>
    <s v="Sarah Ward"/>
    <s v="Yes"/>
    <s v="ronald11@example.org"/>
    <s v="7227557941"/>
    <d v="2026-03-10T00:01:08"/>
    <m/>
  </r>
  <r>
    <s v="Anthony Li"/>
    <n v="100207"/>
    <s v="Engineering"/>
    <d v="2025-11-28T00:00:00"/>
    <x v="4"/>
    <s v="Sarah Ward"/>
    <s v="Yes"/>
    <s v="ronald11@example.org"/>
    <s v="7227557941"/>
    <d v="2026-03-10T00:01:08"/>
    <m/>
  </r>
  <r>
    <s v="Anthony Li"/>
    <n v="100207"/>
    <s v="Engineering"/>
    <d v="2025-11-28T00:00:00"/>
    <x v="5"/>
    <s v="Sarah Ward"/>
    <s v="Yes"/>
    <s v="ronald11@example.org"/>
    <s v="7227557941"/>
    <d v="2026-03-10T00:01:08"/>
    <m/>
  </r>
  <r>
    <s v="James Rivers"/>
    <n v="100551"/>
    <s v="Marketing"/>
    <d v="2025-07-17T00:00:00"/>
    <x v="3"/>
    <s v="James Jefferson"/>
    <s v="No"/>
    <s v="zbanks@example.org"/>
    <s v="920-421-6979"/>
    <d v="2026-02-22T08:47:08"/>
    <s v="Duplicate Employee ID"/>
  </r>
  <r>
    <s v="Peggy Carr"/>
    <n v="100024"/>
    <s v="Operations"/>
    <d v="2025-04-25T00:00:00"/>
    <x v="0"/>
    <s v="Sheryl Acosta"/>
    <s v="Yes"/>
    <s v="timothyfreeman@example.com"/>
    <s v="301.845.0899x358"/>
    <d v="2026-01-31T10:12:08"/>
    <m/>
  </r>
  <r>
    <s v="Peggy Carr"/>
    <n v="100024"/>
    <s v="Operations"/>
    <d v="2025-04-25T00:00:00"/>
    <x v="5"/>
    <s v="Sheryl Acosta"/>
    <s v="Yes"/>
    <s v="timothyfreeman@example.com"/>
    <s v="301.845.0899x358"/>
    <d v="2026-01-31T10:12:08"/>
    <m/>
  </r>
  <r>
    <s v="Danielle Reed"/>
    <n v="100925"/>
    <s v="HR"/>
    <d v="2026-03-01T00:00:00"/>
    <x v="0"/>
    <s v="Janice Combs"/>
    <s v="Yes"/>
    <s v="smithsarah@example.net"/>
    <s v="872.817.5354x0838"/>
    <d v="2026-03-11T04:04:08"/>
    <m/>
  </r>
  <r>
    <s v="Angela Wallace"/>
    <n v="100126"/>
    <s v="Operations"/>
    <d v="2025-09-25T00:00:00"/>
    <x v="3"/>
    <s v="Anita Jimenez"/>
    <s v="Yes"/>
    <s v="david70@example.org"/>
    <s v="(960)788-0199x4883"/>
    <d v="2026-03-11T00:51:08"/>
    <m/>
  </r>
  <r>
    <s v="Angela Wallace"/>
    <n v="100126"/>
    <s v="Operations"/>
    <d v="2025-09-25T00:00:00"/>
    <x v="2"/>
    <s v="Anita Jimenez"/>
    <s v="Yes"/>
    <s v="david70@example.org"/>
    <s v="(960)788-0199x4883"/>
    <d v="2026-03-11T00:51:08"/>
    <m/>
  </r>
  <r>
    <s v="Angela Wallace"/>
    <n v="100126"/>
    <s v="Operations"/>
    <d v="2025-09-25T00:00:00"/>
    <x v="5"/>
    <s v="Anita Jimenez"/>
    <s v="Yes"/>
    <s v="david70@example.org"/>
    <s v="(960)788-0199x4883"/>
    <d v="2026-03-11T00:51:08"/>
    <m/>
  </r>
  <r>
    <s v="Anthony Walker"/>
    <n v="101264"/>
    <s v="Operations"/>
    <d v="2026-02-09T00:00:00"/>
    <x v="3"/>
    <s v="Justin Harvey"/>
    <s v="Yes"/>
    <s v="xmoran@example.net"/>
    <s v="211.430.5548x851"/>
    <d v="2026-03-02T10:42:08"/>
    <m/>
  </r>
  <r>
    <s v="Anthony Walker"/>
    <n v="101264"/>
    <s v="Operations"/>
    <d v="2026-02-09T00:00:00"/>
    <x v="2"/>
    <s v="Justin Harvey"/>
    <s v="Yes"/>
    <s v="xmoran@example.net"/>
    <s v="211.430.5548x851"/>
    <d v="2026-03-02T10:42:08"/>
    <m/>
  </r>
  <r>
    <s v="Rodney Newton MD"/>
    <n v="100009"/>
    <s v="IT"/>
    <d v="2025-11-14T00:00:00"/>
    <x v="0"/>
    <s v="Craig Martinez"/>
    <s v="No"/>
    <s v="ylewis@example.org"/>
    <s v="001-951-260-9177x982"/>
    <d v="2026-02-09T22:40:08"/>
    <m/>
  </r>
  <r>
    <s v="Rodney Newton MD"/>
    <n v="100009"/>
    <s v="IT"/>
    <d v="2025-11-14T00:00:00"/>
    <x v="2"/>
    <s v="Craig Martinez"/>
    <s v="No"/>
    <s v="ylewis@example.org"/>
    <s v="001-951-260-9177x982"/>
    <d v="2026-02-09T22:40:08"/>
    <m/>
  </r>
  <r>
    <s v="Amber Mcconnell"/>
    <n v="100708"/>
    <s v="Engineering"/>
    <d v="2025-06-15T00:00:00"/>
    <x v="2"/>
    <s v="Karen Romero"/>
    <s v="Yes"/>
    <s v="heatherthompson@example.org"/>
    <s v="569-695-8669"/>
    <d v="2026-01-30T04:19:08"/>
    <m/>
  </r>
  <r>
    <s v="Amber Mcconnell"/>
    <n v="100708"/>
    <s v="Engineering"/>
    <d v="2025-06-15T00:00:00"/>
    <x v="4"/>
    <s v="Karen Romero"/>
    <s v="Yes"/>
    <s v="heatherthompson@example.org"/>
    <s v="569-695-8669"/>
    <d v="2026-01-30T04:19:08"/>
    <m/>
  </r>
  <r>
    <s v="Grant Phillips"/>
    <n v="100482"/>
    <s v="Engineering"/>
    <d v="2025-08-16T00:00:00"/>
    <x v="3"/>
    <s v="Brenda Morrison"/>
    <s v="Yes"/>
    <s v="megan85@example.net"/>
    <s v="001-383-733-9452x2885"/>
    <d v="2026-02-08T04:38:08"/>
    <m/>
  </r>
  <r>
    <s v="Lauren Bender"/>
    <n v="100709"/>
    <s v="IT"/>
    <d v="2025-09-01T00:00:00"/>
    <x v="0"/>
    <s v="Megan English"/>
    <s v="Yes"/>
    <s v="natalie60@example.net"/>
    <s v="606-620-0342"/>
    <d v="2026-02-12T06:06:08"/>
    <m/>
  </r>
  <r>
    <s v="Lauren Bender"/>
    <n v="100709"/>
    <s v="IT"/>
    <d v="2025-09-01T00:00:00"/>
    <x v="4"/>
    <s v="Megan English"/>
    <s v="Yes"/>
    <s v="natalie60@example.net"/>
    <s v="606-620-0342"/>
    <d v="2026-02-12T06:06:08"/>
    <m/>
  </r>
  <r>
    <s v="Antonio Mueller"/>
    <n v="100966"/>
    <s v="Engineering"/>
    <d v="2025-05-05T00:00:00"/>
    <x v="2"/>
    <s v="Joshua Howard"/>
    <s v="No"/>
    <s v="rgarcia@example.net"/>
    <s v="+1-838-863-8406"/>
    <d v="2026-02-05T20:57:08"/>
    <m/>
  </r>
  <r>
    <s v="Antonio Mueller"/>
    <n v="100966"/>
    <s v="Engineering"/>
    <d v="2025-05-05T00:00:00"/>
    <x v="4"/>
    <s v="Joshua Howard"/>
    <s v="No"/>
    <s v="rgarcia@example.net"/>
    <s v="+1-838-863-8406"/>
    <d v="2026-02-05T20:57:08"/>
    <m/>
  </r>
  <r>
    <s v="Vanessa Edwards"/>
    <n v="100321"/>
    <s v="IT"/>
    <d v="2025-10-05T00:00:00"/>
    <x v="1"/>
    <s v="Alexandria King"/>
    <s v="No"/>
    <s v="ogreer@example.net"/>
    <s v="001-459-389-3347x212"/>
    <d v="2026-02-13T10:07:08"/>
    <m/>
  </r>
  <r>
    <s v="Vanessa Edwards"/>
    <n v="100321"/>
    <s v="IT"/>
    <d v="2025-10-05T00:00:00"/>
    <x v="2"/>
    <s v="Alexandria King"/>
    <s v="No"/>
    <s v="ogreer@example.net"/>
    <s v="001-459-389-3347x212"/>
    <d v="2026-02-13T10:07:08"/>
    <m/>
  </r>
  <r>
    <s v="Jeffrey Hawkins"/>
    <n v="101341"/>
    <s v="HR"/>
    <d v="2025-12-24T00:00:00"/>
    <x v="4"/>
    <s v="Kevin Scott"/>
    <s v="No"/>
    <s v="steven20@example.org"/>
    <s v="390-494-7985x15832"/>
    <d v="2026-03-10T20:48:08"/>
    <m/>
  </r>
  <r>
    <s v="Jeffrey Hawkins"/>
    <n v="101341"/>
    <s v="HR"/>
    <d v="2025-12-24T00:00:00"/>
    <x v="5"/>
    <s v="Kevin Scott"/>
    <s v="No"/>
    <s v="steven20@example.org"/>
    <s v="390-494-7985x15832"/>
    <d v="2026-03-10T20:48:08"/>
    <m/>
  </r>
  <r>
    <s v="Joshua Davis"/>
    <n v="101001"/>
    <s v="HR"/>
    <d v="2026-04-28T00:00:00"/>
    <x v="0"/>
    <s v="Daniel Rivera"/>
    <s v="Yes"/>
    <s v="kelly98@example.com"/>
    <s v="+1-201-757-3993"/>
    <d v="2026-03-11T08:46:08"/>
    <m/>
  </r>
  <r>
    <s v="Robert Wilson"/>
    <n v="100787"/>
    <s v="Marketing"/>
    <d v="2025-09-26T00:00:00"/>
    <x v="0"/>
    <s v="Nathaniel Johnson"/>
    <s v="No"/>
    <s v="willie87@example.com"/>
    <s v="2433581128"/>
    <d v="2026-02-21T14:16:08"/>
    <m/>
  </r>
  <r>
    <s v="Robert Wilson"/>
    <n v="100787"/>
    <s v="Marketing"/>
    <d v="2025-09-26T00:00:00"/>
    <x v="4"/>
    <s v="Nathaniel Johnson"/>
    <s v="No"/>
    <s v="willie87@example.com"/>
    <s v="2433581128"/>
    <d v="2026-02-21T14:16:08"/>
    <m/>
  </r>
  <r>
    <s v="Robert Wilson"/>
    <n v="100787"/>
    <s v="Marketing"/>
    <d v="2025-09-26T00:00:00"/>
    <x v="5"/>
    <s v="Nathaniel Johnson"/>
    <s v="No"/>
    <s v="willie87@example.com"/>
    <s v="2433581128"/>
    <d v="2026-02-21T14:16:08"/>
    <m/>
  </r>
  <r>
    <s v="Mark Lewis"/>
    <n v="100342"/>
    <s v="Engineering"/>
    <d v="2025-03-18T00:00:00"/>
    <x v="1"/>
    <s v="Sara Harris"/>
    <s v="No"/>
    <s v="elucas@example.net"/>
    <s v="+1-520-675-0110x24819"/>
    <d v="2026-03-10T13:23:08"/>
    <m/>
  </r>
  <r>
    <s v="Mark Lewis"/>
    <n v="100342"/>
    <s v="Engineering"/>
    <d v="2025-03-18T00:00:00"/>
    <x v="5"/>
    <s v="Sara Harris"/>
    <s v="No"/>
    <s v="elucas@example.net"/>
    <s v="+1-520-675-0110x24819"/>
    <d v="2026-03-10T13:23:08"/>
    <m/>
  </r>
  <r>
    <s v="Jerry Sullivan"/>
    <n v="101143"/>
    <s v="Engineering"/>
    <d v="2025-06-19T00:00:00"/>
    <x v="3"/>
    <s v="James Wilson"/>
    <s v="No"/>
    <s v="maychristine@example.net"/>
    <s v="001-301-658-1449"/>
    <d v="2026-03-10T17:01:08"/>
    <m/>
  </r>
  <r>
    <s v="Jerry Sullivan"/>
    <n v="101143"/>
    <s v="Engineering"/>
    <d v="2025-06-19T00:00:00"/>
    <x v="5"/>
    <s v="James Wilson"/>
    <s v="No"/>
    <s v="maychristine@example.net"/>
    <s v="001-301-658-1449"/>
    <d v="2026-03-10T17:01:08"/>
    <m/>
  </r>
  <r>
    <s v="Jessica Foster"/>
    <n v="100635"/>
    <s v="Engineering"/>
    <d v="2025-09-13T00:00:00"/>
    <x v="3"/>
    <s v="Kara Ferguson"/>
    <s v="No"/>
    <s v="julierobles@example.net"/>
    <s v="824-350-8821x0099"/>
    <d v="2026-03-16T07:57:08"/>
    <m/>
  </r>
  <r>
    <s v="Jessica Foster"/>
    <n v="100635"/>
    <s v="Engineering"/>
    <d v="2025-09-13T00:00:00"/>
    <x v="1"/>
    <s v="Kara Ferguson"/>
    <s v="No"/>
    <s v="julierobles@example.net"/>
    <s v="824-350-8821x0099"/>
    <d v="2026-03-16T07:57:08"/>
    <m/>
  </r>
  <r>
    <s v="Jessica Foster"/>
    <n v="100635"/>
    <s v="Engineering"/>
    <d v="2025-09-13T00:00:00"/>
    <x v="2"/>
    <s v="Kara Ferguson"/>
    <s v="No"/>
    <s v="julierobles@example.net"/>
    <s v="824-350-8821x0099"/>
    <d v="2026-03-16T07:57:08"/>
    <m/>
  </r>
  <r>
    <s v="Paul Berger"/>
    <n v="101292"/>
    <s v="Operations"/>
    <d v="2025-09-30T00:00:00"/>
    <x v="0"/>
    <s v="Jason Brewer"/>
    <s v="Yes"/>
    <s v="eugenewalker@example.com"/>
    <s v="612.390.8781"/>
    <d v="2026-02-08T00:07:08"/>
    <m/>
  </r>
  <r>
    <s v="Craig Carpenter"/>
    <n v="100720"/>
    <s v="Marketing"/>
    <d v="2026-03-01T00:00:00"/>
    <x v="0"/>
    <s v="Heather Lambert"/>
    <s v="No"/>
    <s v="craigharvey@example.org"/>
    <s v="277-759-4929x95562"/>
    <d v="2026-02-25T08:45:08"/>
    <m/>
  </r>
  <r>
    <s v="Craig Carpenter"/>
    <n v="100720"/>
    <s v="Marketing"/>
    <d v="2026-03-01T00:00:00"/>
    <x v="4"/>
    <s v="Heather Lambert"/>
    <s v="No"/>
    <s v="craigharvey@example.org"/>
    <s v="277-759-4929x95562"/>
    <d v="2026-02-25T08:45:08"/>
    <m/>
  </r>
  <r>
    <s v="Daniel Singh"/>
    <n v="100706"/>
    <s v="IT"/>
    <d v="2025-05-29T00:00:00"/>
    <x v="4"/>
    <s v="Ryan Taylor"/>
    <s v="No"/>
    <s v="natalie77@example.com"/>
    <s v="001-347-281-2914x28341"/>
    <d v="2026-02-27T03:32:08"/>
    <m/>
  </r>
  <r>
    <s v="Lynn Hess"/>
    <n v="101037"/>
    <s v="HR"/>
    <d v="2025-11-18T00:00:00"/>
    <x v="1"/>
    <s v="Patricia Lewis"/>
    <s v="No"/>
    <s v="arnoldamy@example.net"/>
    <s v="725.263.9427x8816"/>
    <d v="2026-02-28T20:34:08"/>
    <m/>
  </r>
  <r>
    <s v="Sarah Drake"/>
    <n v="101076"/>
    <s v="IT"/>
    <d v="2026-01-14T00:00:00"/>
    <x v="2"/>
    <s v="Carol Palmer"/>
    <s v="Yes"/>
    <s v="kmoore@example.net"/>
    <s v="+1-727-850-3731x45303"/>
    <d v="2026-02-25T17:41:08"/>
    <m/>
  </r>
  <r>
    <s v="Sarah Drake"/>
    <n v="101076"/>
    <s v="IT"/>
    <d v="2026-01-14T00:00:00"/>
    <x v="4"/>
    <s v="Carol Palmer"/>
    <s v="Yes"/>
    <s v="kmoore@example.net"/>
    <s v="+1-727-850-3731x45303"/>
    <d v="2026-02-25T17:41:08"/>
    <m/>
  </r>
  <r>
    <s v="Sarah Drake"/>
    <n v="101076"/>
    <s v="IT"/>
    <d v="2026-01-14T00:00:00"/>
    <x v="5"/>
    <s v="Carol Palmer"/>
    <s v="Yes"/>
    <s v="kmoore@example.net"/>
    <s v="+1-727-850-3731x45303"/>
    <d v="2026-02-25T17:41:08"/>
    <m/>
  </r>
  <r>
    <s v="Jesse Williams"/>
    <n v="100854"/>
    <s v="Operations"/>
    <d v="2025-09-02T00:00:00"/>
    <x v="0"/>
    <s v="Mrs. Michele Boyd"/>
    <s v="No"/>
    <s v="mary49@example.net"/>
    <s v="001-826-565-9184"/>
    <d v="2026-02-16T19:41:08"/>
    <m/>
  </r>
  <r>
    <s v="Jesse Williams"/>
    <n v="100854"/>
    <s v="Operations"/>
    <d v="2025-09-02T00:00:00"/>
    <x v="1"/>
    <s v="Mrs. Michele Boyd"/>
    <s v="No"/>
    <s v="mary49@example.net"/>
    <s v="001-826-565-9184"/>
    <d v="2026-02-16T19:41:08"/>
    <m/>
  </r>
  <r>
    <s v="Jesse Williams"/>
    <n v="100854"/>
    <s v="Operations"/>
    <d v="2025-09-02T00:00:00"/>
    <x v="5"/>
    <s v="Mrs. Michele Boyd"/>
    <s v="No"/>
    <s v="mary49@example.net"/>
    <s v="001-826-565-9184"/>
    <d v="2026-02-16T19:41:08"/>
    <m/>
  </r>
  <r>
    <s v="Heather Parrish"/>
    <n v="101305"/>
    <s v="IT"/>
    <d v="2025-05-24T00:00:00"/>
    <x v="3"/>
    <s v="Mr. Larry Shaw"/>
    <s v="Yes"/>
    <s v="scotthall@example.net"/>
    <s v="+1-943-922-2591x3651"/>
    <d v="2026-02-14T07:11:08"/>
    <m/>
  </r>
  <r>
    <s v="Heather Parrish"/>
    <n v="101305"/>
    <s v="IT"/>
    <d v="2025-05-24T00:00:00"/>
    <x v="1"/>
    <s v="Mr. Larry Shaw"/>
    <s v="Yes"/>
    <s v="scotthall@example.net"/>
    <s v="+1-943-922-2591x3651"/>
    <d v="2026-02-14T07:11:08"/>
    <m/>
  </r>
  <r>
    <s v="Kevin Holland"/>
    <n v="101028"/>
    <s v="Marketing"/>
    <d v="2025-10-05T00:00:00"/>
    <x v="1"/>
    <s v="David Anderson"/>
    <s v="Yes"/>
    <s v="dennishunt@example.net"/>
    <s v="(202)642-8699"/>
    <d v="2026-02-24T05:04:08"/>
    <m/>
  </r>
  <r>
    <s v="Kevin Holland"/>
    <n v="101028"/>
    <s v="Marketing"/>
    <d v="2025-10-05T00:00:00"/>
    <x v="5"/>
    <s v="David Anderson"/>
    <s v="Yes"/>
    <s v="dennishunt@example.net"/>
    <s v="(202)642-8699"/>
    <d v="2026-02-24T05:04:08"/>
    <m/>
  </r>
  <r>
    <s v="Claire Obrien"/>
    <n v="100573"/>
    <s v="Finance"/>
    <d v="2026-05-08T00:00:00"/>
    <x v="1"/>
    <s v="John Robinson"/>
    <s v="Yes"/>
    <s v="yburke@example.net"/>
    <s v="001-429-384-2579x91366"/>
    <d v="2026-02-06T23:17:08"/>
    <m/>
  </r>
  <r>
    <s v="Claire Obrien"/>
    <n v="100573"/>
    <s v="Finance"/>
    <d v="2026-05-08T00:00:00"/>
    <x v="2"/>
    <s v="John Robinson"/>
    <s v="Yes"/>
    <s v="yburke@example.net"/>
    <s v="001-429-384-2579x91366"/>
    <d v="2026-02-06T23:17:08"/>
    <m/>
  </r>
  <r>
    <s v="Joseph Blankenship"/>
    <n v="100869"/>
    <s v="Marketing"/>
    <d v="2026-02-28T00:00:00"/>
    <x v="2"/>
    <s v="Samantha Jacobs"/>
    <s v="No"/>
    <s v="thomasmendez@example.org"/>
    <s v="+1-881-817-2980"/>
    <d v="2026-02-25T18:16:08"/>
    <m/>
  </r>
  <r>
    <s v="Joseph Blankenship"/>
    <n v="100869"/>
    <s v="Marketing"/>
    <d v="2026-02-28T00:00:00"/>
    <x v="4"/>
    <s v="Samantha Jacobs"/>
    <s v="No"/>
    <s v="thomasmendez@example.org"/>
    <s v="+1-881-817-2980"/>
    <d v="2026-02-25T18:16:08"/>
    <m/>
  </r>
  <r>
    <s v="Joseph Blankenship"/>
    <n v="100869"/>
    <s v="Marketing"/>
    <d v="2026-02-28T00:00:00"/>
    <x v="5"/>
    <s v="Samantha Jacobs"/>
    <s v="No"/>
    <s v="thomasmendez@example.org"/>
    <s v="+1-881-817-2980"/>
    <d v="2026-02-25T18:16:08"/>
    <m/>
  </r>
  <r>
    <s v="Andrew Moreno"/>
    <n v="101030"/>
    <s v="Engineering"/>
    <d v="2026-05-09T00:00:00"/>
    <x v="0"/>
    <s v="Robert Clarke"/>
    <s v="Yes"/>
    <s v="zbell@example.net"/>
    <s v="001-591-262-4731x49864"/>
    <d v="2026-02-04T07:34:08"/>
    <m/>
  </r>
  <r>
    <s v="Andrew Moreno"/>
    <n v="101030"/>
    <s v="Engineering"/>
    <d v="2026-05-09T00:00:00"/>
    <x v="5"/>
    <s v="Robert Clarke"/>
    <s v="Yes"/>
    <s v="zbell@example.net"/>
    <s v="001-591-262-4731x49864"/>
    <d v="2026-02-04T07:34:08"/>
    <m/>
  </r>
  <r>
    <s v="Rachel Lane"/>
    <n v="101432"/>
    <m/>
    <d v="2025-07-23T00:00:00"/>
    <x v="3"/>
    <s v="Adam Pena"/>
    <s v="Yes"/>
    <s v="robert12@example.com"/>
    <s v="+1-994-448-6959x4636"/>
    <d v="2026-02-15T21:30:08"/>
    <s v="Missing Department"/>
  </r>
  <r>
    <s v="Rachel Lane"/>
    <n v="101432"/>
    <m/>
    <d v="2025-07-23T00:00:00"/>
    <x v="4"/>
    <s v="Adam Pena"/>
    <s v="Yes"/>
    <s v="robert12@example.com"/>
    <s v="+1-994-448-6959x4636"/>
    <d v="2026-02-15T21:30:08"/>
    <s v="Missing Department"/>
  </r>
  <r>
    <s v="Rachel Lane"/>
    <n v="101432"/>
    <m/>
    <d v="2025-07-23T00:00:00"/>
    <x v="5"/>
    <s v="Adam Pena"/>
    <s v="Yes"/>
    <s v="robert12@example.com"/>
    <s v="+1-994-448-6959x4636"/>
    <d v="2026-02-15T21:30:08"/>
    <s v="Missing Department"/>
  </r>
  <r>
    <s v="Justin King"/>
    <n v="100980"/>
    <s v="IT"/>
    <d v="2026-01-08T00:00:00"/>
    <x v="0"/>
    <s v="Gregory Thornton"/>
    <s v="No"/>
    <s v="melissahopkins@example.net"/>
    <s v="272.413.8658"/>
    <d v="2026-02-10T16:39:08"/>
    <m/>
  </r>
  <r>
    <s v="Justin King"/>
    <n v="100980"/>
    <s v="IT"/>
    <d v="2026-01-08T00:00:00"/>
    <x v="3"/>
    <s v="Gregory Thornton"/>
    <s v="No"/>
    <s v="melissahopkins@example.net"/>
    <s v="272.413.8658"/>
    <d v="2026-02-10T16:39:08"/>
    <m/>
  </r>
  <r>
    <s v="Mark Brock"/>
    <n v="101299"/>
    <s v="HR"/>
    <d v="2026-03-10T00:00:00"/>
    <x v="0"/>
    <s v="Kaitlyn Burke"/>
    <s v="Yes"/>
    <s v="brownjeffrey@example.org"/>
    <s v="+1-206-569-8490x277"/>
    <d v="2026-02-01T19:13:08"/>
    <m/>
  </r>
  <r>
    <s v="Mark Brock"/>
    <n v="101299"/>
    <s v="HR"/>
    <d v="2026-03-10T00:00:00"/>
    <x v="3"/>
    <s v="Kaitlyn Burke"/>
    <s v="Yes"/>
    <s v="brownjeffrey@example.org"/>
    <s v="+1-206-569-8490x277"/>
    <d v="2026-02-01T19:13:08"/>
    <m/>
  </r>
  <r>
    <s v="Mark Brock"/>
    <n v="101299"/>
    <s v="HR"/>
    <d v="2026-03-10T00:00:00"/>
    <x v="2"/>
    <s v="Kaitlyn Burke"/>
    <s v="Yes"/>
    <s v="brownjeffrey@example.org"/>
    <s v="+1-206-569-8490x277"/>
    <d v="2026-02-01T19:13:08"/>
    <m/>
  </r>
  <r>
    <s v="Tara Holmes"/>
    <n v="100515"/>
    <s v="HR"/>
    <d v="2025-06-09T00:00:00"/>
    <x v="3"/>
    <s v="Richard Dixon"/>
    <s v="No"/>
    <s v="christinacraig@example.com"/>
    <s v="502.214.6566"/>
    <d v="2026-02-17T14:18:08"/>
    <m/>
  </r>
  <r>
    <s v="Tara Holmes"/>
    <n v="100515"/>
    <s v="HR"/>
    <d v="2025-06-09T00:00:00"/>
    <x v="2"/>
    <s v="Richard Dixon"/>
    <s v="No"/>
    <s v="christinacraig@example.com"/>
    <s v="502.214.6566"/>
    <d v="2026-02-17T14:18:08"/>
    <m/>
  </r>
  <r>
    <s v="Tara Holmes"/>
    <n v="100515"/>
    <s v="HR"/>
    <d v="2025-06-09T00:00:00"/>
    <x v="5"/>
    <s v="Richard Dixon"/>
    <s v="No"/>
    <s v="christinacraig@example.com"/>
    <s v="502.214.6566"/>
    <d v="2026-02-17T14:18:08"/>
    <m/>
  </r>
  <r>
    <s v="Andrea Davis"/>
    <n v="100729"/>
    <s v="Engineering"/>
    <d v="2025-05-05T00:00:00"/>
    <x v="3"/>
    <s v="Ronald Herman"/>
    <s v="Yes"/>
    <s v="michael43@example.net"/>
    <s v="376.390.4268"/>
    <d v="2026-02-16T05:08:08"/>
    <m/>
  </r>
  <r>
    <s v="Andrea Davis"/>
    <n v="100729"/>
    <s v="Engineering"/>
    <d v="2025-05-05T00:00:00"/>
    <x v="4"/>
    <s v="Ronald Herman"/>
    <s v="Yes"/>
    <s v="michael43@example.net"/>
    <s v="376.390.4268"/>
    <d v="2026-02-16T05:08:08"/>
    <m/>
  </r>
  <r>
    <s v="Gina Wilson"/>
    <n v="100790"/>
    <s v="Operations"/>
    <d v="2025-11-08T00:00:00"/>
    <x v="0"/>
    <s v="Deanna Medina"/>
    <s v="No"/>
    <s v="heather69@example.com"/>
    <s v="001-735-877-9071x41633"/>
    <d v="2026-03-15T01:26:08"/>
    <m/>
  </r>
  <r>
    <s v="Gina Wilson"/>
    <n v="100790"/>
    <s v="Operations"/>
    <d v="2025-11-08T00:00:00"/>
    <x v="3"/>
    <s v="Deanna Medina"/>
    <s v="No"/>
    <s v="heather69@example.com"/>
    <s v="001-735-877-9071x41633"/>
    <d v="2026-03-15T01:26:08"/>
    <m/>
  </r>
  <r>
    <s v="Gina Wilson"/>
    <n v="100790"/>
    <s v="Operations"/>
    <d v="2025-11-08T00:00:00"/>
    <x v="4"/>
    <s v="Deanna Medina"/>
    <s v="No"/>
    <s v="heather69@example.com"/>
    <s v="001-735-877-9071x41633"/>
    <d v="2026-03-15T01:26:08"/>
    <m/>
  </r>
  <r>
    <s v="Kelli Smith"/>
    <n v="101239"/>
    <s v="Marketing"/>
    <d v="2025-08-14T00:00:00"/>
    <x v="0"/>
    <s v="Danielle Davis"/>
    <s v="Yes"/>
    <s v="charles27@example.com"/>
    <s v="(539)542-3733x343"/>
    <d v="2026-02-22T07:16:08"/>
    <m/>
  </r>
  <r>
    <s v="Kelli Smith"/>
    <n v="101239"/>
    <s v="Marketing"/>
    <d v="2025-08-14T00:00:00"/>
    <x v="2"/>
    <s v="Danielle Davis"/>
    <s v="Yes"/>
    <s v="charles27@example.com"/>
    <s v="(539)542-3733x343"/>
    <d v="2026-02-22T07:16:08"/>
    <m/>
  </r>
  <r>
    <s v="Sara Kelly"/>
    <n v="100094"/>
    <s v="HR"/>
    <d v="2025-11-04T00:00:00"/>
    <x v="3"/>
    <s v="Barbara Miller"/>
    <s v="No"/>
    <s v="waustin@example.net"/>
    <s v="4756957947"/>
    <d v="2026-02-22T01:39:08"/>
    <m/>
  </r>
  <r>
    <s v="Paul Anderson"/>
    <m/>
    <s v="Marketing"/>
    <d v="2025-10-26T00:00:00"/>
    <x v="0"/>
    <s v="Jenny Ayers"/>
    <s v="Yes"/>
    <s v="shawphillip@example.net"/>
    <s v="001-727-618-7500x36915"/>
    <d v="2026-02-25T16:23:08"/>
    <s v="Missing Employee ID"/>
  </r>
  <r>
    <s v="Paul Anderson"/>
    <m/>
    <s v="Marketing"/>
    <d v="2025-10-26T00:00:00"/>
    <x v="1"/>
    <s v="Jenny Ayers"/>
    <s v="Yes"/>
    <s v="shawphillip@example.net"/>
    <s v="001-727-618-7500x36915"/>
    <d v="2026-02-25T16:23:08"/>
    <s v="Missing Employee ID"/>
  </r>
  <r>
    <s v="Paul Anderson"/>
    <m/>
    <s v="Marketing"/>
    <d v="2025-10-26T00:00:00"/>
    <x v="5"/>
    <s v="Jenny Ayers"/>
    <s v="Yes"/>
    <s v="shawphillip@example.net"/>
    <s v="001-727-618-7500x36915"/>
    <d v="2026-02-25T16:23:08"/>
    <s v="Missing Employee ID"/>
  </r>
  <r>
    <s v="Dennis Adams"/>
    <n v="100899"/>
    <s v="Marketing"/>
    <d v="2025-03-27T00:00:00"/>
    <x v="0"/>
    <s v="Grace White"/>
    <s v="Yes"/>
    <s v="sclark@example.com"/>
    <s v="(864)872-9293x143"/>
    <d v="2026-03-01T00:18:08"/>
    <m/>
  </r>
  <r>
    <s v="Dennis Adams"/>
    <n v="100899"/>
    <s v="Marketing"/>
    <d v="2025-03-27T00:00:00"/>
    <x v="2"/>
    <s v="Grace White"/>
    <s v="Yes"/>
    <s v="sclark@example.com"/>
    <s v="(864)872-9293x143"/>
    <d v="2026-03-01T00:18:08"/>
    <m/>
  </r>
  <r>
    <s v="Robert Rodgers"/>
    <n v="100137"/>
    <s v="Marketing"/>
    <d v="2025-12-23T00:00:00"/>
    <x v="1"/>
    <s v="Adam Fisher"/>
    <s v="No"/>
    <s v="wendyatkinson@example.net"/>
    <s v="+1-357-444-8906"/>
    <d v="2026-02-15T10:00:08"/>
    <m/>
  </r>
  <r>
    <s v="Robert Woods"/>
    <n v="100554"/>
    <s v="Operations"/>
    <d v="2026-02-01T00:00:00"/>
    <x v="4"/>
    <s v="Joanna Cook"/>
    <s v="No"/>
    <s v="michael84@example.com"/>
    <s v="4616593998"/>
    <d v="2026-02-19T16:55:08"/>
    <m/>
  </r>
  <r>
    <s v="Michael Freeman"/>
    <n v="101041"/>
    <s v="IT"/>
    <d v="2025-06-25T00:00:00"/>
    <x v="3"/>
    <s v="Stacy James"/>
    <s v="No"/>
    <s v="steven22@example.net"/>
    <s v="869-696-1125x35544"/>
    <d v="2026-03-16T10:35:08"/>
    <m/>
  </r>
  <r>
    <s v="Michael Freeman"/>
    <n v="101041"/>
    <s v="IT"/>
    <d v="2025-06-25T00:00:00"/>
    <x v="5"/>
    <s v="Stacy James"/>
    <s v="No"/>
    <s v="steven22@example.net"/>
    <s v="869-696-1125x35544"/>
    <d v="2026-03-16T10:35:08"/>
    <m/>
  </r>
  <r>
    <s v="Priscilla Mcmillan"/>
    <n v="100998"/>
    <s v="Finance"/>
    <d v="2025-08-05T00:00:00"/>
    <x v="0"/>
    <s v="Kelly Cole"/>
    <s v="Yes"/>
    <s v="ivanjohnson@example.net"/>
    <s v="941.232.6111"/>
    <d v="2026-02-21T06:47:08"/>
    <m/>
  </r>
  <r>
    <s v="Priscilla Mcmillan"/>
    <n v="100998"/>
    <s v="Finance"/>
    <d v="2025-08-05T00:00:00"/>
    <x v="3"/>
    <s v="Kelly Cole"/>
    <s v="Yes"/>
    <s v="ivanjohnson@example.net"/>
    <s v="941.232.6111"/>
    <d v="2026-02-21T06:47:08"/>
    <m/>
  </r>
  <r>
    <s v="Priscilla Mcmillan"/>
    <n v="100998"/>
    <s v="Finance"/>
    <d v="2025-08-05T00:00:00"/>
    <x v="2"/>
    <s v="Kelly Cole"/>
    <s v="Yes"/>
    <s v="ivanjohnson@example.net"/>
    <s v="941.232.6111"/>
    <d v="2026-02-21T06:47:08"/>
    <m/>
  </r>
  <r>
    <s v="James Hubbard"/>
    <n v="101348"/>
    <s v="Finance"/>
    <d v="2025-11-05T00:00:00"/>
    <x v="1"/>
    <s v="Dennis Moore"/>
    <s v="No"/>
    <s v="pparker@example.net"/>
    <s v="672-928-2005x5778"/>
    <d v="2026-02-10T20:06:08"/>
    <m/>
  </r>
  <r>
    <s v="Travis Ryan"/>
    <n v="100376"/>
    <s v="HR"/>
    <d v="2026-01-15T00:00:00"/>
    <x v="3"/>
    <s v="Joyce Curry"/>
    <s v="Yes"/>
    <s v="omills@example.net"/>
    <s v="257-283-1745x6424"/>
    <d v="2026-02-22T05:54:08"/>
    <m/>
  </r>
  <r>
    <s v="Travis Ryan"/>
    <n v="100376"/>
    <s v="HR"/>
    <d v="2026-01-15T00:00:00"/>
    <x v="5"/>
    <s v="Joyce Curry"/>
    <s v="Yes"/>
    <s v="omills@example.net"/>
    <s v="257-283-1745x6424"/>
    <d v="2026-02-22T05:54:08"/>
    <m/>
  </r>
  <r>
    <s v="Olivia Taylor"/>
    <n v="101067"/>
    <s v="Operations"/>
    <d v="2026-01-26T00:00:00"/>
    <x v="0"/>
    <s v="Joseph Watts"/>
    <s v="No"/>
    <s v="earroyo@example.com"/>
    <s v="8648930853"/>
    <d v="2026-02-04T21:46:08"/>
    <m/>
  </r>
  <r>
    <s v="Christopher Mclaughlin"/>
    <n v="101065"/>
    <s v="Engineering"/>
    <d v="2026-02-23T00:00:00"/>
    <x v="1"/>
    <s v="James Baker"/>
    <s v="Yes"/>
    <s v="hgarrett@example.net"/>
    <s v="001-944-984-6312x241"/>
    <d v="2026-03-01T07:29:08"/>
    <m/>
  </r>
  <r>
    <s v="Marcus Lopez"/>
    <n v="100991"/>
    <s v="Marketing"/>
    <d v="2025-06-17T00:00:00"/>
    <x v="0"/>
    <s v="Anthony Nichols"/>
    <s v="No"/>
    <s v="teresacampbell@example.org"/>
    <s v="001-970-731-2073x564"/>
    <d v="2026-02-17T21:33:08"/>
    <m/>
  </r>
  <r>
    <s v="Marcus Lopez"/>
    <n v="100991"/>
    <s v="Marketing"/>
    <d v="2025-06-17T00:00:00"/>
    <x v="4"/>
    <s v="Anthony Nichols"/>
    <s v="No"/>
    <s v="teresacampbell@example.org"/>
    <s v="001-970-731-2073x564"/>
    <d v="2026-02-17T21:33:08"/>
    <m/>
  </r>
  <r>
    <s v="Rick Rivera"/>
    <n v="101296"/>
    <s v="Marketing"/>
    <d v="2026-01-04T00:00:00"/>
    <x v="4"/>
    <s v="Tiffany Brown"/>
    <s v="No"/>
    <s v="ejones@example.org"/>
    <s v="246.501.3673"/>
    <d v="2026-02-03T23:34:08"/>
    <m/>
  </r>
  <r>
    <s v="Rick Rivera"/>
    <n v="101296"/>
    <s v="Marketing"/>
    <d v="2026-01-04T00:00:00"/>
    <x v="5"/>
    <s v="Tiffany Brown"/>
    <s v="No"/>
    <s v="ejones@example.org"/>
    <s v="246.501.3673"/>
    <d v="2026-02-03T23:34:08"/>
    <m/>
  </r>
  <r>
    <s v="Ray Boyd"/>
    <n v="100172"/>
    <s v="Marketing"/>
    <d v="2025-12-25T00:00:00"/>
    <x v="5"/>
    <s v="Mrs. Melanie Collins"/>
    <s v="No"/>
    <s v="eric08@example.net"/>
    <s v="547-843-5031"/>
    <d v="2026-03-08T11:31:08"/>
    <m/>
  </r>
  <r>
    <s v="Christopher Hill"/>
    <n v="100474"/>
    <s v="HR"/>
    <d v="2025-11-01T00:00:00"/>
    <x v="0"/>
    <s v="Richard Smith"/>
    <s v="No"/>
    <s v="perkinshannah@example.net"/>
    <s v="+1-725-413-2719x500"/>
    <d v="2026-03-08T11:15:08"/>
    <m/>
  </r>
  <r>
    <s v="Christopher Hill"/>
    <n v="100474"/>
    <s v="HR"/>
    <d v="2025-11-01T00:00:00"/>
    <x v="1"/>
    <s v="Richard Smith"/>
    <s v="No"/>
    <s v="perkinshannah@example.net"/>
    <s v="+1-725-413-2719x500"/>
    <d v="2026-03-08T11:15:08"/>
    <m/>
  </r>
  <r>
    <s v="Christopher Hill"/>
    <n v="100474"/>
    <s v="HR"/>
    <d v="2025-11-01T00:00:00"/>
    <x v="2"/>
    <s v="Richard Smith"/>
    <s v="No"/>
    <s v="perkinshannah@example.net"/>
    <s v="+1-725-413-2719x500"/>
    <d v="2026-03-08T11:15:08"/>
    <m/>
  </r>
  <r>
    <s v="Rebecca Martinez"/>
    <n v="100351"/>
    <s v="Operations"/>
    <d v="2025-12-28T00:00:00"/>
    <x v="0"/>
    <s v="William Kramer"/>
    <s v="No"/>
    <s v="linda73@example.org"/>
    <s v="001-565-424-0778x487"/>
    <d v="2026-02-18T02:45:08"/>
    <m/>
  </r>
  <r>
    <s v="Rebecca Martinez"/>
    <n v="100351"/>
    <s v="Operations"/>
    <d v="2025-12-28T00:00:00"/>
    <x v="3"/>
    <s v="William Kramer"/>
    <s v="No"/>
    <s v="linda73@example.org"/>
    <s v="001-565-424-0778x487"/>
    <d v="2026-02-18T02:45:08"/>
    <m/>
  </r>
  <r>
    <s v="Rebecca Martinez"/>
    <n v="100351"/>
    <s v="Operations"/>
    <d v="2025-12-28T00:00:00"/>
    <x v="5"/>
    <s v="William Kramer"/>
    <s v="No"/>
    <s v="linda73@example.org"/>
    <s v="001-565-424-0778x487"/>
    <d v="2026-02-18T02:45:08"/>
    <m/>
  </r>
  <r>
    <s v="Erica Mcdonald"/>
    <n v="100057"/>
    <s v="IT"/>
    <d v="2025-06-09T00:00:00"/>
    <x v="3"/>
    <s v="Linda Valencia"/>
    <s v="Yes"/>
    <s v="caseymoore@example.com"/>
    <s v="585-770-8620x959"/>
    <d v="2026-03-02T07:56:08"/>
    <m/>
  </r>
  <r>
    <s v="Mary Ryan"/>
    <n v="101276"/>
    <s v="Engineering"/>
    <d v="2025-08-03T00:00:00"/>
    <x v="3"/>
    <s v="Joseph Jimenez"/>
    <s v="No"/>
    <s v="chloemorris@example.net"/>
    <s v="211-881-0220x31731"/>
    <d v="2026-03-06T02:18:08"/>
    <m/>
  </r>
  <r>
    <s v="Kelly Miles"/>
    <n v="100036"/>
    <s v="IT"/>
    <d v="2026-03-31T00:00:00"/>
    <x v="0"/>
    <s v="Jacob Obrien"/>
    <s v="Yes"/>
    <s v="smithsamantha@example.net"/>
    <s v="317.605.8650x9480"/>
    <d v="2026-02-08T14:01:08"/>
    <m/>
  </r>
  <r>
    <s v="Kelly Miles"/>
    <n v="100036"/>
    <s v="IT"/>
    <d v="2026-03-31T00:00:00"/>
    <x v="3"/>
    <s v="Jacob Obrien"/>
    <s v="Yes"/>
    <s v="smithsamantha@example.net"/>
    <s v="317.605.8650x9480"/>
    <d v="2026-02-08T14:01:08"/>
    <m/>
  </r>
  <r>
    <s v="Daniel Stone"/>
    <n v="100795"/>
    <s v="Finance"/>
    <d v="2026-04-16T00:00:00"/>
    <x v="3"/>
    <s v="David Cruz"/>
    <s v="No"/>
    <s v="aliciawright@example.net"/>
    <s v="(388)461-9576"/>
    <d v="2026-02-10T10:27:08"/>
    <m/>
  </r>
  <r>
    <s v="Daniel Stone"/>
    <n v="100795"/>
    <s v="Finance"/>
    <d v="2026-04-16T00:00:00"/>
    <x v="1"/>
    <s v="David Cruz"/>
    <s v="No"/>
    <s v="aliciawright@example.net"/>
    <s v="(388)461-9576"/>
    <d v="2026-02-10T10:27:08"/>
    <m/>
  </r>
  <r>
    <s v="Daniel Stone"/>
    <n v="100795"/>
    <s v="Finance"/>
    <d v="2026-04-16T00:00:00"/>
    <x v="2"/>
    <s v="David Cruz"/>
    <s v="No"/>
    <s v="aliciawright@example.net"/>
    <s v="(388)461-9576"/>
    <d v="2026-02-10T10:27:08"/>
    <m/>
  </r>
  <r>
    <s v="Krista Wagner"/>
    <n v="100381"/>
    <s v="Operations"/>
    <d v="2025-05-07T00:00:00"/>
    <x v="0"/>
    <s v="Kimberly Greene"/>
    <s v="Yes"/>
    <s v="rachel85@example.com"/>
    <s v="(865)293-9836x84577"/>
    <d v="2026-02-16T08:56:08"/>
    <m/>
  </r>
  <r>
    <s v="Krista Wagner"/>
    <n v="100381"/>
    <s v="Operations"/>
    <d v="2025-05-07T00:00:00"/>
    <x v="1"/>
    <s v="Kimberly Greene"/>
    <s v="Yes"/>
    <s v="rachel85@example.com"/>
    <s v="(865)293-9836x84577"/>
    <d v="2026-02-16T08:56:08"/>
    <m/>
  </r>
  <r>
    <s v="Krista Wagner"/>
    <n v="100381"/>
    <s v="Operations"/>
    <d v="2025-05-07T00:00:00"/>
    <x v="4"/>
    <s v="Kimberly Greene"/>
    <s v="Yes"/>
    <s v="rachel85@example.com"/>
    <s v="(865)293-9836x84577"/>
    <d v="2026-02-16T08:56:08"/>
    <m/>
  </r>
  <r>
    <s v="Victoria Larson"/>
    <n v="101094"/>
    <s v="HR"/>
    <d v="2026-05-08T00:00:00"/>
    <x v="5"/>
    <s v="Wendy Turner"/>
    <s v="Yes"/>
    <s v="tracey35@example.org"/>
    <s v="001-648-788-9921x07522"/>
    <d v="2026-03-01T10:45:08"/>
    <m/>
  </r>
  <r>
    <s v="Danielle Scott"/>
    <n v="101003"/>
    <s v="IT"/>
    <d v="2026-03-03T00:00:00"/>
    <x v="0"/>
    <s v="Kelly Carroll"/>
    <s v="No"/>
    <s v="jessicacummings@example.com"/>
    <s v="(379)219-4096"/>
    <d v="2026-03-05T20:53:08"/>
    <m/>
  </r>
  <r>
    <s v="Danielle Scott"/>
    <n v="101003"/>
    <s v="IT"/>
    <d v="2026-03-03T00:00:00"/>
    <x v="3"/>
    <s v="Kelly Carroll"/>
    <s v="No"/>
    <s v="jessicacummings@example.com"/>
    <s v="(379)219-4096"/>
    <d v="2026-03-05T20:53:08"/>
    <m/>
  </r>
  <r>
    <s v="Felicia Hobbs"/>
    <n v="100992"/>
    <s v="Marketing"/>
    <d v="2026-04-21T00:00:00"/>
    <x v="4"/>
    <s v="Timothy Martinez"/>
    <s v="Yes"/>
    <s v="julieatkinson@example.org"/>
    <s v="+1-460-248-0589x2583"/>
    <d v="2026-02-08T05:56:08"/>
    <m/>
  </r>
  <r>
    <s v="Yolanda Maddox"/>
    <n v="100531"/>
    <s v="IT"/>
    <d v="2025-08-06T00:00:00"/>
    <x v="3"/>
    <s v="Laura Davis"/>
    <s v="No"/>
    <s v="zroberts@example.org"/>
    <s v="(351)879-0864"/>
    <d v="2026-02-25T22:22:08"/>
    <m/>
  </r>
  <r>
    <s v="Yolanda Maddox"/>
    <n v="100531"/>
    <s v="IT"/>
    <d v="2025-08-06T00:00:00"/>
    <x v="1"/>
    <s v="Laura Davis"/>
    <s v="No"/>
    <s v="zroberts@example.org"/>
    <s v="(351)879-0864"/>
    <d v="2026-02-25T22:22:08"/>
    <m/>
  </r>
  <r>
    <s v="Yolanda Maddox"/>
    <n v="100531"/>
    <s v="IT"/>
    <d v="2025-08-06T00:00:00"/>
    <x v="4"/>
    <s v="Laura Davis"/>
    <s v="No"/>
    <s v="zroberts@example.org"/>
    <s v="(351)879-0864"/>
    <d v="2026-02-25T22:22:08"/>
    <m/>
  </r>
  <r>
    <s v="Patricia Anderson"/>
    <n v="100916"/>
    <s v="Finance"/>
    <d v="2025-12-04T00:00:00"/>
    <x v="2"/>
    <s v="Justin Freeman"/>
    <s v="Yes"/>
    <s v="annshea@example.net"/>
    <s v="831.846.5911"/>
    <d v="2026-02-26T19:31:08"/>
    <m/>
  </r>
  <r>
    <s v="Patricia Anderson"/>
    <n v="100916"/>
    <s v="Finance"/>
    <d v="2025-12-04T00:00:00"/>
    <x v="4"/>
    <s v="Justin Freeman"/>
    <s v="Yes"/>
    <s v="annshea@example.net"/>
    <s v="831.846.5911"/>
    <d v="2026-02-26T19:31:08"/>
    <m/>
  </r>
  <r>
    <s v="Patricia Anderson"/>
    <n v="100916"/>
    <s v="Finance"/>
    <d v="2025-12-04T00:00:00"/>
    <x v="5"/>
    <s v="Justin Freeman"/>
    <s v="Yes"/>
    <s v="annshea@example.net"/>
    <s v="831.846.5911"/>
    <d v="2026-02-26T19:31:08"/>
    <m/>
  </r>
  <r>
    <s v="Connor Cooper"/>
    <n v="100252"/>
    <s v="Marketing"/>
    <d v="2026-03-10T00:00:00"/>
    <x v="4"/>
    <s v="Patricia Jackson"/>
    <s v="Yes"/>
    <s v="christina79@example.org"/>
    <s v="603.235.2110x392"/>
    <d v="2026-01-30T06:55:08"/>
    <m/>
  </r>
  <r>
    <s v="Robert Torres"/>
    <n v="100673"/>
    <s v="Finance"/>
    <d v="2026-04-09T00:00:00"/>
    <x v="0"/>
    <s v="Gary Singh"/>
    <s v="No"/>
    <s v="jamesmills@example.com"/>
    <s v="+1-679-420-6980"/>
    <d v="2026-02-04T03:46:08"/>
    <m/>
  </r>
  <r>
    <s v="Robert Torres"/>
    <n v="100673"/>
    <s v="Finance"/>
    <d v="2026-04-09T00:00:00"/>
    <x v="4"/>
    <s v="Gary Singh"/>
    <s v="No"/>
    <s v="jamesmills@example.com"/>
    <s v="+1-679-420-6980"/>
    <d v="2026-02-04T03:46:08"/>
    <m/>
  </r>
  <r>
    <s v="Robert Torres"/>
    <n v="100673"/>
    <s v="Finance"/>
    <d v="2026-04-09T00:00:00"/>
    <x v="5"/>
    <s v="Gary Singh"/>
    <s v="No"/>
    <s v="jamesmills@example.com"/>
    <s v="+1-679-420-6980"/>
    <d v="2026-02-04T03:46:08"/>
    <m/>
  </r>
  <r>
    <s v="Curtis Horton"/>
    <n v="101464"/>
    <s v="Operations"/>
    <d v="2025-11-02T00:00:00"/>
    <x v="0"/>
    <s v="John Landry"/>
    <s v="Yes"/>
    <s v="pricejoseph@example.net"/>
    <s v="(310)446-3681x579"/>
    <d v="2026-02-19T00:19:08"/>
    <m/>
  </r>
  <r>
    <s v="Walter Castro"/>
    <n v="100827"/>
    <s v="Finance"/>
    <d v="2026-03-06T00:00:00"/>
    <x v="0"/>
    <s v="Amanda Nielsen"/>
    <s v="No"/>
    <s v="matthew62@example.org"/>
    <s v="(655)543-8404x608"/>
    <d v="2026-02-07T17:49:08"/>
    <m/>
  </r>
  <r>
    <s v="Walter Castro"/>
    <n v="100827"/>
    <s v="Finance"/>
    <d v="2026-03-06T00:00:00"/>
    <x v="5"/>
    <s v="Amanda Nielsen"/>
    <s v="No"/>
    <s v="matthew62@example.org"/>
    <s v="(655)543-8404x608"/>
    <d v="2026-02-07T17:49:08"/>
    <m/>
  </r>
  <r>
    <s v="Steven Sandoval"/>
    <n v="101142"/>
    <s v="Engineering"/>
    <d v="2026-03-25T00:00:00"/>
    <x v="0"/>
    <s v="James Yu"/>
    <s v="Yes"/>
    <s v="robertberry@example.com"/>
    <s v="495-878-2329x8324"/>
    <d v="2026-02-10T04:20:08"/>
    <m/>
  </r>
  <r>
    <s v="Steven Sandoval"/>
    <n v="101142"/>
    <s v="Engineering"/>
    <d v="2026-03-25T00:00:00"/>
    <x v="1"/>
    <s v="James Yu"/>
    <s v="Yes"/>
    <s v="robertberry@example.com"/>
    <s v="495-878-2329x8324"/>
    <d v="2026-02-10T04:20:08"/>
    <m/>
  </r>
  <r>
    <s v="Vanessa Thomas DVM"/>
    <n v="100874"/>
    <s v="Finance"/>
    <d v="2025-10-21T00:00:00"/>
    <x v="5"/>
    <s v="Emily Grant"/>
    <s v="No"/>
    <s v="whitemary@example.org"/>
    <s v="001-205-666-4742x3122"/>
    <d v="2026-02-24T08:14:08"/>
    <m/>
  </r>
  <r>
    <s v="Lisa Carlson"/>
    <n v="100738"/>
    <s v="HR"/>
    <d v="2025-12-21T00:00:00"/>
    <x v="3"/>
    <s v="Alexander Miller"/>
    <s v="No"/>
    <s v="manderson@example.com"/>
    <s v="001-252-667-7223x306"/>
    <d v="2026-02-01T16:15:08"/>
    <m/>
  </r>
  <r>
    <s v="Lisa Carlson"/>
    <n v="100738"/>
    <s v="HR"/>
    <d v="2025-12-21T00:00:00"/>
    <x v="4"/>
    <s v="Alexander Miller"/>
    <s v="No"/>
    <s v="manderson@example.com"/>
    <s v="001-252-667-7223x306"/>
    <d v="2026-02-01T16:15:08"/>
    <m/>
  </r>
  <r>
    <s v="Lisa Carlson"/>
    <n v="100738"/>
    <s v="HR"/>
    <d v="2025-12-21T00:00:00"/>
    <x v="5"/>
    <s v="Alexander Miller"/>
    <s v="No"/>
    <s v="manderson@example.com"/>
    <s v="001-252-667-7223x306"/>
    <d v="2026-02-01T16:15:08"/>
    <m/>
  </r>
  <r>
    <s v="Courtney Powers"/>
    <n v="101297"/>
    <s v="Engineering"/>
    <d v="2025-05-05T00:00:00"/>
    <x v="3"/>
    <s v="Daniel Thompson"/>
    <s v="Yes"/>
    <s v="fcamacho@example.net"/>
    <s v="273-366-0965x69998"/>
    <d v="2026-02-16T02:20:08"/>
    <m/>
  </r>
  <r>
    <s v="Courtney Powers"/>
    <n v="101297"/>
    <s v="Engineering"/>
    <d v="2025-05-05T00:00:00"/>
    <x v="2"/>
    <s v="Daniel Thompson"/>
    <s v="Yes"/>
    <s v="fcamacho@example.net"/>
    <s v="273-366-0965x69998"/>
    <d v="2026-02-16T02:20:08"/>
    <m/>
  </r>
  <r>
    <s v="Courtney Powers"/>
    <n v="101297"/>
    <s v="Engineering"/>
    <d v="2025-05-05T00:00:00"/>
    <x v="5"/>
    <s v="Daniel Thompson"/>
    <s v="Yes"/>
    <s v="fcamacho@example.net"/>
    <s v="273-366-0965x69998"/>
    <d v="2026-02-16T02:20:08"/>
    <m/>
  </r>
  <r>
    <s v="Ronald Williams"/>
    <m/>
    <s v="Engineering"/>
    <d v="2025-10-21T00:00:00"/>
    <x v="0"/>
    <s v="Kelly Foster PhD"/>
    <s v="Yes"/>
    <s v="oblack@example.org"/>
    <s v="647.264.4726"/>
    <d v="2026-02-03T07:36:08"/>
    <s v="Missing Employee ID"/>
  </r>
  <r>
    <s v="Stephanie Ford"/>
    <n v="100179"/>
    <s v="Marketing"/>
    <d v="2025-08-03T00:00:00"/>
    <x v="0"/>
    <s v="Ann Mason"/>
    <s v="No"/>
    <s v="kimberlypace@example.net"/>
    <s v="+1-526-965-7027"/>
    <d v="2026-02-28T15:06:08"/>
    <s v="Duplicate Employee ID"/>
  </r>
  <r>
    <s v="Fred Wong"/>
    <n v="100485"/>
    <s v="HR"/>
    <d v="2026-02-19T00:00:00"/>
    <x v="2"/>
    <s v="Carly Quinn"/>
    <s v="No"/>
    <s v="wilsonshannon@example.com"/>
    <s v="286-489-2686"/>
    <d v="2026-01-31T09:55:08"/>
    <m/>
  </r>
  <r>
    <s v="Fred Wong"/>
    <n v="100485"/>
    <s v="HR"/>
    <d v="2026-02-19T00:00:00"/>
    <x v="4"/>
    <s v="Carly Quinn"/>
    <s v="No"/>
    <s v="wilsonshannon@example.com"/>
    <s v="286-489-2686"/>
    <d v="2026-01-31T09:55:08"/>
    <m/>
  </r>
  <r>
    <s v="Fred Wong"/>
    <n v="100485"/>
    <s v="HR"/>
    <d v="2026-02-19T00:00:00"/>
    <x v="5"/>
    <s v="Carly Quinn"/>
    <s v="No"/>
    <s v="wilsonshannon@example.com"/>
    <s v="286-489-2686"/>
    <d v="2026-01-31T09:55:08"/>
    <m/>
  </r>
  <r>
    <s v="Krystal Keller"/>
    <n v="100657"/>
    <s v="Operations"/>
    <d v="2026-02-14T00:00:00"/>
    <x v="0"/>
    <s v="Sean White"/>
    <s v="Yes"/>
    <s v="barneskyle@example.com"/>
    <s v="221-923-0940x7778"/>
    <d v="2026-03-16T10:37:08"/>
    <m/>
  </r>
  <r>
    <s v="Kevin Alvarez"/>
    <n v="100915"/>
    <s v="IT"/>
    <d v="2025-04-24T00:00:00"/>
    <x v="3"/>
    <s v="Bobby Greene"/>
    <s v="Yes"/>
    <s v="nicoleramirez@example.net"/>
    <s v="+1-230-622-0502"/>
    <d v="2026-02-10T18:42:08"/>
    <m/>
  </r>
  <r>
    <s v="Brandon Rodriguez"/>
    <n v="100766"/>
    <s v="Operations"/>
    <d v="2025-03-20T00:00:00"/>
    <x v="0"/>
    <s v="Candace Mitchell DDS"/>
    <s v="No"/>
    <s v="tammycurry@example.com"/>
    <s v="3146556168"/>
    <d v="2026-03-09T03:30:08"/>
    <m/>
  </r>
  <r>
    <s v="Bryan Villarreal"/>
    <n v="100814"/>
    <s v="Marketing"/>
    <d v="2025-11-15T00:00:00"/>
    <x v="4"/>
    <s v="Jason Clark"/>
    <s v="No"/>
    <s v="cherylrodriguez@example.net"/>
    <s v="+1-781-479-4695x4899"/>
    <d v="2026-03-11T14:25:08"/>
    <m/>
  </r>
  <r>
    <s v="Kathleen Daniel"/>
    <n v="100830"/>
    <s v="Marketing"/>
    <d v="2025-08-23T00:00:00"/>
    <x v="1"/>
    <s v="Dr. Stephen Hall IV"/>
    <s v="No"/>
    <s v="aaronjohnson@example.net"/>
    <s v="539-266-0558"/>
    <d v="2026-03-07T20:01:08"/>
    <s v="Duplicate Employee ID"/>
  </r>
  <r>
    <s v="Kathleen Daniel"/>
    <n v="100830"/>
    <s v="Marketing"/>
    <d v="2025-08-23T00:00:00"/>
    <x v="4"/>
    <s v="Dr. Stephen Hall IV"/>
    <s v="No"/>
    <s v="aaronjohnson@example.net"/>
    <s v="539-266-0558"/>
    <d v="2026-03-07T20:01:08"/>
    <s v="Duplicate Employee ID"/>
  </r>
  <r>
    <s v="Melissa King"/>
    <n v="100655"/>
    <s v="Marketing"/>
    <d v="2025-04-20T00:00:00"/>
    <x v="3"/>
    <s v="Eric Pierce"/>
    <s v="No"/>
    <s v="wilsonmathew@example.com"/>
    <s v="001-499-902-3557x7027"/>
    <d v="2026-02-22T10:38:08"/>
    <m/>
  </r>
  <r>
    <s v="Melissa King"/>
    <n v="100655"/>
    <s v="Marketing"/>
    <d v="2025-04-20T00:00:00"/>
    <x v="2"/>
    <s v="Eric Pierce"/>
    <s v="No"/>
    <s v="wilsonmathew@example.com"/>
    <s v="001-499-902-3557x7027"/>
    <d v="2026-02-22T10:38:08"/>
    <m/>
  </r>
  <r>
    <s v="Melissa King"/>
    <n v="100655"/>
    <s v="Marketing"/>
    <d v="2025-04-20T00:00:00"/>
    <x v="4"/>
    <s v="Eric Pierce"/>
    <s v="No"/>
    <s v="wilsonmathew@example.com"/>
    <s v="001-499-902-3557x7027"/>
    <d v="2026-02-22T10:38:08"/>
    <m/>
  </r>
  <r>
    <s v="Kimberly Rogers"/>
    <n v="100885"/>
    <s v="Marketing"/>
    <d v="2025-10-12T00:00:00"/>
    <x v="0"/>
    <s v="Jennifer Newton"/>
    <s v="Yes"/>
    <s v="annette58@example.net"/>
    <s v="7398551240"/>
    <d v="2026-03-10T13:08:08"/>
    <m/>
  </r>
  <r>
    <s v="Kimberly Rogers"/>
    <n v="100885"/>
    <s v="Marketing"/>
    <d v="2025-10-12T00:00:00"/>
    <x v="4"/>
    <s v="Jennifer Newton"/>
    <s v="Yes"/>
    <s v="annette58@example.net"/>
    <s v="7398551240"/>
    <d v="2026-03-10T13:08:08"/>
    <m/>
  </r>
  <r>
    <s v="Kimberly Rogers"/>
    <n v="100885"/>
    <s v="Marketing"/>
    <d v="2025-10-12T00:00:00"/>
    <x v="5"/>
    <s v="Jennifer Newton"/>
    <s v="Yes"/>
    <s v="annette58@example.net"/>
    <s v="7398551240"/>
    <d v="2026-03-10T13:08:08"/>
    <m/>
  </r>
  <r>
    <s v="Sarah Duncan"/>
    <n v="100044"/>
    <s v="Marketing"/>
    <d v="2026-01-11T00:00:00"/>
    <x v="0"/>
    <s v="Kurt Hancock"/>
    <s v="No"/>
    <s v="janet50@example.com"/>
    <s v="(517)335-7438x42150"/>
    <d v="2026-03-08T09:27:08"/>
    <m/>
  </r>
  <r>
    <s v="Sarah Duncan"/>
    <n v="100044"/>
    <s v="Marketing"/>
    <d v="2026-01-11T00:00:00"/>
    <x v="1"/>
    <s v="Kurt Hancock"/>
    <s v="No"/>
    <s v="janet50@example.com"/>
    <s v="(517)335-7438x42150"/>
    <d v="2026-03-08T09:27:08"/>
    <m/>
  </r>
  <r>
    <s v="Sarah Duncan"/>
    <n v="100044"/>
    <s v="Marketing"/>
    <d v="2026-01-11T00:00:00"/>
    <x v="5"/>
    <s v="Kurt Hancock"/>
    <s v="No"/>
    <s v="janet50@example.com"/>
    <s v="(517)335-7438x42150"/>
    <d v="2026-03-08T09:27:08"/>
    <m/>
  </r>
  <r>
    <s v="Alexander Webb"/>
    <n v="100106"/>
    <s v="Finance"/>
    <d v="2026-02-09T00:00:00"/>
    <x v="4"/>
    <s v="Cheryl Mclean"/>
    <s v="No"/>
    <s v="kimberly21@example.net"/>
    <s v="+1-923-207-6810x40915"/>
    <d v="2026-01-31T17:00:08"/>
    <m/>
  </r>
  <r>
    <s v="Ralph Reese"/>
    <n v="100979"/>
    <s v="HR"/>
    <d v="2025-06-29T00:00:00"/>
    <x v="0"/>
    <s v="Peter Fowler"/>
    <s v="No"/>
    <s v="manuellee@example.com"/>
    <s v="+1-257-314-2241"/>
    <d v="2026-02-25T19:51:08"/>
    <m/>
  </r>
  <r>
    <s v="Ralph Reese"/>
    <n v="100979"/>
    <s v="HR"/>
    <d v="2025-06-29T00:00:00"/>
    <x v="3"/>
    <s v="Peter Fowler"/>
    <s v="No"/>
    <s v="manuellee@example.com"/>
    <s v="+1-257-314-2241"/>
    <d v="2026-02-25T19:51:08"/>
    <m/>
  </r>
  <r>
    <s v="Ralph Reese"/>
    <n v="100979"/>
    <s v="HR"/>
    <d v="2025-06-29T00:00:00"/>
    <x v="4"/>
    <s v="Peter Fowler"/>
    <s v="No"/>
    <s v="manuellee@example.com"/>
    <s v="+1-257-314-2241"/>
    <d v="2026-02-25T19:51:08"/>
    <m/>
  </r>
  <r>
    <s v="Gregory Flores"/>
    <n v="100575"/>
    <s v="Engineering"/>
    <d v="2026-04-21T00:00:00"/>
    <x v="5"/>
    <s v="Michael Campbell"/>
    <s v="No"/>
    <s v="georgecollins@example.com"/>
    <s v="+1-270-320-7016"/>
    <d v="2026-03-09T09:41:08"/>
    <m/>
  </r>
  <r>
    <s v="Christopher Carlson"/>
    <n v="101443"/>
    <s v="IT"/>
    <d v="2026-02-05T00:00:00"/>
    <x v="0"/>
    <s v="Sara Lyons"/>
    <s v="No"/>
    <s v="larry38@example.org"/>
    <s v="001-679-721-7174x77332"/>
    <d v="2026-02-24T13:24:08"/>
    <m/>
  </r>
  <r>
    <s v="Christopher Carlson"/>
    <n v="101443"/>
    <s v="IT"/>
    <d v="2026-02-05T00:00:00"/>
    <x v="3"/>
    <s v="Sara Lyons"/>
    <s v="No"/>
    <s v="larry38@example.org"/>
    <s v="001-679-721-7174x77332"/>
    <d v="2026-02-24T13:24:08"/>
    <m/>
  </r>
  <r>
    <s v="Christopher Carlson"/>
    <n v="101443"/>
    <s v="IT"/>
    <d v="2026-02-05T00:00:00"/>
    <x v="2"/>
    <s v="Sara Lyons"/>
    <s v="No"/>
    <s v="larry38@example.org"/>
    <s v="001-679-721-7174x77332"/>
    <d v="2026-02-24T13:24:08"/>
    <m/>
  </r>
  <r>
    <s v="Michael Ortega"/>
    <n v="100494"/>
    <s v="Operations"/>
    <d v="2026-01-01T00:00:00"/>
    <x v="3"/>
    <s v="Sonya Chavez"/>
    <s v="Yes"/>
    <s v="jonesdaniel@example.com"/>
    <s v="324.659.9281x615"/>
    <d v="2026-02-14T15:25:08"/>
    <m/>
  </r>
  <r>
    <s v="Michael Ortega"/>
    <n v="100494"/>
    <s v="Operations"/>
    <d v="2026-01-01T00:00:00"/>
    <x v="1"/>
    <s v="Sonya Chavez"/>
    <s v="Yes"/>
    <s v="jonesdaniel@example.com"/>
    <s v="324.659.9281x615"/>
    <d v="2026-02-14T15:25:08"/>
    <m/>
  </r>
  <r>
    <s v="Jennifer Gutierrez"/>
    <n v="101077"/>
    <s v="Engineering"/>
    <d v="2026-01-10T00:00:00"/>
    <x v="2"/>
    <s v="Kimberly Dickson"/>
    <s v="No"/>
    <s v="njones@example.net"/>
    <s v="001-966-395-8321"/>
    <d v="2026-03-03T16:33:08"/>
    <m/>
  </r>
  <r>
    <s v="Julie Peters"/>
    <n v="100463"/>
    <s v="Engineering"/>
    <d v="2026-04-24T00:00:00"/>
    <x v="3"/>
    <s v="Casey Blanchard"/>
    <s v="No"/>
    <s v="georgegina@example.net"/>
    <s v="001-665-870-1329x02278"/>
    <d v="2026-02-16T17:57:08"/>
    <m/>
  </r>
  <r>
    <s v="Julie Peters"/>
    <n v="100463"/>
    <s v="Engineering"/>
    <d v="2026-04-24T00:00:00"/>
    <x v="1"/>
    <s v="Casey Blanchard"/>
    <s v="No"/>
    <s v="georgegina@example.net"/>
    <s v="001-665-870-1329x02278"/>
    <d v="2026-02-16T17:57:08"/>
    <m/>
  </r>
  <r>
    <s v="Jillian Harris"/>
    <n v="101286"/>
    <s v="Operations"/>
    <d v="2025-04-27T00:00:00"/>
    <x v="0"/>
    <s v="Elizabeth Bauer"/>
    <s v="No"/>
    <s v="samantha65@example.org"/>
    <s v="001-209-286-2405"/>
    <d v="2026-03-11T07:20:08"/>
    <m/>
  </r>
  <r>
    <s v="Jillian Harris"/>
    <n v="101286"/>
    <s v="Operations"/>
    <d v="2025-04-27T00:00:00"/>
    <x v="3"/>
    <s v="Elizabeth Bauer"/>
    <s v="No"/>
    <s v="samantha65@example.org"/>
    <s v="001-209-286-2405"/>
    <d v="2026-03-11T07:20:08"/>
    <m/>
  </r>
  <r>
    <s v="Jillian Harris"/>
    <n v="101286"/>
    <s v="Operations"/>
    <d v="2025-04-27T00:00:00"/>
    <x v="4"/>
    <s v="Elizabeth Bauer"/>
    <s v="No"/>
    <s v="samantha65@example.org"/>
    <s v="001-209-286-2405"/>
    <d v="2026-03-11T07:20:08"/>
    <m/>
  </r>
  <r>
    <s v="Samantha Howard"/>
    <n v="100669"/>
    <s v="Engineering"/>
    <d v="2025-12-02T00:00:00"/>
    <x v="4"/>
    <s v="Sharon Young"/>
    <s v="No"/>
    <s v="tgarrett@example.com"/>
    <s v="(466)683-2723x8656"/>
    <d v="2026-02-18T21:53:08"/>
    <m/>
  </r>
  <r>
    <s v="Meagan Taylor MD"/>
    <n v="101446"/>
    <s v="Engineering"/>
    <d v="2025-08-21T00:00:00"/>
    <x v="2"/>
    <s v="Nathan Tucker"/>
    <s v="Yes"/>
    <s v="iproctor@example.org"/>
    <s v="(867)996-9278"/>
    <d v="2026-03-11T03:05:08"/>
    <m/>
  </r>
  <r>
    <s v="Meagan Taylor MD"/>
    <n v="101446"/>
    <s v="Engineering"/>
    <d v="2025-08-21T00:00:00"/>
    <x v="4"/>
    <s v="Nathan Tucker"/>
    <s v="Yes"/>
    <s v="iproctor@example.org"/>
    <s v="(867)996-9278"/>
    <d v="2026-03-11T03:05:08"/>
    <m/>
  </r>
  <r>
    <s v="Meagan Taylor MD"/>
    <n v="101446"/>
    <s v="Engineering"/>
    <d v="2025-08-21T00:00:00"/>
    <x v="5"/>
    <s v="Nathan Tucker"/>
    <s v="Yes"/>
    <s v="iproctor@example.org"/>
    <s v="(867)996-9278"/>
    <d v="2026-03-11T03:05:08"/>
    <m/>
  </r>
  <r>
    <s v="Darius Coleman"/>
    <n v="100158"/>
    <s v="Marketing"/>
    <d v="2025-11-03T00:00:00"/>
    <x v="3"/>
    <s v="Jonathan Simon"/>
    <s v="Yes"/>
    <s v="robert89@example.com"/>
    <s v="4096751971"/>
    <d v="2026-03-09T17:29:08"/>
    <m/>
  </r>
  <r>
    <s v="Darius Coleman"/>
    <n v="100158"/>
    <s v="Marketing"/>
    <d v="2025-11-03T00:00:00"/>
    <x v="1"/>
    <s v="Jonathan Simon"/>
    <s v="Yes"/>
    <s v="robert89@example.com"/>
    <s v="4096751971"/>
    <d v="2026-03-09T17:29:08"/>
    <m/>
  </r>
  <r>
    <s v="Darius Coleman"/>
    <n v="100158"/>
    <s v="Marketing"/>
    <d v="2025-11-03T00:00:00"/>
    <x v="2"/>
    <s v="Jonathan Simon"/>
    <s v="Yes"/>
    <s v="robert89@example.com"/>
    <s v="4096751971"/>
    <d v="2026-03-09T17:29:08"/>
    <m/>
  </r>
  <r>
    <s v="Blake Wu"/>
    <n v="101359"/>
    <s v="Marketing"/>
    <d v="2026-03-10T00:00:00"/>
    <x v="4"/>
    <s v="John Harmon"/>
    <s v="No"/>
    <s v="suttonamber@example.net"/>
    <s v="790-658-0778x7956"/>
    <d v="2026-02-22T00:03:08"/>
    <m/>
  </r>
  <r>
    <s v="Andrew Livingston"/>
    <n v="100049"/>
    <s v="IT"/>
    <d v="2026-04-20T00:00:00"/>
    <x v="0"/>
    <s v="Monica Elliott"/>
    <s v="Yes"/>
    <s v="sotobelinda@example.net"/>
    <s v="3496047128"/>
    <d v="2026-02-27T13:53:08"/>
    <m/>
  </r>
  <r>
    <s v="Andrew Livingston"/>
    <n v="100049"/>
    <s v="IT"/>
    <d v="2026-04-20T00:00:00"/>
    <x v="1"/>
    <s v="Monica Elliott"/>
    <s v="Yes"/>
    <s v="sotobelinda@example.net"/>
    <s v="3496047128"/>
    <d v="2026-02-27T13:53:08"/>
    <m/>
  </r>
  <r>
    <s v="Andrew Livingston"/>
    <n v="100049"/>
    <s v="IT"/>
    <d v="2026-04-20T00:00:00"/>
    <x v="4"/>
    <s v="Monica Elliott"/>
    <s v="Yes"/>
    <s v="sotobelinda@example.net"/>
    <s v="3496047128"/>
    <d v="2026-02-27T13:53:08"/>
    <m/>
  </r>
  <r>
    <s v="Luis Hill"/>
    <n v="100846"/>
    <s v="Engineering"/>
    <d v="2025-09-03T00:00:00"/>
    <x v="3"/>
    <s v="Patrick Munoz"/>
    <s v="Yes"/>
    <s v="donnawood@example.org"/>
    <s v="837-828-0512x927"/>
    <d v="2026-02-27T22:14:08"/>
    <m/>
  </r>
  <r>
    <s v="Luis Hill"/>
    <n v="100846"/>
    <s v="Engineering"/>
    <d v="2025-09-03T00:00:00"/>
    <x v="1"/>
    <s v="Patrick Munoz"/>
    <s v="Yes"/>
    <s v="donnawood@example.org"/>
    <s v="837-828-0512x927"/>
    <d v="2026-02-27T22:14:08"/>
    <m/>
  </r>
  <r>
    <s v="Jeremiah Walsh"/>
    <n v="100686"/>
    <s v="Engineering"/>
    <d v="2025-11-25T00:00:00"/>
    <x v="3"/>
    <s v="Nicholas Reed"/>
    <s v="Yes"/>
    <s v="karla10@example.org"/>
    <s v="867.247.8366x742"/>
    <d v="2026-02-12T22:34:08"/>
    <m/>
  </r>
  <r>
    <s v="Jeremiah Walsh"/>
    <n v="100686"/>
    <s v="Engineering"/>
    <d v="2025-11-25T00:00:00"/>
    <x v="1"/>
    <s v="Nicholas Reed"/>
    <s v="Yes"/>
    <s v="karla10@example.org"/>
    <s v="867.247.8366x742"/>
    <d v="2026-02-12T22:34:08"/>
    <m/>
  </r>
  <r>
    <s v="Robert Reyes"/>
    <n v="100420"/>
    <s v="Marketing"/>
    <d v="2025-09-20T00:00:00"/>
    <x v="1"/>
    <s v="Joseph Blanchard"/>
    <s v="Yes"/>
    <s v="hardindana@example.com"/>
    <s v="+1-545-744-1496x739"/>
    <d v="2026-02-07T18:54:08"/>
    <m/>
  </r>
  <r>
    <s v="Wendy Edwards"/>
    <n v="100112"/>
    <s v="Marketing"/>
    <d v="2025-07-10T00:00:00"/>
    <x v="0"/>
    <s v="Adam Jones"/>
    <s v="Yes"/>
    <s v="gdavis@example.net"/>
    <s v="553.344.3009x109"/>
    <d v="2026-03-01T16:20:08"/>
    <m/>
  </r>
  <r>
    <s v="Wendy Edwards"/>
    <n v="100112"/>
    <s v="Marketing"/>
    <d v="2025-07-10T00:00:00"/>
    <x v="3"/>
    <s v="Adam Jones"/>
    <s v="Yes"/>
    <s v="gdavis@example.net"/>
    <s v="553.344.3009x109"/>
    <d v="2026-03-01T16:20:08"/>
    <m/>
  </r>
  <r>
    <s v="Wendy Edwards"/>
    <n v="100112"/>
    <s v="Marketing"/>
    <d v="2025-07-10T00:00:00"/>
    <x v="2"/>
    <s v="Adam Jones"/>
    <s v="Yes"/>
    <s v="gdavis@example.net"/>
    <s v="553.344.3009x109"/>
    <d v="2026-03-01T16:20:08"/>
    <m/>
  </r>
  <r>
    <s v="Barbara Gates"/>
    <n v="100718"/>
    <s v="IT"/>
    <d v="2025-09-18T00:00:00"/>
    <x v="0"/>
    <s v="Matthew Yoder"/>
    <s v="Yes"/>
    <s v="pauladominguez@example.com"/>
    <s v="871-774-6542x1406"/>
    <d v="2026-02-08T19:32:08"/>
    <m/>
  </r>
  <r>
    <s v="Barbara Gates"/>
    <n v="100718"/>
    <s v="IT"/>
    <d v="2025-09-18T00:00:00"/>
    <x v="4"/>
    <s v="Matthew Yoder"/>
    <s v="Yes"/>
    <s v="pauladominguez@example.com"/>
    <s v="871-774-6542x1406"/>
    <d v="2026-02-08T19:32:08"/>
    <m/>
  </r>
  <r>
    <s v="Deanna Hess MD"/>
    <n v="100884"/>
    <s v="Operations"/>
    <d v="2025-07-08T00:00:00"/>
    <x v="4"/>
    <s v="William Gonzalez"/>
    <s v="No"/>
    <s v="fwhite@example.org"/>
    <s v="(286)339-1741"/>
    <d v="2026-02-27T15:15:08"/>
    <m/>
  </r>
  <r>
    <s v="Deanna Hess MD"/>
    <n v="100884"/>
    <s v="Operations"/>
    <d v="2025-07-08T00:00:00"/>
    <x v="5"/>
    <s v="William Gonzalez"/>
    <s v="No"/>
    <s v="fwhite@example.org"/>
    <s v="(286)339-1741"/>
    <d v="2026-02-27T15:15:08"/>
    <m/>
  </r>
  <r>
    <s v="Nicholas Waters"/>
    <n v="101416"/>
    <s v="IT"/>
    <d v="2025-09-22T00:00:00"/>
    <x v="3"/>
    <s v="Jonathan Delgado"/>
    <s v="Yes"/>
    <s v="fitzpatrickelizabeth@example.com"/>
    <s v="(856)390-8776"/>
    <d v="2026-03-05T10:17:08"/>
    <m/>
  </r>
  <r>
    <s v="April Finley"/>
    <n v="100742"/>
    <s v="IT"/>
    <d v="2025-04-08T00:00:00"/>
    <x v="2"/>
    <s v="Karen Bradley"/>
    <s v="No"/>
    <s v="mathew46@example.org"/>
    <s v="+1-515-685-1743x2806"/>
    <d v="2026-02-25T06:44:08"/>
    <s v="Extra Name Spaces"/>
  </r>
  <r>
    <s v="April Finley"/>
    <n v="100742"/>
    <s v="IT"/>
    <d v="2025-04-08T00:00:00"/>
    <x v="5"/>
    <s v="Karen Bradley"/>
    <s v="No"/>
    <s v="mathew46@example.org"/>
    <s v="+1-515-685-1743x2806"/>
    <d v="2026-02-25T06:44:08"/>
    <s v="Extra Name Spaces"/>
  </r>
  <r>
    <s v="Stephanie Mccoy"/>
    <n v="100983"/>
    <s v="Engineering"/>
    <d v="2025-12-24T00:00:00"/>
    <x v="1"/>
    <s v="Bradley Chen"/>
    <s v="Yes"/>
    <s v="donaldlee@example.net"/>
    <s v="001-937-261-8478"/>
    <d v="2026-02-25T22:40:08"/>
    <m/>
  </r>
  <r>
    <s v="Stephanie Mccoy"/>
    <n v="100983"/>
    <s v="Engineering"/>
    <d v="2025-12-24T00:00:00"/>
    <x v="2"/>
    <s v="Bradley Chen"/>
    <s v="Yes"/>
    <s v="donaldlee@example.net"/>
    <s v="001-937-261-8478"/>
    <d v="2026-02-25T22:40:08"/>
    <m/>
  </r>
  <r>
    <s v="Anthony French"/>
    <n v="100401"/>
    <s v="HR"/>
    <d v="2026-03-29T00:00:00"/>
    <x v="1"/>
    <s v="Bruce Roman"/>
    <s v="No"/>
    <s v="ibentley@example.org"/>
    <s v="001-293-410-2707x9032"/>
    <d v="2026-03-03T23:15:08"/>
    <m/>
  </r>
  <r>
    <s v="Anthony French"/>
    <n v="100401"/>
    <s v="HR"/>
    <d v="2026-03-29T00:00:00"/>
    <x v="4"/>
    <s v="Bruce Roman"/>
    <s v="No"/>
    <s v="ibentley@example.org"/>
    <s v="001-293-410-2707x9032"/>
    <d v="2026-03-03T23:15:08"/>
    <m/>
  </r>
  <r>
    <s v="Anthony French"/>
    <n v="100401"/>
    <s v="HR"/>
    <d v="2026-03-29T00:00:00"/>
    <x v="5"/>
    <s v="Bruce Roman"/>
    <s v="No"/>
    <s v="ibentley@example.org"/>
    <s v="001-293-410-2707x9032"/>
    <d v="2026-03-03T23:15:08"/>
    <m/>
  </r>
  <r>
    <s v="Summer Hoover"/>
    <n v="101152"/>
    <s v="Finance"/>
    <d v="2025-06-01T00:00:00"/>
    <x v="5"/>
    <s v="Logan Conley"/>
    <s v="Yes"/>
    <s v="meyersdaniel@example.com"/>
    <s v="+1-493-713-6565x198"/>
    <d v="2026-03-01T23:25:08"/>
    <m/>
  </r>
  <r>
    <s v="Rebecca Duran"/>
    <n v="100969"/>
    <s v="HR"/>
    <d v="2026-02-04T00:00:00"/>
    <x v="0"/>
    <s v="Gabriela Martinez"/>
    <s v="No"/>
    <s v="katherinejackson@example.com"/>
    <s v="+1-827-439-0219"/>
    <d v="2026-02-25T14:22:08"/>
    <m/>
  </r>
  <r>
    <s v="Rebecca Duran"/>
    <n v="100969"/>
    <s v="HR"/>
    <d v="2026-02-04T00:00:00"/>
    <x v="1"/>
    <s v="Gabriela Martinez"/>
    <s v="No"/>
    <s v="katherinejackson@example.com"/>
    <s v="+1-827-439-0219"/>
    <d v="2026-02-25T14:22:08"/>
    <m/>
  </r>
  <r>
    <s v="Rebecca Duran"/>
    <n v="100969"/>
    <s v="HR"/>
    <d v="2026-02-04T00:00:00"/>
    <x v="2"/>
    <s v="Gabriela Martinez"/>
    <s v="No"/>
    <s v="katherinejackson@example.com"/>
    <s v="+1-827-439-0219"/>
    <d v="2026-02-25T14:22:08"/>
    <m/>
  </r>
  <r>
    <s v="John Smith"/>
    <n v="100011"/>
    <s v="Finance"/>
    <d v="2025-12-12T00:00:00"/>
    <x v="5"/>
    <s v="Brandon Pearson"/>
    <s v="No"/>
    <s v="robert72@example.org"/>
    <s v="(448)976-3290"/>
    <d v="2026-03-13T13:03:08"/>
    <m/>
  </r>
  <r>
    <s v="Anita Serrano"/>
    <n v="100715"/>
    <s v="Finance"/>
    <d v="2025-05-02T00:00:00"/>
    <x v="4"/>
    <s v="Jason Grant"/>
    <s v="No"/>
    <s v="davidmoreno@example.org"/>
    <s v="+1-958-983-7340x312"/>
    <d v="2026-01-31T05:12:08"/>
    <m/>
  </r>
  <r>
    <s v="Michael Williams"/>
    <n v="100954"/>
    <s v="Operations"/>
    <d v="2026-04-02T00:00:00"/>
    <x v="3"/>
    <s v="Dominique Hamilton"/>
    <s v="Yes"/>
    <s v="christina70@example.org"/>
    <s v="001-708-822-0781x1379"/>
    <d v="2026-02-12T13:21:08"/>
    <m/>
  </r>
  <r>
    <s v="Michael Nguyen"/>
    <n v="100473"/>
    <s v="Operations"/>
    <d v="2025-04-23T00:00:00"/>
    <x v="3"/>
    <s v="Erika Garcia"/>
    <s v="Yes"/>
    <s v="ykane@example.org"/>
    <s v="979-470-6239"/>
    <d v="2026-03-01T07:57:08"/>
    <m/>
  </r>
  <r>
    <s v="Michael Nguyen"/>
    <n v="100473"/>
    <s v="Operations"/>
    <d v="2025-04-23T00:00:00"/>
    <x v="2"/>
    <s v="Erika Garcia"/>
    <s v="Yes"/>
    <s v="ykane@example.org"/>
    <s v="979-470-6239"/>
    <d v="2026-03-01T07:57:08"/>
    <m/>
  </r>
  <r>
    <s v="Michael Nguyen"/>
    <n v="100473"/>
    <s v="Operations"/>
    <d v="2025-04-23T00:00:00"/>
    <x v="5"/>
    <s v="Erika Garcia"/>
    <s v="Yes"/>
    <s v="ykane@example.org"/>
    <s v="979-470-6239"/>
    <d v="2026-03-01T07:57:08"/>
    <m/>
  </r>
  <r>
    <s v="Chad Cortez"/>
    <n v="100419"/>
    <s v="Finance"/>
    <d v="2025-08-24T00:00:00"/>
    <x v="0"/>
    <s v="Vanessa Harris"/>
    <s v="No"/>
    <s v="antoniocarroll@example.com"/>
    <s v="(417)476-2534"/>
    <d v="2026-02-16T08:38:08"/>
    <m/>
  </r>
  <r>
    <s v="Chad Cortez"/>
    <n v="100419"/>
    <s v="Finance"/>
    <d v="2025-08-24T00:00:00"/>
    <x v="1"/>
    <s v="Vanessa Harris"/>
    <s v="No"/>
    <s v="antoniocarroll@example.com"/>
    <s v="(417)476-2534"/>
    <d v="2026-02-16T08:38:08"/>
    <m/>
  </r>
  <r>
    <s v="Kristen Hall"/>
    <n v="100591"/>
    <s v="Finance"/>
    <d v="2025-04-23T00:00:00"/>
    <x v="4"/>
    <s v="Joseph Atkins"/>
    <s v="Yes"/>
    <s v="brittanyhood@example.com"/>
    <s v="4632356939"/>
    <d v="2026-03-07T14:18:08"/>
    <m/>
  </r>
  <r>
    <s v="Andrew Esparza"/>
    <n v="101121"/>
    <s v="Marketing"/>
    <d v="2025-11-01T00:00:00"/>
    <x v="1"/>
    <s v="Kathy Simmons"/>
    <s v="Yes"/>
    <s v="zmendoza@example.net"/>
    <s v="477-731-8063"/>
    <d v="2026-02-10T05:41:08"/>
    <s v="Duplicate Employee ID"/>
  </r>
  <r>
    <s v="Andrew Esparza"/>
    <n v="101121"/>
    <s v="Marketing"/>
    <d v="2025-11-01T00:00:00"/>
    <x v="5"/>
    <s v="Kathy Simmons"/>
    <s v="Yes"/>
    <s v="zmendoza@example.net"/>
    <s v="477-731-8063"/>
    <d v="2026-02-10T05:41:08"/>
    <s v="Duplicate Employee ID"/>
  </r>
  <r>
    <s v="Matthew Davis"/>
    <n v="100413"/>
    <s v="Finance"/>
    <d v="2025-11-02T00:00:00"/>
    <x v="1"/>
    <s v="Eric Warner"/>
    <s v="Yes"/>
    <s v="braysteven@example.org"/>
    <s v="001-862-657-0165x804"/>
    <d v="2026-03-11T12:32:08"/>
    <m/>
  </r>
  <r>
    <s v="Matthew Davis"/>
    <n v="100413"/>
    <s v="Finance"/>
    <d v="2025-11-02T00:00:00"/>
    <x v="5"/>
    <s v="Eric Warner"/>
    <s v="Yes"/>
    <s v="braysteven@example.org"/>
    <s v="001-862-657-0165x804"/>
    <d v="2026-03-11T12:32:08"/>
    <m/>
  </r>
  <r>
    <s v="Lisa Johnston"/>
    <n v="100872"/>
    <s v="HR"/>
    <d v="2026-05-13T00:00:00"/>
    <x v="0"/>
    <s v="Michael Oliver"/>
    <s v="Yes"/>
    <s v="jill08@example.net"/>
    <s v="(301)565-7905x528"/>
    <d v="2026-02-24T12:51:08"/>
    <m/>
  </r>
  <r>
    <s v="Lisa Johnston"/>
    <n v="100872"/>
    <s v="HR"/>
    <d v="2026-05-13T00:00:00"/>
    <x v="3"/>
    <s v="Michael Oliver"/>
    <s v="Yes"/>
    <s v="jill08@example.net"/>
    <s v="(301)565-7905x528"/>
    <d v="2026-02-24T12:51:08"/>
    <m/>
  </r>
  <r>
    <s v="Lisa Johnston"/>
    <n v="100872"/>
    <s v="HR"/>
    <d v="2026-05-13T00:00:00"/>
    <x v="2"/>
    <s v="Michael Oliver"/>
    <s v="Yes"/>
    <s v="jill08@example.net"/>
    <s v="(301)565-7905x528"/>
    <d v="2026-02-24T12:51:08"/>
    <m/>
  </r>
  <r>
    <s v="George Fernandez"/>
    <n v="100739"/>
    <s v="Engineering"/>
    <d v="2026-03-15T00:00:00"/>
    <x v="1"/>
    <s v="Nancy Goodwin"/>
    <s v="No"/>
    <s v="karenhodges@example.com"/>
    <s v="(348)964-0155x778"/>
    <d v="2026-02-12T16:14:08"/>
    <m/>
  </r>
  <r>
    <s v="Meghan Patel"/>
    <n v="100948"/>
    <s v="HR"/>
    <d v="2025-07-27T00:00:00"/>
    <x v="2"/>
    <s v="Marc Marsh"/>
    <s v="No"/>
    <s v="lopeznicole@example.org"/>
    <s v="462-941-1241"/>
    <d v="2026-02-15T22:56:08"/>
    <m/>
  </r>
  <r>
    <s v="Dan Crane"/>
    <n v="100653"/>
    <s v="IT"/>
    <d v="2025-07-21T00:00:00"/>
    <x v="5"/>
    <s v="Jason Fleming"/>
    <s v="Yes"/>
    <s v="thomasfisher@example.net"/>
    <s v="+1-904-931-0385x6955"/>
    <d v="2026-03-08T13:46:08"/>
    <m/>
  </r>
  <r>
    <s v="Keith Villanueva"/>
    <n v="100128"/>
    <s v="Engineering"/>
    <d v="2025-04-16T00:00:00"/>
    <x v="4"/>
    <s v="Richard Perez"/>
    <s v="Yes"/>
    <s v="tara02@example.com"/>
    <s v="272-792-8422x2231"/>
    <d v="2026-02-19T05:12:08"/>
    <m/>
  </r>
  <r>
    <s v="Jessica Wood"/>
    <n v="100690"/>
    <s v="Engineering"/>
    <d v="2026-01-08T00:00:00"/>
    <x v="3"/>
    <s v="Michael Wade"/>
    <s v="Yes"/>
    <s v="earl78@example.org"/>
    <s v="+1-441-206-7275"/>
    <d v="2026-03-03T19:52:08"/>
    <m/>
  </r>
  <r>
    <s v="Jessica Wood"/>
    <n v="100690"/>
    <s v="Engineering"/>
    <d v="2026-01-08T00:00:00"/>
    <x v="1"/>
    <s v="Michael Wade"/>
    <s v="Yes"/>
    <s v="earl78@example.org"/>
    <s v="+1-441-206-7275"/>
    <d v="2026-03-03T19:52:08"/>
    <m/>
  </r>
  <r>
    <s v="Jessica Wood"/>
    <n v="100690"/>
    <s v="Engineering"/>
    <d v="2026-01-08T00:00:00"/>
    <x v="2"/>
    <s v="Michael Wade"/>
    <s v="Yes"/>
    <s v="earl78@example.org"/>
    <s v="+1-441-206-7275"/>
    <d v="2026-03-03T19:52:08"/>
    <m/>
  </r>
  <r>
    <s v="Kimberly Romero"/>
    <n v="101097"/>
    <s v="Operations"/>
    <d v="2026-05-04T00:00:00"/>
    <x v="2"/>
    <s v="Elizabeth Kemp"/>
    <s v="No"/>
    <s v="laurenchandler@example.com"/>
    <s v="317-702-8140x69375"/>
    <d v="2026-03-09T16:27:08"/>
    <m/>
  </r>
  <r>
    <s v="Martin Silva"/>
    <n v="100394"/>
    <s v="Operations"/>
    <d v="2025-04-10T00:00:00"/>
    <x v="3"/>
    <s v="Timothy Ramirez"/>
    <s v="No"/>
    <s v="millermelissa@example.net"/>
    <s v="+1-818-763-7599x80562"/>
    <d v="2026-02-19T00:58:08"/>
    <m/>
  </r>
  <r>
    <s v="Adam Cooper"/>
    <n v="101400"/>
    <s v="Engineering"/>
    <d v="2025-09-27T00:00:00"/>
    <x v="1"/>
    <s v="Jeremy Hoffman"/>
    <s v="Yes"/>
    <s v="jessicawallace@example.com"/>
    <s v="942.766.2991x234"/>
    <d v="2026-03-05T08:31:08"/>
    <s v="Extra Name Spaces"/>
  </r>
  <r>
    <s v="Adam Cooper"/>
    <n v="101400"/>
    <s v="Engineering"/>
    <d v="2025-09-27T00:00:00"/>
    <x v="4"/>
    <s v="Jeremy Hoffman"/>
    <s v="Yes"/>
    <s v="jessicawallace@example.com"/>
    <s v="942.766.2991x234"/>
    <d v="2026-03-05T08:31:08"/>
    <s v="Extra Name Spaces"/>
  </r>
  <r>
    <s v="Adam Cooper"/>
    <n v="101400"/>
    <s v="Engineering"/>
    <d v="2025-09-27T00:00:00"/>
    <x v="5"/>
    <s v="Jeremy Hoffman"/>
    <s v="Yes"/>
    <s v="jessicawallace@example.com"/>
    <s v="942.766.2991x234"/>
    <d v="2026-03-05T08:31:08"/>
    <s v="Extra Name Spaces"/>
  </r>
  <r>
    <s v="Tyler Avila"/>
    <n v="100037"/>
    <s v="Finance"/>
    <d v="2025-10-30T00:00:00"/>
    <x v="2"/>
    <s v="Jason Rocha"/>
    <s v="Yes"/>
    <s v="dthompson@example.net"/>
    <s v="001-623-626-4870"/>
    <d v="2026-02-03T07:50:08"/>
    <m/>
  </r>
  <r>
    <s v="Patrick Walker DDS"/>
    <n v="100080"/>
    <s v="IT"/>
    <d v="2025-10-12T00:00:00"/>
    <x v="3"/>
    <s v="Eric Davidson"/>
    <s v="No"/>
    <s v="qmartinez@example.com"/>
    <s v="(827)630-1471x95979"/>
    <d v="2026-02-20T13:13:08"/>
    <m/>
  </r>
  <r>
    <s v="Patrick Walker DDS"/>
    <n v="100080"/>
    <s v="IT"/>
    <d v="2025-10-12T00:00:00"/>
    <x v="2"/>
    <s v="Eric Davidson"/>
    <s v="No"/>
    <s v="qmartinez@example.com"/>
    <s v="(827)630-1471x95979"/>
    <d v="2026-02-20T13:13:08"/>
    <m/>
  </r>
  <r>
    <s v="Patrick Walker DDS"/>
    <n v="100080"/>
    <s v="IT"/>
    <d v="2025-10-12T00:00:00"/>
    <x v="5"/>
    <s v="Eric Davidson"/>
    <s v="No"/>
    <s v="qmartinez@example.com"/>
    <s v="(827)630-1471x95979"/>
    <d v="2026-02-20T13:13:08"/>
    <m/>
  </r>
  <r>
    <s v="Karen Benson"/>
    <n v="100839"/>
    <s v="Operations"/>
    <d v="2025-06-26T00:00:00"/>
    <x v="3"/>
    <s v="Jose Johnston"/>
    <s v="No"/>
    <s v="francisco02@example.com"/>
    <s v="325.520.4565x044"/>
    <d v="2026-01-30T05:39:08"/>
    <m/>
  </r>
  <r>
    <s v="Karen Benson"/>
    <n v="100839"/>
    <s v="Operations"/>
    <d v="2025-06-26T00:00:00"/>
    <x v="2"/>
    <s v="Jose Johnston"/>
    <s v="No"/>
    <s v="francisco02@example.com"/>
    <s v="325.520.4565x044"/>
    <d v="2026-01-30T05:39:08"/>
    <m/>
  </r>
  <r>
    <s v="Karen Benson"/>
    <n v="100839"/>
    <s v="Operations"/>
    <d v="2025-06-26T00:00:00"/>
    <x v="4"/>
    <s v="Jose Johnston"/>
    <s v="No"/>
    <s v="francisco02@example.com"/>
    <s v="325.520.4565x044"/>
    <d v="2026-01-30T05:39:08"/>
    <m/>
  </r>
  <r>
    <s v="Catherine Davis"/>
    <n v="100372"/>
    <m/>
    <d v="2025-12-19T00:00:00"/>
    <x v="3"/>
    <s v="Kimberly Brennan"/>
    <s v="No"/>
    <s v="joseph51@example.net"/>
    <s v="001-852-702-8457"/>
    <d v="2026-02-20T08:41:08"/>
    <s v="Missing Department"/>
  </r>
  <r>
    <s v="Catherine Davis"/>
    <n v="100372"/>
    <m/>
    <d v="2025-12-19T00:00:00"/>
    <x v="1"/>
    <s v="Kimberly Brennan"/>
    <s v="No"/>
    <s v="joseph51@example.net"/>
    <s v="001-852-702-8457"/>
    <d v="2026-02-20T08:41:08"/>
    <s v="Missing Department"/>
  </r>
  <r>
    <s v="Carla Robinson"/>
    <n v="100238"/>
    <s v="Marketing"/>
    <d v="2025-03-29T00:00:00"/>
    <x v="3"/>
    <s v="Sandra Pope"/>
    <s v="Yes"/>
    <s v="butlersabrina@example.org"/>
    <s v="(707)454-5279"/>
    <d v="2026-02-27T15:55:08"/>
    <m/>
  </r>
  <r>
    <s v="Carla Robinson"/>
    <n v="100238"/>
    <s v="Marketing"/>
    <d v="2025-03-29T00:00:00"/>
    <x v="4"/>
    <s v="Sandra Pope"/>
    <s v="Yes"/>
    <s v="butlersabrina@example.org"/>
    <s v="(707)454-5279"/>
    <d v="2026-02-27T15:55:08"/>
    <m/>
  </r>
  <r>
    <s v="Alyssa Olsen"/>
    <n v="101215"/>
    <s v="IT"/>
    <d v="2025-12-12T00:00:00"/>
    <x v="3"/>
    <s v="Scott Thomas"/>
    <s v="Yes"/>
    <s v="kyleclark@example.org"/>
    <s v="(311)607-6031x08907"/>
    <d v="2026-03-10T09:27:08"/>
    <m/>
  </r>
  <r>
    <s v="Alyssa Olsen"/>
    <n v="101215"/>
    <s v="IT"/>
    <d v="2025-12-12T00:00:00"/>
    <x v="4"/>
    <s v="Scott Thomas"/>
    <s v="Yes"/>
    <s v="kyleclark@example.org"/>
    <s v="(311)607-6031x08907"/>
    <d v="2026-03-10T09:27:08"/>
    <m/>
  </r>
  <r>
    <s v="Eric Smith"/>
    <n v="101145"/>
    <s v="Finance"/>
    <d v="2025-07-30T00:00:00"/>
    <x v="0"/>
    <s v="Caleb Guzman"/>
    <s v="No"/>
    <s v="jackbell@example.org"/>
    <s v="(349)355-2893"/>
    <d v="2026-02-22T11:59:08"/>
    <s v="Extra Name Spaces"/>
  </r>
  <r>
    <s v="Eric Smith"/>
    <n v="101145"/>
    <s v="Finance"/>
    <d v="2025-07-30T00:00:00"/>
    <x v="2"/>
    <s v="Caleb Guzman"/>
    <s v="No"/>
    <s v="jackbell@example.org"/>
    <s v="(349)355-2893"/>
    <d v="2026-02-22T11:59:08"/>
    <s v="Extra Name Spaces"/>
  </r>
  <r>
    <s v="Eric Smith"/>
    <n v="101145"/>
    <s v="Finance"/>
    <d v="2025-07-30T00:00:00"/>
    <x v="4"/>
    <s v="Caleb Guzman"/>
    <s v="No"/>
    <s v="jackbell@example.org"/>
    <s v="(349)355-2893"/>
    <d v="2026-02-22T11:59:08"/>
    <s v="Extra Name Spaces"/>
  </r>
  <r>
    <s v="Pamela Rice"/>
    <n v="100235"/>
    <s v="Marketing"/>
    <d v="2025-07-15T00:00:00"/>
    <x v="0"/>
    <s v="Tracey Jackson"/>
    <s v="No"/>
    <s v="beltrancorey@example.org"/>
    <s v="875.392.7125x66383"/>
    <d v="2026-02-07T22:40:08"/>
    <m/>
  </r>
  <r>
    <s v="Pamela Rice"/>
    <n v="100235"/>
    <s v="Marketing"/>
    <d v="2025-07-15T00:00:00"/>
    <x v="1"/>
    <s v="Tracey Jackson"/>
    <s v="No"/>
    <s v="beltrancorey@example.org"/>
    <s v="875.392.7125x66383"/>
    <d v="2026-02-07T22:40:08"/>
    <m/>
  </r>
  <r>
    <s v="Pamela Rice"/>
    <n v="100235"/>
    <s v="Marketing"/>
    <d v="2025-07-15T00:00:00"/>
    <x v="2"/>
    <s v="Tracey Jackson"/>
    <s v="No"/>
    <s v="beltrancorey@example.org"/>
    <s v="875.392.7125x66383"/>
    <d v="2026-02-07T22:40:08"/>
    <m/>
  </r>
  <r>
    <s v="Emily Owens"/>
    <n v="101184"/>
    <s v="Marketing"/>
    <d v="2025-12-29T00:00:00"/>
    <x v="5"/>
    <s v="Kathleen Ward"/>
    <s v="No"/>
    <s v="angela01@example.com"/>
    <s v="516.347.9473x8646"/>
    <d v="2026-03-05T01:10:08"/>
    <m/>
  </r>
  <r>
    <s v="Rebekah Crosby"/>
    <n v="101012"/>
    <s v="Engineering"/>
    <d v="2025-05-01T00:00:00"/>
    <x v="4"/>
    <s v="Adam Craig"/>
    <s v="Yes"/>
    <s v="sandersalexandra@example.net"/>
    <s v="712-566-9121"/>
    <d v="2026-03-14T23:56:08"/>
    <m/>
  </r>
  <r>
    <s v="Kurt Ewing"/>
    <n v="101387"/>
    <s v="IT"/>
    <d v="2025-03-16T00:00:00"/>
    <x v="3"/>
    <s v="Ryan Hardy"/>
    <s v="Yes"/>
    <s v="kathy99@example.com"/>
    <s v="001-965-979-6784x27114"/>
    <d v="2026-02-23T11:51:08"/>
    <m/>
  </r>
  <r>
    <s v="Kurt Ewing"/>
    <n v="101387"/>
    <s v="IT"/>
    <d v="2025-03-16T00:00:00"/>
    <x v="4"/>
    <s v="Ryan Hardy"/>
    <s v="Yes"/>
    <s v="kathy99@example.com"/>
    <s v="001-965-979-6784x27114"/>
    <d v="2026-02-23T11:51:08"/>
    <m/>
  </r>
  <r>
    <s v="Tommy Johnson"/>
    <n v="100791"/>
    <s v="HR"/>
    <d v="2025-04-15T00:00:00"/>
    <x v="4"/>
    <s v="Sandra Jimenez"/>
    <s v="Yes"/>
    <s v="stantonpatrick@example.net"/>
    <s v="624-799-1187x73477"/>
    <d v="2026-03-08T23:57:08"/>
    <m/>
  </r>
  <r>
    <s v="Kimberly Smith"/>
    <n v="100564"/>
    <s v="HR"/>
    <d v="2025-04-22T00:00:00"/>
    <x v="0"/>
    <s v="Wanda Beard"/>
    <s v="Yes"/>
    <s v="reyesleonard@example.com"/>
    <s v="870.902.8427x624"/>
    <d v="2026-02-23T07:36:08"/>
    <m/>
  </r>
  <r>
    <s v="Kimberly Smith"/>
    <n v="100564"/>
    <s v="HR"/>
    <d v="2025-04-22T00:00:00"/>
    <x v="5"/>
    <s v="Wanda Beard"/>
    <s v="Yes"/>
    <s v="reyesleonard@example.com"/>
    <s v="870.902.8427x624"/>
    <d v="2026-02-23T07:36:08"/>
    <m/>
  </r>
  <r>
    <s v="Laura Henry"/>
    <n v="100759"/>
    <s v="HR"/>
    <d v="2025-05-24T00:00:00"/>
    <x v="0"/>
    <s v="Kimberly Harrison"/>
    <s v="No"/>
    <s v="williammyers@example.com"/>
    <s v="001-269-454-5009"/>
    <d v="2026-02-04T01:17:08"/>
    <m/>
  </r>
  <r>
    <s v="Hannah Harmon"/>
    <n v="101165"/>
    <s v="HR"/>
    <d v="2025-06-13T00:00:00"/>
    <x v="0"/>
    <s v="Steven Peterson"/>
    <s v="Yes"/>
    <s v="pattersonvictoria@example.com"/>
    <s v="(403)233-4911x415"/>
    <d v="2026-02-01T21:48:08"/>
    <m/>
  </r>
  <r>
    <s v="Hannah Harmon"/>
    <n v="101165"/>
    <s v="HR"/>
    <d v="2025-06-13T00:00:00"/>
    <x v="3"/>
    <s v="Steven Peterson"/>
    <s v="Yes"/>
    <s v="pattersonvictoria@example.com"/>
    <s v="(403)233-4911x415"/>
    <d v="2026-02-01T21:48:08"/>
    <m/>
  </r>
  <r>
    <s v="Hannah Harmon"/>
    <n v="101165"/>
    <s v="HR"/>
    <d v="2025-06-13T00:00:00"/>
    <x v="1"/>
    <s v="Steven Peterson"/>
    <s v="Yes"/>
    <s v="pattersonvictoria@example.com"/>
    <s v="(403)233-4911x415"/>
    <d v="2026-02-01T21:48:08"/>
    <m/>
  </r>
  <r>
    <s v="Amanda Barrett"/>
    <n v="101237"/>
    <s v="Marketing"/>
    <d v="2025-09-25T00:00:00"/>
    <x v="0"/>
    <s v="Jose Fisher"/>
    <s v="Yes"/>
    <s v="dominguezbrianna@example.com"/>
    <s v="(496)659-1713x5785"/>
    <d v="2026-03-05T17:51:08"/>
    <m/>
  </r>
  <r>
    <s v="Amanda Barrett"/>
    <n v="101237"/>
    <s v="Marketing"/>
    <d v="2025-09-25T00:00:00"/>
    <x v="1"/>
    <s v="Jose Fisher"/>
    <s v="Yes"/>
    <s v="dominguezbrianna@example.com"/>
    <s v="(496)659-1713x5785"/>
    <d v="2026-03-05T17:51:08"/>
    <m/>
  </r>
  <r>
    <s v="Jeffrey Crawford"/>
    <n v="101147"/>
    <s v="IT"/>
    <d v="2025-10-02T00:00:00"/>
    <x v="1"/>
    <s v="Rachel Pittman"/>
    <s v="Yes"/>
    <s v="karlwilliams@example.net"/>
    <s v="(839)519-1954x1987"/>
    <d v="2026-02-03T22:36:08"/>
    <m/>
  </r>
  <r>
    <s v="Jeffrey Crawford"/>
    <n v="101147"/>
    <s v="IT"/>
    <d v="2025-10-02T00:00:00"/>
    <x v="2"/>
    <s v="Rachel Pittman"/>
    <s v="Yes"/>
    <s v="karlwilliams@example.net"/>
    <s v="(839)519-1954x1987"/>
    <d v="2026-02-03T22:36:08"/>
    <m/>
  </r>
  <r>
    <s v="Jeffrey Crawford"/>
    <n v="101147"/>
    <s v="IT"/>
    <d v="2025-10-02T00:00:00"/>
    <x v="4"/>
    <s v="Rachel Pittman"/>
    <s v="Yes"/>
    <s v="karlwilliams@example.net"/>
    <s v="(839)519-1954x1987"/>
    <d v="2026-02-03T22:36:08"/>
    <m/>
  </r>
  <r>
    <s v="Billy Colon"/>
    <n v="100089"/>
    <s v="Marketing"/>
    <d v="2025-11-25T00:00:00"/>
    <x v="1"/>
    <s v="Elizabeth Alvarado"/>
    <s v="Yes"/>
    <s v="james64@example.net"/>
    <s v="878.220.8297x37489"/>
    <d v="2026-03-01T06:04:08"/>
    <m/>
  </r>
  <r>
    <s v="Helen Hernandez"/>
    <n v="101370"/>
    <s v="HR"/>
    <d v="2025-06-09T00:00:00"/>
    <x v="1"/>
    <s v="Michael Evans"/>
    <s v="Yes"/>
    <s v="ejenkins@example.net"/>
    <s v="564.342.4936"/>
    <d v="2026-02-28T10:45:08"/>
    <m/>
  </r>
  <r>
    <s v="Helen Hernandez"/>
    <n v="101370"/>
    <s v="HR"/>
    <d v="2025-06-09T00:00:00"/>
    <x v="2"/>
    <s v="Michael Evans"/>
    <s v="Yes"/>
    <s v="ejenkins@example.net"/>
    <s v="564.342.4936"/>
    <d v="2026-02-28T10:45:08"/>
    <m/>
  </r>
  <r>
    <s v="Helen Hernandez"/>
    <n v="101370"/>
    <s v="HR"/>
    <d v="2025-06-09T00:00:00"/>
    <x v="5"/>
    <s v="Michael Evans"/>
    <s v="Yes"/>
    <s v="ejenkins@example.net"/>
    <s v="564.342.4936"/>
    <d v="2026-02-28T10:45:08"/>
    <m/>
  </r>
  <r>
    <s v="Alexis Robles"/>
    <n v="100092"/>
    <s v="Finance"/>
    <d v="2026-03-05T00:00:00"/>
    <x v="1"/>
    <s v="John Esparza"/>
    <s v="No"/>
    <s v="clucas@example.org"/>
    <s v="(942)204-4820"/>
    <d v="2026-03-10T17:52:08"/>
    <m/>
  </r>
  <r>
    <s v="Steven Edwards"/>
    <n v="100560"/>
    <s v="Engineering"/>
    <d v="2025-09-29T00:00:00"/>
    <x v="0"/>
    <s v="Arthur Friedman"/>
    <s v="Yes"/>
    <s v="emily16@example.net"/>
    <s v="(631)998-1898"/>
    <d v="2026-02-18T01:05:08"/>
    <m/>
  </r>
  <r>
    <s v="Steven Edwards"/>
    <n v="100560"/>
    <s v="Engineering"/>
    <d v="2025-09-29T00:00:00"/>
    <x v="5"/>
    <s v="Arthur Friedman"/>
    <s v="Yes"/>
    <s v="emily16@example.net"/>
    <s v="(631)998-1898"/>
    <d v="2026-02-18T01:05:08"/>
    <m/>
  </r>
  <r>
    <s v="Cynthia Martinez"/>
    <n v="101188"/>
    <s v="Operations"/>
    <d v="2025-09-11T00:00:00"/>
    <x v="0"/>
    <s v="Erin Silva"/>
    <s v="Yes"/>
    <s v="vshaffer@example.org"/>
    <s v="(732)312-3476x49078"/>
    <d v="2026-03-06T02:30:08"/>
    <m/>
  </r>
  <r>
    <s v="Cynthia Martinez"/>
    <n v="101188"/>
    <s v="Operations"/>
    <d v="2025-09-11T00:00:00"/>
    <x v="2"/>
    <s v="Erin Silva"/>
    <s v="Yes"/>
    <s v="vshaffer@example.org"/>
    <s v="(732)312-3476x49078"/>
    <d v="2026-03-06T02:30:08"/>
    <m/>
  </r>
  <r>
    <s v="Cynthia Martinez"/>
    <n v="101188"/>
    <s v="Operations"/>
    <d v="2025-09-11T00:00:00"/>
    <x v="5"/>
    <s v="Erin Silva"/>
    <s v="Yes"/>
    <s v="vshaffer@example.org"/>
    <s v="(732)312-3476x49078"/>
    <d v="2026-03-06T02:30:08"/>
    <m/>
  </r>
  <r>
    <s v="Jeff Vega"/>
    <n v="101154"/>
    <s v="Engineering"/>
    <d v="2026-04-29T00:00:00"/>
    <x v="1"/>
    <s v="Sherry Giles"/>
    <s v="Yes"/>
    <s v="thomas54@example.org"/>
    <s v="+1-990-803-4864x5183"/>
    <d v="2026-02-24T09:00:08"/>
    <m/>
  </r>
  <r>
    <s v="Tyler Pennington"/>
    <n v="100125"/>
    <s v="Marketing"/>
    <d v="2025-04-22T00:00:00"/>
    <x v="4"/>
    <s v="Elizabeth Mayer"/>
    <s v="Yes"/>
    <s v="kennethvillarreal@example.org"/>
    <s v="456.604.1776x561"/>
    <d v="2026-03-11T23:14:08"/>
    <m/>
  </r>
  <r>
    <s v="Tyler Pennington"/>
    <n v="100125"/>
    <s v="Marketing"/>
    <d v="2025-04-22T00:00:00"/>
    <x v="5"/>
    <s v="Elizabeth Mayer"/>
    <s v="Yes"/>
    <s v="kennethvillarreal@example.org"/>
    <s v="456.604.1776x561"/>
    <d v="2026-03-11T23:14:08"/>
    <m/>
  </r>
  <r>
    <s v="Heather Guzman"/>
    <n v="100660"/>
    <s v="Engineering"/>
    <d v="2025-09-05T00:00:00"/>
    <x v="3"/>
    <s v="Nancy Chavez"/>
    <s v="No"/>
    <s v="gilldanielle@example.org"/>
    <s v="+1-472-806-3459x1123"/>
    <d v="2026-02-03T12:17:08"/>
    <m/>
  </r>
  <r>
    <s v="Heather Guzman"/>
    <n v="100660"/>
    <s v="Engineering"/>
    <d v="2025-09-05T00:00:00"/>
    <x v="2"/>
    <s v="Nancy Chavez"/>
    <s v="No"/>
    <s v="gilldanielle@example.org"/>
    <s v="+1-472-806-3459x1123"/>
    <d v="2026-02-03T12:17:08"/>
    <m/>
  </r>
  <r>
    <s v="Heather Guzman"/>
    <n v="100660"/>
    <s v="Engineering"/>
    <d v="2025-09-05T00:00:00"/>
    <x v="5"/>
    <s v="Nancy Chavez"/>
    <s v="No"/>
    <s v="gilldanielle@example.org"/>
    <s v="+1-472-806-3459x1123"/>
    <d v="2026-02-03T12:17:08"/>
    <m/>
  </r>
  <r>
    <s v="Emma Mendoza"/>
    <n v="100220"/>
    <s v="IT"/>
    <d v="2025-10-24T00:00:00"/>
    <x v="2"/>
    <s v="Debbie Mcdaniel"/>
    <s v="Yes"/>
    <s v="lauren31@example.com"/>
    <s v="(926)569-3008x931"/>
    <d v="2026-02-23T10:54:08"/>
    <m/>
  </r>
  <r>
    <s v="Samuel Williams"/>
    <n v="101324"/>
    <s v="Finance"/>
    <d v="2025-10-11T00:00:00"/>
    <x v="0"/>
    <s v="Lindsay Hernandez"/>
    <s v="No"/>
    <s v="george91@example.org"/>
    <s v="001-886-477-1333x447"/>
    <d v="2026-02-25T09:48:08"/>
    <m/>
  </r>
  <r>
    <s v="Samuel Williams"/>
    <n v="101324"/>
    <s v="Finance"/>
    <d v="2025-10-11T00:00:00"/>
    <x v="3"/>
    <s v="Lindsay Hernandez"/>
    <s v="No"/>
    <s v="george91@example.org"/>
    <s v="001-886-477-1333x447"/>
    <d v="2026-02-25T09:48:08"/>
    <m/>
  </r>
  <r>
    <s v="Samuel Williams"/>
    <n v="101324"/>
    <s v="Finance"/>
    <d v="2025-10-11T00:00:00"/>
    <x v="1"/>
    <s v="Lindsay Hernandez"/>
    <s v="No"/>
    <s v="george91@example.org"/>
    <s v="001-886-477-1333x447"/>
    <d v="2026-02-25T09:48:08"/>
    <m/>
  </r>
  <r>
    <s v="Daniel Lewis"/>
    <n v="100628"/>
    <s v="Marketing"/>
    <d v="2025-04-10T00:00:00"/>
    <x v="0"/>
    <s v="Monica Lopez"/>
    <s v="No"/>
    <s v="rickythomas@example.com"/>
    <s v="739-873-5971x072"/>
    <d v="2026-03-07T16:03:08"/>
    <m/>
  </r>
  <r>
    <s v="Daniel Lewis"/>
    <n v="100628"/>
    <s v="Marketing"/>
    <d v="2025-04-10T00:00:00"/>
    <x v="3"/>
    <s v="Monica Lopez"/>
    <s v="No"/>
    <s v="rickythomas@example.com"/>
    <s v="739-873-5971x072"/>
    <d v="2026-03-07T16:03:08"/>
    <m/>
  </r>
  <r>
    <s v="Michelle Erickson"/>
    <n v="100345"/>
    <s v="HR"/>
    <d v="2025-03-17T00:00:00"/>
    <x v="1"/>
    <s v="Dawn Davis"/>
    <s v="No"/>
    <s v="williamssarah@example.com"/>
    <s v="(499)200-4896x465"/>
    <d v="2026-03-04T14:36:08"/>
    <s v="Duplicate Employee ID"/>
  </r>
  <r>
    <s v="Michelle Erickson"/>
    <n v="100345"/>
    <s v="HR"/>
    <d v="2025-03-17T00:00:00"/>
    <x v="2"/>
    <s v="Dawn Davis"/>
    <s v="No"/>
    <s v="williamssarah@example.com"/>
    <s v="(499)200-4896x465"/>
    <d v="2026-03-04T14:36:08"/>
    <s v="Duplicate Employee ID"/>
  </r>
  <r>
    <s v="Debbie Gordon"/>
    <m/>
    <s v="Engineering"/>
    <d v="2025-06-29T00:00:00"/>
    <x v="0"/>
    <s v="Sherry Anderson"/>
    <s v="No"/>
    <s v="jennifer62@example.com"/>
    <s v="650-627-4564"/>
    <d v="2026-03-11T01:45:08"/>
    <s v="Missing Employee ID"/>
  </r>
  <r>
    <s v="Jessica Martin"/>
    <n v="100166"/>
    <s v="Marketing"/>
    <d v="2025-08-20T00:00:00"/>
    <x v="0"/>
    <s v="Katherine Dodson"/>
    <s v="No"/>
    <s v="jbrown@example.org"/>
    <s v="920.274.2761"/>
    <d v="2026-03-10T20:00:08"/>
    <m/>
  </r>
  <r>
    <s v="Jessica Martin"/>
    <n v="100166"/>
    <s v="Marketing"/>
    <d v="2025-08-20T00:00:00"/>
    <x v="5"/>
    <s v="Katherine Dodson"/>
    <s v="No"/>
    <s v="jbrown@example.org"/>
    <s v="920.274.2761"/>
    <d v="2026-03-10T20:00:08"/>
    <m/>
  </r>
  <r>
    <s v="William Hoffman"/>
    <n v="101353"/>
    <s v="IT"/>
    <d v="2025-09-30T00:00:00"/>
    <x v="1"/>
    <s v="Brian Cortez"/>
    <s v="No"/>
    <s v="daviddavis@example.com"/>
    <s v="(428)849-9390"/>
    <d v="2026-02-21T11:32:08"/>
    <m/>
  </r>
  <r>
    <s v="Danielle Jimenez"/>
    <n v="100911"/>
    <s v="Operations"/>
    <d v="2025-04-07T00:00:00"/>
    <x v="0"/>
    <s v="Gary Mitchell"/>
    <s v="No"/>
    <s v="longbrittany@example.org"/>
    <s v="720-417-7749x05097"/>
    <d v="2026-03-02T08:44:08"/>
    <m/>
  </r>
  <r>
    <s v="Danielle Jimenez"/>
    <n v="100911"/>
    <s v="Operations"/>
    <d v="2025-04-07T00:00:00"/>
    <x v="5"/>
    <s v="Gary Mitchell"/>
    <s v="No"/>
    <s v="longbrittany@example.org"/>
    <s v="720-417-7749x05097"/>
    <d v="2026-03-02T08:44:08"/>
    <m/>
  </r>
  <r>
    <s v="Anthony Schneider"/>
    <n v="100153"/>
    <s v="IT"/>
    <d v="2025-04-16T00:00:00"/>
    <x v="0"/>
    <s v="Anthony Jones"/>
    <s v="Yes"/>
    <s v="qdavis@example.org"/>
    <s v="461.303.2664"/>
    <d v="2026-03-10T19:06:08"/>
    <m/>
  </r>
  <r>
    <s v="Robert Fitzgerald"/>
    <n v="100831"/>
    <s v="HR"/>
    <d v="2026-05-03T00:00:00"/>
    <x v="3"/>
    <s v="Stephanie Munoz"/>
    <s v="Yes"/>
    <s v="elizabeth58@example.org"/>
    <s v="876.874.9961x6592"/>
    <d v="2026-02-20T00:04:08"/>
    <m/>
  </r>
  <r>
    <s v="Robert Fitzgerald"/>
    <n v="100831"/>
    <s v="HR"/>
    <d v="2026-05-03T00:00:00"/>
    <x v="4"/>
    <s v="Stephanie Munoz"/>
    <s v="Yes"/>
    <s v="elizabeth58@example.org"/>
    <s v="876.874.9961x6592"/>
    <d v="2026-02-20T00:04:08"/>
    <m/>
  </r>
  <r>
    <s v="Robert Fitzgerald"/>
    <n v="100831"/>
    <s v="HR"/>
    <d v="2026-05-03T00:00:00"/>
    <x v="5"/>
    <s v="Stephanie Munoz"/>
    <s v="Yes"/>
    <s v="elizabeth58@example.org"/>
    <s v="876.874.9961x6592"/>
    <d v="2026-02-20T00:04:08"/>
    <m/>
  </r>
  <r>
    <s v="Jose Mcpherson"/>
    <n v="100227"/>
    <s v="Operations"/>
    <d v="2025-12-15T00:00:00"/>
    <x v="3"/>
    <s v="Maria Reeves"/>
    <s v="No"/>
    <s v="prose@example.net"/>
    <s v="647-561-7422"/>
    <d v="2026-02-25T15:13:08"/>
    <m/>
  </r>
  <r>
    <s v="Jose Mcpherson"/>
    <n v="100227"/>
    <s v="Operations"/>
    <d v="2025-12-15T00:00:00"/>
    <x v="4"/>
    <s v="Maria Reeves"/>
    <s v="No"/>
    <s v="prose@example.net"/>
    <s v="647-561-7422"/>
    <d v="2026-02-25T15:13:08"/>
    <m/>
  </r>
  <r>
    <s v="Jose Mcpherson"/>
    <n v="100227"/>
    <s v="Operations"/>
    <d v="2025-12-15T00:00:00"/>
    <x v="5"/>
    <s v="Maria Reeves"/>
    <s v="No"/>
    <s v="prose@example.net"/>
    <s v="647-561-7422"/>
    <d v="2026-02-25T15:13:08"/>
    <m/>
  </r>
  <r>
    <s v="Elizabeth Williams"/>
    <n v="101499"/>
    <s v="Operations"/>
    <d v="2026-03-16T00:00:00"/>
    <x v="3"/>
    <s v="Andrew Rodriguez"/>
    <s v="Yes"/>
    <s v="dgutierrez@example.net"/>
    <s v="001-894-254-9180x1722"/>
    <d v="2026-03-09T02:35:08"/>
    <m/>
  </r>
  <r>
    <s v="Shawn Evans"/>
    <n v="100923"/>
    <s v="Marketing"/>
    <d v="2025-06-09T00:00:00"/>
    <x v="4"/>
    <s v="Jordan Santiago"/>
    <s v="Yes"/>
    <s v="matthew23@example.org"/>
    <s v="394-216-8006"/>
    <d v="2026-03-14T03:27:08"/>
    <m/>
  </r>
  <r>
    <s v="John Holt"/>
    <n v="101088"/>
    <s v="Engineering"/>
    <d v="2026-02-28T00:00:00"/>
    <x v="0"/>
    <s v="Tracy Guzman"/>
    <s v="No"/>
    <s v="nturner@example.com"/>
    <s v="001-564-912-2031x030"/>
    <d v="2026-02-24T15:37:08"/>
    <m/>
  </r>
  <r>
    <s v="John Holt"/>
    <n v="101088"/>
    <s v="Engineering"/>
    <d v="2026-02-28T00:00:00"/>
    <x v="4"/>
    <s v="Tracy Guzman"/>
    <s v="No"/>
    <s v="nturner@example.com"/>
    <s v="001-564-912-2031x030"/>
    <d v="2026-02-24T15:37:08"/>
    <m/>
  </r>
  <r>
    <s v="Marie Graham"/>
    <n v="101053"/>
    <s v="Engineering"/>
    <d v="2025-09-30T00:00:00"/>
    <x v="3"/>
    <s v="Rachel Lee"/>
    <s v="No"/>
    <s v="kayla27@example.com"/>
    <s v="5125277707"/>
    <d v="2026-02-11T02:16:08"/>
    <m/>
  </r>
  <r>
    <s v="Marie Graham"/>
    <n v="101053"/>
    <s v="Engineering"/>
    <d v="2025-09-30T00:00:00"/>
    <x v="1"/>
    <s v="Rachel Lee"/>
    <s v="No"/>
    <s v="kayla27@example.com"/>
    <s v="5125277707"/>
    <d v="2026-02-11T02:16:08"/>
    <m/>
  </r>
  <r>
    <s v="Marie Graham"/>
    <n v="101053"/>
    <s v="Engineering"/>
    <d v="2025-09-30T00:00:00"/>
    <x v="5"/>
    <s v="Rachel Lee"/>
    <s v="No"/>
    <s v="kayla27@example.com"/>
    <s v="5125277707"/>
    <d v="2026-02-11T02:16:08"/>
    <m/>
  </r>
  <r>
    <s v="Ronald Myers"/>
    <n v="100622"/>
    <s v="Engineering"/>
    <d v="2026-04-22T00:00:00"/>
    <x v="0"/>
    <s v="Brian Abbott"/>
    <s v="Yes"/>
    <s v="fpetty@example.net"/>
    <s v="001-998-540-7678"/>
    <d v="2026-02-18T12:48:08"/>
    <m/>
  </r>
  <r>
    <s v="Ronald Myers"/>
    <n v="100622"/>
    <s v="Engineering"/>
    <d v="2026-04-22T00:00:00"/>
    <x v="3"/>
    <s v="Brian Abbott"/>
    <s v="Yes"/>
    <s v="fpetty@example.net"/>
    <s v="001-998-540-7678"/>
    <d v="2026-02-18T12:48:08"/>
    <m/>
  </r>
  <r>
    <s v="Ronald Myers"/>
    <n v="100622"/>
    <s v="Engineering"/>
    <d v="2026-04-22T00:00:00"/>
    <x v="5"/>
    <s v="Brian Abbott"/>
    <s v="Yes"/>
    <s v="fpetty@example.net"/>
    <s v="001-998-540-7678"/>
    <d v="2026-02-18T12:48:08"/>
    <m/>
  </r>
  <r>
    <s v="Kelsey Henderson"/>
    <n v="100604"/>
    <s v="Marketing"/>
    <d v="2025-12-31T00:00:00"/>
    <x v="0"/>
    <s v="Arthur Orozco"/>
    <s v="Yes"/>
    <s v="hsmall@example.com"/>
    <s v="+1-557-760-2437x573"/>
    <d v="2026-02-25T23:38:08"/>
    <m/>
  </r>
  <r>
    <s v="Kelsey Henderson"/>
    <n v="100604"/>
    <s v="Marketing"/>
    <d v="2025-12-31T00:00:00"/>
    <x v="3"/>
    <s v="Arthur Orozco"/>
    <s v="Yes"/>
    <s v="hsmall@example.com"/>
    <s v="+1-557-760-2437x573"/>
    <d v="2026-02-25T23:38:08"/>
    <m/>
  </r>
  <r>
    <s v="Kelsey Henderson"/>
    <n v="100604"/>
    <s v="Marketing"/>
    <d v="2025-12-31T00:00:00"/>
    <x v="2"/>
    <s v="Arthur Orozco"/>
    <s v="Yes"/>
    <s v="hsmall@example.com"/>
    <s v="+1-557-760-2437x573"/>
    <d v="2026-02-25T23:38:08"/>
    <m/>
  </r>
  <r>
    <s v="Sarah Espinoza"/>
    <n v="100462"/>
    <s v="HR"/>
    <d v="2025-10-12T00:00:00"/>
    <x v="0"/>
    <s v="Stephen Sharp"/>
    <s v="No"/>
    <s v="rmoyer@example.net"/>
    <s v="001-957-329-3417x2232"/>
    <d v="2026-03-14T12:02:08"/>
    <m/>
  </r>
  <r>
    <s v="Sarah Espinoza"/>
    <n v="100462"/>
    <s v="HR"/>
    <d v="2025-10-12T00:00:00"/>
    <x v="5"/>
    <s v="Stephen Sharp"/>
    <s v="No"/>
    <s v="rmoyer@example.net"/>
    <s v="001-957-329-3417x2232"/>
    <d v="2026-03-14T12:02:08"/>
    <m/>
  </r>
  <r>
    <s v="Terri Snyder"/>
    <n v="100645"/>
    <s v="Finance"/>
    <d v="2025-10-08T00:00:00"/>
    <x v="3"/>
    <s v="Justin Kidd"/>
    <s v="No"/>
    <s v="nicole52@example.org"/>
    <s v="701.256.1931x83745"/>
    <d v="2026-03-14T04:24:08"/>
    <m/>
  </r>
  <r>
    <s v="Kristin Kemp"/>
    <n v="101218"/>
    <s v="HR"/>
    <d v="2026-03-04T00:00:00"/>
    <x v="2"/>
    <s v="Shelly Munoz"/>
    <s v="No"/>
    <s v="mccarthysara@example.com"/>
    <s v="511.799.1808x121"/>
    <d v="2026-02-27T05:12:08"/>
    <m/>
  </r>
  <r>
    <s v="Edgar Alexander"/>
    <n v="101019"/>
    <s v="Engineering"/>
    <d v="2025-09-04T00:00:00"/>
    <x v="0"/>
    <s v="Morgan Garcia"/>
    <s v="No"/>
    <s v="matthew21@example.org"/>
    <s v="860.737.5482x145"/>
    <d v="2026-01-30T18:32:08"/>
    <m/>
  </r>
  <r>
    <s v="Edgar Alexander"/>
    <n v="101019"/>
    <s v="Engineering"/>
    <d v="2025-09-04T00:00:00"/>
    <x v="1"/>
    <s v="Morgan Garcia"/>
    <s v="No"/>
    <s v="matthew21@example.org"/>
    <s v="860.737.5482x145"/>
    <d v="2026-01-30T18:32:08"/>
    <m/>
  </r>
  <r>
    <s v="Danielle Mullins"/>
    <n v="101412"/>
    <s v="Marketing"/>
    <d v="2025-07-10T00:00:00"/>
    <x v="1"/>
    <s v="Rachel Taylor"/>
    <s v="No"/>
    <s v="agutierrez@example.com"/>
    <s v="250.872.0811x55626"/>
    <d v="2026-02-24T08:43:08"/>
    <m/>
  </r>
  <r>
    <s v="Mary May"/>
    <n v="101318"/>
    <s v="Operations"/>
    <d v="2026-01-19T00:00:00"/>
    <x v="2"/>
    <s v="Amy Welch"/>
    <s v="Yes"/>
    <s v="robert84@example.net"/>
    <s v="001-955-704-8926x7389"/>
    <d v="2026-02-18T01:22:08"/>
    <m/>
  </r>
  <r>
    <s v="Mary May"/>
    <n v="101318"/>
    <s v="Operations"/>
    <d v="2026-01-19T00:00:00"/>
    <x v="4"/>
    <s v="Amy Welch"/>
    <s v="Yes"/>
    <s v="robert84@example.net"/>
    <s v="001-955-704-8926x7389"/>
    <d v="2026-02-18T01:22:08"/>
    <m/>
  </r>
  <r>
    <s v="Mary May"/>
    <n v="101318"/>
    <s v="Operations"/>
    <d v="2026-01-19T00:00:00"/>
    <x v="5"/>
    <s v="Amy Welch"/>
    <s v="Yes"/>
    <s v="robert84@example.net"/>
    <s v="001-955-704-8926x7389"/>
    <d v="2026-02-18T01:22:08"/>
    <m/>
  </r>
  <r>
    <s v="Rachael Sullivan"/>
    <n v="100612"/>
    <s v="IT"/>
    <d v="2025-09-23T00:00:00"/>
    <x v="3"/>
    <s v="Eric Johnson"/>
    <s v="Yes"/>
    <s v="peter28@example.net"/>
    <s v="631-588-4852x0089"/>
    <d v="2026-03-12T07:17:08"/>
    <m/>
  </r>
  <r>
    <s v="Elizabeth Henderson"/>
    <n v="101403"/>
    <s v="IT"/>
    <d v="2025-10-08T00:00:00"/>
    <x v="3"/>
    <s v="Monique Skinner"/>
    <s v="Yes"/>
    <s v="courtney51@example.org"/>
    <s v="001-717-649-0753x99893"/>
    <d v="2026-03-05T11:20:08"/>
    <m/>
  </r>
  <r>
    <s v="Richard Espinoza"/>
    <n v="100721"/>
    <s v="Finance"/>
    <d v="2025-04-14T00:00:00"/>
    <x v="2"/>
    <s v="Michelle Stone"/>
    <s v="No"/>
    <s v="danielblack@example.org"/>
    <s v="001-957-312-6611x06273"/>
    <d v="2026-03-13T05:36:08"/>
    <m/>
  </r>
  <r>
    <s v="Joseph Chapman"/>
    <n v="100378"/>
    <s v="Finance"/>
    <d v="2025-08-03T00:00:00"/>
    <x v="3"/>
    <s v="Jennifer Baker"/>
    <s v="No"/>
    <s v="cfields@example.net"/>
    <s v="962.928.2772x8813"/>
    <d v="2026-02-04T13:41:08"/>
    <m/>
  </r>
  <r>
    <s v="Joseph Chapman"/>
    <n v="100378"/>
    <s v="Finance"/>
    <d v="2025-08-03T00:00:00"/>
    <x v="5"/>
    <s v="Jennifer Baker"/>
    <s v="No"/>
    <s v="cfields@example.net"/>
    <s v="962.928.2772x8813"/>
    <d v="2026-02-04T13:41:08"/>
    <m/>
  </r>
  <r>
    <s v="Christopher Hansen"/>
    <n v="100194"/>
    <s v="Engineering"/>
    <d v="2025-07-17T00:00:00"/>
    <x v="3"/>
    <s v="Barbara Phelps"/>
    <s v="No"/>
    <s v="martinezashley@example.org"/>
    <s v="221.654.5447x02296"/>
    <d v="2026-03-05T01:43:08"/>
    <m/>
  </r>
  <r>
    <s v="Christopher Hansen"/>
    <n v="100194"/>
    <s v="Engineering"/>
    <d v="2025-07-17T00:00:00"/>
    <x v="5"/>
    <s v="Barbara Phelps"/>
    <s v="No"/>
    <s v="martinezashley@example.org"/>
    <s v="221.654.5447x02296"/>
    <d v="2026-03-05T01:43:08"/>
    <m/>
  </r>
  <r>
    <s v="Cindy Fuentes"/>
    <n v="100273"/>
    <s v="IT"/>
    <d v="2025-12-23T00:00:00"/>
    <x v="1"/>
    <s v="Bryan Bailey PhD"/>
    <s v="No"/>
    <s v="tolson@example.net"/>
    <s v="756.379.2287x772"/>
    <d v="2026-01-31T14:49:08"/>
    <m/>
  </r>
  <r>
    <s v="Cindy Fuentes"/>
    <n v="100273"/>
    <s v="IT"/>
    <d v="2025-12-23T00:00:00"/>
    <x v="4"/>
    <s v="Bryan Bailey PhD"/>
    <s v="No"/>
    <s v="tolson@example.net"/>
    <s v="756.379.2287x772"/>
    <d v="2026-01-31T14:49:08"/>
    <m/>
  </r>
  <r>
    <s v="Mary Ortiz"/>
    <n v="101011"/>
    <s v="HR"/>
    <d v="2025-03-30T00:00:00"/>
    <x v="2"/>
    <s v="James Weaver"/>
    <s v="Yes"/>
    <s v="pfitzgerald@example.org"/>
    <s v="(209)548-1813"/>
    <d v="2026-03-01T19:49:08"/>
    <m/>
  </r>
  <r>
    <s v="Mary Ortiz"/>
    <n v="101011"/>
    <s v="HR"/>
    <d v="2025-03-30T00:00:00"/>
    <x v="4"/>
    <s v="James Weaver"/>
    <s v="Yes"/>
    <s v="pfitzgerald@example.org"/>
    <s v="(209)548-1813"/>
    <d v="2026-03-01T19:49:08"/>
    <m/>
  </r>
  <r>
    <s v="Kathryn Smith"/>
    <n v="101246"/>
    <s v="Finance"/>
    <d v="2026-02-25T00:00:00"/>
    <x v="1"/>
    <s v="Kim Rivers"/>
    <s v="No"/>
    <s v="kristin39@example.com"/>
    <s v="789-856-9070"/>
    <d v="2026-02-12T17:13:08"/>
    <m/>
  </r>
  <r>
    <s v="Alexander Rice"/>
    <n v="100524"/>
    <s v="Engineering"/>
    <d v="2025-11-13T00:00:00"/>
    <x v="0"/>
    <s v="Brandon Petty"/>
    <s v="Yes"/>
    <s v="justinwhite@example.org"/>
    <s v="(246)620-9520"/>
    <d v="2026-02-06T17:37:08"/>
    <m/>
  </r>
  <r>
    <s v="Francisco Gutierrez"/>
    <n v="100755"/>
    <s v="Finance"/>
    <d v="2025-07-23T00:00:00"/>
    <x v="0"/>
    <s v="James Carey"/>
    <s v="No"/>
    <s v="williamsjohn@example.net"/>
    <s v="001-737-988-6140"/>
    <d v="2026-02-22T02:14:08"/>
    <m/>
  </r>
  <r>
    <s v="Francisco Gutierrez"/>
    <n v="100755"/>
    <s v="Finance"/>
    <d v="2025-07-23T00:00:00"/>
    <x v="1"/>
    <s v="James Carey"/>
    <s v="No"/>
    <s v="williamsjohn@example.net"/>
    <s v="001-737-988-6140"/>
    <d v="2026-02-22T02:14:08"/>
    <m/>
  </r>
  <r>
    <s v="Francisco Gutierrez"/>
    <n v="100755"/>
    <s v="Finance"/>
    <d v="2025-07-23T00:00:00"/>
    <x v="5"/>
    <s v="James Carey"/>
    <s v="No"/>
    <s v="williamsjohn@example.net"/>
    <s v="001-737-988-6140"/>
    <d v="2026-02-22T02:14:08"/>
    <m/>
  </r>
  <r>
    <s v="Ana Johnson"/>
    <n v="100751"/>
    <s v="Finance"/>
    <d v="2025-07-05T00:00:00"/>
    <x v="3"/>
    <s v="Susan Smith"/>
    <s v="No"/>
    <s v="sanchezangela@example.org"/>
    <s v="896-971-8325x8238"/>
    <d v="2026-02-07T14:25:08"/>
    <m/>
  </r>
  <r>
    <s v="Ana Johnson"/>
    <n v="100751"/>
    <s v="Finance"/>
    <d v="2025-07-05T00:00:00"/>
    <x v="1"/>
    <s v="Susan Smith"/>
    <s v="No"/>
    <s v="sanchezangela@example.org"/>
    <s v="896-971-8325x8238"/>
    <d v="2026-02-07T14:25:08"/>
    <m/>
  </r>
  <r>
    <s v="Robert Woodward"/>
    <n v="100757"/>
    <s v="Engineering"/>
    <d v="2025-12-02T00:00:00"/>
    <x v="0"/>
    <s v="Marissa Jackson"/>
    <s v="No"/>
    <s v="mahoneytimothy@example.net"/>
    <s v="665-339-8402x891"/>
    <d v="2026-02-01T14:13:08"/>
    <m/>
  </r>
  <r>
    <s v="Robert Woodward"/>
    <n v="100757"/>
    <s v="Engineering"/>
    <d v="2025-12-02T00:00:00"/>
    <x v="3"/>
    <s v="Marissa Jackson"/>
    <s v="No"/>
    <s v="mahoneytimothy@example.net"/>
    <s v="665-339-8402x891"/>
    <d v="2026-02-01T14:13:08"/>
    <m/>
  </r>
  <r>
    <s v="Robert Woodward"/>
    <n v="100757"/>
    <s v="Engineering"/>
    <d v="2025-12-02T00:00:00"/>
    <x v="1"/>
    <s v="Marissa Jackson"/>
    <s v="No"/>
    <s v="mahoneytimothy@example.net"/>
    <s v="665-339-8402x891"/>
    <d v="2026-02-01T14:13:08"/>
    <m/>
  </r>
  <r>
    <s v="Bryce Taylor"/>
    <n v="101222"/>
    <s v="IT"/>
    <d v="2025-04-17T00:00:00"/>
    <x v="0"/>
    <s v="Diana Reynolds"/>
    <s v="No"/>
    <s v="nicole54@example.net"/>
    <s v="943.255.3795x020"/>
    <d v="2026-02-27T19:31:08"/>
    <m/>
  </r>
  <r>
    <s v="Bryce Taylor"/>
    <n v="101222"/>
    <s v="IT"/>
    <d v="2025-04-17T00:00:00"/>
    <x v="1"/>
    <s v="Diana Reynolds"/>
    <s v="No"/>
    <s v="nicole54@example.net"/>
    <s v="943.255.3795x020"/>
    <d v="2026-02-27T19:31:08"/>
    <m/>
  </r>
  <r>
    <s v="Megan Gutierrez"/>
    <n v="101395"/>
    <s v="HR"/>
    <d v="2025-06-20T00:00:00"/>
    <x v="3"/>
    <s v="Michele Farmer"/>
    <s v="Yes"/>
    <s v="cobbdebra@example.org"/>
    <s v="+1-407-215-6956"/>
    <d v="2026-03-12T21:26:08"/>
    <m/>
  </r>
  <r>
    <s v="Jacob Lee"/>
    <n v="100888"/>
    <s v="Operations"/>
    <d v="2026-02-17T00:00:00"/>
    <x v="0"/>
    <s v="Patrick Chang"/>
    <s v="Yes"/>
    <s v="james94@example.net"/>
    <s v="237.550.4793"/>
    <d v="2026-02-03T00:56:08"/>
    <m/>
  </r>
  <r>
    <s v="Jacob Lee"/>
    <n v="100888"/>
    <s v="Operations"/>
    <d v="2026-02-17T00:00:00"/>
    <x v="4"/>
    <s v="Patrick Chang"/>
    <s v="Yes"/>
    <s v="james94@example.net"/>
    <s v="237.550.4793"/>
    <d v="2026-02-03T00:56:08"/>
    <m/>
  </r>
  <r>
    <s v="Miss Ashley Ramirez"/>
    <n v="100038"/>
    <s v="HR"/>
    <d v="2025-07-26T00:00:00"/>
    <x v="0"/>
    <s v="Carolyn Lee"/>
    <s v="Yes"/>
    <s v="cameronanderson@example.org"/>
    <s v="(649)938-4308"/>
    <d v="2026-02-06T22:23:08"/>
    <m/>
  </r>
  <r>
    <s v="Miss Ashley Ramirez"/>
    <n v="100038"/>
    <s v="HR"/>
    <d v="2025-07-26T00:00:00"/>
    <x v="5"/>
    <s v="Carolyn Lee"/>
    <s v="Yes"/>
    <s v="cameronanderson@example.org"/>
    <s v="(649)938-4308"/>
    <d v="2026-02-06T22:23:08"/>
    <m/>
  </r>
  <r>
    <s v="Jeffery Nunez"/>
    <n v="100891"/>
    <s v="Finance"/>
    <d v="2025-09-07T00:00:00"/>
    <x v="0"/>
    <s v="Sarah Morris"/>
    <s v="No"/>
    <s v="rhill@example.net"/>
    <s v="275.880.3046x875"/>
    <d v="2026-02-12T07:40:08"/>
    <m/>
  </r>
  <r>
    <s v="Jeffery Nunez"/>
    <n v="100891"/>
    <s v="Finance"/>
    <d v="2025-09-07T00:00:00"/>
    <x v="4"/>
    <s v="Sarah Morris"/>
    <s v="No"/>
    <s v="rhill@example.net"/>
    <s v="275.880.3046x875"/>
    <d v="2026-02-12T07:40:08"/>
    <m/>
  </r>
  <r>
    <s v="Jeffery Nunez"/>
    <n v="100891"/>
    <s v="Finance"/>
    <d v="2025-09-07T00:00:00"/>
    <x v="5"/>
    <s v="Sarah Morris"/>
    <s v="No"/>
    <s v="rhill@example.net"/>
    <s v="275.880.3046x875"/>
    <d v="2026-02-12T07:40:08"/>
    <m/>
  </r>
  <r>
    <s v="Brad Armstrong"/>
    <n v="100808"/>
    <s v="Marketing"/>
    <d v="2026-02-15T00:00:00"/>
    <x v="1"/>
    <s v="Omar Spence"/>
    <s v="No"/>
    <s v="prosario@example.org"/>
    <s v="(754)611-0760"/>
    <d v="2026-03-08T09:05:08"/>
    <m/>
  </r>
  <r>
    <s v="Brad Armstrong"/>
    <n v="100808"/>
    <s v="Marketing"/>
    <d v="2026-02-15T00:00:00"/>
    <x v="2"/>
    <s v="Omar Spence"/>
    <s v="No"/>
    <s v="prosario@example.org"/>
    <s v="(754)611-0760"/>
    <d v="2026-03-08T09:05:08"/>
    <m/>
  </r>
  <r>
    <s v="Brad Armstrong"/>
    <n v="100808"/>
    <s v="Marketing"/>
    <d v="2026-02-15T00:00:00"/>
    <x v="4"/>
    <s v="Omar Spence"/>
    <s v="No"/>
    <s v="prosario@example.org"/>
    <s v="(754)611-0760"/>
    <d v="2026-03-08T09:05:08"/>
    <m/>
  </r>
  <r>
    <s v="John Benjamin"/>
    <n v="101458"/>
    <s v="IT"/>
    <d v="2026-04-10T00:00:00"/>
    <x v="0"/>
    <s v="Samantha Stone"/>
    <s v="No"/>
    <s v="sherryparsons@example.net"/>
    <s v="217.991.1006x512"/>
    <d v="2026-02-03T14:52:08"/>
    <m/>
  </r>
  <r>
    <s v="Leslie Reynolds"/>
    <n v="101172"/>
    <s v="Finance"/>
    <d v="2025-09-13T00:00:00"/>
    <x v="0"/>
    <s v="Anthony Williams"/>
    <s v="No"/>
    <s v="nmorales@example.com"/>
    <s v="399.707.6769"/>
    <d v="2026-02-18T06:36:08"/>
    <m/>
  </r>
  <r>
    <s v="Megan Johnson"/>
    <n v="101483"/>
    <s v="HR"/>
    <d v="2025-07-27T00:00:00"/>
    <x v="1"/>
    <s v="Leah Rodriguez"/>
    <s v="No"/>
    <s v="larsoncarlos@example.org"/>
    <s v="001-428-545-6797"/>
    <d v="2026-03-12T20:15:08"/>
    <m/>
  </r>
  <r>
    <s v="Megan Johnson"/>
    <n v="101483"/>
    <s v="HR"/>
    <d v="2025-07-27T00:00:00"/>
    <x v="2"/>
    <s v="Leah Rodriguez"/>
    <s v="No"/>
    <s v="larsoncarlos@example.org"/>
    <s v="001-428-545-6797"/>
    <d v="2026-03-12T20:15:08"/>
    <m/>
  </r>
  <r>
    <s v="Megan Johnson"/>
    <n v="101483"/>
    <s v="HR"/>
    <d v="2025-07-27T00:00:00"/>
    <x v="5"/>
    <s v="Leah Rodriguez"/>
    <s v="No"/>
    <s v="larsoncarlos@example.org"/>
    <s v="001-428-545-6797"/>
    <d v="2026-03-12T20:15:08"/>
    <m/>
  </r>
  <r>
    <s v="Andrew Anderson"/>
    <n v="100697"/>
    <s v="IT"/>
    <d v="2026-01-07T00:00:00"/>
    <x v="2"/>
    <s v="Kayla Pearson"/>
    <s v="Yes"/>
    <s v="larry82@example.org"/>
    <s v="249.854.5089x2038"/>
    <d v="2026-02-01T04:53:08"/>
    <m/>
  </r>
  <r>
    <s v="Andrew Anderson"/>
    <n v="100697"/>
    <s v="IT"/>
    <d v="2026-01-07T00:00:00"/>
    <x v="4"/>
    <s v="Kayla Pearson"/>
    <s v="Yes"/>
    <s v="larry82@example.org"/>
    <s v="249.854.5089x2038"/>
    <d v="2026-02-01T04:53:08"/>
    <m/>
  </r>
  <r>
    <s v="Andrew Anderson"/>
    <n v="100697"/>
    <s v="IT"/>
    <d v="2026-01-07T00:00:00"/>
    <x v="5"/>
    <s v="Kayla Pearson"/>
    <s v="Yes"/>
    <s v="larry82@example.org"/>
    <s v="249.854.5089x2038"/>
    <d v="2026-02-01T04:53:08"/>
    <m/>
  </r>
  <r>
    <s v="William Davidson"/>
    <m/>
    <s v="IT"/>
    <d v="2025-08-15T00:00:00"/>
    <x v="2"/>
    <s v="Barry Lopez"/>
    <s v="Yes"/>
    <s v="dneal@example.net"/>
    <s v="001-259-995-9465x217"/>
    <d v="2026-03-04T06:13:08"/>
    <s v="Missing Employee ID"/>
  </r>
  <r>
    <s v="William Davidson"/>
    <m/>
    <s v="IT"/>
    <d v="2025-08-15T00:00:00"/>
    <x v="4"/>
    <s v="Barry Lopez"/>
    <s v="Yes"/>
    <s v="dneal@example.net"/>
    <s v="001-259-995-9465x217"/>
    <d v="2026-03-04T06:13:08"/>
    <s v="Missing Employee ID"/>
  </r>
  <r>
    <s v="Aaron Walker"/>
    <n v="100364"/>
    <s v="Operations"/>
    <d v="2026-01-01T00:00:00"/>
    <x v="1"/>
    <s v="Marcus Allen"/>
    <s v="Yes"/>
    <s v="lindsay63@example.com"/>
    <s v="(405)601-5081"/>
    <d v="2026-03-11T01:16:08"/>
    <m/>
  </r>
  <r>
    <s v="Aaron Walker"/>
    <n v="100364"/>
    <s v="Operations"/>
    <d v="2026-01-01T00:00:00"/>
    <x v="4"/>
    <s v="Marcus Allen"/>
    <s v="Yes"/>
    <s v="lindsay63@example.com"/>
    <s v="(405)601-5081"/>
    <d v="2026-03-11T01:16:08"/>
    <m/>
  </r>
  <r>
    <s v="Mark Durham"/>
    <n v="100842"/>
    <s v="HR"/>
    <d v="2026-02-02T00:00:00"/>
    <x v="1"/>
    <s v="William Gonzalez"/>
    <s v="Yes"/>
    <s v="grant42@example.com"/>
    <s v="+1-432-830-2410"/>
    <d v="2026-03-16T02:29:08"/>
    <m/>
  </r>
  <r>
    <s v="Stacey Morgan"/>
    <n v="100811"/>
    <s v="Finance"/>
    <d v="2025-07-01T00:00:00"/>
    <x v="3"/>
    <s v="Jesus Wood"/>
    <s v="Yes"/>
    <s v="donna89@example.com"/>
    <s v="001-811-522-3386x559"/>
    <d v="2026-02-13T14:54:08"/>
    <m/>
  </r>
  <r>
    <s v="Pamela Matthews"/>
    <n v="100970"/>
    <s v="Marketing"/>
    <d v="2026-01-24T00:00:00"/>
    <x v="0"/>
    <s v="Elizabeth Hernandez"/>
    <s v="No"/>
    <s v="brianflynn@example.org"/>
    <s v="997.431.7912x86857"/>
    <d v="2026-02-17T01:37:08"/>
    <m/>
  </r>
  <r>
    <s v="Pamela Matthews"/>
    <n v="100970"/>
    <s v="Marketing"/>
    <d v="2026-01-24T00:00:00"/>
    <x v="5"/>
    <s v="Elizabeth Hernandez"/>
    <s v="No"/>
    <s v="brianflynn@example.org"/>
    <s v="997.431.7912x86857"/>
    <d v="2026-02-17T01:37:08"/>
    <m/>
  </r>
  <r>
    <s v="James Neal"/>
    <n v="100302"/>
    <s v="Operations"/>
    <d v="2025-03-18T00:00:00"/>
    <x v="3"/>
    <s v="Kathleen Adams"/>
    <s v="Yes"/>
    <s v="ylittle@example.net"/>
    <s v="+1-403-733-7363x4669"/>
    <d v="2026-02-21T17:26:08"/>
    <m/>
  </r>
  <r>
    <s v="Bradley Walton"/>
    <n v="100649"/>
    <s v="HR"/>
    <d v="2026-04-07T00:00:00"/>
    <x v="3"/>
    <s v="Joseph Hall"/>
    <s v="Yes"/>
    <s v="marshallchristine@example.com"/>
    <s v="576.665.7546x027"/>
    <d v="2026-03-01T18:14:08"/>
    <m/>
  </r>
  <r>
    <s v="Bradley Walton"/>
    <n v="100649"/>
    <s v="HR"/>
    <d v="2026-04-07T00:00:00"/>
    <x v="2"/>
    <s v="Joseph Hall"/>
    <s v="Yes"/>
    <s v="marshallchristine@example.com"/>
    <s v="576.665.7546x027"/>
    <d v="2026-03-01T18:14:08"/>
    <m/>
  </r>
  <r>
    <s v="Bradley Walton"/>
    <n v="100649"/>
    <s v="HR"/>
    <d v="2026-04-07T00:00:00"/>
    <x v="4"/>
    <s v="Joseph Hall"/>
    <s v="Yes"/>
    <s v="marshallchristine@example.com"/>
    <s v="576.665.7546x027"/>
    <d v="2026-03-01T18:14:08"/>
    <m/>
  </r>
  <r>
    <s v="Heather Miller"/>
    <n v="101274"/>
    <s v="HR"/>
    <d v="2025-08-22T00:00:00"/>
    <x v="2"/>
    <s v="Kayla Schneider"/>
    <s v="No"/>
    <s v="sara11@example.org"/>
    <s v="(408)635-3544x439"/>
    <d v="2026-02-11T21:49:08"/>
    <s v="Extra Name Spaces"/>
  </r>
  <r>
    <s v="Elijah Short"/>
    <n v="100639"/>
    <s v="HR"/>
    <d v="2025-06-09T00:00:00"/>
    <x v="2"/>
    <s v="Jennifer Sullivan"/>
    <s v="No"/>
    <s v="kennedywilliam@example.org"/>
    <s v="(733)537-3898x7751"/>
    <d v="2026-02-26T02:21:08"/>
    <m/>
  </r>
  <r>
    <s v="Tom Butler"/>
    <n v="100517"/>
    <s v="IT"/>
    <d v="2026-01-15T00:00:00"/>
    <x v="1"/>
    <s v="Samuel Johnson"/>
    <s v="No"/>
    <s v="barbaraanderson@example.net"/>
    <s v="6757536668"/>
    <d v="2026-02-13T05:39:08"/>
    <m/>
  </r>
  <r>
    <s v="Tom Butler"/>
    <n v="100517"/>
    <s v="IT"/>
    <d v="2026-01-15T00:00:00"/>
    <x v="4"/>
    <s v="Samuel Johnson"/>
    <s v="No"/>
    <s v="barbaraanderson@example.net"/>
    <s v="6757536668"/>
    <d v="2026-02-13T05:39:08"/>
    <m/>
  </r>
  <r>
    <s v="Tom Butler"/>
    <n v="100517"/>
    <s v="IT"/>
    <d v="2026-01-15T00:00:00"/>
    <x v="5"/>
    <s v="Samuel Johnson"/>
    <s v="No"/>
    <s v="barbaraanderson@example.net"/>
    <s v="6757536668"/>
    <d v="2026-02-13T05:39:08"/>
    <m/>
  </r>
  <r>
    <s v="Latoya Johnson"/>
    <n v="100750"/>
    <s v="Finance"/>
    <d v="2025-06-08T00:00:00"/>
    <x v="2"/>
    <s v="William Gamble"/>
    <s v="Yes"/>
    <s v="nbaird@example.com"/>
    <s v="686-337-1597"/>
    <d v="2026-03-08T10:42:08"/>
    <m/>
  </r>
  <r>
    <s v="Latoya Johnson"/>
    <n v="100750"/>
    <s v="Finance"/>
    <d v="2025-06-08T00:00:00"/>
    <x v="4"/>
    <s v="William Gamble"/>
    <s v="Yes"/>
    <s v="nbaird@example.com"/>
    <s v="686-337-1597"/>
    <d v="2026-03-08T10:42:08"/>
    <m/>
  </r>
  <r>
    <s v="Michael Thompson"/>
    <n v="101424"/>
    <s v="Engineering"/>
    <d v="2026-01-11T00:00:00"/>
    <x v="1"/>
    <s v="Lindsey Johnson"/>
    <s v="Yes"/>
    <s v="chadmccarty@example.com"/>
    <s v="234.481.7058"/>
    <d v="2026-02-19T20:03:08"/>
    <m/>
  </r>
  <r>
    <s v="Michael Thompson"/>
    <n v="101424"/>
    <s v="Engineering"/>
    <d v="2026-01-11T00:00:00"/>
    <x v="2"/>
    <s v="Lindsey Johnson"/>
    <s v="Yes"/>
    <s v="chadmccarty@example.com"/>
    <s v="234.481.7058"/>
    <d v="2026-02-19T20:03:08"/>
    <m/>
  </r>
  <r>
    <s v="Michael Thompson"/>
    <n v="101424"/>
    <s v="Engineering"/>
    <d v="2026-01-11T00:00:00"/>
    <x v="4"/>
    <s v="Lindsey Johnson"/>
    <s v="Yes"/>
    <s v="chadmccarty@example.com"/>
    <s v="234.481.7058"/>
    <d v="2026-02-19T20:03:08"/>
    <m/>
  </r>
  <r>
    <s v="Theodore Myers"/>
    <n v="100726"/>
    <s v="Finance"/>
    <d v="2026-04-14T00:00:00"/>
    <x v="0"/>
    <s v="Betty Barnes PhD"/>
    <s v="Yes"/>
    <s v="nfriedman@example.org"/>
    <s v="546.972.9949"/>
    <d v="2026-02-03T17:14:08"/>
    <m/>
  </r>
  <r>
    <s v="Theodore Myers"/>
    <n v="100726"/>
    <s v="Finance"/>
    <d v="2026-04-14T00:00:00"/>
    <x v="3"/>
    <s v="Betty Barnes PhD"/>
    <s v="Yes"/>
    <s v="nfriedman@example.org"/>
    <s v="546.972.9949"/>
    <d v="2026-02-03T17:14:08"/>
    <m/>
  </r>
  <r>
    <s v="Theodore Myers"/>
    <n v="100726"/>
    <s v="Finance"/>
    <d v="2026-04-14T00:00:00"/>
    <x v="2"/>
    <s v="Betty Barnes PhD"/>
    <s v="Yes"/>
    <s v="nfriedman@example.org"/>
    <s v="546.972.9949"/>
    <d v="2026-02-03T17:14:08"/>
    <m/>
  </r>
  <r>
    <s v="Adam Thomas"/>
    <n v="101398"/>
    <s v="Engineering"/>
    <d v="2026-03-04T00:00:00"/>
    <x v="5"/>
    <s v="James Aguirre"/>
    <s v="No"/>
    <s v="renee77@example.com"/>
    <s v="001-401-847-5469"/>
    <d v="2026-02-20T13:41:08"/>
    <m/>
  </r>
  <r>
    <s v="Steven Quinn"/>
    <n v="101326"/>
    <s v="IT"/>
    <d v="2025-07-23T00:00:00"/>
    <x v="0"/>
    <s v="Thomas White"/>
    <s v="Yes"/>
    <s v="longsonya@example.org"/>
    <s v="(348)741-3768"/>
    <d v="2026-01-30T18:30:08"/>
    <m/>
  </r>
  <r>
    <s v="Steven Quinn"/>
    <n v="101326"/>
    <s v="IT"/>
    <d v="2025-07-23T00:00:00"/>
    <x v="4"/>
    <s v="Thomas White"/>
    <s v="Yes"/>
    <s v="longsonya@example.org"/>
    <s v="(348)741-3768"/>
    <d v="2026-01-30T18:30:08"/>
    <m/>
  </r>
  <r>
    <s v="Brian Miranda"/>
    <n v="101214"/>
    <s v="Engineering"/>
    <d v="2025-08-17T00:00:00"/>
    <x v="0"/>
    <s v="Jerry King"/>
    <s v="No"/>
    <s v="murraycharles@example.net"/>
    <s v="+1-976-956-3600x41257"/>
    <d v="2026-02-04T21:14:08"/>
    <m/>
  </r>
  <r>
    <s v="Brian Miranda"/>
    <n v="101214"/>
    <s v="Engineering"/>
    <d v="2025-08-17T00:00:00"/>
    <x v="2"/>
    <s v="Jerry King"/>
    <s v="No"/>
    <s v="murraycharles@example.net"/>
    <s v="+1-976-956-3600x41257"/>
    <d v="2026-02-04T21:14:08"/>
    <m/>
  </r>
  <r>
    <s v="Joshua Allen"/>
    <n v="100242"/>
    <s v="Marketing"/>
    <d v="2025-10-16T00:00:00"/>
    <x v="3"/>
    <s v="Brenda Hoover"/>
    <s v="Yes"/>
    <s v="georgesmith@example.org"/>
    <s v="(441)986-2104"/>
    <d v="2026-02-26T14:01:08"/>
    <m/>
  </r>
  <r>
    <s v="Daniel Johnson"/>
    <n v="100910"/>
    <s v="Marketing"/>
    <d v="2025-11-25T00:00:00"/>
    <x v="3"/>
    <s v="Cindy Horton"/>
    <s v="Yes"/>
    <s v="myerskyle@example.org"/>
    <s v="+1-200-263-3533x106"/>
    <d v="2026-02-28T00:03:08"/>
    <m/>
  </r>
  <r>
    <s v="Corey Caldwell"/>
    <n v="100022"/>
    <s v="Finance"/>
    <d v="2025-09-15T00:00:00"/>
    <x v="1"/>
    <s v="Stephen Robles"/>
    <s v="Yes"/>
    <s v="jenniferwilliams@example.net"/>
    <s v="855-383-9386"/>
    <d v="2026-02-09T00:58:08"/>
    <m/>
  </r>
  <r>
    <s v="Corey Caldwell"/>
    <n v="100022"/>
    <s v="Finance"/>
    <d v="2025-09-15T00:00:00"/>
    <x v="4"/>
    <s v="Stephen Robles"/>
    <s v="Yes"/>
    <s v="jenniferwilliams@example.net"/>
    <s v="855-383-9386"/>
    <d v="2026-02-09T00:58:08"/>
    <m/>
  </r>
  <r>
    <s v="Corey Caldwell"/>
    <n v="100022"/>
    <s v="Finance"/>
    <d v="2025-09-15T00:00:00"/>
    <x v="5"/>
    <s v="Stephen Robles"/>
    <s v="Yes"/>
    <s v="jenniferwilliams@example.net"/>
    <s v="855-383-9386"/>
    <d v="2026-02-09T00:58:08"/>
    <m/>
  </r>
  <r>
    <s v="Brian Morris"/>
    <n v="101473"/>
    <s v="Finance"/>
    <d v="2026-03-03T00:00:00"/>
    <x v="1"/>
    <s v="Matthew Smith"/>
    <s v="Yes"/>
    <s v="stephenjones@example.com"/>
    <s v="+1-495-601-3649x7189"/>
    <d v="2026-03-15T18:59:08"/>
    <m/>
  </r>
  <r>
    <s v="Brian Morris"/>
    <n v="101473"/>
    <s v="Finance"/>
    <d v="2026-03-03T00:00:00"/>
    <x v="4"/>
    <s v="Matthew Smith"/>
    <s v="Yes"/>
    <s v="stephenjones@example.com"/>
    <s v="+1-495-601-3649x7189"/>
    <d v="2026-03-15T18:59:08"/>
    <m/>
  </r>
  <r>
    <s v="Lindsay Jarvis"/>
    <n v="101203"/>
    <s v="Engineering"/>
    <d v="2025-05-11T00:00:00"/>
    <x v="0"/>
    <s v="Megan Compton"/>
    <s v="Yes"/>
    <s v="martinreid@example.net"/>
    <s v="571-250-9976x83890"/>
    <d v="2026-02-12T15:21:08"/>
    <m/>
  </r>
  <r>
    <s v="Lindsay Jarvis"/>
    <n v="101203"/>
    <s v="Engineering"/>
    <d v="2025-05-11T00:00:00"/>
    <x v="4"/>
    <s v="Megan Compton"/>
    <s v="Yes"/>
    <s v="martinreid@example.net"/>
    <s v="571-250-9976x83890"/>
    <d v="2026-02-12T15:21:08"/>
    <m/>
  </r>
  <r>
    <s v="Lindsay Jarvis"/>
    <n v="101203"/>
    <s v="Engineering"/>
    <d v="2025-05-11T00:00:00"/>
    <x v="5"/>
    <s v="Megan Compton"/>
    <s v="Yes"/>
    <s v="martinreid@example.net"/>
    <s v="571-250-9976x83890"/>
    <d v="2026-02-12T15:21:08"/>
    <m/>
  </r>
  <r>
    <s v="Stephanie Parker"/>
    <n v="100421"/>
    <s v="Marketing"/>
    <d v="2025-07-25T00:00:00"/>
    <x v="1"/>
    <s v="Nicole Harvey"/>
    <s v="No"/>
    <s v="taylorvictor@example.org"/>
    <s v="(663)703-9752"/>
    <d v="2026-02-15T16:12:08"/>
    <m/>
  </r>
  <r>
    <s v="Stephanie Parker"/>
    <n v="100421"/>
    <s v="Marketing"/>
    <d v="2025-07-25T00:00:00"/>
    <x v="4"/>
    <s v="Nicole Harvey"/>
    <s v="No"/>
    <s v="taylorvictor@example.org"/>
    <s v="(663)703-9752"/>
    <d v="2026-02-15T16:12:08"/>
    <m/>
  </r>
  <r>
    <s v="Stephanie Parker"/>
    <n v="100421"/>
    <s v="Marketing"/>
    <d v="2025-07-25T00:00:00"/>
    <x v="5"/>
    <s v="Nicole Harvey"/>
    <s v="No"/>
    <s v="taylorvictor@example.org"/>
    <s v="(663)703-9752"/>
    <d v="2026-02-15T16:12:08"/>
    <m/>
  </r>
  <r>
    <s v="Paige Meyer"/>
    <n v="101271"/>
    <s v="Marketing"/>
    <d v="2026-05-06T00:00:00"/>
    <x v="2"/>
    <s v="Maria Roberts"/>
    <s v="No"/>
    <s v="perezjessica@example.com"/>
    <s v="738.403.3968"/>
    <d v="2026-02-20T18:48:08"/>
    <m/>
  </r>
  <r>
    <s v="Aaron Kane"/>
    <n v="101044"/>
    <s v="HR"/>
    <d v="2025-10-20T00:00:00"/>
    <x v="0"/>
    <s v="Corey Walters"/>
    <s v="Yes"/>
    <s v="shawnamartinez@example.org"/>
    <s v="001-483-538-1674"/>
    <d v="2026-03-07T19:16:08"/>
    <m/>
  </r>
  <r>
    <s v="Aaron Kane"/>
    <n v="101044"/>
    <s v="HR"/>
    <d v="2025-10-20T00:00:00"/>
    <x v="3"/>
    <s v="Corey Walters"/>
    <s v="Yes"/>
    <s v="shawnamartinez@example.org"/>
    <s v="001-483-538-1674"/>
    <d v="2026-03-07T19:16:08"/>
    <m/>
  </r>
  <r>
    <s v="Aaron Kane"/>
    <n v="101044"/>
    <s v="HR"/>
    <d v="2025-10-20T00:00:00"/>
    <x v="2"/>
    <s v="Corey Walters"/>
    <s v="Yes"/>
    <s v="shawnamartinez@example.org"/>
    <s v="001-483-538-1674"/>
    <d v="2026-03-07T19:16:08"/>
    <m/>
  </r>
  <r>
    <s v="Christopher Wright"/>
    <n v="100459"/>
    <s v="Marketing"/>
    <d v="2025-08-31T00:00:00"/>
    <x v="3"/>
    <s v="Jerome Reid"/>
    <s v="No"/>
    <s v="michelle71@example.com"/>
    <s v="(862)377-6896x2706"/>
    <d v="2026-03-11T05:11:08"/>
    <m/>
  </r>
  <r>
    <s v="Christopher Wright"/>
    <n v="100459"/>
    <s v="Marketing"/>
    <d v="2025-08-31T00:00:00"/>
    <x v="5"/>
    <s v="Jerome Reid"/>
    <s v="No"/>
    <s v="michelle71@example.com"/>
    <s v="(862)377-6896x2706"/>
    <d v="2026-03-11T05:11:08"/>
    <m/>
  </r>
  <r>
    <s v="Tammy Larson"/>
    <n v="100711"/>
    <s v="HR"/>
    <d v="2025-06-17T00:00:00"/>
    <x v="5"/>
    <s v="Nicholas Scott"/>
    <s v="No"/>
    <s v="storres@example.com"/>
    <s v="+1-597-215-2732"/>
    <d v="2026-02-15T08:38:08"/>
    <m/>
  </r>
  <r>
    <s v="Jonathan Swanson"/>
    <n v="101189"/>
    <s v="Operations"/>
    <d v="2026-03-04T00:00:00"/>
    <x v="4"/>
    <s v="Timothy Bentley DVM"/>
    <s v="Yes"/>
    <s v="patrick49@example.org"/>
    <s v="(801)869-2364x58750"/>
    <d v="2026-03-07T18:09:08"/>
    <m/>
  </r>
  <r>
    <s v="Jonathan Swanson"/>
    <n v="101189"/>
    <s v="Operations"/>
    <d v="2026-03-04T00:00:00"/>
    <x v="5"/>
    <s v="Timothy Bentley DVM"/>
    <s v="Yes"/>
    <s v="patrick49@example.org"/>
    <s v="(801)869-2364x58750"/>
    <d v="2026-03-07T18:09:08"/>
    <m/>
  </r>
  <r>
    <s v="Dana Johnson"/>
    <n v="100873"/>
    <s v="Engineering"/>
    <d v="2025-06-05T00:00:00"/>
    <x v="5"/>
    <s v="Lynn Rhodes"/>
    <s v="No"/>
    <s v="josegibson@example.net"/>
    <s v="(843)899-2011"/>
    <d v="2026-02-07T18:45:08"/>
    <m/>
  </r>
  <r>
    <s v="Valerie Miller"/>
    <n v="101257"/>
    <s v="Operations"/>
    <d v="2025-06-16T00:00:00"/>
    <x v="1"/>
    <s v="Sherri Martin"/>
    <s v="Yes"/>
    <s v="tking@example.net"/>
    <s v="+1-469-646-1195"/>
    <d v="2026-02-14T01:15:08"/>
    <m/>
  </r>
  <r>
    <s v="Valerie Miller"/>
    <n v="101257"/>
    <s v="Operations"/>
    <d v="2025-06-16T00:00:00"/>
    <x v="2"/>
    <s v="Sherri Martin"/>
    <s v="Yes"/>
    <s v="tking@example.net"/>
    <s v="+1-469-646-1195"/>
    <d v="2026-02-14T01:15:08"/>
    <m/>
  </r>
  <r>
    <s v="Valerie Miller"/>
    <n v="101257"/>
    <s v="Operations"/>
    <d v="2025-06-16T00:00:00"/>
    <x v="5"/>
    <s v="Sherri Martin"/>
    <s v="Yes"/>
    <s v="tking@example.net"/>
    <s v="+1-469-646-1195"/>
    <d v="2026-02-14T01:15:08"/>
    <m/>
  </r>
  <r>
    <s v="Tara Sanders"/>
    <n v="101379"/>
    <s v="Marketing"/>
    <d v="2025-10-12T00:00:00"/>
    <x v="0"/>
    <s v="William Velasquez"/>
    <s v="No"/>
    <s v="daviskim@example.com"/>
    <s v="964.562.2522x37281"/>
    <d v="2026-02-03T07:11:08"/>
    <m/>
  </r>
  <r>
    <s v="Tara Sanders"/>
    <n v="101379"/>
    <s v="Marketing"/>
    <d v="2025-10-12T00:00:00"/>
    <x v="2"/>
    <s v="William Velasquez"/>
    <s v="No"/>
    <s v="daviskim@example.com"/>
    <s v="964.562.2522x37281"/>
    <d v="2026-02-03T07:11:08"/>
    <m/>
  </r>
  <r>
    <s v="Anthony White"/>
    <n v="100390"/>
    <s v="Engineering"/>
    <d v="2026-03-11T00:00:00"/>
    <x v="0"/>
    <s v="Deanna Barrera"/>
    <s v="No"/>
    <s v="nalexander@example.org"/>
    <s v="+1-921-941-6141x5093"/>
    <d v="2026-02-11T00:03:08"/>
    <m/>
  </r>
  <r>
    <s v="Anthony White"/>
    <n v="100390"/>
    <s v="Engineering"/>
    <d v="2026-03-11T00:00:00"/>
    <x v="3"/>
    <s v="Deanna Barrera"/>
    <s v="No"/>
    <s v="nalexander@example.org"/>
    <s v="+1-921-941-6141x5093"/>
    <d v="2026-02-11T00:03:08"/>
    <m/>
  </r>
  <r>
    <s v="Anthony White"/>
    <n v="100390"/>
    <s v="Engineering"/>
    <d v="2026-03-11T00:00:00"/>
    <x v="4"/>
    <s v="Deanna Barrera"/>
    <s v="No"/>
    <s v="nalexander@example.org"/>
    <s v="+1-921-941-6141x5093"/>
    <d v="2026-02-11T00:03:08"/>
    <m/>
  </r>
  <r>
    <s v="Ashlee Brown"/>
    <n v="100423"/>
    <s v="IT"/>
    <d v="2025-05-03T00:00:00"/>
    <x v="0"/>
    <s v="Adrienne Aguilar"/>
    <s v="No"/>
    <s v="davisalexa@example.org"/>
    <s v="(598)747-7596x5555"/>
    <d v="2026-02-21T19:15:08"/>
    <m/>
  </r>
  <r>
    <s v="Ashlee Brown"/>
    <n v="100423"/>
    <s v="IT"/>
    <d v="2025-05-03T00:00:00"/>
    <x v="4"/>
    <s v="Adrienne Aguilar"/>
    <s v="No"/>
    <s v="davisalexa@example.org"/>
    <s v="(598)747-7596x5555"/>
    <d v="2026-02-21T19:15:08"/>
    <m/>
  </r>
  <r>
    <s v="Jamie Brown"/>
    <n v="100170"/>
    <s v="Operations"/>
    <d v="2025-05-31T00:00:00"/>
    <x v="0"/>
    <s v="Gary Garcia"/>
    <s v="Yes"/>
    <s v="zharrell@example.net"/>
    <s v="(909)818-4357"/>
    <d v="2026-02-12T01:53:08"/>
    <m/>
  </r>
  <r>
    <s v="Jamie Brown"/>
    <n v="100170"/>
    <s v="Operations"/>
    <d v="2025-05-31T00:00:00"/>
    <x v="3"/>
    <s v="Gary Garcia"/>
    <s v="Yes"/>
    <s v="zharrell@example.net"/>
    <s v="(909)818-4357"/>
    <d v="2026-02-12T01:53:08"/>
    <m/>
  </r>
  <r>
    <s v="Jamie Brown"/>
    <n v="100170"/>
    <s v="Operations"/>
    <d v="2025-05-31T00:00:00"/>
    <x v="2"/>
    <s v="Gary Garcia"/>
    <s v="Yes"/>
    <s v="zharrell@example.net"/>
    <s v="(909)818-4357"/>
    <d v="2026-02-12T01:53:08"/>
    <m/>
  </r>
  <r>
    <s v="April Little"/>
    <n v="100176"/>
    <s v="IT"/>
    <d v="2025-06-08T00:00:00"/>
    <x v="5"/>
    <s v="Erica Schultz"/>
    <s v="No"/>
    <s v="montesjill@example.net"/>
    <s v="639.576.9156x716"/>
    <d v="2026-03-01T06:37:08"/>
    <s v="Extra Name Spaces"/>
  </r>
  <r>
    <s v="Sheila Walter"/>
    <n v="100428"/>
    <s v="Finance"/>
    <d v="2025-04-10T00:00:00"/>
    <x v="3"/>
    <s v="Michelle Johnson"/>
    <s v="No"/>
    <s v="trobles@example.net"/>
    <s v="+1-572-471-7833"/>
    <d v="2026-03-01T15:13:08"/>
    <m/>
  </r>
  <r>
    <s v="Sheila Walter"/>
    <n v="100428"/>
    <s v="Finance"/>
    <d v="2025-04-10T00:00:00"/>
    <x v="4"/>
    <s v="Michelle Johnson"/>
    <s v="No"/>
    <s v="trobles@example.net"/>
    <s v="+1-572-471-7833"/>
    <d v="2026-03-01T15:13:08"/>
    <m/>
  </r>
  <r>
    <s v="Sheila Walter"/>
    <n v="100428"/>
    <s v="Finance"/>
    <d v="2025-04-10T00:00:00"/>
    <x v="5"/>
    <s v="Michelle Johnson"/>
    <s v="No"/>
    <s v="trobles@example.net"/>
    <s v="+1-572-471-7833"/>
    <d v="2026-03-01T15:13:08"/>
    <m/>
  </r>
  <r>
    <s v="Mary Davis"/>
    <n v="100525"/>
    <s v="Operations"/>
    <d v="2025-10-29T00:00:00"/>
    <x v="0"/>
    <s v="Mike Martin"/>
    <s v="No"/>
    <s v="raven43@example.net"/>
    <s v="771-828-7153x991"/>
    <d v="2026-02-24T13:51:08"/>
    <m/>
  </r>
  <r>
    <s v="Mary Davis"/>
    <n v="100525"/>
    <s v="Operations"/>
    <d v="2025-10-29T00:00:00"/>
    <x v="2"/>
    <s v="Mike Martin"/>
    <s v="No"/>
    <s v="raven43@example.net"/>
    <s v="771-828-7153x991"/>
    <d v="2026-02-24T13:51:08"/>
    <m/>
  </r>
  <r>
    <s v="Mary Davis"/>
    <n v="100525"/>
    <s v="Operations"/>
    <d v="2025-10-29T00:00:00"/>
    <x v="5"/>
    <s v="Mike Martin"/>
    <s v="No"/>
    <s v="raven43@example.net"/>
    <s v="771-828-7153x991"/>
    <d v="2026-02-24T13:51:08"/>
    <m/>
  </r>
  <r>
    <s v="Natalie Hardy"/>
    <n v="101347"/>
    <s v="IT"/>
    <d v="2026-04-01T00:00:00"/>
    <x v="0"/>
    <s v="Rachel Burch"/>
    <s v="No"/>
    <s v="ostokes@example.com"/>
    <s v="741-411-5931"/>
    <d v="2026-03-13T22:53:08"/>
    <m/>
  </r>
  <r>
    <s v="Natalie Hardy"/>
    <n v="101347"/>
    <s v="IT"/>
    <d v="2026-04-01T00:00:00"/>
    <x v="2"/>
    <s v="Rachel Burch"/>
    <s v="No"/>
    <s v="ostokes@example.com"/>
    <s v="741-411-5931"/>
    <d v="2026-03-13T22:53:08"/>
    <m/>
  </r>
  <r>
    <s v="Natalie Hardy"/>
    <n v="101347"/>
    <s v="IT"/>
    <d v="2026-04-01T00:00:00"/>
    <x v="5"/>
    <s v="Rachel Burch"/>
    <s v="No"/>
    <s v="ostokes@example.com"/>
    <s v="741-411-5931"/>
    <d v="2026-03-13T22:53:08"/>
    <m/>
  </r>
  <r>
    <s v="Tiffany Ray"/>
    <n v="100935"/>
    <s v="IT"/>
    <d v="2025-03-16T00:00:00"/>
    <x v="3"/>
    <s v="Antonio Nichols"/>
    <s v="No"/>
    <s v="uwhitney@example.com"/>
    <s v="+1-528-999-3160x87524"/>
    <d v="2026-02-11T22:43:08"/>
    <m/>
  </r>
  <r>
    <s v="Brittany Campbell"/>
    <n v="100972"/>
    <s v="Finance"/>
    <d v="2026-02-14T00:00:00"/>
    <x v="3"/>
    <s v="Sarah Carey"/>
    <s v="Yes"/>
    <s v="georgekyle@example.net"/>
    <s v="749-473-7460"/>
    <d v="2026-03-02T02:24:08"/>
    <m/>
  </r>
  <r>
    <s v="Brittany Campbell"/>
    <n v="100972"/>
    <s v="Finance"/>
    <d v="2026-02-14T00:00:00"/>
    <x v="1"/>
    <s v="Sarah Carey"/>
    <s v="Yes"/>
    <s v="georgekyle@example.net"/>
    <s v="749-473-7460"/>
    <d v="2026-03-02T02:24:08"/>
    <m/>
  </r>
  <r>
    <s v="Brittany Campbell"/>
    <n v="100972"/>
    <s v="Finance"/>
    <d v="2026-02-14T00:00:00"/>
    <x v="5"/>
    <s v="Sarah Carey"/>
    <s v="Yes"/>
    <s v="georgekyle@example.net"/>
    <s v="749-473-7460"/>
    <d v="2026-03-02T02:24:08"/>
    <m/>
  </r>
  <r>
    <s v="Christine Oconnor"/>
    <n v="101217"/>
    <s v="HR"/>
    <d v="2025-12-27T00:00:00"/>
    <x v="3"/>
    <s v="Melody Williams"/>
    <s v="No"/>
    <s v="melissaluna@example.com"/>
    <s v="+1-620-586-5675x66184"/>
    <d v="2026-03-09T14:35:08"/>
    <m/>
  </r>
  <r>
    <s v="Christine Oconnor"/>
    <n v="101217"/>
    <s v="HR"/>
    <d v="2025-12-27T00:00:00"/>
    <x v="1"/>
    <s v="Melody Williams"/>
    <s v="No"/>
    <s v="melissaluna@example.com"/>
    <s v="+1-620-586-5675x66184"/>
    <d v="2026-03-09T14:35:08"/>
    <m/>
  </r>
  <r>
    <s v="Christine Oconnor"/>
    <n v="101217"/>
    <s v="HR"/>
    <d v="2025-12-27T00:00:00"/>
    <x v="5"/>
    <s v="Melody Williams"/>
    <s v="No"/>
    <s v="melissaluna@example.com"/>
    <s v="+1-620-586-5675x66184"/>
    <d v="2026-03-09T14:35:08"/>
    <m/>
  </r>
  <r>
    <s v="Kimberly Davis"/>
    <n v="100296"/>
    <s v="Finance"/>
    <d v="2025-03-17T00:00:00"/>
    <x v="0"/>
    <s v="Rick Glenn"/>
    <s v="No"/>
    <s v="hornjenna@example.com"/>
    <s v="+1-329-427-7423x3305"/>
    <d v="2026-01-31T14:17:08"/>
    <m/>
  </r>
  <r>
    <s v="Kimberly Davis"/>
    <n v="100296"/>
    <s v="Finance"/>
    <d v="2025-03-17T00:00:00"/>
    <x v="1"/>
    <s v="Rick Glenn"/>
    <s v="No"/>
    <s v="hornjenna@example.com"/>
    <s v="+1-329-427-7423x3305"/>
    <d v="2026-01-31T14:17:08"/>
    <m/>
  </r>
  <r>
    <s v="William Shelton"/>
    <n v="100300"/>
    <s v="Engineering"/>
    <d v="2025-06-08T00:00:00"/>
    <x v="4"/>
    <s v="Anthony Kelly"/>
    <s v="Yes"/>
    <s v="dwhite@example.org"/>
    <s v="459.862.6301x36749"/>
    <d v="2026-02-27T21:03:08"/>
    <m/>
  </r>
  <r>
    <s v="William Shelton"/>
    <n v="100300"/>
    <s v="Engineering"/>
    <d v="2025-06-08T00:00:00"/>
    <x v="5"/>
    <s v="Anthony Kelly"/>
    <s v="Yes"/>
    <s v="dwhite@example.org"/>
    <s v="459.862.6301x36749"/>
    <d v="2026-02-27T21:03:08"/>
    <m/>
  </r>
  <r>
    <s v="Wendy Lambert"/>
    <n v="100744"/>
    <s v="Finance"/>
    <d v="2025-06-20T00:00:00"/>
    <x v="5"/>
    <s v="John Meyers"/>
    <s v="Yes"/>
    <s v="phill@example.com"/>
    <s v="(901)611-1783x099"/>
    <d v="2026-02-15T11:24:08"/>
    <m/>
  </r>
  <r>
    <s v="Anna Watkins"/>
    <n v="100371"/>
    <s v="HR"/>
    <d v="2025-05-10T00:00:00"/>
    <x v="3"/>
    <s v="Zachary Park"/>
    <s v="Yes"/>
    <s v="ashley15@example.org"/>
    <s v="001-382-560-6888x718"/>
    <d v="2026-02-16T02:18:08"/>
    <m/>
  </r>
  <r>
    <s v="Anna Watkins"/>
    <n v="100371"/>
    <s v="HR"/>
    <d v="2025-05-10T00:00:00"/>
    <x v="2"/>
    <s v="Zachary Park"/>
    <s v="Yes"/>
    <s v="ashley15@example.org"/>
    <s v="001-382-560-6888x718"/>
    <d v="2026-02-16T02:18:08"/>
    <m/>
  </r>
  <r>
    <s v="Stephanie White"/>
    <n v="100144"/>
    <s v="IT"/>
    <d v="2025-11-29T00:00:00"/>
    <x v="5"/>
    <s v="Catherine Peters"/>
    <s v="Yes"/>
    <s v="david29@example.org"/>
    <s v="+1-821-284-0118x4582"/>
    <d v="2026-02-11T16:15:08"/>
    <m/>
  </r>
  <r>
    <s v="Angel Bautista"/>
    <n v="101325"/>
    <s v="IT"/>
    <d v="2025-10-23T00:00:00"/>
    <x v="3"/>
    <s v="Elaine Ferguson"/>
    <s v="Yes"/>
    <s v="barbaraneal@example.net"/>
    <s v="(598)483-1030x324"/>
    <d v="2026-03-08T14:22:08"/>
    <m/>
  </r>
  <r>
    <s v="Angel Bautista"/>
    <n v="101325"/>
    <s v="IT"/>
    <d v="2025-10-23T00:00:00"/>
    <x v="4"/>
    <s v="Elaine Ferguson"/>
    <s v="Yes"/>
    <s v="barbaraneal@example.net"/>
    <s v="(598)483-1030x324"/>
    <d v="2026-03-08T14:22:08"/>
    <m/>
  </r>
  <r>
    <s v="Angel Bautista"/>
    <n v="101325"/>
    <s v="IT"/>
    <d v="2025-10-23T00:00:00"/>
    <x v="5"/>
    <s v="Elaine Ferguson"/>
    <s v="Yes"/>
    <s v="barbaraneal@example.net"/>
    <s v="(598)483-1030x324"/>
    <d v="2026-03-08T14:22:08"/>
    <m/>
  </r>
  <r>
    <s v="Cindy Howard"/>
    <n v="100806"/>
    <s v="Operations"/>
    <d v="2026-02-15T00:00:00"/>
    <x v="3"/>
    <s v="Marcus Jones"/>
    <s v="No"/>
    <s v="jorge26@example.com"/>
    <s v="746-428-3143"/>
    <d v="2026-02-05T18:16:08"/>
    <m/>
  </r>
  <r>
    <s v="Cindy Howard"/>
    <n v="100806"/>
    <s v="Operations"/>
    <d v="2026-02-15T00:00:00"/>
    <x v="1"/>
    <s v="Marcus Jones"/>
    <s v="No"/>
    <s v="jorge26@example.com"/>
    <s v="746-428-3143"/>
    <d v="2026-02-05T18:16:08"/>
    <m/>
  </r>
  <r>
    <s v="Cindy Howard"/>
    <n v="100806"/>
    <s v="Operations"/>
    <d v="2026-02-15T00:00:00"/>
    <x v="5"/>
    <s v="Marcus Jones"/>
    <s v="No"/>
    <s v="jorge26@example.com"/>
    <s v="746-428-3143"/>
    <d v="2026-02-05T18:16:08"/>
    <m/>
  </r>
  <r>
    <s v="Christian Riddle"/>
    <n v="100259"/>
    <s v="Finance"/>
    <d v="2025-08-03T00:00:00"/>
    <x v="0"/>
    <s v="Alexander Munoz"/>
    <s v="No"/>
    <s v="nelsonamanda@example.net"/>
    <s v="+1-561-651-5542"/>
    <d v="2026-03-08T13:12:08"/>
    <m/>
  </r>
  <r>
    <s v="Christian Riddle"/>
    <n v="100259"/>
    <s v="Finance"/>
    <d v="2025-08-03T00:00:00"/>
    <x v="1"/>
    <s v="Alexander Munoz"/>
    <s v="No"/>
    <s v="nelsonamanda@example.net"/>
    <s v="+1-561-651-5542"/>
    <d v="2026-03-08T13:12:08"/>
    <m/>
  </r>
  <r>
    <s v="James Novak"/>
    <n v="100822"/>
    <s v="Operations"/>
    <d v="2026-01-18T00:00:00"/>
    <x v="0"/>
    <s v="Brian Frost"/>
    <s v="No"/>
    <s v="alishahutchinson@example.net"/>
    <s v="818.459.4849x1025"/>
    <d v="2026-01-29T23:01:08"/>
    <m/>
  </r>
  <r>
    <s v="James Novak"/>
    <n v="100822"/>
    <s v="Operations"/>
    <d v="2026-01-18T00:00:00"/>
    <x v="3"/>
    <s v="Brian Frost"/>
    <s v="No"/>
    <s v="alishahutchinson@example.net"/>
    <s v="818.459.4849x1025"/>
    <d v="2026-01-29T23:01:08"/>
    <m/>
  </r>
  <r>
    <s v="James Novak"/>
    <n v="100822"/>
    <s v="Operations"/>
    <d v="2026-01-18T00:00:00"/>
    <x v="1"/>
    <s v="Brian Frost"/>
    <s v="No"/>
    <s v="alishahutchinson@example.net"/>
    <s v="818.459.4849x1025"/>
    <d v="2026-01-29T23:01:08"/>
    <m/>
  </r>
  <r>
    <s v="Patrick Faulkner"/>
    <n v="100174"/>
    <s v="Finance"/>
    <d v="2025-06-26T00:00:00"/>
    <x v="3"/>
    <s v="Linda Atkinson"/>
    <s v="No"/>
    <s v="qvargas@example.org"/>
    <s v="+1-482-922-6940x53967"/>
    <d v="2026-02-01T06:07:08"/>
    <m/>
  </r>
  <r>
    <s v="Dr. Kathryn Hill"/>
    <n v="100849"/>
    <s v="Marketing"/>
    <d v="2026-03-14T00:00:00"/>
    <x v="3"/>
    <s v="Todd Keith"/>
    <s v="Yes"/>
    <s v="kevinhodge@example.com"/>
    <s v="(251)811-3129x01487"/>
    <d v="2026-02-21T22:43:08"/>
    <m/>
  </r>
  <r>
    <s v="Dr. Kathryn Hill"/>
    <n v="100849"/>
    <s v="Marketing"/>
    <d v="2026-03-14T00:00:00"/>
    <x v="1"/>
    <s v="Todd Keith"/>
    <s v="Yes"/>
    <s v="kevinhodge@example.com"/>
    <s v="(251)811-3129x01487"/>
    <d v="2026-02-21T22:43:08"/>
    <m/>
  </r>
  <r>
    <s v="Dr. Kathryn Hill"/>
    <n v="100849"/>
    <s v="Marketing"/>
    <d v="2026-03-14T00:00:00"/>
    <x v="4"/>
    <s v="Todd Keith"/>
    <s v="Yes"/>
    <s v="kevinhodge@example.com"/>
    <s v="(251)811-3129x01487"/>
    <d v="2026-02-21T22:43:08"/>
    <m/>
  </r>
  <r>
    <s v="Tara Taylor"/>
    <n v="100404"/>
    <s v="IT"/>
    <d v="2026-01-08T00:00:00"/>
    <x v="0"/>
    <s v="Mr. Michael Patel Jr."/>
    <s v="No"/>
    <s v="jensenrhonda@example.net"/>
    <s v="9684538909"/>
    <d v="2026-03-16T00:04:08"/>
    <m/>
  </r>
  <r>
    <s v="Tara Taylor"/>
    <n v="100404"/>
    <s v="IT"/>
    <d v="2026-01-08T00:00:00"/>
    <x v="1"/>
    <s v="Mr. Michael Patel Jr."/>
    <s v="No"/>
    <s v="jensenrhonda@example.net"/>
    <s v="9684538909"/>
    <d v="2026-03-16T00:04:08"/>
    <m/>
  </r>
  <r>
    <s v="Tara Taylor"/>
    <n v="100404"/>
    <s v="IT"/>
    <d v="2026-01-08T00:00:00"/>
    <x v="5"/>
    <s v="Mr. Michael Patel Jr."/>
    <s v="No"/>
    <s v="jensenrhonda@example.net"/>
    <s v="9684538909"/>
    <d v="2026-03-16T00:04:08"/>
    <m/>
  </r>
  <r>
    <s v="Sierra Mills"/>
    <n v="100855"/>
    <s v="Marketing"/>
    <d v="2025-03-28T00:00:00"/>
    <x v="2"/>
    <s v="Benjamin Franco"/>
    <s v="Yes"/>
    <s v="stephanie67@example.com"/>
    <s v="(951)653-8144"/>
    <d v="2026-03-04T08:48:08"/>
    <m/>
  </r>
  <r>
    <s v="Sierra Mills"/>
    <n v="100855"/>
    <s v="Marketing"/>
    <d v="2025-03-28T00:00:00"/>
    <x v="4"/>
    <s v="Benjamin Franco"/>
    <s v="Yes"/>
    <s v="stephanie67@example.com"/>
    <s v="(951)653-8144"/>
    <d v="2026-03-04T08:48:08"/>
    <m/>
  </r>
  <r>
    <s v="Aaron Welch"/>
    <n v="100908"/>
    <s v="Marketing"/>
    <d v="2025-08-09T00:00:00"/>
    <x v="1"/>
    <s v="Thomas Hickman"/>
    <s v="No"/>
    <s v="wallspatricia@example.com"/>
    <s v="2507975451"/>
    <d v="2026-03-02T23:26:08"/>
    <m/>
  </r>
  <r>
    <s v="Aaron Welch"/>
    <n v="100908"/>
    <s v="Marketing"/>
    <d v="2025-08-09T00:00:00"/>
    <x v="2"/>
    <s v="Thomas Hickman"/>
    <s v="No"/>
    <s v="wallspatricia@example.com"/>
    <s v="2507975451"/>
    <d v="2026-03-02T23:26:08"/>
    <m/>
  </r>
  <r>
    <s v="Aaron Welch"/>
    <n v="100908"/>
    <s v="Marketing"/>
    <d v="2025-08-09T00:00:00"/>
    <x v="4"/>
    <s v="Thomas Hickman"/>
    <s v="No"/>
    <s v="wallspatricia@example.com"/>
    <s v="2507975451"/>
    <d v="2026-03-02T23:26:08"/>
    <m/>
  </r>
  <r>
    <s v="Charlotte Gomez"/>
    <n v="100035"/>
    <s v="Engineering"/>
    <d v="2025-09-15T00:00:00"/>
    <x v="3"/>
    <s v="Johnathan Miller"/>
    <s v="Yes"/>
    <s v="robertgentry@example.org"/>
    <s v="(443)676-5456"/>
    <d v="2026-02-02T22:45:08"/>
    <m/>
  </r>
  <r>
    <s v="Charlotte Gomez"/>
    <n v="100035"/>
    <s v="Engineering"/>
    <d v="2025-09-15T00:00:00"/>
    <x v="2"/>
    <s v="Johnathan Miller"/>
    <s v="Yes"/>
    <s v="robertgentry@example.org"/>
    <s v="(443)676-5456"/>
    <d v="2026-02-02T22:45:08"/>
    <m/>
  </r>
  <r>
    <s v="Jeffrey Franco"/>
    <n v="100069"/>
    <s v="Operations"/>
    <d v="2025-07-15T00:00:00"/>
    <x v="0"/>
    <s v="Hector Hamilton"/>
    <s v="No"/>
    <s v="nicole31@example.org"/>
    <s v="902-966-5023x7416"/>
    <d v="2026-02-20T03:41:08"/>
    <m/>
  </r>
  <r>
    <s v="Jeffrey Franco"/>
    <n v="100069"/>
    <s v="Operations"/>
    <d v="2025-07-15T00:00:00"/>
    <x v="1"/>
    <s v="Hector Hamilton"/>
    <s v="No"/>
    <s v="nicole31@example.org"/>
    <s v="902-966-5023x7416"/>
    <d v="2026-02-20T03:41:08"/>
    <m/>
  </r>
  <r>
    <s v="Jeffrey Franco"/>
    <n v="100069"/>
    <s v="Operations"/>
    <d v="2025-07-15T00:00:00"/>
    <x v="2"/>
    <s v="Hector Hamilton"/>
    <s v="No"/>
    <s v="nicole31@example.org"/>
    <s v="902-966-5023x7416"/>
    <d v="2026-02-20T03:41:08"/>
    <m/>
  </r>
  <r>
    <s v="Michelle Nguyen"/>
    <n v="100382"/>
    <s v="HR"/>
    <d v="2025-12-23T00:00:00"/>
    <x v="2"/>
    <s v="Sierra Shaw"/>
    <s v="No"/>
    <s v="ganderson@example.org"/>
    <s v="(225)880-3056"/>
    <d v="2026-03-03T20:44:08"/>
    <m/>
  </r>
  <r>
    <s v="Douglas Miller"/>
    <n v="101394"/>
    <s v="Operations"/>
    <d v="2026-05-14T00:00:00"/>
    <x v="0"/>
    <s v="Luke Daniel"/>
    <s v="No"/>
    <s v="johnwang@example.com"/>
    <s v="001-536-337-1892x392"/>
    <d v="2026-02-06T23:15:08"/>
    <m/>
  </r>
  <r>
    <s v="Andrew Mooney"/>
    <n v="100306"/>
    <s v="IT"/>
    <d v="2025-06-24T00:00:00"/>
    <x v="1"/>
    <s v="Jessica Jensen"/>
    <s v="Yes"/>
    <s v="linomar@example.net"/>
    <s v="733-656-7086x0414"/>
    <d v="2026-02-01T15:22:08"/>
    <m/>
  </r>
  <r>
    <s v="Andrew Mooney"/>
    <n v="100306"/>
    <s v="IT"/>
    <d v="2025-06-24T00:00:00"/>
    <x v="4"/>
    <s v="Jessica Jensen"/>
    <s v="Yes"/>
    <s v="linomar@example.net"/>
    <s v="733-656-7086x0414"/>
    <d v="2026-02-01T15:22:08"/>
    <m/>
  </r>
  <r>
    <s v="Andrew Mooney"/>
    <n v="100306"/>
    <s v="IT"/>
    <d v="2025-06-24T00:00:00"/>
    <x v="5"/>
    <s v="Jessica Jensen"/>
    <s v="Yes"/>
    <s v="linomar@example.net"/>
    <s v="733-656-7086x0414"/>
    <d v="2026-02-01T15:22:08"/>
    <m/>
  </r>
  <r>
    <s v="Michelle Wright"/>
    <n v="100097"/>
    <s v="Marketing"/>
    <d v="2025-06-12T00:00:00"/>
    <x v="3"/>
    <s v="Catherine Smith"/>
    <s v="Yes"/>
    <s v="jason74@example.net"/>
    <s v="362-247-5541"/>
    <d v="2026-02-17T08:23:08"/>
    <m/>
  </r>
  <r>
    <s v="Michelle Wright"/>
    <n v="100097"/>
    <s v="Marketing"/>
    <d v="2025-06-12T00:00:00"/>
    <x v="2"/>
    <s v="Catherine Smith"/>
    <s v="Yes"/>
    <s v="jason74@example.net"/>
    <s v="362-247-5541"/>
    <d v="2026-02-17T08:23:08"/>
    <m/>
  </r>
  <r>
    <s v="Michelle Wright"/>
    <n v="100097"/>
    <s v="Marketing"/>
    <d v="2025-06-12T00:00:00"/>
    <x v="5"/>
    <s v="Catherine Smith"/>
    <s v="Yes"/>
    <s v="jason74@example.net"/>
    <s v="362-247-5541"/>
    <d v="2026-02-17T08:23:08"/>
    <m/>
  </r>
  <r>
    <s v="Patricia Anderson"/>
    <n v="100895"/>
    <s v="IT"/>
    <d v="2025-07-29T00:00:00"/>
    <x v="4"/>
    <s v="Robert Paul"/>
    <s v="No"/>
    <s v="john43@example.net"/>
    <s v="(711)629-1093x3711"/>
    <d v="2026-03-16T06:38:08"/>
    <m/>
  </r>
  <r>
    <s v="Wanda Harris"/>
    <n v="100967"/>
    <s v="Operations"/>
    <d v="2026-03-14T00:00:00"/>
    <x v="2"/>
    <s v="Amanda Lee"/>
    <s v="Yes"/>
    <s v="patricia85@example.com"/>
    <s v="416.617.6880x294"/>
    <d v="2026-02-23T21:32:08"/>
    <m/>
  </r>
  <r>
    <s v="Keith Bauer"/>
    <n v="100731"/>
    <s v="Engineering"/>
    <d v="2026-04-16T00:00:00"/>
    <x v="3"/>
    <s v="Natalie Sanders"/>
    <s v="No"/>
    <s v="martinkaren@example.com"/>
    <s v="+1-566-294-3202"/>
    <d v="2026-03-12T07:04:08"/>
    <m/>
  </r>
  <r>
    <s v="Keith Bauer"/>
    <n v="100731"/>
    <s v="Engineering"/>
    <d v="2026-04-16T00:00:00"/>
    <x v="1"/>
    <s v="Natalie Sanders"/>
    <s v="No"/>
    <s v="martinkaren@example.com"/>
    <s v="+1-566-294-3202"/>
    <d v="2026-03-12T07:04:08"/>
    <m/>
  </r>
  <r>
    <s v="Keith Bauer"/>
    <n v="100731"/>
    <s v="Engineering"/>
    <d v="2026-04-16T00:00:00"/>
    <x v="5"/>
    <s v="Natalie Sanders"/>
    <s v="No"/>
    <s v="martinkaren@example.com"/>
    <s v="+1-566-294-3202"/>
    <d v="2026-03-12T07:04:08"/>
    <m/>
  </r>
  <r>
    <s v="Rachel Gibson"/>
    <n v="100233"/>
    <s v="IT"/>
    <d v="2025-07-06T00:00:00"/>
    <x v="3"/>
    <s v="Kelly Turner"/>
    <s v="Yes"/>
    <s v="kennethadams@example.org"/>
    <s v="(430)683-4024"/>
    <d v="2026-02-12T12:28:08"/>
    <m/>
  </r>
  <r>
    <s v="Amber Whitney"/>
    <n v="100932"/>
    <s v="Operations"/>
    <d v="2025-12-19T00:00:00"/>
    <x v="1"/>
    <s v="Christine Wilson DDS"/>
    <s v="Yes"/>
    <s v="mark84@example.net"/>
    <s v="(669)445-0053"/>
    <d v="2026-03-02T19:16:08"/>
    <m/>
  </r>
  <r>
    <s v="Amber Whitney"/>
    <n v="100932"/>
    <s v="Operations"/>
    <d v="2025-12-19T00:00:00"/>
    <x v="2"/>
    <s v="Christine Wilson DDS"/>
    <s v="Yes"/>
    <s v="mark84@example.net"/>
    <s v="(669)445-0053"/>
    <d v="2026-03-02T19:16:08"/>
    <m/>
  </r>
  <r>
    <s v="Amber Whitney"/>
    <n v="100932"/>
    <s v="Operations"/>
    <d v="2025-12-19T00:00:00"/>
    <x v="5"/>
    <s v="Christine Wilson DDS"/>
    <s v="Yes"/>
    <s v="mark84@example.net"/>
    <s v="(669)445-0053"/>
    <d v="2026-03-02T19:16:08"/>
    <m/>
  </r>
  <r>
    <s v="Alan Sandoval"/>
    <n v="100241"/>
    <s v="HR"/>
    <d v="2025-09-01T00:00:00"/>
    <x v="1"/>
    <s v="Teresa Aguilar"/>
    <s v="No"/>
    <s v="qbautista@example.net"/>
    <s v="+1-598-837-3543x9627"/>
    <d v="2026-02-08T19:45:08"/>
    <m/>
  </r>
  <r>
    <s v="Alan Sandoval"/>
    <n v="100241"/>
    <s v="HR"/>
    <d v="2025-09-01T00:00:00"/>
    <x v="4"/>
    <s v="Teresa Aguilar"/>
    <s v="No"/>
    <s v="qbautista@example.net"/>
    <s v="+1-598-837-3543x9627"/>
    <d v="2026-02-08T19:45:08"/>
    <m/>
  </r>
  <r>
    <s v="Steven Davis"/>
    <n v="101089"/>
    <s v="Engineering"/>
    <d v="2025-05-13T00:00:00"/>
    <x v="1"/>
    <s v="Cody Huffman"/>
    <s v="Yes"/>
    <s v="ashleyharding@example.org"/>
    <s v="+1-540-942-2693x1216"/>
    <d v="2026-03-13T18:37:08"/>
    <s v="Extra Name Spaces"/>
  </r>
  <r>
    <s v="Steven Davis"/>
    <n v="101089"/>
    <s v="Engineering"/>
    <d v="2025-05-13T00:00:00"/>
    <x v="4"/>
    <s v="Cody Huffman"/>
    <s v="Yes"/>
    <s v="ashleyharding@example.org"/>
    <s v="+1-540-942-2693x1216"/>
    <d v="2026-03-13T18:37:08"/>
    <s v="Extra Name Spaces"/>
  </r>
  <r>
    <s v="Steven Davis"/>
    <n v="101089"/>
    <s v="Engineering"/>
    <d v="2025-05-13T00:00:00"/>
    <x v="5"/>
    <s v="Cody Huffman"/>
    <s v="Yes"/>
    <s v="ashleyharding@example.org"/>
    <s v="+1-540-942-2693x1216"/>
    <d v="2026-03-13T18:37:08"/>
    <s v="Extra Name Spaces"/>
  </r>
  <r>
    <s v="Tracy Garcia"/>
    <n v="100427"/>
    <s v="HR"/>
    <d v="2025-09-27T00:00:00"/>
    <x v="5"/>
    <s v="Monica Morton"/>
    <s v="No"/>
    <s v="grayandrew@example.org"/>
    <s v="001-502-431-4290x01851"/>
    <d v="2026-02-10T08:15:08"/>
    <m/>
  </r>
  <r>
    <s v="Mr. Jeremy Martin"/>
    <n v="100578"/>
    <s v="Engineering"/>
    <d v="2025-12-05T00:00:00"/>
    <x v="0"/>
    <s v="Christopher Brown"/>
    <s v="No"/>
    <s v="courtney10@example.org"/>
    <s v="284-518-6203"/>
    <d v="2026-02-13T16:25:08"/>
    <m/>
  </r>
  <r>
    <s v="Mr. Jeremy Martin"/>
    <n v="100578"/>
    <s v="Engineering"/>
    <d v="2025-12-05T00:00:00"/>
    <x v="3"/>
    <s v="Christopher Brown"/>
    <s v="No"/>
    <s v="courtney10@example.org"/>
    <s v="284-518-6203"/>
    <d v="2026-02-13T16:25:08"/>
    <m/>
  </r>
  <r>
    <s v="Charles Rios"/>
    <n v="101202"/>
    <s v="HR"/>
    <d v="2026-02-12T00:00:00"/>
    <x v="1"/>
    <s v="Shawn Cruz"/>
    <s v="Yes"/>
    <s v="vasquezvicki@example.org"/>
    <s v="245-419-5151"/>
    <d v="2026-03-10T12:12:08"/>
    <m/>
  </r>
  <r>
    <s v="Joseph Greene"/>
    <n v="100361"/>
    <s v="IT"/>
    <d v="2025-12-14T00:00:00"/>
    <x v="0"/>
    <s v="Brittany Contreras"/>
    <s v="Yes"/>
    <s v="colleen45@example.org"/>
    <s v="975-341-0225x267"/>
    <d v="2026-03-02T19:02:08"/>
    <m/>
  </r>
  <r>
    <s v="Jeffrey Acosta"/>
    <n v="101027"/>
    <s v="Finance"/>
    <d v="2026-03-01T00:00:00"/>
    <x v="2"/>
    <s v="Frank Anderson"/>
    <s v="No"/>
    <s v="fgomez@example.com"/>
    <s v="569.852.3668x7887"/>
    <d v="2026-02-03T15:27:08"/>
    <m/>
  </r>
  <r>
    <s v="Jeffrey Acosta"/>
    <n v="101027"/>
    <s v="Finance"/>
    <d v="2026-03-01T00:00:00"/>
    <x v="4"/>
    <s v="Frank Anderson"/>
    <s v="No"/>
    <s v="fgomez@example.com"/>
    <s v="569.852.3668x7887"/>
    <d v="2026-02-03T15:27:08"/>
    <m/>
  </r>
  <r>
    <s v="Miguel Rose"/>
    <n v="100149"/>
    <s v="Marketing"/>
    <d v="2025-03-28T00:00:00"/>
    <x v="0"/>
    <s v="Roberta Robinson"/>
    <s v="Yes"/>
    <s v="youngaaron@example.org"/>
    <s v="(887)521-0552x472"/>
    <d v="2026-03-11T15:24:08"/>
    <m/>
  </r>
  <r>
    <s v="Miguel Rose"/>
    <n v="100149"/>
    <s v="Marketing"/>
    <d v="2025-03-28T00:00:00"/>
    <x v="1"/>
    <s v="Roberta Robinson"/>
    <s v="Yes"/>
    <s v="youngaaron@example.org"/>
    <s v="(887)521-0552x472"/>
    <d v="2026-03-11T15:24:08"/>
    <m/>
  </r>
  <r>
    <s v="Danny Burgess"/>
    <n v="100366"/>
    <s v="Engineering"/>
    <d v="2025-06-15T00:00:00"/>
    <x v="3"/>
    <s v="Michael Thomas"/>
    <s v="Yes"/>
    <s v="hortonroger@example.org"/>
    <s v="001-519-317-9202x521"/>
    <d v="2026-02-28T04:00:08"/>
    <m/>
  </r>
  <r>
    <s v="Danny Burgess"/>
    <n v="100366"/>
    <s v="Engineering"/>
    <d v="2025-06-15T00:00:00"/>
    <x v="2"/>
    <s v="Michael Thomas"/>
    <s v="Yes"/>
    <s v="hortonroger@example.org"/>
    <s v="001-519-317-9202x521"/>
    <d v="2026-02-28T04:00:08"/>
    <m/>
  </r>
  <r>
    <s v="Ronald Butler"/>
    <n v="101282"/>
    <s v="Operations"/>
    <d v="2025-11-01T00:00:00"/>
    <x v="0"/>
    <s v="Julie Taylor"/>
    <s v="Yes"/>
    <s v="theodore57@example.net"/>
    <s v="001-804-812-0092x820"/>
    <d v="2026-02-19T18:56:08"/>
    <m/>
  </r>
  <r>
    <s v="Ronald Butler"/>
    <n v="101282"/>
    <s v="Operations"/>
    <d v="2025-11-01T00:00:00"/>
    <x v="1"/>
    <s v="Julie Taylor"/>
    <s v="Yes"/>
    <s v="theodore57@example.net"/>
    <s v="001-804-812-0092x820"/>
    <d v="2026-02-19T18:56:08"/>
    <m/>
  </r>
  <r>
    <s v="Ronald Butler"/>
    <n v="101282"/>
    <s v="Operations"/>
    <d v="2025-11-01T00:00:00"/>
    <x v="5"/>
    <s v="Julie Taylor"/>
    <s v="Yes"/>
    <s v="theodore57@example.net"/>
    <s v="001-804-812-0092x820"/>
    <d v="2026-02-19T18:56:08"/>
    <m/>
  </r>
  <r>
    <s v="Sherri Spencer"/>
    <n v="101054"/>
    <s v="Marketing"/>
    <d v="2025-12-14T00:00:00"/>
    <x v="0"/>
    <s v="Tamara Shaw"/>
    <s v="Yes"/>
    <s v="rodneymoore@example.org"/>
    <s v="962.736.9036x28917"/>
    <d v="2026-02-07T16:21:08"/>
    <m/>
  </r>
  <r>
    <s v="Jennifer James"/>
    <n v="101228"/>
    <s v="Engineering"/>
    <d v="2025-09-15T00:00:00"/>
    <x v="3"/>
    <s v="Jacob Coleman"/>
    <s v="Yes"/>
    <s v="daniel15@example.net"/>
    <s v="001-550-234-2811x39043"/>
    <d v="2026-02-26T02:58:08"/>
    <m/>
  </r>
  <r>
    <s v="Jennifer James"/>
    <n v="101228"/>
    <s v="Engineering"/>
    <d v="2025-09-15T00:00:00"/>
    <x v="1"/>
    <s v="Jacob Coleman"/>
    <s v="Yes"/>
    <s v="daniel15@example.net"/>
    <s v="001-550-234-2811x39043"/>
    <d v="2026-02-26T02:58:08"/>
    <m/>
  </r>
  <r>
    <s v="Jennifer James"/>
    <n v="101228"/>
    <s v="Engineering"/>
    <d v="2025-09-15T00:00:00"/>
    <x v="2"/>
    <s v="Jacob Coleman"/>
    <s v="Yes"/>
    <s v="daniel15@example.net"/>
    <s v="001-550-234-2811x39043"/>
    <d v="2026-02-26T02:58:08"/>
    <m/>
  </r>
  <r>
    <s v="Bradley Hudson"/>
    <n v="100704"/>
    <s v="Operations"/>
    <d v="2025-10-04T00:00:00"/>
    <x v="2"/>
    <s v="William Webb"/>
    <s v="Yes"/>
    <s v="edwardssherry@example.org"/>
    <s v="(346)483-5652x156"/>
    <d v="2026-03-08T04:34:08"/>
    <s v="Duplicate Employee ID"/>
  </r>
  <r>
    <s v="Bradley Hudson"/>
    <n v="100704"/>
    <s v="Operations"/>
    <d v="2025-10-04T00:00:00"/>
    <x v="4"/>
    <s v="William Webb"/>
    <s v="Yes"/>
    <s v="edwardssherry@example.org"/>
    <s v="(346)483-5652x156"/>
    <d v="2026-03-08T04:34:08"/>
    <s v="Duplicate Employee ID"/>
  </r>
  <r>
    <s v="Bradley Hudson"/>
    <n v="100704"/>
    <s v="Operations"/>
    <d v="2025-10-04T00:00:00"/>
    <x v="5"/>
    <s v="William Webb"/>
    <s v="Yes"/>
    <s v="edwardssherry@example.org"/>
    <s v="(346)483-5652x156"/>
    <d v="2026-03-08T04:34:08"/>
    <s v="Duplicate Employee ID"/>
  </r>
  <r>
    <s v="Robert Woods"/>
    <n v="100060"/>
    <s v="IT"/>
    <d v="2025-08-14T00:00:00"/>
    <x v="3"/>
    <s v="Amanda Martin"/>
    <s v="Yes"/>
    <s v="omiller@example.org"/>
    <s v="001-733-622-8898x572"/>
    <d v="2026-02-08T22:58:08"/>
    <m/>
  </r>
  <r>
    <s v="Robert Woods"/>
    <n v="100060"/>
    <s v="IT"/>
    <d v="2025-08-14T00:00:00"/>
    <x v="1"/>
    <s v="Amanda Martin"/>
    <s v="Yes"/>
    <s v="omiller@example.org"/>
    <s v="001-733-622-8898x572"/>
    <d v="2026-02-08T22:58:08"/>
    <m/>
  </r>
  <r>
    <s v="Robert Woods"/>
    <n v="100060"/>
    <s v="IT"/>
    <d v="2025-08-14T00:00:00"/>
    <x v="4"/>
    <s v="Amanda Martin"/>
    <s v="Yes"/>
    <s v="omiller@example.org"/>
    <s v="001-733-622-8898x572"/>
    <d v="2026-02-08T22:58:08"/>
    <m/>
  </r>
  <r>
    <s v="Scott Jordan"/>
    <n v="101488"/>
    <s v="Marketing"/>
    <d v="2025-05-18T00:00:00"/>
    <x v="2"/>
    <s v="Patricia Hughes"/>
    <s v="No"/>
    <s v="wendylawson@example.org"/>
    <s v="001-371-902-4817"/>
    <d v="2026-02-09T23:13:08"/>
    <m/>
  </r>
  <r>
    <s v="Timothy Martin"/>
    <n v="100058"/>
    <s v="Engineering"/>
    <d v="2025-08-19T00:00:00"/>
    <x v="0"/>
    <s v="Jack Davis"/>
    <s v="No"/>
    <s v="jennifermurray@example.com"/>
    <s v="472-919-7054x669"/>
    <d v="2026-03-03T03:49:08"/>
    <m/>
  </r>
  <r>
    <s v="Ryan Crane"/>
    <n v="101422"/>
    <s v="IT"/>
    <d v="2025-05-27T00:00:00"/>
    <x v="4"/>
    <s v="Michael Hunter"/>
    <s v="Yes"/>
    <s v="natalie09@example.net"/>
    <s v="8383021462"/>
    <d v="2026-02-05T09:17:08"/>
    <m/>
  </r>
  <r>
    <s v="Shane Caldwell"/>
    <n v="100115"/>
    <s v="Finance"/>
    <d v="2025-05-13T00:00:00"/>
    <x v="0"/>
    <s v="John Nichols"/>
    <s v="Yes"/>
    <s v="lrodriguez@example.net"/>
    <s v="966-536-5155"/>
    <d v="2026-02-09T02:10:08"/>
    <m/>
  </r>
  <r>
    <s v="Karen Ramirez"/>
    <n v="101306"/>
    <s v="IT"/>
    <d v="2025-04-22T00:00:00"/>
    <x v="0"/>
    <s v="Christopher Harrison"/>
    <s v="No"/>
    <s v="lukejohnson@example.net"/>
    <s v="001-360-456-7303x06442"/>
    <d v="2026-03-10T11:10:08"/>
    <m/>
  </r>
  <r>
    <s v="Karen Ramirez"/>
    <n v="101306"/>
    <s v="IT"/>
    <d v="2025-04-22T00:00:00"/>
    <x v="2"/>
    <s v="Christopher Harrison"/>
    <s v="No"/>
    <s v="lukejohnson@example.net"/>
    <s v="001-360-456-7303x06442"/>
    <d v="2026-03-10T11:10:08"/>
    <m/>
  </r>
  <r>
    <s v="Jared Evans"/>
    <n v="100208"/>
    <s v="IT"/>
    <d v="2025-11-20T00:00:00"/>
    <x v="1"/>
    <s v="Shelby Warren"/>
    <s v="Yes"/>
    <s v="jack01@example.com"/>
    <s v="242-535-6778x26596"/>
    <d v="2026-03-10T08:11:08"/>
    <m/>
  </r>
  <r>
    <s v="Jared Evans"/>
    <n v="100208"/>
    <s v="IT"/>
    <d v="2025-11-20T00:00:00"/>
    <x v="4"/>
    <s v="Shelby Warren"/>
    <s v="Yes"/>
    <s v="jack01@example.com"/>
    <s v="242-535-6778x26596"/>
    <d v="2026-03-10T08:11:08"/>
    <m/>
  </r>
  <r>
    <s v="Michael Jensen"/>
    <n v="100829"/>
    <s v="IT"/>
    <d v="2025-04-20T00:00:00"/>
    <x v="1"/>
    <s v="William Mcmillan"/>
    <s v="No"/>
    <s v="alexis72@example.com"/>
    <s v="816-448-0727x91033"/>
    <d v="2026-02-16T06:42:08"/>
    <m/>
  </r>
  <r>
    <s v="Cindy Clark"/>
    <n v="101119"/>
    <s v="IT"/>
    <d v="2026-02-16T00:00:00"/>
    <x v="0"/>
    <s v="Michael Friedman"/>
    <s v="Yes"/>
    <s v="lisa04@example.com"/>
    <s v="917.876.6558x68512"/>
    <d v="2026-02-07T22:34:08"/>
    <m/>
  </r>
  <r>
    <s v="Cindy Clark"/>
    <n v="101119"/>
    <s v="IT"/>
    <d v="2026-02-16T00:00:00"/>
    <x v="3"/>
    <s v="Michael Friedman"/>
    <s v="Yes"/>
    <s v="lisa04@example.com"/>
    <s v="917.876.6558x68512"/>
    <d v="2026-02-07T22:34:08"/>
    <m/>
  </r>
  <r>
    <s v="Juan Martin"/>
    <n v="100698"/>
    <s v="HR"/>
    <d v="2026-05-03T00:00:00"/>
    <x v="4"/>
    <s v="Dustin Keller"/>
    <s v="Yes"/>
    <s v="swalters@example.net"/>
    <s v="311-910-9617"/>
    <d v="2026-02-24T09:30:08"/>
    <m/>
  </r>
  <r>
    <s v="Juan Martin"/>
    <n v="100698"/>
    <s v="HR"/>
    <d v="2026-05-03T00:00:00"/>
    <x v="5"/>
    <s v="Dustin Keller"/>
    <s v="Yes"/>
    <s v="swalters@example.net"/>
    <s v="311-910-9617"/>
    <d v="2026-02-24T09:30:08"/>
    <m/>
  </r>
  <r>
    <s v="Renee Contreras"/>
    <n v="100159"/>
    <s v="Finance"/>
    <d v="2026-03-15T00:00:00"/>
    <x v="0"/>
    <s v="Christy Frank"/>
    <s v="No"/>
    <s v="ewilson@example.org"/>
    <s v="(876)560-5384x444"/>
    <d v="2026-03-07T18:43:08"/>
    <m/>
  </r>
  <r>
    <s v="Renee Contreras"/>
    <n v="100159"/>
    <s v="Finance"/>
    <d v="2026-03-15T00:00:00"/>
    <x v="1"/>
    <s v="Christy Frank"/>
    <s v="No"/>
    <s v="ewilson@example.org"/>
    <s v="(876)560-5384x444"/>
    <d v="2026-03-07T18:43:08"/>
    <m/>
  </r>
  <r>
    <s v="Renee Contreras"/>
    <n v="100159"/>
    <s v="Finance"/>
    <d v="2026-03-15T00:00:00"/>
    <x v="5"/>
    <s v="Christy Frank"/>
    <s v="No"/>
    <s v="ewilson@example.org"/>
    <s v="(876)560-5384x444"/>
    <d v="2026-03-07T18:43:08"/>
    <m/>
  </r>
  <r>
    <s v="Terry Johnson"/>
    <n v="101100"/>
    <s v="HR"/>
    <d v="2025-11-16T00:00:00"/>
    <x v="1"/>
    <s v="Richard Randall"/>
    <s v="No"/>
    <s v="matthew96@example.org"/>
    <s v="+1-863-496-0962"/>
    <d v="2026-02-12T23:05:08"/>
    <m/>
  </r>
  <r>
    <s v="Terry Johnson"/>
    <n v="101100"/>
    <s v="HR"/>
    <d v="2025-11-16T00:00:00"/>
    <x v="5"/>
    <s v="Richard Randall"/>
    <s v="No"/>
    <s v="matthew96@example.org"/>
    <s v="+1-863-496-0962"/>
    <d v="2026-02-12T23:05:08"/>
    <m/>
  </r>
  <r>
    <s v="Evan Moore"/>
    <n v="101459"/>
    <s v="Marketing"/>
    <d v="2025-06-13T00:00:00"/>
    <x v="3"/>
    <s v="Michael Martinez"/>
    <s v="Yes"/>
    <s v="welchkristen@example.net"/>
    <s v="282-353-1106x092"/>
    <d v="2026-02-10T11:12:08"/>
    <m/>
  </r>
  <r>
    <s v="Evan Moore"/>
    <n v="101459"/>
    <s v="Marketing"/>
    <d v="2025-06-13T00:00:00"/>
    <x v="1"/>
    <s v="Michael Martinez"/>
    <s v="Yes"/>
    <s v="welchkristen@example.net"/>
    <s v="282-353-1106x092"/>
    <d v="2026-02-10T11:12:08"/>
    <m/>
  </r>
  <r>
    <s v="Evan Moore"/>
    <n v="101459"/>
    <s v="Marketing"/>
    <d v="2025-06-13T00:00:00"/>
    <x v="2"/>
    <s v="Michael Martinez"/>
    <s v="Yes"/>
    <s v="welchkristen@example.net"/>
    <s v="282-353-1106x092"/>
    <d v="2026-02-10T11:12:08"/>
    <m/>
  </r>
  <r>
    <s v="Allison Gross"/>
    <n v="101078"/>
    <s v="Finance"/>
    <d v="2026-03-26T00:00:00"/>
    <x v="0"/>
    <s v="Miss Paula Lopez"/>
    <s v="Yes"/>
    <s v="kennethnichols@example.org"/>
    <s v="001-364-304-1209x1179"/>
    <d v="2026-02-06T22:09:08"/>
    <m/>
  </r>
  <r>
    <s v="Allison Gross"/>
    <n v="101078"/>
    <s v="Finance"/>
    <d v="2026-03-26T00:00:00"/>
    <x v="3"/>
    <s v="Miss Paula Lopez"/>
    <s v="Yes"/>
    <s v="kennethnichols@example.org"/>
    <s v="001-364-304-1209x1179"/>
    <d v="2026-02-06T22:09:08"/>
    <m/>
  </r>
  <r>
    <s v="Allison Gross"/>
    <n v="101078"/>
    <s v="Finance"/>
    <d v="2026-03-26T00:00:00"/>
    <x v="2"/>
    <s v="Miss Paula Lopez"/>
    <s v="Yes"/>
    <s v="kennethnichols@example.org"/>
    <s v="001-364-304-1209x1179"/>
    <d v="2026-02-06T22:09:08"/>
    <m/>
  </r>
  <r>
    <s v="Dennis White"/>
    <n v="101251"/>
    <s v="Operations"/>
    <d v="2026-04-13T00:00:00"/>
    <x v="1"/>
    <s v="Ryan Durham"/>
    <s v="No"/>
    <s v="peterhenry@example.org"/>
    <s v="(217)313-6657x22402"/>
    <d v="2026-02-03T12:50:08"/>
    <m/>
  </r>
  <r>
    <s v="Dennis White"/>
    <n v="101251"/>
    <s v="Operations"/>
    <d v="2026-04-13T00:00:00"/>
    <x v="2"/>
    <s v="Ryan Durham"/>
    <s v="No"/>
    <s v="peterhenry@example.org"/>
    <s v="(217)313-6657x22402"/>
    <d v="2026-02-03T12:50:08"/>
    <m/>
  </r>
  <r>
    <s v="Dennis White"/>
    <n v="101251"/>
    <s v="Operations"/>
    <d v="2026-04-13T00:00:00"/>
    <x v="4"/>
    <s v="Ryan Durham"/>
    <s v="No"/>
    <s v="peterhenry@example.org"/>
    <s v="(217)313-6657x22402"/>
    <d v="2026-02-03T12:50:08"/>
    <m/>
  </r>
  <r>
    <s v="Wendy Webb"/>
    <n v="101128"/>
    <s v="HR"/>
    <d v="2025-10-02T00:00:00"/>
    <x v="3"/>
    <s v="Kimberly Moore"/>
    <s v="No"/>
    <s v="sara39@example.org"/>
    <s v="+1-208-782-3513"/>
    <d v="2026-03-08T02:03:08"/>
    <m/>
  </r>
  <r>
    <s v="Bradley Holt"/>
    <n v="101192"/>
    <s v="IT"/>
    <d v="2025-12-02T00:00:00"/>
    <x v="5"/>
    <s v="Donald Gonzalez"/>
    <s v="No"/>
    <s v="baileyandrea@example.com"/>
    <s v="676.486.3423x461"/>
    <d v="2026-02-12T17:33:08"/>
    <m/>
  </r>
  <r>
    <s v="Tiffany Freeman"/>
    <n v="100626"/>
    <s v="Finance"/>
    <d v="2026-05-02T00:00:00"/>
    <x v="0"/>
    <s v="Jessica Burgess"/>
    <s v="No"/>
    <s v="cindy96@example.com"/>
    <s v="695.851.7208"/>
    <d v="2026-03-06T11:48:08"/>
    <m/>
  </r>
  <r>
    <s v="Tiffany Freeman"/>
    <n v="100626"/>
    <s v="Finance"/>
    <d v="2026-05-02T00:00:00"/>
    <x v="3"/>
    <s v="Jessica Burgess"/>
    <s v="No"/>
    <s v="cindy96@example.com"/>
    <s v="695.851.7208"/>
    <d v="2026-03-06T11:48:08"/>
    <m/>
  </r>
  <r>
    <s v="Tiffany Freeman"/>
    <n v="100626"/>
    <s v="Finance"/>
    <d v="2026-05-02T00:00:00"/>
    <x v="4"/>
    <s v="Jessica Burgess"/>
    <s v="No"/>
    <s v="cindy96@example.com"/>
    <s v="695.851.7208"/>
    <d v="2026-03-06T11:48:08"/>
    <m/>
  </r>
  <r>
    <s v="Ronald Newman"/>
    <n v="100062"/>
    <s v="IT"/>
    <d v="2025-12-30T00:00:00"/>
    <x v="1"/>
    <s v="Heather Johnson"/>
    <s v="Yes"/>
    <s v="lisajordan@example.org"/>
    <s v="(731)535-5251x050"/>
    <d v="2026-03-02T01:16:08"/>
    <m/>
  </r>
  <r>
    <s v="Ronald Newman"/>
    <n v="100062"/>
    <s v="IT"/>
    <d v="2025-12-30T00:00:00"/>
    <x v="4"/>
    <s v="Heather Johnson"/>
    <s v="Yes"/>
    <s v="lisajordan@example.org"/>
    <s v="(731)535-5251x050"/>
    <d v="2026-03-02T01:16:08"/>
    <m/>
  </r>
  <r>
    <s v="Ronald Newman"/>
    <n v="100062"/>
    <s v="IT"/>
    <d v="2025-12-30T00:00:00"/>
    <x v="5"/>
    <s v="Heather Johnson"/>
    <s v="Yes"/>
    <s v="lisajordan@example.org"/>
    <s v="(731)535-5251x050"/>
    <d v="2026-03-02T01:16:08"/>
    <m/>
  </r>
  <r>
    <s v="Robert Roach"/>
    <n v="101158"/>
    <s v="Finance"/>
    <d v="2025-04-17T00:00:00"/>
    <x v="1"/>
    <s v="Janice Guzman"/>
    <s v="Yes"/>
    <s v="dakotaramirez@example.net"/>
    <s v="+1-819-366-5533x07704"/>
    <d v="2026-02-02T10:51:08"/>
    <m/>
  </r>
  <r>
    <s v="Robert Roach"/>
    <n v="101158"/>
    <s v="Finance"/>
    <d v="2025-04-17T00:00:00"/>
    <x v="4"/>
    <s v="Janice Guzman"/>
    <s v="Yes"/>
    <s v="dakotaramirez@example.net"/>
    <s v="+1-819-366-5533x07704"/>
    <d v="2026-02-02T10:51:08"/>
    <m/>
  </r>
  <r>
    <s v="Christopher Murphy"/>
    <n v="100357"/>
    <s v="IT"/>
    <d v="2026-04-25T00:00:00"/>
    <x v="0"/>
    <s v="Kenneth Mitchell"/>
    <s v="No"/>
    <s v="buckjustin@example.com"/>
    <s v="8886050171"/>
    <d v="2026-03-14T16:33:08"/>
    <m/>
  </r>
  <r>
    <s v="Christopher Murphy"/>
    <n v="100357"/>
    <s v="IT"/>
    <d v="2026-04-25T00:00:00"/>
    <x v="5"/>
    <s v="Kenneth Mitchell"/>
    <s v="No"/>
    <s v="buckjustin@example.com"/>
    <s v="8886050171"/>
    <d v="2026-03-14T16:33:08"/>
    <m/>
  </r>
  <r>
    <s v="Paul Ross"/>
    <m/>
    <s v="HR"/>
    <d v="2025-05-07T00:00:00"/>
    <x v="0"/>
    <s v="Emily Salazar"/>
    <s v="Yes"/>
    <s v="devans@example.com"/>
    <s v="+1-515-491-0300x2156"/>
    <d v="2026-02-19T19:36:08"/>
    <s v="Missing Employee ID"/>
  </r>
  <r>
    <s v="Paul Ross"/>
    <m/>
    <s v="HR"/>
    <d v="2025-05-07T00:00:00"/>
    <x v="3"/>
    <s v="Emily Salazar"/>
    <s v="Yes"/>
    <s v="devans@example.com"/>
    <s v="+1-515-491-0300x2156"/>
    <d v="2026-02-19T19:36:08"/>
    <s v="Missing Employee ID"/>
  </r>
  <r>
    <s v="Paul Ross"/>
    <m/>
    <s v="HR"/>
    <d v="2025-05-07T00:00:00"/>
    <x v="1"/>
    <s v="Emily Salazar"/>
    <s v="Yes"/>
    <s v="devans@example.com"/>
    <s v="+1-515-491-0300x2156"/>
    <d v="2026-02-19T19:36:08"/>
    <s v="Missing Employee ID"/>
  </r>
  <r>
    <s v="Nathaniel Burnett"/>
    <m/>
    <s v="Operations"/>
    <d v="2025-09-19T00:00:00"/>
    <x v="0"/>
    <s v="Kimberly Smith"/>
    <s v="No"/>
    <s v="greenkristen@example.org"/>
    <s v="4419459642"/>
    <d v="2026-03-02T00:17:08"/>
    <s v="Missing Employee ID"/>
  </r>
  <r>
    <s v="Nathaniel Burnett"/>
    <m/>
    <s v="Operations"/>
    <d v="2025-09-19T00:00:00"/>
    <x v="1"/>
    <s v="Kimberly Smith"/>
    <s v="No"/>
    <s v="greenkristen@example.org"/>
    <s v="4419459642"/>
    <d v="2026-03-02T00:17:08"/>
    <s v="Missing Employee ID"/>
  </r>
  <r>
    <s v="Nathaniel Burnett"/>
    <m/>
    <s v="Operations"/>
    <d v="2025-09-19T00:00:00"/>
    <x v="2"/>
    <s v="Kimberly Smith"/>
    <s v="No"/>
    <s v="greenkristen@example.org"/>
    <s v="4419459642"/>
    <d v="2026-03-02T00:17:08"/>
    <s v="Missing Employee ID"/>
  </r>
  <r>
    <s v="Francisco Hernandez"/>
    <n v="101085"/>
    <s v="Operations"/>
    <d v="2025-09-12T00:00:00"/>
    <x v="0"/>
    <s v="Sarah Woodard"/>
    <s v="Yes"/>
    <s v="hbarnett@example.net"/>
    <s v="697.674.5731"/>
    <d v="2026-02-12T13:10:08"/>
    <m/>
  </r>
  <r>
    <s v="Francisco Hernandez"/>
    <n v="101085"/>
    <s v="Operations"/>
    <d v="2025-09-12T00:00:00"/>
    <x v="5"/>
    <s v="Sarah Woodard"/>
    <s v="Yes"/>
    <s v="hbarnett@example.net"/>
    <s v="697.674.5731"/>
    <d v="2026-02-12T13:10:08"/>
    <m/>
  </r>
  <r>
    <s v="Heather Houston"/>
    <n v="100067"/>
    <s v="Operations"/>
    <d v="2025-06-08T00:00:00"/>
    <x v="2"/>
    <s v="Matthew Foley"/>
    <s v="No"/>
    <s v="jonestroy@example.org"/>
    <s v="7376637153"/>
    <d v="2026-03-03T12:47:08"/>
    <m/>
  </r>
  <r>
    <s v="Mary Abbott"/>
    <n v="100896"/>
    <s v="Marketing"/>
    <d v="2025-06-04T00:00:00"/>
    <x v="3"/>
    <s v="Carlos Rangel"/>
    <s v="Yes"/>
    <s v="nhester@example.net"/>
    <s v="363.414.6249"/>
    <d v="2026-02-18T06:38:08"/>
    <m/>
  </r>
  <r>
    <s v="Mary Abbott"/>
    <n v="100896"/>
    <s v="Marketing"/>
    <d v="2025-06-04T00:00:00"/>
    <x v="2"/>
    <s v="Carlos Rangel"/>
    <s v="Yes"/>
    <s v="nhester@example.net"/>
    <s v="363.414.6249"/>
    <d v="2026-02-18T06:38:08"/>
    <m/>
  </r>
  <r>
    <s v="Brian Rodriguez"/>
    <n v="100930"/>
    <s v="Marketing"/>
    <d v="2025-11-17T00:00:00"/>
    <x v="0"/>
    <s v="Joel Adams"/>
    <s v="Yes"/>
    <s v="cstanley@example.com"/>
    <s v="718-215-6326x868"/>
    <d v="2026-02-03T03:53:08"/>
    <m/>
  </r>
  <r>
    <s v="Brian Rodriguez"/>
    <n v="100930"/>
    <s v="Marketing"/>
    <d v="2025-11-17T00:00:00"/>
    <x v="4"/>
    <s v="Joel Adams"/>
    <s v="Yes"/>
    <s v="cstanley@example.com"/>
    <s v="718-215-6326x868"/>
    <d v="2026-02-03T03:53:08"/>
    <m/>
  </r>
  <r>
    <s v="Brian Rodriguez"/>
    <n v="100930"/>
    <s v="Marketing"/>
    <d v="2025-11-17T00:00:00"/>
    <x v="5"/>
    <s v="Joel Adams"/>
    <s v="Yes"/>
    <s v="cstanley@example.com"/>
    <s v="718-215-6326x868"/>
    <d v="2026-02-03T03:53:08"/>
    <m/>
  </r>
  <r>
    <s v="Jacob Williams"/>
    <n v="101333"/>
    <s v="Engineering"/>
    <d v="2025-07-18T00:00:00"/>
    <x v="4"/>
    <s v="Timothy Lee"/>
    <s v="Yes"/>
    <s v="richardwheeler@example.net"/>
    <s v="+1-678-561-0313x100"/>
    <d v="2026-03-07T20:25:08"/>
    <m/>
  </r>
  <r>
    <s v="Brian Perez"/>
    <n v="100681"/>
    <s v="IT"/>
    <d v="2025-04-05T00:00:00"/>
    <x v="0"/>
    <s v="Michelle Myers"/>
    <s v="No"/>
    <s v="robinsonmadison@example.net"/>
    <s v="973-623-5494x012"/>
    <d v="2026-03-05T00:16:08"/>
    <m/>
  </r>
  <r>
    <s v="Brian Perez"/>
    <n v="100681"/>
    <s v="IT"/>
    <d v="2025-04-05T00:00:00"/>
    <x v="2"/>
    <s v="Michelle Myers"/>
    <s v="No"/>
    <s v="robinsonmadison@example.net"/>
    <s v="973-623-5494x012"/>
    <d v="2026-03-05T00:16:08"/>
    <m/>
  </r>
  <r>
    <s v="Brian Perez"/>
    <n v="100681"/>
    <s v="IT"/>
    <d v="2025-04-05T00:00:00"/>
    <x v="4"/>
    <s v="Michelle Myers"/>
    <s v="No"/>
    <s v="robinsonmadison@example.net"/>
    <s v="973-623-5494x012"/>
    <d v="2026-03-05T00:16:08"/>
    <m/>
  </r>
  <r>
    <s v="Melissa Jackson"/>
    <n v="100837"/>
    <s v="Operations"/>
    <d v="2026-01-16T00:00:00"/>
    <x v="0"/>
    <s v="Carol Cook"/>
    <s v="Yes"/>
    <s v="athomas@example.net"/>
    <s v="265.902.4120x9579"/>
    <d v="2026-03-03T02:35:08"/>
    <m/>
  </r>
  <r>
    <s v="Melissa Jackson"/>
    <n v="100837"/>
    <s v="Operations"/>
    <d v="2026-01-16T00:00:00"/>
    <x v="1"/>
    <s v="Carol Cook"/>
    <s v="Yes"/>
    <s v="athomas@example.net"/>
    <s v="265.902.4120x9579"/>
    <d v="2026-03-03T02:35:08"/>
    <m/>
  </r>
  <r>
    <s v="Melissa Jackson"/>
    <n v="100837"/>
    <s v="Operations"/>
    <d v="2026-01-16T00:00:00"/>
    <x v="2"/>
    <s v="Carol Cook"/>
    <s v="Yes"/>
    <s v="athomas@example.net"/>
    <s v="265.902.4120x9579"/>
    <d v="2026-03-03T02:35:08"/>
    <m/>
  </r>
  <r>
    <s v="Kaitlyn Williams"/>
    <n v="100800"/>
    <s v="IT"/>
    <d v="2025-11-12T00:00:00"/>
    <x v="0"/>
    <s v="Michael Roberts"/>
    <s v="No"/>
    <s v="aliciajackson@example.org"/>
    <s v="001-211-745-7758x47457"/>
    <d v="2026-02-06T13:02:08"/>
    <m/>
  </r>
  <r>
    <s v="Kaitlyn Williams"/>
    <n v="100800"/>
    <s v="IT"/>
    <d v="2025-11-12T00:00:00"/>
    <x v="4"/>
    <s v="Michael Roberts"/>
    <s v="No"/>
    <s v="aliciajackson@example.org"/>
    <s v="001-211-745-7758x47457"/>
    <d v="2026-02-06T13:02:08"/>
    <m/>
  </r>
  <r>
    <s v="Gene Holmes"/>
    <n v="100320"/>
    <s v="IT"/>
    <d v="2026-05-10T00:00:00"/>
    <x v="3"/>
    <s v="Sharon Anthony"/>
    <s v="No"/>
    <s v="rrodriguez@example.net"/>
    <s v="001-502-363-2570x3965"/>
    <d v="2026-03-05T18:30:08"/>
    <m/>
  </r>
  <r>
    <s v="Troy Fowler"/>
    <n v="100934"/>
    <s v="HR"/>
    <d v="2025-11-03T00:00:00"/>
    <x v="3"/>
    <s v="Sherry Shelton"/>
    <s v="No"/>
    <s v="harcher@example.org"/>
    <s v="755-369-6443x098"/>
    <d v="2026-02-20T13:24:08"/>
    <m/>
  </r>
  <r>
    <s v="Troy Fowler"/>
    <n v="100934"/>
    <s v="HR"/>
    <d v="2025-11-03T00:00:00"/>
    <x v="2"/>
    <s v="Sherry Shelton"/>
    <s v="No"/>
    <s v="harcher@example.org"/>
    <s v="755-369-6443x098"/>
    <d v="2026-02-20T13:24:08"/>
    <m/>
  </r>
  <r>
    <s v="Troy Fowler"/>
    <n v="100934"/>
    <s v="HR"/>
    <d v="2025-11-03T00:00:00"/>
    <x v="4"/>
    <s v="Sherry Shelton"/>
    <s v="No"/>
    <s v="harcher@example.org"/>
    <s v="755-369-6443x098"/>
    <d v="2026-02-20T13:24:08"/>
    <m/>
  </r>
  <r>
    <s v="Jesse Donaldson"/>
    <n v="100387"/>
    <s v="Marketing"/>
    <d v="2025-03-24T00:00:00"/>
    <x v="3"/>
    <s v="Donna Montes"/>
    <s v="No"/>
    <s v="jho@example.com"/>
    <s v="+1-228-549-8247x41407"/>
    <d v="2026-03-06T21:14:08"/>
    <m/>
  </r>
  <r>
    <s v="Kevin Brown"/>
    <n v="100909"/>
    <s v="Marketing"/>
    <d v="2025-06-14T00:00:00"/>
    <x v="0"/>
    <s v="Jeffrey Keller"/>
    <s v="Yes"/>
    <s v="williamsdevin@example.com"/>
    <s v="782.514.2369x14307"/>
    <d v="2026-02-10T00:44:08"/>
    <m/>
  </r>
  <r>
    <s v="Kevin Brown"/>
    <n v="100909"/>
    <s v="Marketing"/>
    <d v="2025-06-14T00:00:00"/>
    <x v="3"/>
    <s v="Jeffrey Keller"/>
    <s v="Yes"/>
    <s v="williamsdevin@example.com"/>
    <s v="782.514.2369x14307"/>
    <d v="2026-02-10T00:44:08"/>
    <m/>
  </r>
  <r>
    <s v="Mandy Henderson"/>
    <n v="100519"/>
    <s v="Marketing"/>
    <d v="2025-05-02T00:00:00"/>
    <x v="0"/>
    <s v="Annette Green"/>
    <s v="Yes"/>
    <s v="carla29@example.com"/>
    <s v="+1-959-423-4268x34414"/>
    <d v="2026-01-31T19:45:08"/>
    <m/>
  </r>
  <r>
    <s v="Mandy Henderson"/>
    <n v="100519"/>
    <s v="Marketing"/>
    <d v="2025-05-02T00:00:00"/>
    <x v="4"/>
    <s v="Annette Green"/>
    <s v="Yes"/>
    <s v="carla29@example.com"/>
    <s v="+1-959-423-4268x34414"/>
    <d v="2026-01-31T19:45:08"/>
    <m/>
  </r>
  <r>
    <s v="Shawn Kim"/>
    <n v="100905"/>
    <s v="Operations"/>
    <d v="2025-12-08T00:00:00"/>
    <x v="1"/>
    <s v="Jeremy Edwards"/>
    <s v="No"/>
    <s v="taylor67@example.com"/>
    <s v="(470)680-6129x43985"/>
    <d v="2026-03-02T01:27:08"/>
    <m/>
  </r>
  <r>
    <s v="Shawn Kim"/>
    <n v="100905"/>
    <s v="Operations"/>
    <d v="2025-12-08T00:00:00"/>
    <x v="2"/>
    <s v="Jeremy Edwards"/>
    <s v="No"/>
    <s v="taylor67@example.com"/>
    <s v="(470)680-6129x43985"/>
    <d v="2026-03-02T01:27:08"/>
    <m/>
  </r>
  <r>
    <s v="Ryan Martinez"/>
    <n v="101368"/>
    <s v="Operations"/>
    <d v="2025-09-11T00:00:00"/>
    <x v="0"/>
    <s v="Julie Hines"/>
    <s v="No"/>
    <s v="fcombs@example.org"/>
    <s v="215-591-4975x019"/>
    <d v="2026-03-08T09:13:08"/>
    <m/>
  </r>
  <r>
    <s v="Ryan Martinez"/>
    <n v="101368"/>
    <s v="Operations"/>
    <d v="2025-09-11T00:00:00"/>
    <x v="3"/>
    <s v="Julie Hines"/>
    <s v="No"/>
    <s v="fcombs@example.org"/>
    <s v="215-591-4975x019"/>
    <d v="2026-03-08T09:13:08"/>
    <m/>
  </r>
  <r>
    <s v="Ryan Martinez"/>
    <n v="101368"/>
    <s v="Operations"/>
    <d v="2025-09-11T00:00:00"/>
    <x v="2"/>
    <s v="Julie Hines"/>
    <s v="No"/>
    <s v="fcombs@example.org"/>
    <s v="215-591-4975x019"/>
    <d v="2026-03-08T09:13:08"/>
    <m/>
  </r>
  <r>
    <s v="Kristina Coffey"/>
    <n v="101061"/>
    <s v="IT"/>
    <d v="2026-04-12T00:00:00"/>
    <x v="2"/>
    <s v="Steven Bowman"/>
    <s v="No"/>
    <s v="kevincollins@example.org"/>
    <s v="393.911.0291x8133"/>
    <d v="2026-02-05T23:21:08"/>
    <m/>
  </r>
  <r>
    <s v="Jonathan Myers"/>
    <n v="101210"/>
    <s v="Operations"/>
    <d v="2025-07-25T00:00:00"/>
    <x v="2"/>
    <s v="Elizabeth Webb"/>
    <s v="Yes"/>
    <s v="loriskinner@example.net"/>
    <s v="597-991-6202x232"/>
    <d v="2026-02-08T00:04:08"/>
    <m/>
  </r>
  <r>
    <s v="Mr. Brett Chapman"/>
    <n v="100988"/>
    <s v="Marketing"/>
    <d v="2025-12-07T00:00:00"/>
    <x v="5"/>
    <s v="Donald Cruz"/>
    <s v="Yes"/>
    <s v="marshalllisa@example.org"/>
    <s v="2479196094"/>
    <d v="2026-01-31T07:08:08"/>
    <m/>
  </r>
  <r>
    <s v="Terry Estes"/>
    <n v="100651"/>
    <s v="Operations"/>
    <d v="2025-09-17T00:00:00"/>
    <x v="4"/>
    <s v="Nathan Hill"/>
    <s v="No"/>
    <s v="michaelfoley@example.net"/>
    <s v="758.968.1225"/>
    <d v="2026-02-02T21:56:08"/>
    <m/>
  </r>
  <r>
    <s v="Rachel Ramirez"/>
    <n v="101063"/>
    <s v="Finance"/>
    <d v="2025-07-27T00:00:00"/>
    <x v="3"/>
    <s v="Elizabeth Long"/>
    <s v="No"/>
    <s v="ebennett@example.net"/>
    <s v="+1-329-288-4259x95996"/>
    <d v="2026-02-01T04:21:08"/>
    <s v="Extra Name Spaces"/>
  </r>
  <r>
    <s v="Rachel Ramirez"/>
    <n v="101063"/>
    <s v="Finance"/>
    <d v="2025-07-27T00:00:00"/>
    <x v="1"/>
    <s v="Elizabeth Long"/>
    <s v="No"/>
    <s v="ebennett@example.net"/>
    <s v="+1-329-288-4259x95996"/>
    <d v="2026-02-01T04:21:08"/>
    <s v="Extra Name Spaces"/>
  </r>
  <r>
    <s v="Rachel Ramirez"/>
    <n v="101063"/>
    <s v="Finance"/>
    <d v="2025-07-27T00:00:00"/>
    <x v="5"/>
    <s v="Elizabeth Long"/>
    <s v="No"/>
    <s v="ebennett@example.net"/>
    <s v="+1-329-288-4259x95996"/>
    <d v="2026-02-01T04:21:08"/>
    <s v="Extra Name Spaces"/>
  </r>
  <r>
    <s v="Nicholas Hall"/>
    <n v="100336"/>
    <s v="Finance"/>
    <d v="2025-10-13T00:00:00"/>
    <x v="3"/>
    <s v="Kathryn Shelton"/>
    <s v="No"/>
    <s v="kathleen31@example.org"/>
    <s v="001-266-410-9410x1759"/>
    <d v="2026-02-08T22:58:08"/>
    <m/>
  </r>
  <r>
    <s v="Nicholas Hall"/>
    <n v="100336"/>
    <s v="Finance"/>
    <d v="2025-10-13T00:00:00"/>
    <x v="4"/>
    <s v="Kathryn Shelton"/>
    <s v="No"/>
    <s v="kathleen31@example.org"/>
    <s v="001-266-410-9410x1759"/>
    <d v="2026-02-08T22:58:08"/>
    <m/>
  </r>
  <r>
    <s v="Nicholas Hall"/>
    <n v="100336"/>
    <s v="Finance"/>
    <d v="2025-10-13T00:00:00"/>
    <x v="5"/>
    <s v="Kathryn Shelton"/>
    <s v="No"/>
    <s v="kathleen31@example.org"/>
    <s v="001-266-410-9410x1759"/>
    <d v="2026-02-08T22:58:08"/>
    <m/>
  </r>
  <r>
    <s v="Michael Gray"/>
    <n v="101016"/>
    <s v="IT"/>
    <d v="2025-07-23T00:00:00"/>
    <x v="3"/>
    <s v="Laura Gonzalez MD"/>
    <s v="No"/>
    <s v="oshelton@example.org"/>
    <s v="001-726-883-1901x3020"/>
    <d v="2026-03-07T19:24:08"/>
    <m/>
  </r>
  <r>
    <s v="Michael Gray"/>
    <n v="101016"/>
    <s v="IT"/>
    <d v="2025-07-23T00:00:00"/>
    <x v="1"/>
    <s v="Laura Gonzalez MD"/>
    <s v="No"/>
    <s v="oshelton@example.org"/>
    <s v="001-726-883-1901x3020"/>
    <d v="2026-03-07T19:24:08"/>
    <m/>
  </r>
  <r>
    <s v="Sharon Peterson"/>
    <n v="100422"/>
    <s v="Marketing"/>
    <d v="2026-04-02T00:00:00"/>
    <x v="5"/>
    <s v="Tina Chandler"/>
    <s v="Yes"/>
    <s v="nlee@example.net"/>
    <s v="385.459.8217x6619"/>
    <d v="2026-03-10T10:35:08"/>
    <m/>
  </r>
  <r>
    <s v="Elizabeth Wilson"/>
    <n v="100263"/>
    <s v="IT"/>
    <d v="2025-10-07T00:00:00"/>
    <x v="0"/>
    <s v="Kyle Rivera"/>
    <s v="Yes"/>
    <s v="loriroberts@example.com"/>
    <s v="(851)224-1893x8984"/>
    <d v="2026-03-06T04:38:08"/>
    <m/>
  </r>
  <r>
    <s v="Elizabeth Wilson"/>
    <n v="100263"/>
    <s v="IT"/>
    <d v="2025-10-07T00:00:00"/>
    <x v="3"/>
    <s v="Kyle Rivera"/>
    <s v="Yes"/>
    <s v="loriroberts@example.com"/>
    <s v="(851)224-1893x8984"/>
    <d v="2026-03-06T04:38:08"/>
    <m/>
  </r>
  <r>
    <s v="Stephanie Aguilar"/>
    <n v="100532"/>
    <s v="Engineering"/>
    <d v="2026-05-01T00:00:00"/>
    <x v="4"/>
    <s v="Victoria Delgado"/>
    <s v="No"/>
    <s v="morganjose@example.com"/>
    <s v="001-302-838-5037x19905"/>
    <d v="2026-02-06T03:03:08"/>
    <m/>
  </r>
  <r>
    <s v="Lisa Miller"/>
    <n v="101430"/>
    <s v="Engineering"/>
    <d v="2025-04-17T00:00:00"/>
    <x v="1"/>
    <s v="Theresa Nelson"/>
    <s v="Yes"/>
    <s v="garciatyler@example.org"/>
    <s v="+1-256-974-3000x3896"/>
    <d v="2026-02-06T16:37:08"/>
    <m/>
  </r>
  <r>
    <s v="Lisa Miller"/>
    <n v="101430"/>
    <s v="Engineering"/>
    <d v="2025-04-17T00:00:00"/>
    <x v="4"/>
    <s v="Theresa Nelson"/>
    <s v="Yes"/>
    <s v="garciatyler@example.org"/>
    <s v="+1-256-974-3000x3896"/>
    <d v="2026-02-06T16:37:08"/>
    <m/>
  </r>
  <r>
    <s v="Ralph Dominguez"/>
    <n v="101069"/>
    <s v="Operations"/>
    <d v="2025-10-07T00:00:00"/>
    <x v="0"/>
    <s v="Jeffery Taylor"/>
    <s v="Yes"/>
    <s v="nwilson@example.com"/>
    <s v="(235)260-3319x036"/>
    <d v="2026-03-04T20:03:08"/>
    <m/>
  </r>
  <r>
    <s v="Ralph Dominguez"/>
    <n v="101069"/>
    <s v="Operations"/>
    <d v="2025-10-07T00:00:00"/>
    <x v="3"/>
    <s v="Jeffery Taylor"/>
    <s v="Yes"/>
    <s v="nwilson@example.com"/>
    <s v="(235)260-3319x036"/>
    <d v="2026-03-04T20:03:08"/>
    <m/>
  </r>
  <r>
    <s v="Ralph Dominguez"/>
    <n v="101069"/>
    <s v="Operations"/>
    <d v="2025-10-07T00:00:00"/>
    <x v="1"/>
    <s v="Jeffery Taylor"/>
    <s v="Yes"/>
    <s v="nwilson@example.com"/>
    <s v="(235)260-3319x036"/>
    <d v="2026-03-04T20:03:08"/>
    <m/>
  </r>
  <r>
    <s v="Danielle Brown"/>
    <n v="100059"/>
    <s v="IT"/>
    <d v="2025-10-26T00:00:00"/>
    <x v="4"/>
    <s v="Jeffrey Campbell"/>
    <s v="No"/>
    <s v="michael34@example.org"/>
    <s v="+1-967-611-1483x753"/>
    <d v="2026-03-04T16:46:08"/>
    <m/>
  </r>
  <r>
    <s v="Penny Carter"/>
    <n v="100165"/>
    <s v="IT"/>
    <d v="2025-12-02T00:00:00"/>
    <x v="0"/>
    <s v="Kelsey Adams"/>
    <s v="Yes"/>
    <s v="brownrachel@example.net"/>
    <s v="+1-774-413-2834x831"/>
    <d v="2026-02-21T09:45:08"/>
    <m/>
  </r>
  <r>
    <s v="Penny Carter"/>
    <n v="100165"/>
    <s v="IT"/>
    <d v="2025-12-02T00:00:00"/>
    <x v="3"/>
    <s v="Kelsey Adams"/>
    <s v="Yes"/>
    <s v="brownrachel@example.net"/>
    <s v="+1-774-413-2834x831"/>
    <d v="2026-02-21T09:45:08"/>
    <m/>
  </r>
  <r>
    <s v="Penny Carter"/>
    <n v="100165"/>
    <s v="IT"/>
    <d v="2025-12-02T00:00:00"/>
    <x v="4"/>
    <s v="Kelsey Adams"/>
    <s v="Yes"/>
    <s v="brownrachel@example.net"/>
    <s v="+1-774-413-2834x831"/>
    <d v="2026-02-21T09:45:08"/>
    <m/>
  </r>
  <r>
    <s v="David Alexander"/>
    <n v="100618"/>
    <s v="Engineering"/>
    <d v="2025-06-04T00:00:00"/>
    <x v="1"/>
    <s v="Tiffany Smith"/>
    <s v="No"/>
    <s v="nelsonbrianna@example.com"/>
    <s v="904-296-7066"/>
    <d v="2026-02-21T19:03:08"/>
    <m/>
  </r>
  <r>
    <s v="James Keller"/>
    <n v="101313"/>
    <s v="Operations"/>
    <d v="2025-10-09T00:00:00"/>
    <x v="3"/>
    <s v="Mary Johnson"/>
    <s v="Yes"/>
    <s v="sharon95@example.com"/>
    <s v="001-993-805-9660x18648"/>
    <d v="2026-03-10T23:09:08"/>
    <m/>
  </r>
  <r>
    <s v="James Keller"/>
    <n v="101313"/>
    <s v="Operations"/>
    <d v="2025-10-09T00:00:00"/>
    <x v="2"/>
    <s v="Mary Johnson"/>
    <s v="Yes"/>
    <s v="sharon95@example.com"/>
    <s v="001-993-805-9660x18648"/>
    <d v="2026-03-10T23:09:08"/>
    <m/>
  </r>
  <r>
    <s v="James Keller"/>
    <n v="101313"/>
    <s v="Operations"/>
    <d v="2025-10-09T00:00:00"/>
    <x v="4"/>
    <s v="Mary Johnson"/>
    <s v="Yes"/>
    <s v="sharon95@example.com"/>
    <s v="001-993-805-9660x18648"/>
    <d v="2026-03-10T23:09:08"/>
    <m/>
  </r>
  <r>
    <s v="Laura Stone"/>
    <n v="100045"/>
    <s v="HR"/>
    <d v="2026-03-22T00:00:00"/>
    <x v="0"/>
    <s v="James Reese"/>
    <s v="No"/>
    <s v="davidsmith@example.net"/>
    <s v="613-684-5960x945"/>
    <d v="2026-03-01T21:13:08"/>
    <m/>
  </r>
  <r>
    <s v="Laura Stone"/>
    <n v="100045"/>
    <s v="HR"/>
    <d v="2026-03-22T00:00:00"/>
    <x v="3"/>
    <s v="James Reese"/>
    <s v="No"/>
    <s v="davidsmith@example.net"/>
    <s v="613-684-5960x945"/>
    <d v="2026-03-01T21:13:08"/>
    <m/>
  </r>
  <r>
    <s v="Laura Stone"/>
    <n v="100045"/>
    <s v="HR"/>
    <d v="2026-03-22T00:00:00"/>
    <x v="1"/>
    <s v="James Reese"/>
    <s v="No"/>
    <s v="davidsmith@example.net"/>
    <s v="613-684-5960x945"/>
    <d v="2026-03-01T21:13:08"/>
    <m/>
  </r>
  <r>
    <s v="Rhonda Franklin"/>
    <n v="101314"/>
    <s v="Finance"/>
    <d v="2025-11-03T00:00:00"/>
    <x v="3"/>
    <s v="Keith Morris"/>
    <s v="No"/>
    <s v="melanie77@example.org"/>
    <s v="607.705.7836x091"/>
    <d v="2026-03-05T04:01:08"/>
    <m/>
  </r>
  <r>
    <s v="Rhonda Franklin"/>
    <n v="101314"/>
    <s v="Finance"/>
    <d v="2025-11-03T00:00:00"/>
    <x v="2"/>
    <s v="Keith Morris"/>
    <s v="No"/>
    <s v="melanie77@example.org"/>
    <s v="607.705.7836x091"/>
    <d v="2026-03-05T04:01:08"/>
    <m/>
  </r>
  <r>
    <s v="Jessica Scott"/>
    <n v="100018"/>
    <s v="IT"/>
    <d v="2025-05-09T00:00:00"/>
    <x v="3"/>
    <s v="Debbie Simpson"/>
    <s v="No"/>
    <s v="crystalthomas@example.net"/>
    <s v="+1-203-610-2879x5083"/>
    <d v="2026-03-09T00:23:08"/>
    <m/>
  </r>
  <r>
    <s v="Jessica Scott"/>
    <n v="100018"/>
    <s v="IT"/>
    <d v="2025-05-09T00:00:00"/>
    <x v="1"/>
    <s v="Debbie Simpson"/>
    <s v="No"/>
    <s v="crystalthomas@example.net"/>
    <s v="+1-203-610-2879x5083"/>
    <d v="2026-03-09T00:23:08"/>
    <m/>
  </r>
  <r>
    <s v="Jessica Scott"/>
    <n v="100018"/>
    <s v="IT"/>
    <d v="2025-05-09T00:00:00"/>
    <x v="2"/>
    <s v="Debbie Simpson"/>
    <s v="No"/>
    <s v="crystalthomas@example.net"/>
    <s v="+1-203-610-2879x5083"/>
    <d v="2026-03-09T00:23:08"/>
    <m/>
  </r>
  <r>
    <s v="Alexis Kirk"/>
    <n v="101042"/>
    <s v="Finance"/>
    <d v="2025-12-16T00:00:00"/>
    <x v="3"/>
    <s v="Kimberly Williams"/>
    <s v="No"/>
    <s v="michaeljones@example.com"/>
    <s v="381-833-5956"/>
    <d v="2026-03-01T06:19:08"/>
    <m/>
  </r>
  <r>
    <s v="Alexis Kirk"/>
    <n v="101042"/>
    <s v="Finance"/>
    <d v="2025-12-16T00:00:00"/>
    <x v="1"/>
    <s v="Kimberly Williams"/>
    <s v="No"/>
    <s v="michaeljones@example.com"/>
    <s v="381-833-5956"/>
    <d v="2026-03-01T06:19:08"/>
    <m/>
  </r>
  <r>
    <s v="Alexis Kirk"/>
    <n v="101042"/>
    <s v="Finance"/>
    <d v="2025-12-16T00:00:00"/>
    <x v="5"/>
    <s v="Kimberly Williams"/>
    <s v="No"/>
    <s v="michaeljones@example.com"/>
    <s v="381-833-5956"/>
    <d v="2026-03-01T06:19:08"/>
    <m/>
  </r>
  <r>
    <s v="Briana Nguyen"/>
    <n v="100586"/>
    <s v="Operations"/>
    <d v="2026-02-27T00:00:00"/>
    <x v="3"/>
    <s v="Frances Russell"/>
    <s v="No"/>
    <s v="thomas49@example.org"/>
    <s v="(550)742-9019"/>
    <d v="2026-03-09T09:06:08"/>
    <m/>
  </r>
  <r>
    <s v="Briana Nguyen"/>
    <n v="100586"/>
    <s v="Operations"/>
    <d v="2026-02-27T00:00:00"/>
    <x v="2"/>
    <s v="Frances Russell"/>
    <s v="No"/>
    <s v="thomas49@example.org"/>
    <s v="(550)742-9019"/>
    <d v="2026-03-09T09:06:08"/>
    <m/>
  </r>
  <r>
    <s v="Priscilla Romero"/>
    <n v="100734"/>
    <s v="Engineering"/>
    <d v="2025-09-27T00:00:00"/>
    <x v="0"/>
    <s v="Hailey Lewis"/>
    <s v="No"/>
    <s v="sandovaledward@example.net"/>
    <s v="313-298-9868"/>
    <d v="2026-02-22T00:17:08"/>
    <m/>
  </r>
  <r>
    <s v="Priscilla Romero"/>
    <n v="100734"/>
    <s v="Engineering"/>
    <d v="2025-09-27T00:00:00"/>
    <x v="1"/>
    <s v="Hailey Lewis"/>
    <s v="No"/>
    <s v="sandovaledward@example.net"/>
    <s v="313-298-9868"/>
    <d v="2026-02-22T00:17:08"/>
    <m/>
  </r>
  <r>
    <s v="Priscilla Romero"/>
    <n v="100734"/>
    <s v="Engineering"/>
    <d v="2025-09-27T00:00:00"/>
    <x v="4"/>
    <s v="Hailey Lewis"/>
    <s v="No"/>
    <s v="sandovaledward@example.net"/>
    <s v="313-298-9868"/>
    <d v="2026-02-22T00:17:08"/>
    <m/>
  </r>
  <r>
    <s v="Mary Meyer"/>
    <n v="100205"/>
    <s v="IT"/>
    <d v="2025-03-20T00:00:00"/>
    <x v="0"/>
    <s v="Cory Johnston"/>
    <s v="Yes"/>
    <s v="marklloyd@example.com"/>
    <s v="775.313.7651"/>
    <d v="2026-02-18T18:55:08"/>
    <m/>
  </r>
  <r>
    <s v="Mary Meyer"/>
    <n v="100205"/>
    <s v="IT"/>
    <d v="2025-03-20T00:00:00"/>
    <x v="1"/>
    <s v="Cory Johnston"/>
    <s v="Yes"/>
    <s v="marklloyd@example.com"/>
    <s v="775.313.7651"/>
    <d v="2026-02-18T18:55:08"/>
    <m/>
  </r>
  <r>
    <s v="Mary Meyer"/>
    <n v="100205"/>
    <s v="IT"/>
    <d v="2025-03-20T00:00:00"/>
    <x v="4"/>
    <s v="Cory Johnston"/>
    <s v="Yes"/>
    <s v="marklloyd@example.com"/>
    <s v="775.313.7651"/>
    <d v="2026-02-18T18:55:08"/>
    <m/>
  </r>
  <r>
    <s v="Martha Jacobs"/>
    <n v="100483"/>
    <s v="HR"/>
    <d v="2025-04-23T00:00:00"/>
    <x v="1"/>
    <s v="Jason Hudson"/>
    <s v="No"/>
    <s v="sarasanchez@example.com"/>
    <s v="+1-992-594-4551x16682"/>
    <d v="2026-03-02T22:20:08"/>
    <m/>
  </r>
  <r>
    <s v="Martha Jacobs"/>
    <n v="100483"/>
    <s v="HR"/>
    <d v="2025-04-23T00:00:00"/>
    <x v="4"/>
    <s v="Jason Hudson"/>
    <s v="No"/>
    <s v="sarasanchez@example.com"/>
    <s v="+1-992-594-4551x16682"/>
    <d v="2026-03-02T22:20:08"/>
    <m/>
  </r>
  <r>
    <s v="Martha Jacobs"/>
    <n v="100483"/>
    <s v="HR"/>
    <d v="2025-04-23T00:00:00"/>
    <x v="5"/>
    <s v="Jason Hudson"/>
    <s v="No"/>
    <s v="sarasanchez@example.com"/>
    <s v="+1-992-594-4551x16682"/>
    <d v="2026-03-02T22:20:08"/>
    <m/>
  </r>
  <r>
    <s v="Sherri Smith"/>
    <n v="100339"/>
    <s v="Finance"/>
    <d v="2025-06-17T00:00:00"/>
    <x v="0"/>
    <s v="Dennis Spencer"/>
    <s v="Yes"/>
    <s v="inewton@example.org"/>
    <s v="(602)312-8866x52683"/>
    <d v="2026-03-01T09:39:08"/>
    <m/>
  </r>
  <r>
    <s v="Sherri Smith"/>
    <n v="100339"/>
    <s v="Finance"/>
    <d v="2025-06-17T00:00:00"/>
    <x v="4"/>
    <s v="Dennis Spencer"/>
    <s v="Yes"/>
    <s v="inewton@example.org"/>
    <s v="(602)312-8866x52683"/>
    <d v="2026-03-01T09:39:08"/>
    <m/>
  </r>
  <r>
    <s v="Sherri Smith"/>
    <n v="100339"/>
    <s v="Finance"/>
    <d v="2025-06-17T00:00:00"/>
    <x v="5"/>
    <s v="Dennis Spencer"/>
    <s v="Yes"/>
    <s v="inewton@example.org"/>
    <s v="(602)312-8866x52683"/>
    <d v="2026-03-01T09:39:08"/>
    <m/>
  </r>
  <r>
    <s v="Roger Rogers"/>
    <n v="100147"/>
    <s v="Finance"/>
    <d v="2025-06-29T00:00:00"/>
    <x v="4"/>
    <s v="Ashley Bowen"/>
    <s v="Yes"/>
    <s v="rodgersmichael@example.com"/>
    <s v="(776)947-2298x12099"/>
    <d v="2026-02-05T05:45:08"/>
    <m/>
  </r>
  <r>
    <s v="Jeffrey Romero"/>
    <n v="101178"/>
    <s v="Marketing"/>
    <d v="2026-04-18T00:00:00"/>
    <x v="2"/>
    <s v="Theresa Davis"/>
    <s v="Yes"/>
    <s v="trevor09@example.net"/>
    <s v="698.764.5652x20368"/>
    <d v="2026-01-31T19:16:08"/>
    <m/>
  </r>
  <r>
    <s v="Dustin Wilson"/>
    <n v="100737"/>
    <s v="IT"/>
    <d v="2026-01-24T00:00:00"/>
    <x v="3"/>
    <s v="Jeffrey Mcclure"/>
    <s v="Yes"/>
    <s v="sheila49@example.org"/>
    <s v="242.513.8820"/>
    <d v="2026-02-14T05:14:08"/>
    <m/>
  </r>
  <r>
    <s v="Ronnie Johnson"/>
    <n v="101096"/>
    <s v="IT"/>
    <d v="2025-08-24T00:00:00"/>
    <x v="3"/>
    <s v="Tom Duncan"/>
    <s v="No"/>
    <s v="dmeyer@example.com"/>
    <s v="317-767-4124"/>
    <d v="2026-03-05T00:28:08"/>
    <m/>
  </r>
  <r>
    <s v="Ronnie Johnson"/>
    <n v="101096"/>
    <s v="IT"/>
    <d v="2025-08-24T00:00:00"/>
    <x v="1"/>
    <s v="Tom Duncan"/>
    <s v="No"/>
    <s v="dmeyer@example.com"/>
    <s v="317-767-4124"/>
    <d v="2026-03-05T00:28:08"/>
    <m/>
  </r>
  <r>
    <s v="Natasha Walker"/>
    <n v="100168"/>
    <s v="Finance"/>
    <d v="2025-10-05T00:00:00"/>
    <x v="3"/>
    <s v="Christopher Rogers"/>
    <s v="Yes"/>
    <s v="gmccoy@example.net"/>
    <s v="001-815-506-1853x80032"/>
    <d v="2026-03-12T23:58:08"/>
    <m/>
  </r>
  <r>
    <s v="Deborah Hernandez"/>
    <n v="100717"/>
    <s v="Operations"/>
    <d v="2025-11-15T00:00:00"/>
    <x v="3"/>
    <s v="Morgan Campbell"/>
    <s v="No"/>
    <s v="cynthiadavis@example.net"/>
    <s v="001-830-561-7893x2064"/>
    <d v="2026-02-01T11:57:08"/>
    <m/>
  </r>
  <r>
    <s v="Deborah Hernandez"/>
    <n v="100717"/>
    <s v="Operations"/>
    <d v="2025-11-15T00:00:00"/>
    <x v="1"/>
    <s v="Morgan Campbell"/>
    <s v="No"/>
    <s v="cynthiadavis@example.net"/>
    <s v="001-830-561-7893x2064"/>
    <d v="2026-02-01T11:57:08"/>
    <m/>
  </r>
  <r>
    <s v="Deborah Hernandez"/>
    <n v="100717"/>
    <s v="Operations"/>
    <d v="2025-11-15T00:00:00"/>
    <x v="2"/>
    <s v="Morgan Campbell"/>
    <s v="No"/>
    <s v="cynthiadavis@example.net"/>
    <s v="001-830-561-7893x2064"/>
    <d v="2026-02-01T11:57:08"/>
    <m/>
  </r>
  <r>
    <s v="Kari Sandoval"/>
    <n v="101021"/>
    <s v="Operations"/>
    <d v="2025-05-16T00:00:00"/>
    <x v="3"/>
    <s v="Eric Hall"/>
    <s v="Yes"/>
    <s v="elizabeth76@example.net"/>
    <s v="(887)341-3146x753"/>
    <d v="2026-03-15T18:54:08"/>
    <m/>
  </r>
  <r>
    <s v="Kari Sandoval"/>
    <n v="101021"/>
    <s v="Operations"/>
    <d v="2025-05-16T00:00:00"/>
    <x v="1"/>
    <s v="Eric Hall"/>
    <s v="Yes"/>
    <s v="elizabeth76@example.net"/>
    <s v="(887)341-3146x753"/>
    <d v="2026-03-15T18:54:08"/>
    <m/>
  </r>
  <r>
    <s v="Kari Sandoval"/>
    <n v="101021"/>
    <s v="Operations"/>
    <d v="2025-05-16T00:00:00"/>
    <x v="5"/>
    <s v="Eric Hall"/>
    <s v="Yes"/>
    <s v="elizabeth76@example.net"/>
    <s v="(887)341-3146x753"/>
    <d v="2026-03-15T18:54:08"/>
    <m/>
  </r>
  <r>
    <s v="Tyler Guerrero"/>
    <n v="100792"/>
    <s v="Finance"/>
    <d v="2025-09-26T00:00:00"/>
    <x v="3"/>
    <s v="James Anderson"/>
    <s v="No"/>
    <s v="flarsen@example.net"/>
    <s v="(830)944-8360x85456"/>
    <d v="2026-03-04T23:11:08"/>
    <m/>
  </r>
  <r>
    <s v="Tyler Guerrero"/>
    <n v="100792"/>
    <s v="Finance"/>
    <d v="2025-09-26T00:00:00"/>
    <x v="1"/>
    <s v="James Anderson"/>
    <s v="No"/>
    <s v="flarsen@example.net"/>
    <s v="(830)944-8360x85456"/>
    <d v="2026-03-04T23:11:08"/>
    <m/>
  </r>
  <r>
    <s v="Tyler Guerrero"/>
    <n v="100792"/>
    <s v="Finance"/>
    <d v="2025-09-26T00:00:00"/>
    <x v="2"/>
    <s v="James Anderson"/>
    <s v="No"/>
    <s v="flarsen@example.net"/>
    <s v="(830)944-8360x85456"/>
    <d v="2026-03-04T23:11:08"/>
    <m/>
  </r>
  <r>
    <s v="Dean Brown"/>
    <n v="100886"/>
    <s v="Finance"/>
    <d v="2025-07-15T00:00:00"/>
    <x v="3"/>
    <s v="Mr. Mark Williams"/>
    <s v="No"/>
    <s v="kortiz@example.org"/>
    <s v="+1-231-299-5298"/>
    <d v="2026-02-21T11:38:08"/>
    <m/>
  </r>
  <r>
    <s v="Dean Brown"/>
    <n v="100886"/>
    <s v="Finance"/>
    <d v="2025-07-15T00:00:00"/>
    <x v="5"/>
    <s v="Mr. Mark Williams"/>
    <s v="No"/>
    <s v="kortiz@example.org"/>
    <s v="+1-231-299-5298"/>
    <d v="2026-02-21T11:38:08"/>
    <m/>
  </r>
  <r>
    <s v="Ann Bush"/>
    <n v="100328"/>
    <s v="IT"/>
    <d v="2025-10-19T00:00:00"/>
    <x v="5"/>
    <s v="Pamela Tran"/>
    <s v="No"/>
    <s v="stonemichael@example.org"/>
    <s v="(586)534-2556"/>
    <d v="2026-02-21T04:14:08"/>
    <m/>
  </r>
  <r>
    <s v="Amanda Smith"/>
    <n v="100341"/>
    <s v="Finance"/>
    <d v="2025-11-01T00:00:00"/>
    <x v="3"/>
    <s v="Ashley Sanders"/>
    <s v="Yes"/>
    <s v="swilliams@example.com"/>
    <s v="6333041662"/>
    <d v="2026-02-07T18:30:08"/>
    <m/>
  </r>
  <r>
    <s v="Jonathan Warner"/>
    <n v="100567"/>
    <s v="Finance"/>
    <d v="2026-05-06T00:00:00"/>
    <x v="0"/>
    <s v="Alicia Newton"/>
    <s v="No"/>
    <s v="codychapman@example.com"/>
    <s v="994.556.8044"/>
    <d v="2026-02-28T22:57:08"/>
    <m/>
  </r>
  <r>
    <s v="Wayne Johnston"/>
    <n v="101023"/>
    <s v="Operations"/>
    <d v="2025-09-27T00:00:00"/>
    <x v="4"/>
    <s v="Jeffrey Walker"/>
    <s v="Yes"/>
    <s v="ehoffman@example.com"/>
    <s v="001-588-236-0765x817"/>
    <d v="2026-02-14T17:35:08"/>
    <m/>
  </r>
  <r>
    <s v="David Wood"/>
    <n v="100522"/>
    <s v="Marketing"/>
    <d v="2025-10-17T00:00:00"/>
    <x v="3"/>
    <s v="Maria Cook"/>
    <s v="No"/>
    <s v="davisgary@example.com"/>
    <s v="001-531-226-9789"/>
    <d v="2026-02-13T07:40:08"/>
    <m/>
  </r>
  <r>
    <s v="David Wood"/>
    <n v="100522"/>
    <s v="Marketing"/>
    <d v="2025-10-17T00:00:00"/>
    <x v="4"/>
    <s v="Maria Cook"/>
    <s v="No"/>
    <s v="davisgary@example.com"/>
    <s v="001-531-226-9789"/>
    <d v="2026-02-13T07:40:08"/>
    <m/>
  </r>
  <r>
    <s v="Darlene Collins"/>
    <n v="100528"/>
    <s v="Finance"/>
    <d v="2025-12-28T00:00:00"/>
    <x v="0"/>
    <s v="Chris Morris"/>
    <s v="Yes"/>
    <s v="rsavage@example.net"/>
    <s v="987.387.5357"/>
    <d v="2026-03-13T10:33:08"/>
    <m/>
  </r>
  <r>
    <s v="Darlene Collins"/>
    <n v="100528"/>
    <s v="Finance"/>
    <d v="2025-12-28T00:00:00"/>
    <x v="2"/>
    <s v="Chris Morris"/>
    <s v="Yes"/>
    <s v="rsavage@example.net"/>
    <s v="987.387.5357"/>
    <d v="2026-03-13T10:33:08"/>
    <m/>
  </r>
  <r>
    <s v="Darlene Collins"/>
    <n v="100528"/>
    <s v="Finance"/>
    <d v="2025-12-28T00:00:00"/>
    <x v="5"/>
    <s v="Chris Morris"/>
    <s v="Yes"/>
    <s v="rsavage@example.net"/>
    <s v="987.387.5357"/>
    <d v="2026-03-13T10:33:08"/>
    <m/>
  </r>
  <r>
    <s v="Jessica Jones"/>
    <n v="101346"/>
    <s v="Finance"/>
    <d v="2025-11-14T00:00:00"/>
    <x v="1"/>
    <s v="Adam Meyer"/>
    <s v="No"/>
    <s v="martinsamuel@example.org"/>
    <s v="8672287286"/>
    <d v="2026-02-21T05:37:08"/>
    <m/>
  </r>
  <r>
    <s v="Jessica Jones"/>
    <n v="101346"/>
    <s v="Finance"/>
    <d v="2025-11-14T00:00:00"/>
    <x v="2"/>
    <s v="Adam Meyer"/>
    <s v="No"/>
    <s v="martinsamuel@example.org"/>
    <s v="8672287286"/>
    <d v="2026-02-21T05:37:08"/>
    <m/>
  </r>
  <r>
    <s v="Jessica Jones"/>
    <n v="101346"/>
    <s v="Finance"/>
    <d v="2025-11-14T00:00:00"/>
    <x v="5"/>
    <s v="Adam Meyer"/>
    <s v="No"/>
    <s v="martinsamuel@example.org"/>
    <s v="8672287286"/>
    <d v="2026-02-21T05:37:08"/>
    <m/>
  </r>
  <r>
    <s v="Jeffrey Phillips"/>
    <n v="100878"/>
    <s v="IT"/>
    <d v="2025-12-26T00:00:00"/>
    <x v="1"/>
    <s v="Megan Mills"/>
    <s v="No"/>
    <s v="anne22@example.com"/>
    <s v="939.258.9477x35228"/>
    <d v="2026-03-09T05:55:08"/>
    <s v="Extra Name Spaces"/>
  </r>
  <r>
    <s v="Jeffrey Phillips"/>
    <n v="100878"/>
    <s v="IT"/>
    <d v="2025-12-26T00:00:00"/>
    <x v="2"/>
    <s v="Megan Mills"/>
    <s v="No"/>
    <s v="anne22@example.com"/>
    <s v="939.258.9477x35228"/>
    <d v="2026-03-09T05:55:08"/>
    <s v="Extra Name Spaces"/>
  </r>
  <r>
    <s v="Christopher Ruiz"/>
    <n v="100185"/>
    <s v="IT"/>
    <d v="2025-06-25T00:00:00"/>
    <x v="0"/>
    <s v="Abigail Miles MD"/>
    <s v="No"/>
    <s v="medinamark@example.org"/>
    <s v="+1-679-821-5835x034"/>
    <d v="2026-02-22T06:49:08"/>
    <m/>
  </r>
  <r>
    <s v="Christopher Ruiz"/>
    <n v="100185"/>
    <s v="IT"/>
    <d v="2025-06-25T00:00:00"/>
    <x v="3"/>
    <s v="Abigail Miles MD"/>
    <s v="No"/>
    <s v="medinamark@example.org"/>
    <s v="+1-679-821-5835x034"/>
    <d v="2026-02-22T06:49:08"/>
    <m/>
  </r>
  <r>
    <s v="Christopher Ruiz"/>
    <n v="100185"/>
    <s v="IT"/>
    <d v="2025-06-25T00:00:00"/>
    <x v="4"/>
    <s v="Abigail Miles MD"/>
    <s v="No"/>
    <s v="medinamark@example.org"/>
    <s v="+1-679-821-5835x034"/>
    <d v="2026-02-22T06:49:08"/>
    <m/>
  </r>
  <r>
    <s v="Elizabeth Weber"/>
    <n v="100801"/>
    <s v="IT"/>
    <d v="2025-11-20T00:00:00"/>
    <x v="0"/>
    <s v="David Weaver"/>
    <s v="No"/>
    <s v="chrishernandez@example.net"/>
    <s v="842.749.1289"/>
    <d v="2026-02-14T20:21:08"/>
    <m/>
  </r>
  <r>
    <s v="Elizabeth Weber"/>
    <n v="100801"/>
    <s v="IT"/>
    <d v="2025-11-20T00:00:00"/>
    <x v="2"/>
    <s v="David Weaver"/>
    <s v="No"/>
    <s v="chrishernandez@example.net"/>
    <s v="842.749.1289"/>
    <d v="2026-02-14T20:21:08"/>
    <m/>
  </r>
  <r>
    <s v="Elizabeth Weber"/>
    <n v="100801"/>
    <s v="IT"/>
    <d v="2025-11-20T00:00:00"/>
    <x v="5"/>
    <s v="David Weaver"/>
    <s v="No"/>
    <s v="chrishernandez@example.net"/>
    <s v="842.749.1289"/>
    <d v="2026-02-14T20:21:08"/>
    <m/>
  </r>
  <r>
    <s v="Sarah Jacobs"/>
    <n v="101004"/>
    <s v="Marketing"/>
    <d v="2025-06-09T00:00:00"/>
    <x v="3"/>
    <s v="Nancy Gilbert"/>
    <s v="Yes"/>
    <s v="aclark@example.org"/>
    <s v="319.222.2705"/>
    <d v="2026-03-11T12:23:08"/>
    <m/>
  </r>
  <r>
    <s v="Sarah Jacobs"/>
    <n v="101004"/>
    <s v="Marketing"/>
    <d v="2025-06-09T00:00:00"/>
    <x v="1"/>
    <s v="Nancy Gilbert"/>
    <s v="Yes"/>
    <s v="aclark@example.org"/>
    <s v="319.222.2705"/>
    <d v="2026-03-11T12:23:08"/>
    <m/>
  </r>
  <r>
    <s v="Sarah Jacobs"/>
    <n v="101004"/>
    <s v="Marketing"/>
    <d v="2025-06-09T00:00:00"/>
    <x v="5"/>
    <s v="Nancy Gilbert"/>
    <s v="Yes"/>
    <s v="aclark@example.org"/>
    <s v="319.222.2705"/>
    <d v="2026-03-11T12:23:08"/>
    <m/>
  </r>
  <r>
    <s v="Robert Coleman"/>
    <n v="100599"/>
    <s v="HR"/>
    <d v="2025-07-10T00:00:00"/>
    <x v="0"/>
    <s v="Eric Wolf"/>
    <s v="No"/>
    <s v="annbennett@example.com"/>
    <s v="001-475-848-5819x324"/>
    <d v="2026-02-05T19:54:08"/>
    <m/>
  </r>
  <r>
    <s v="Robert Coleman"/>
    <n v="100599"/>
    <s v="HR"/>
    <d v="2025-07-10T00:00:00"/>
    <x v="1"/>
    <s v="Eric Wolf"/>
    <s v="No"/>
    <s v="annbennett@example.com"/>
    <s v="001-475-848-5819x324"/>
    <d v="2026-02-05T19:54:08"/>
    <m/>
  </r>
  <r>
    <s v="Katherine Mccormick"/>
    <n v="100179"/>
    <s v="Operations"/>
    <d v="2025-08-01T00:00:00"/>
    <x v="3"/>
    <s v="Kristin Graham"/>
    <s v="No"/>
    <s v="gregory57@example.net"/>
    <s v="(763)598-3652x037"/>
    <d v="2026-02-18T12:12:08"/>
    <m/>
  </r>
  <r>
    <s v="Katherine Mccormick"/>
    <n v="100179"/>
    <s v="Operations"/>
    <d v="2025-08-01T00:00:00"/>
    <x v="1"/>
    <s v="Kristin Graham"/>
    <s v="No"/>
    <s v="gregory57@example.net"/>
    <s v="(763)598-3652x037"/>
    <d v="2026-02-18T12:12:08"/>
    <m/>
  </r>
  <r>
    <s v="Eric Davis"/>
    <n v="101260"/>
    <s v="Marketing"/>
    <d v="2025-03-27T00:00:00"/>
    <x v="0"/>
    <s v="David Dorsey"/>
    <s v="Yes"/>
    <s v="arthur47@example.com"/>
    <s v="9444090797"/>
    <d v="2026-02-02T09:19:08"/>
    <m/>
  </r>
  <r>
    <s v="Shaun Christensen"/>
    <n v="101139"/>
    <s v="Engineering"/>
    <d v="2025-07-01T00:00:00"/>
    <x v="5"/>
    <s v="Amanda Johnson"/>
    <s v="Yes"/>
    <s v="janicethompson@example.org"/>
    <s v="661-507-0518"/>
    <d v="2026-03-10T15:44:08"/>
    <m/>
  </r>
  <r>
    <s v="Nancy Cook"/>
    <n v="100021"/>
    <s v="IT"/>
    <d v="2025-12-21T00:00:00"/>
    <x v="2"/>
    <s v="Stephanie Hurst"/>
    <s v="No"/>
    <s v="rebeccamatthews@example.com"/>
    <s v="606.560.1382x41270"/>
    <d v="2026-02-11T15:04:08"/>
    <m/>
  </r>
  <r>
    <s v="Jennifer Reid"/>
    <n v="101352"/>
    <s v="Marketing"/>
    <d v="2025-07-28T00:00:00"/>
    <x v="2"/>
    <s v="Teresa Collins"/>
    <s v="No"/>
    <s v="david79@example.net"/>
    <s v="797-211-1212"/>
    <d v="2026-03-02T09:28:08"/>
    <m/>
  </r>
  <r>
    <s v="Jennifer Reid"/>
    <n v="101352"/>
    <s v="Marketing"/>
    <d v="2025-07-28T00:00:00"/>
    <x v="4"/>
    <s v="Teresa Collins"/>
    <s v="No"/>
    <s v="david79@example.net"/>
    <s v="797-211-1212"/>
    <d v="2026-03-02T09:28:08"/>
    <m/>
  </r>
  <r>
    <s v="Jennifer Reid"/>
    <n v="101352"/>
    <s v="Marketing"/>
    <d v="2025-07-28T00:00:00"/>
    <x v="5"/>
    <s v="Teresa Collins"/>
    <s v="No"/>
    <s v="david79@example.net"/>
    <s v="797-211-1212"/>
    <d v="2026-03-02T09:28:08"/>
    <m/>
  </r>
  <r>
    <s v="Rachel Robinson"/>
    <n v="101474"/>
    <s v="HR"/>
    <d v="2025-10-28T00:00:00"/>
    <x v="0"/>
    <s v="Brad Ramsey"/>
    <s v="Yes"/>
    <s v="kylebecker@example.org"/>
    <s v="001-524-606-4242x9563"/>
    <d v="2026-03-13T19:16:08"/>
    <m/>
  </r>
  <r>
    <s v="Rachel Robinson"/>
    <n v="101474"/>
    <s v="HR"/>
    <d v="2025-10-28T00:00:00"/>
    <x v="3"/>
    <s v="Brad Ramsey"/>
    <s v="Yes"/>
    <s v="kylebecker@example.org"/>
    <s v="001-524-606-4242x9563"/>
    <d v="2026-03-13T19:16:08"/>
    <m/>
  </r>
  <r>
    <s v="Rachel Robinson"/>
    <n v="101474"/>
    <s v="HR"/>
    <d v="2025-10-28T00:00:00"/>
    <x v="4"/>
    <s v="Brad Ramsey"/>
    <s v="Yes"/>
    <s v="kylebecker@example.org"/>
    <s v="001-524-606-4242x9563"/>
    <d v="2026-03-13T19:16:08"/>
    <m/>
  </r>
  <r>
    <s v="Cassandra Phillips"/>
    <n v="101423"/>
    <s v="HR"/>
    <d v="2025-08-29T00:00:00"/>
    <x v="3"/>
    <s v="Deborah Burns"/>
    <s v="No"/>
    <s v="michael87@example.net"/>
    <s v="+1-620-396-2893x65435"/>
    <d v="2026-02-09T02:43:08"/>
    <m/>
  </r>
  <r>
    <s v="Cassandra Phillips"/>
    <n v="101423"/>
    <s v="HR"/>
    <d v="2025-08-29T00:00:00"/>
    <x v="5"/>
    <s v="Deborah Burns"/>
    <s v="No"/>
    <s v="michael87@example.net"/>
    <s v="+1-620-396-2893x65435"/>
    <d v="2026-02-09T02:43:08"/>
    <m/>
  </r>
  <r>
    <s v="Christine Robinson"/>
    <n v="100256"/>
    <s v="Marketing"/>
    <d v="2026-03-08T00:00:00"/>
    <x v="3"/>
    <s v="Thomas Holmes"/>
    <s v="No"/>
    <s v="thomasmcdonald@example.com"/>
    <s v="(796)790-5150x267"/>
    <d v="2026-02-10T20:04:08"/>
    <m/>
  </r>
  <r>
    <s v="Christine Robinson"/>
    <n v="100256"/>
    <s v="Marketing"/>
    <d v="2026-03-08T00:00:00"/>
    <x v="4"/>
    <s v="Thomas Holmes"/>
    <s v="No"/>
    <s v="thomasmcdonald@example.com"/>
    <s v="(796)790-5150x267"/>
    <d v="2026-02-10T20:04:08"/>
    <m/>
  </r>
  <r>
    <s v="Christine Robinson"/>
    <n v="100256"/>
    <s v="Marketing"/>
    <d v="2026-03-08T00:00:00"/>
    <x v="5"/>
    <s v="Thomas Holmes"/>
    <s v="No"/>
    <s v="thomasmcdonald@example.com"/>
    <s v="(796)790-5150x267"/>
    <d v="2026-02-10T20:04:08"/>
    <m/>
  </r>
  <r>
    <s v="Ariel Gentry"/>
    <n v="100748"/>
    <s v="IT"/>
    <d v="2025-08-21T00:00:00"/>
    <x v="3"/>
    <s v="John Lopez"/>
    <s v="Yes"/>
    <s v="gonzaleschristina@example.net"/>
    <s v="001-966-873-4595"/>
    <d v="2026-03-11T02:50:08"/>
    <m/>
  </r>
  <r>
    <s v="Ariel Gentry"/>
    <n v="100748"/>
    <s v="IT"/>
    <d v="2025-08-21T00:00:00"/>
    <x v="5"/>
    <s v="John Lopez"/>
    <s v="Yes"/>
    <s v="gonzaleschristina@example.net"/>
    <s v="001-966-873-4595"/>
    <d v="2026-03-11T02:50:08"/>
    <m/>
  </r>
  <r>
    <s v="Wesley Rich"/>
    <n v="100442"/>
    <s v="HR"/>
    <d v="2025-09-19T00:00:00"/>
    <x v="1"/>
    <s v="Stephanie Hunter"/>
    <s v="No"/>
    <s v="rsimmons@example.net"/>
    <s v="(790)228-2498x3922"/>
    <d v="2026-03-16T17:54:08"/>
    <m/>
  </r>
  <r>
    <s v="Wesley Rich"/>
    <n v="100442"/>
    <s v="HR"/>
    <d v="2025-09-19T00:00:00"/>
    <x v="4"/>
    <s v="Stephanie Hunter"/>
    <s v="No"/>
    <s v="rsimmons@example.net"/>
    <s v="(790)228-2498x3922"/>
    <d v="2026-03-16T17:54:08"/>
    <m/>
  </r>
  <r>
    <s v="Ellen Cannon"/>
    <n v="100040"/>
    <s v="IT"/>
    <d v="2026-05-07T00:00:00"/>
    <x v="1"/>
    <s v="Judy Martin"/>
    <s v="No"/>
    <s v="hopkinsjames@example.org"/>
    <s v="941-423-3613x2850"/>
    <d v="2026-02-13T23:39:08"/>
    <m/>
  </r>
  <r>
    <s v="John Mcdaniel"/>
    <n v="101038"/>
    <s v="Engineering"/>
    <d v="2026-03-03T00:00:00"/>
    <x v="1"/>
    <s v="Susan Barnett"/>
    <s v="Yes"/>
    <s v="wmccarthy@example.org"/>
    <s v="(925)226-5469x6815"/>
    <d v="2026-02-17T07:55:08"/>
    <m/>
  </r>
  <r>
    <s v="John Mcdaniel"/>
    <n v="101038"/>
    <s v="Engineering"/>
    <d v="2026-03-03T00:00:00"/>
    <x v="5"/>
    <s v="Susan Barnett"/>
    <s v="Yes"/>
    <s v="wmccarthy@example.org"/>
    <s v="(925)226-5469x6815"/>
    <d v="2026-02-17T07:55:08"/>
    <m/>
  </r>
  <r>
    <s v="Lee Tate"/>
    <n v="100676"/>
    <s v="IT"/>
    <d v="2025-07-12T00:00:00"/>
    <x v="3"/>
    <s v="Gerald Morrow"/>
    <s v="No"/>
    <s v="pmelendez@example.org"/>
    <s v="(873)403-4615"/>
    <d v="2026-03-04T03:51:08"/>
    <s v="Duplicate Employee ID"/>
  </r>
  <r>
    <s v="Dustin Hughes"/>
    <n v="101382"/>
    <s v="IT"/>
    <d v="2025-10-25T00:00:00"/>
    <x v="0"/>
    <s v="Amanda Mullen"/>
    <s v="No"/>
    <s v="zwhite@example.net"/>
    <s v="917.215.1602x52986"/>
    <d v="2026-02-20T10:23:08"/>
    <m/>
  </r>
  <r>
    <s v="Dustin Hughes"/>
    <n v="101382"/>
    <s v="IT"/>
    <d v="2025-10-25T00:00:00"/>
    <x v="4"/>
    <s v="Amanda Mullen"/>
    <s v="No"/>
    <s v="zwhite@example.net"/>
    <s v="917.215.1602x52986"/>
    <d v="2026-02-20T10:23:08"/>
    <m/>
  </r>
  <r>
    <s v="Dr. James Wise"/>
    <n v="100512"/>
    <s v="Finance"/>
    <d v="2025-04-25T00:00:00"/>
    <x v="0"/>
    <s v="David Walters"/>
    <s v="No"/>
    <s v="xshaw@example.com"/>
    <s v="001-758-651-2686x120"/>
    <d v="2026-02-25T19:46:08"/>
    <m/>
  </r>
  <r>
    <s v="Dr. James Wise"/>
    <n v="100512"/>
    <s v="Finance"/>
    <d v="2025-04-25T00:00:00"/>
    <x v="4"/>
    <s v="David Walters"/>
    <s v="No"/>
    <s v="xshaw@example.com"/>
    <s v="001-758-651-2686x120"/>
    <d v="2026-02-25T19:46:08"/>
    <m/>
  </r>
  <r>
    <s v="Robert Luna"/>
    <n v="100887"/>
    <s v="IT"/>
    <d v="2026-05-04T00:00:00"/>
    <x v="4"/>
    <s v="Anthony Campbell"/>
    <s v="Yes"/>
    <s v="parrishsteve@example.org"/>
    <s v="+1-854-265-4084x245"/>
    <d v="2026-03-05T13:15:08"/>
    <m/>
  </r>
  <r>
    <s v="Robert Luna"/>
    <n v="100887"/>
    <s v="IT"/>
    <d v="2026-05-04T00:00:00"/>
    <x v="5"/>
    <s v="Anthony Campbell"/>
    <s v="Yes"/>
    <s v="parrishsteve@example.org"/>
    <s v="+1-854-265-4084x245"/>
    <d v="2026-03-05T13:15:08"/>
    <m/>
  </r>
  <r>
    <s v="Edward Johnson"/>
    <n v="100412"/>
    <s v="HR"/>
    <d v="2025-05-11T00:00:00"/>
    <x v="0"/>
    <s v="Nicholas Schmidt"/>
    <s v="No"/>
    <s v="fwright@example.net"/>
    <s v="522-976-4579"/>
    <d v="2026-01-30T20:39:08"/>
    <m/>
  </r>
  <r>
    <s v="Edward Johnson"/>
    <n v="100412"/>
    <s v="HR"/>
    <d v="2025-05-11T00:00:00"/>
    <x v="3"/>
    <s v="Nicholas Schmidt"/>
    <s v="No"/>
    <s v="fwright@example.net"/>
    <s v="522-976-4579"/>
    <d v="2026-01-30T20:39:08"/>
    <m/>
  </r>
  <r>
    <s v="Edward Johnson"/>
    <n v="100412"/>
    <s v="HR"/>
    <d v="2025-05-11T00:00:00"/>
    <x v="5"/>
    <s v="Nicholas Schmidt"/>
    <s v="No"/>
    <s v="fwright@example.net"/>
    <s v="522-976-4579"/>
    <d v="2026-01-30T20:39:08"/>
    <m/>
  </r>
  <r>
    <s v="Gabriel Johnson"/>
    <n v="100594"/>
    <s v="IT"/>
    <d v="2025-06-20T00:00:00"/>
    <x v="2"/>
    <s v="Misty Burnett"/>
    <s v="Yes"/>
    <s v="reyestina@example.org"/>
    <s v="546-260-2416x13944"/>
    <d v="2026-02-10T17:09:08"/>
    <m/>
  </r>
  <r>
    <s v="Gabriel Johnson"/>
    <n v="100594"/>
    <s v="IT"/>
    <d v="2025-06-20T00:00:00"/>
    <x v="4"/>
    <s v="Misty Burnett"/>
    <s v="Yes"/>
    <s v="reyestina@example.org"/>
    <s v="546-260-2416x13944"/>
    <d v="2026-02-10T17:09:08"/>
    <m/>
  </r>
  <r>
    <s v="John Hodges"/>
    <n v="100479"/>
    <s v="Marketing"/>
    <d v="2025-05-07T00:00:00"/>
    <x v="1"/>
    <s v="Paul Osborne"/>
    <s v="No"/>
    <s v="walter09@example.com"/>
    <s v="(644)606-3062"/>
    <d v="2026-03-16T09:58:08"/>
    <m/>
  </r>
  <r>
    <s v="John Hodges"/>
    <n v="100479"/>
    <s v="Marketing"/>
    <d v="2025-05-07T00:00:00"/>
    <x v="4"/>
    <s v="Paul Osborne"/>
    <s v="No"/>
    <s v="walter09@example.com"/>
    <s v="(644)606-3062"/>
    <d v="2026-03-16T09:58:08"/>
    <m/>
  </r>
  <r>
    <s v="Richard Reid"/>
    <n v="100127"/>
    <s v="Engineering"/>
    <d v="2025-06-01T00:00:00"/>
    <x v="5"/>
    <s v="Danny Fletcher"/>
    <s v="Yes"/>
    <s v="bryceroberts@example.net"/>
    <s v="+1-779-769-5867x805"/>
    <d v="2026-02-23T03:34:08"/>
    <m/>
  </r>
  <r>
    <s v="Jeremy Murray"/>
    <n v="101373"/>
    <s v="HR"/>
    <d v="2026-04-22T00:00:00"/>
    <x v="1"/>
    <s v="Christine Wolfe"/>
    <s v="Yes"/>
    <s v="cscott@example.net"/>
    <s v="001-617-685-1385"/>
    <d v="2026-02-23T15:10:08"/>
    <m/>
  </r>
  <r>
    <s v="Jeremy Murray"/>
    <n v="101373"/>
    <s v="HR"/>
    <d v="2026-04-22T00:00:00"/>
    <x v="5"/>
    <s v="Christine Wolfe"/>
    <s v="Yes"/>
    <s v="cscott@example.net"/>
    <s v="001-617-685-1385"/>
    <d v="2026-02-23T15:10:08"/>
    <m/>
  </r>
  <r>
    <s v="Jocelyn Mcdonald"/>
    <n v="100921"/>
    <s v="Marketing"/>
    <d v="2025-04-13T00:00:00"/>
    <x v="2"/>
    <s v="Kevin Weber"/>
    <s v="No"/>
    <s v="wperry@example.org"/>
    <s v="001-548-373-6826x91163"/>
    <d v="2026-03-05T11:21:08"/>
    <m/>
  </r>
  <r>
    <s v="Jocelyn Mcdonald"/>
    <n v="100921"/>
    <s v="Marketing"/>
    <d v="2025-04-13T00:00:00"/>
    <x v="5"/>
    <s v="Kevin Weber"/>
    <s v="No"/>
    <s v="wperry@example.org"/>
    <s v="001-548-373-6826x91163"/>
    <d v="2026-03-05T11:21:08"/>
    <m/>
  </r>
  <r>
    <s v="Cassandra Moore"/>
    <n v="100314"/>
    <s v="Finance"/>
    <d v="2026-05-08T00:00:00"/>
    <x v="0"/>
    <s v="Morgan Morales"/>
    <s v="Yes"/>
    <s v="nbell@example.com"/>
    <s v="+1-945-951-5888x636"/>
    <d v="2026-02-20T02:47:08"/>
    <m/>
  </r>
  <r>
    <s v="Cassandra Moore"/>
    <n v="100314"/>
    <s v="Finance"/>
    <d v="2026-05-08T00:00:00"/>
    <x v="2"/>
    <s v="Morgan Morales"/>
    <s v="Yes"/>
    <s v="nbell@example.com"/>
    <s v="+1-945-951-5888x636"/>
    <d v="2026-02-20T02:47:08"/>
    <m/>
  </r>
  <r>
    <s v="Tim Moore"/>
    <n v="100828"/>
    <s v="Finance"/>
    <d v="2026-03-28T00:00:00"/>
    <x v="4"/>
    <s v="Jennifer Smith"/>
    <s v="No"/>
    <s v="kathryn21@example.com"/>
    <s v="001-366-863-0932"/>
    <d v="2026-03-10T00:07:08"/>
    <m/>
  </r>
  <r>
    <s v="Erika Wright"/>
    <n v="100580"/>
    <s v="Finance"/>
    <d v="2025-11-13T00:00:00"/>
    <x v="0"/>
    <s v="Kaitlyn Davis"/>
    <s v="No"/>
    <s v="andrew96@example.net"/>
    <s v="532.975.3273x52410"/>
    <d v="2026-03-05T20:26:08"/>
    <m/>
  </r>
  <r>
    <s v="Erika Wright"/>
    <n v="100580"/>
    <s v="Finance"/>
    <d v="2025-11-13T00:00:00"/>
    <x v="1"/>
    <s v="Kaitlyn Davis"/>
    <s v="No"/>
    <s v="andrew96@example.net"/>
    <s v="532.975.3273x52410"/>
    <d v="2026-03-05T20:26:08"/>
    <m/>
  </r>
  <r>
    <s v="Michael Wallace"/>
    <n v="101108"/>
    <s v="Engineering"/>
    <d v="2026-04-01T00:00:00"/>
    <x v="3"/>
    <s v="Christopher Murray"/>
    <s v="No"/>
    <s v="laramary@example.org"/>
    <s v="371.800.6876"/>
    <d v="2026-02-04T07:43:08"/>
    <m/>
  </r>
  <r>
    <s v="Michael Wallace"/>
    <n v="101108"/>
    <s v="Engineering"/>
    <d v="2026-04-01T00:00:00"/>
    <x v="1"/>
    <s v="Christopher Murray"/>
    <s v="No"/>
    <s v="laramary@example.org"/>
    <s v="371.800.6876"/>
    <d v="2026-02-04T07:43:08"/>
    <m/>
  </r>
  <r>
    <s v="Michael Wallace"/>
    <n v="101108"/>
    <s v="Engineering"/>
    <d v="2026-04-01T00:00:00"/>
    <x v="2"/>
    <s v="Christopher Murray"/>
    <s v="No"/>
    <s v="laramary@example.org"/>
    <s v="371.800.6876"/>
    <d v="2026-02-04T07:43:08"/>
    <m/>
  </r>
  <r>
    <s v="Sophia Medina"/>
    <n v="101272"/>
    <s v="Finance"/>
    <d v="2025-09-16T00:00:00"/>
    <x v="0"/>
    <s v="Lisa Hays"/>
    <s v="Yes"/>
    <s v="gonzalesmaria@example.org"/>
    <s v="360-456-8761x1249"/>
    <d v="2026-03-09T09:51:08"/>
    <m/>
  </r>
  <r>
    <s v="Matthew Thomas"/>
    <n v="100272"/>
    <s v="Operations"/>
    <d v="2025-08-29T00:00:00"/>
    <x v="4"/>
    <s v="John Baker"/>
    <s v="No"/>
    <s v="dawn17@example.net"/>
    <s v="434.454.7574x9490"/>
    <d v="2026-02-07T13:49:08"/>
    <m/>
  </r>
  <r>
    <s v="Allison Beard"/>
    <n v="100596"/>
    <s v="Operations"/>
    <d v="2026-04-24T00:00:00"/>
    <x v="2"/>
    <s v="Michelle Parker"/>
    <s v="Yes"/>
    <s v="ashleytorres@example.net"/>
    <s v="642.422.9464x303"/>
    <d v="2026-02-06T18:20:08"/>
    <m/>
  </r>
  <r>
    <s v="Deanna Griffith"/>
    <n v="100978"/>
    <s v="IT"/>
    <d v="2026-03-03T00:00:00"/>
    <x v="1"/>
    <s v="Whitney Sullivan"/>
    <s v="Yes"/>
    <s v="teresaschneider@example.net"/>
    <s v="758.556.7287x27601"/>
    <d v="2026-03-06T00:51:08"/>
    <m/>
  </r>
  <r>
    <s v="Deanna Griffith"/>
    <n v="100978"/>
    <s v="IT"/>
    <d v="2026-03-03T00:00:00"/>
    <x v="2"/>
    <s v="Whitney Sullivan"/>
    <s v="Yes"/>
    <s v="teresaschneider@example.net"/>
    <s v="758.556.7287x27601"/>
    <d v="2026-03-06T00:51:08"/>
    <m/>
  </r>
  <r>
    <s v="Deanna Griffith"/>
    <n v="100978"/>
    <s v="IT"/>
    <d v="2026-03-03T00:00:00"/>
    <x v="4"/>
    <s v="Whitney Sullivan"/>
    <s v="Yes"/>
    <s v="teresaschneider@example.net"/>
    <s v="758.556.7287x27601"/>
    <d v="2026-03-06T00:51:08"/>
    <m/>
  </r>
  <r>
    <s v="Danny Ramirez"/>
    <n v="100763"/>
    <s v="Engineering"/>
    <d v="2026-03-02T00:00:00"/>
    <x v="3"/>
    <s v="Rachel Santos"/>
    <s v="No"/>
    <s v="victor90@example.net"/>
    <s v="333.250.6158x14888"/>
    <d v="2026-02-03T12:39:08"/>
    <m/>
  </r>
  <r>
    <s v="Danny Ramirez"/>
    <n v="100763"/>
    <s v="Engineering"/>
    <d v="2026-03-02T00:00:00"/>
    <x v="1"/>
    <s v="Rachel Santos"/>
    <s v="No"/>
    <s v="victor90@example.net"/>
    <s v="333.250.6158x14888"/>
    <d v="2026-02-03T12:39:08"/>
    <m/>
  </r>
  <r>
    <s v="Danny Ramirez"/>
    <n v="100763"/>
    <s v="Engineering"/>
    <d v="2026-03-02T00:00:00"/>
    <x v="2"/>
    <s v="Rachel Santos"/>
    <s v="No"/>
    <s v="victor90@example.net"/>
    <s v="333.250.6158x14888"/>
    <d v="2026-02-03T12:39:08"/>
    <m/>
  </r>
  <r>
    <s v="Joseph Sanchez"/>
    <n v="100656"/>
    <s v="IT"/>
    <d v="2026-04-25T00:00:00"/>
    <x v="4"/>
    <s v="Catherine Mayer"/>
    <s v="No"/>
    <s v="jeremylove@example.org"/>
    <s v="6942841312"/>
    <d v="2026-03-02T07:06:08"/>
    <m/>
  </r>
  <r>
    <s v="David Gill"/>
    <n v="100202"/>
    <s v="IT"/>
    <d v="2026-04-23T00:00:00"/>
    <x v="1"/>
    <s v="Brett Keith"/>
    <s v="Yes"/>
    <s v="florescynthia@example.org"/>
    <s v="217.817.3189x3974"/>
    <d v="2026-01-31T05:01:08"/>
    <m/>
  </r>
  <r>
    <s v="David Gill"/>
    <n v="100202"/>
    <s v="IT"/>
    <d v="2026-04-23T00:00:00"/>
    <x v="4"/>
    <s v="Brett Keith"/>
    <s v="Yes"/>
    <s v="florescynthia@example.org"/>
    <s v="217.817.3189x3974"/>
    <d v="2026-01-31T05:01:08"/>
    <m/>
  </r>
  <r>
    <s v="David Gill"/>
    <n v="100202"/>
    <s v="IT"/>
    <d v="2026-04-23T00:00:00"/>
    <x v="5"/>
    <s v="Brett Keith"/>
    <s v="Yes"/>
    <s v="florescynthia@example.org"/>
    <s v="217.817.3189x3974"/>
    <d v="2026-01-31T05:01:08"/>
    <m/>
  </r>
  <r>
    <s v="Ashley Tanner"/>
    <n v="100662"/>
    <s v="HR"/>
    <d v="2026-03-21T00:00:00"/>
    <x v="1"/>
    <s v="Chloe Shaffer"/>
    <s v="Yes"/>
    <s v="qgay@example.com"/>
    <s v="+1-547-725-8784x448"/>
    <d v="2026-02-13T02:58:08"/>
    <m/>
  </r>
  <r>
    <s v="Justin Parker"/>
    <n v="100239"/>
    <s v="IT"/>
    <d v="2025-08-13T00:00:00"/>
    <x v="0"/>
    <s v="William Bautista"/>
    <s v="Yes"/>
    <s v="gsmith@example.com"/>
    <s v="522.516.4175x8231"/>
    <d v="2026-02-10T06:02:08"/>
    <m/>
  </r>
  <r>
    <s v="Justin Parker"/>
    <n v="100239"/>
    <s v="IT"/>
    <d v="2025-08-13T00:00:00"/>
    <x v="4"/>
    <s v="William Bautista"/>
    <s v="Yes"/>
    <s v="gsmith@example.com"/>
    <s v="522.516.4175x8231"/>
    <d v="2026-02-10T06:02:08"/>
    <m/>
  </r>
  <r>
    <s v="Justin Parker"/>
    <n v="100239"/>
    <s v="IT"/>
    <d v="2025-08-13T00:00:00"/>
    <x v="5"/>
    <s v="William Bautista"/>
    <s v="Yes"/>
    <s v="gsmith@example.com"/>
    <s v="522.516.4175x8231"/>
    <d v="2026-02-10T06:02:08"/>
    <m/>
  </r>
  <r>
    <s v="Eric Miranda"/>
    <n v="100072"/>
    <s v="HR"/>
    <d v="2026-03-25T00:00:00"/>
    <x v="3"/>
    <s v="Michael Pennington"/>
    <s v="Yes"/>
    <s v="ashleymoore@example.org"/>
    <s v="862.629.2587"/>
    <d v="2026-03-11T23:47:08"/>
    <m/>
  </r>
  <r>
    <s v="Eric Miranda"/>
    <n v="100072"/>
    <s v="HR"/>
    <d v="2026-03-25T00:00:00"/>
    <x v="1"/>
    <s v="Michael Pennington"/>
    <s v="Yes"/>
    <s v="ashleymoore@example.org"/>
    <s v="862.629.2587"/>
    <d v="2026-03-11T23:47:08"/>
    <m/>
  </r>
  <r>
    <s v="Dennis Michael"/>
    <n v="100901"/>
    <s v="Marketing"/>
    <d v="2025-11-01T00:00:00"/>
    <x v="3"/>
    <s v="Jacqueline Torres"/>
    <s v="No"/>
    <s v="maria57@example.com"/>
    <s v="(596)660-6065x27403"/>
    <d v="2026-02-15T17:53:08"/>
    <m/>
  </r>
  <r>
    <s v="Dennis Michael"/>
    <n v="100901"/>
    <s v="Marketing"/>
    <d v="2025-11-01T00:00:00"/>
    <x v="1"/>
    <s v="Jacqueline Torres"/>
    <s v="No"/>
    <s v="maria57@example.com"/>
    <s v="(596)660-6065x27403"/>
    <d v="2026-02-15T17:53:08"/>
    <m/>
  </r>
  <r>
    <s v="James Morris"/>
    <n v="100987"/>
    <s v="IT"/>
    <d v="2025-09-26T00:00:00"/>
    <x v="1"/>
    <s v="Erika Castro"/>
    <s v="Yes"/>
    <s v="laurenwilliamson@example.com"/>
    <s v="511-632-5797x067"/>
    <d v="2026-02-24T15:45:08"/>
    <m/>
  </r>
  <r>
    <s v="James Morris"/>
    <n v="100987"/>
    <s v="IT"/>
    <d v="2025-09-26T00:00:00"/>
    <x v="2"/>
    <s v="Erika Castro"/>
    <s v="Yes"/>
    <s v="laurenwilliamson@example.com"/>
    <s v="511-632-5797x067"/>
    <d v="2026-02-24T15:45:08"/>
    <m/>
  </r>
  <r>
    <s v="James Morris"/>
    <n v="100987"/>
    <s v="IT"/>
    <d v="2025-09-26T00:00:00"/>
    <x v="4"/>
    <s v="Erika Castro"/>
    <s v="Yes"/>
    <s v="laurenwilliamson@example.com"/>
    <s v="511-632-5797x067"/>
    <d v="2026-02-24T15:45:08"/>
    <m/>
  </r>
  <r>
    <s v="Ms. Amy Brown"/>
    <n v="100295"/>
    <s v="IT"/>
    <d v="2026-05-09T00:00:00"/>
    <x v="3"/>
    <s v="Joshua Kim"/>
    <s v="No"/>
    <s v="daniel21@example.com"/>
    <s v="001-662-629-4938x17359"/>
    <d v="2026-02-09T12:39:08"/>
    <m/>
  </r>
  <r>
    <s v="Ms. Amy Brown"/>
    <n v="100295"/>
    <s v="IT"/>
    <d v="2026-05-09T00:00:00"/>
    <x v="4"/>
    <s v="Joshua Kim"/>
    <s v="No"/>
    <s v="daniel21@example.com"/>
    <s v="001-662-629-4938x17359"/>
    <d v="2026-02-09T12:39:08"/>
    <m/>
  </r>
  <r>
    <s v="Brenda Carrillo"/>
    <n v="100237"/>
    <s v="IT"/>
    <d v="2025-08-07T00:00:00"/>
    <x v="1"/>
    <s v="Melissa Stevenson"/>
    <s v="Yes"/>
    <s v="rebecca73@example.org"/>
    <s v="873-875-5344x90216"/>
    <d v="2026-03-10T00:03:08"/>
    <m/>
  </r>
  <r>
    <s v="Brenda Carrillo"/>
    <n v="100237"/>
    <s v="IT"/>
    <d v="2025-08-07T00:00:00"/>
    <x v="5"/>
    <s v="Melissa Stevenson"/>
    <s v="Yes"/>
    <s v="rebecca73@example.org"/>
    <s v="873-875-5344x90216"/>
    <d v="2026-03-10T00:03:08"/>
    <m/>
  </r>
  <r>
    <s v="Rebecca Decker"/>
    <n v="100033"/>
    <s v="Engineering"/>
    <d v="2025-04-07T00:00:00"/>
    <x v="4"/>
    <s v="William Brooks"/>
    <s v="Yes"/>
    <s v="gforbes@example.com"/>
    <s v="+1-374-495-1191"/>
    <d v="2026-03-04T14:15:08"/>
    <m/>
  </r>
  <r>
    <s v="Sarah Miller"/>
    <n v="101385"/>
    <s v="IT"/>
    <d v="2025-06-22T00:00:00"/>
    <x v="2"/>
    <s v="Lisa Kaiser"/>
    <s v="No"/>
    <s v="wangryan@example.com"/>
    <s v="872.651.2957x860"/>
    <d v="2026-02-02T01:11:08"/>
    <s v="Duplicate Employee ID"/>
  </r>
  <r>
    <s v="Ronald Smith"/>
    <n v="100898"/>
    <s v="IT"/>
    <d v="2026-01-29T00:00:00"/>
    <x v="3"/>
    <s v="Jeffery Green"/>
    <s v="No"/>
    <s v="breannasaunders@example.net"/>
    <s v="239.259.2323x421"/>
    <d v="2026-03-01T21:14:08"/>
    <m/>
  </r>
  <r>
    <s v="Ronald Smith"/>
    <n v="100898"/>
    <s v="IT"/>
    <d v="2026-01-29T00:00:00"/>
    <x v="1"/>
    <s v="Jeffery Green"/>
    <s v="No"/>
    <s v="breannasaunders@example.net"/>
    <s v="239.259.2323x421"/>
    <d v="2026-03-01T21:14:08"/>
    <m/>
  </r>
  <r>
    <s v="Ronald Smith"/>
    <n v="100898"/>
    <s v="IT"/>
    <d v="2026-01-29T00:00:00"/>
    <x v="2"/>
    <s v="Jeffery Green"/>
    <s v="No"/>
    <s v="breannasaunders@example.net"/>
    <s v="239.259.2323x421"/>
    <d v="2026-03-01T21:14:08"/>
    <m/>
  </r>
  <r>
    <s v="Kimberly Blevins"/>
    <n v="100585"/>
    <s v="Engineering"/>
    <d v="2025-03-22T00:00:00"/>
    <x v="0"/>
    <s v="Ethan Hall"/>
    <s v="No"/>
    <s v="jamesmartin@example.com"/>
    <s v="935.502.7160"/>
    <d v="2026-03-11T01:56:08"/>
    <m/>
  </r>
  <r>
    <s v="Jeremy Ross"/>
    <n v="101173"/>
    <s v="Engineering"/>
    <d v="2025-09-16T00:00:00"/>
    <x v="0"/>
    <s v="James Olsen"/>
    <s v="Yes"/>
    <s v="costawilliam@example.net"/>
    <s v="001-381-723-1795x5633"/>
    <d v="2026-02-05T08:50:08"/>
    <m/>
  </r>
  <r>
    <s v="Jeremy Ross"/>
    <n v="101173"/>
    <s v="Engineering"/>
    <d v="2025-09-16T00:00:00"/>
    <x v="1"/>
    <s v="James Olsen"/>
    <s v="Yes"/>
    <s v="costawilliam@example.net"/>
    <s v="001-381-723-1795x5633"/>
    <d v="2026-02-05T08:50:08"/>
    <m/>
  </r>
  <r>
    <s v="Jeremy Ross"/>
    <n v="101173"/>
    <s v="Engineering"/>
    <d v="2025-09-16T00:00:00"/>
    <x v="5"/>
    <s v="James Olsen"/>
    <s v="Yes"/>
    <s v="costawilliam@example.net"/>
    <s v="001-381-723-1795x5633"/>
    <d v="2026-02-05T08:50:08"/>
    <m/>
  </r>
  <r>
    <s v="Jordan Duffy"/>
    <n v="100002"/>
    <s v="IT"/>
    <d v="2025-04-05T00:00:00"/>
    <x v="0"/>
    <s v="James Fisher"/>
    <s v="Yes"/>
    <s v="gomezsonya@example.org"/>
    <s v="(243)416-7045x02329"/>
    <d v="2026-02-11T14:36:08"/>
    <m/>
  </r>
  <r>
    <s v="Jordan Duffy"/>
    <n v="100002"/>
    <s v="IT"/>
    <d v="2025-04-05T00:00:00"/>
    <x v="1"/>
    <s v="James Fisher"/>
    <s v="Yes"/>
    <s v="gomezsonya@example.org"/>
    <s v="(243)416-7045x02329"/>
    <d v="2026-02-11T14:36:08"/>
    <m/>
  </r>
  <r>
    <s v="Jordan Duffy"/>
    <n v="100002"/>
    <s v="IT"/>
    <d v="2025-04-05T00:00:00"/>
    <x v="2"/>
    <s v="James Fisher"/>
    <s v="Yes"/>
    <s v="gomezsonya@example.org"/>
    <s v="(243)416-7045x02329"/>
    <d v="2026-02-11T14:36:08"/>
    <m/>
  </r>
  <r>
    <s v="Brenda Harrison"/>
    <n v="100574"/>
    <s v="Marketing"/>
    <d v="2026-03-22T00:00:00"/>
    <x v="3"/>
    <s v="Kyle Clark"/>
    <s v="No"/>
    <s v="nathan62@example.com"/>
    <s v="(928)522-5120"/>
    <d v="2026-03-04T11:19:08"/>
    <m/>
  </r>
  <r>
    <s v="Mario Stout"/>
    <n v="100076"/>
    <s v="IT"/>
    <d v="2026-02-15T00:00:00"/>
    <x v="3"/>
    <s v="Frank Logan"/>
    <s v="Yes"/>
    <s v="anthony70@example.net"/>
    <s v="(360)286-9822"/>
    <d v="2026-02-08T22:51:08"/>
    <m/>
  </r>
  <r>
    <s v="Daniel Barnes"/>
    <n v="100565"/>
    <s v="Operations"/>
    <d v="2026-04-02T00:00:00"/>
    <x v="0"/>
    <s v="Wayne Marshall"/>
    <s v="No"/>
    <s v="ichase@example.com"/>
    <s v="(790)347-7425"/>
    <d v="2026-02-01T02:15:08"/>
    <m/>
  </r>
  <r>
    <s v="Paul Christian"/>
    <n v="100177"/>
    <s v="Operations"/>
    <d v="2025-05-08T00:00:00"/>
    <x v="4"/>
    <s v="Daniel Anderson"/>
    <s v="No"/>
    <s v="jeremiahmiller@example.org"/>
    <s v="001-664-491-3342x457"/>
    <d v="2026-02-12T06:23:08"/>
    <m/>
  </r>
  <r>
    <s v="James Thomas"/>
    <n v="101183"/>
    <s v="Marketing"/>
    <d v="2025-12-14T00:00:00"/>
    <x v="3"/>
    <s v="Sarah Adkins"/>
    <s v="No"/>
    <s v="ywelch@example.org"/>
    <s v="(902)903-2650"/>
    <d v="2026-02-21T03:50:08"/>
    <m/>
  </r>
  <r>
    <s v="James Thomas"/>
    <n v="101183"/>
    <s v="Marketing"/>
    <d v="2025-12-14T00:00:00"/>
    <x v="1"/>
    <s v="Sarah Adkins"/>
    <s v="No"/>
    <s v="ywelch@example.org"/>
    <s v="(902)903-2650"/>
    <d v="2026-02-21T03:50:08"/>
    <m/>
  </r>
  <r>
    <s v="James Thomas"/>
    <n v="101183"/>
    <s v="Marketing"/>
    <d v="2025-12-14T00:00:00"/>
    <x v="5"/>
    <s v="Sarah Adkins"/>
    <s v="No"/>
    <s v="ywelch@example.org"/>
    <s v="(902)903-2650"/>
    <d v="2026-02-21T03:50:08"/>
    <m/>
  </r>
  <r>
    <s v="Chelsea Kane"/>
    <n v="100160"/>
    <s v="Operations"/>
    <d v="2026-05-12T00:00:00"/>
    <x v="3"/>
    <s v="Jennifer Haney"/>
    <s v="Yes"/>
    <s v="ihowell@example.com"/>
    <s v="948-355-2457"/>
    <d v="2026-02-19T23:08:08"/>
    <m/>
  </r>
  <r>
    <s v="Chelsea Kane"/>
    <n v="100160"/>
    <s v="Operations"/>
    <d v="2026-05-12T00:00:00"/>
    <x v="1"/>
    <s v="Jennifer Haney"/>
    <s v="Yes"/>
    <s v="ihowell@example.com"/>
    <s v="948-355-2457"/>
    <d v="2026-02-19T23:08:08"/>
    <m/>
  </r>
  <r>
    <s v="Chelsea Kane"/>
    <n v="100160"/>
    <s v="Operations"/>
    <d v="2026-05-12T00:00:00"/>
    <x v="4"/>
    <s v="Jennifer Haney"/>
    <s v="Yes"/>
    <s v="ihowell@example.com"/>
    <s v="948-355-2457"/>
    <d v="2026-02-19T23:08:08"/>
    <m/>
  </r>
  <r>
    <s v="Gloria Stone"/>
    <n v="100944"/>
    <s v="Finance"/>
    <d v="2025-09-16T00:00:00"/>
    <x v="0"/>
    <s v="Jacob May"/>
    <s v="Yes"/>
    <s v="codyhester@example.org"/>
    <s v="384-425-4768"/>
    <d v="2026-03-14T08:12:08"/>
    <m/>
  </r>
  <r>
    <s v="Gloria Stone"/>
    <n v="100944"/>
    <s v="Finance"/>
    <d v="2025-09-16T00:00:00"/>
    <x v="5"/>
    <s v="Jacob May"/>
    <s v="Yes"/>
    <s v="codyhester@example.org"/>
    <s v="384-425-4768"/>
    <d v="2026-03-14T08:12:08"/>
    <m/>
  </r>
  <r>
    <s v="Todd Lutz"/>
    <n v="101265"/>
    <s v="IT"/>
    <d v="2025-03-24T00:00:00"/>
    <x v="1"/>
    <s v="Ryan Walker"/>
    <s v="No"/>
    <s v="gonzalezjulie@example.net"/>
    <s v="+1-729-488-0858x382"/>
    <d v="2026-03-02T10:35:08"/>
    <m/>
  </r>
  <r>
    <s v="Todd Lutz"/>
    <n v="101265"/>
    <s v="IT"/>
    <d v="2025-03-24T00:00:00"/>
    <x v="2"/>
    <s v="Ryan Walker"/>
    <s v="No"/>
    <s v="gonzalezjulie@example.net"/>
    <s v="+1-729-488-0858x382"/>
    <d v="2026-03-02T10:35:08"/>
    <m/>
  </r>
  <r>
    <s v="Todd Lutz"/>
    <n v="101265"/>
    <s v="IT"/>
    <d v="2025-03-24T00:00:00"/>
    <x v="4"/>
    <s v="Ryan Walker"/>
    <s v="No"/>
    <s v="gonzalezjulie@example.net"/>
    <s v="+1-729-488-0858x382"/>
    <d v="2026-03-02T10:35:08"/>
    <m/>
  </r>
  <r>
    <s v="Christopher Walters"/>
    <n v="100807"/>
    <s v="HR"/>
    <d v="2025-03-27T00:00:00"/>
    <x v="3"/>
    <s v="Sarah Potter"/>
    <s v="Yes"/>
    <s v="amberfriedman@example.com"/>
    <s v="940.764.6867"/>
    <d v="2026-03-14T02:12:08"/>
    <m/>
  </r>
  <r>
    <s v="Christopher Walters"/>
    <n v="100807"/>
    <s v="HR"/>
    <d v="2025-03-27T00:00:00"/>
    <x v="1"/>
    <s v="Sarah Potter"/>
    <s v="Yes"/>
    <s v="amberfriedman@example.com"/>
    <s v="940.764.6867"/>
    <d v="2026-03-14T02:12:08"/>
    <m/>
  </r>
  <r>
    <s v="Christopher Walters"/>
    <n v="100807"/>
    <s v="HR"/>
    <d v="2025-03-27T00:00:00"/>
    <x v="4"/>
    <s v="Sarah Potter"/>
    <s v="Yes"/>
    <s v="amberfriedman@example.com"/>
    <s v="940.764.6867"/>
    <d v="2026-03-14T02:12:08"/>
    <m/>
  </r>
  <r>
    <s v="Todd Smith"/>
    <n v="101405"/>
    <s v="HR"/>
    <d v="2025-06-03T00:00:00"/>
    <x v="1"/>
    <s v="Justin Collins"/>
    <s v="No"/>
    <s v="brownrobert@example.org"/>
    <s v="623.462.6693x3513"/>
    <d v="2026-02-07T09:23:08"/>
    <m/>
  </r>
  <r>
    <s v="Becky Singh"/>
    <n v="100101"/>
    <s v="Finance"/>
    <d v="2025-07-25T00:00:00"/>
    <x v="3"/>
    <s v="Brittany Ramos"/>
    <s v="No"/>
    <s v="kathleen01@example.net"/>
    <s v="381-797-3741x8972"/>
    <d v="2026-02-08T10:29:08"/>
    <m/>
  </r>
  <r>
    <s v="Becky Singh"/>
    <n v="100101"/>
    <s v="Finance"/>
    <d v="2025-07-25T00:00:00"/>
    <x v="2"/>
    <s v="Brittany Ramos"/>
    <s v="No"/>
    <s v="kathleen01@example.net"/>
    <s v="381-797-3741x8972"/>
    <d v="2026-02-08T10:29:08"/>
    <m/>
  </r>
  <r>
    <s v="Tiffany Williams"/>
    <n v="101485"/>
    <s v="Engineering"/>
    <d v="2026-03-21T00:00:00"/>
    <x v="4"/>
    <s v="Dawn Sims"/>
    <s v="No"/>
    <s v="trichards@example.net"/>
    <s v="243.381.1995x3766"/>
    <d v="2026-01-30T17:55:08"/>
    <m/>
  </r>
  <r>
    <s v="Tiffany Williams"/>
    <n v="101485"/>
    <s v="Engineering"/>
    <d v="2026-03-21T00:00:00"/>
    <x v="5"/>
    <s v="Dawn Sims"/>
    <s v="No"/>
    <s v="trichards@example.net"/>
    <s v="243.381.1995x3766"/>
    <d v="2026-01-30T17:55:08"/>
    <m/>
  </r>
  <r>
    <s v="Diana Ramsey"/>
    <n v="100312"/>
    <s v="IT"/>
    <d v="2026-05-09T00:00:00"/>
    <x v="3"/>
    <s v="David Romero"/>
    <s v="No"/>
    <s v="qestrada@example.com"/>
    <s v="801-673-9739"/>
    <d v="2026-03-13T22:14:08"/>
    <m/>
  </r>
  <r>
    <s v="Richard Erickson"/>
    <n v="100439"/>
    <s v="Operations"/>
    <d v="2025-04-25T00:00:00"/>
    <x v="1"/>
    <s v="Sara Bennett"/>
    <s v="No"/>
    <s v="gwilliams@example.net"/>
    <s v="+1-919-911-3599x6605"/>
    <d v="2026-02-17T03:41:08"/>
    <m/>
  </r>
  <r>
    <s v="Kelly Bentley"/>
    <n v="100304"/>
    <s v="Marketing"/>
    <d v="2026-04-14T00:00:00"/>
    <x v="0"/>
    <s v="Lori Strickland"/>
    <s v="Yes"/>
    <s v="robinsonhenry@example.net"/>
    <s v="714-960-7455x53470"/>
    <d v="2026-02-03T20:20:08"/>
    <m/>
  </r>
  <r>
    <s v="Madison Mack"/>
    <n v="100920"/>
    <s v="Operations"/>
    <d v="2025-04-12T00:00:00"/>
    <x v="3"/>
    <s v="Justin Boyer"/>
    <s v="No"/>
    <s v="joy52@example.com"/>
    <s v="355-898-3541"/>
    <d v="2026-02-09T22:38:08"/>
    <m/>
  </r>
  <r>
    <s v="Madison Mack"/>
    <n v="100920"/>
    <s v="Operations"/>
    <d v="2025-04-12T00:00:00"/>
    <x v="2"/>
    <s v="Justin Boyer"/>
    <s v="No"/>
    <s v="joy52@example.com"/>
    <s v="355-898-3541"/>
    <d v="2026-02-09T22:38:08"/>
    <m/>
  </r>
  <r>
    <s v="Jonathan Lopez"/>
    <n v="100703"/>
    <m/>
    <d v="2025-08-30T00:00:00"/>
    <x v="0"/>
    <s v="Dennis Zimmerman"/>
    <s v="Yes"/>
    <s v="matthew75@example.org"/>
    <s v="(650)413-9488"/>
    <d v="2026-02-01T04:30:08"/>
    <s v="Missing Department"/>
  </r>
  <r>
    <s v="Jonathan Lopez"/>
    <n v="100703"/>
    <m/>
    <d v="2025-08-30T00:00:00"/>
    <x v="3"/>
    <s v="Dennis Zimmerman"/>
    <s v="Yes"/>
    <s v="matthew75@example.org"/>
    <s v="(650)413-9488"/>
    <d v="2026-02-01T04:30:08"/>
    <s v="Missing Department"/>
  </r>
  <r>
    <s v="Jonathan Lopez"/>
    <n v="100703"/>
    <m/>
    <d v="2025-08-30T00:00:00"/>
    <x v="4"/>
    <s v="Dennis Zimmerman"/>
    <s v="Yes"/>
    <s v="matthew75@example.org"/>
    <s v="(650)413-9488"/>
    <d v="2026-02-01T04:30:08"/>
    <s v="Missing Department"/>
  </r>
  <r>
    <s v="Michael Gonzalez"/>
    <n v="100856"/>
    <s v="Operations"/>
    <d v="2026-04-05T00:00:00"/>
    <x v="0"/>
    <s v="Kyle Mcdowell"/>
    <s v="Yes"/>
    <s v="jphelps@example.net"/>
    <s v="285-562-6149x91537"/>
    <d v="2026-02-17T08:01:08"/>
    <m/>
  </r>
  <r>
    <s v="Michael Gonzalez"/>
    <n v="100856"/>
    <s v="Operations"/>
    <d v="2026-04-05T00:00:00"/>
    <x v="3"/>
    <s v="Kyle Mcdowell"/>
    <s v="Yes"/>
    <s v="jphelps@example.net"/>
    <s v="285-562-6149x91537"/>
    <d v="2026-02-17T08:01:08"/>
    <m/>
  </r>
  <r>
    <s v="Michael Gonzalez"/>
    <n v="100856"/>
    <s v="Operations"/>
    <d v="2026-04-05T00:00:00"/>
    <x v="2"/>
    <s v="Kyle Mcdowell"/>
    <s v="Yes"/>
    <s v="jphelps@example.net"/>
    <s v="285-562-6149x91537"/>
    <d v="2026-02-17T08:01:08"/>
    <m/>
  </r>
  <r>
    <s v="Mary Hill"/>
    <n v="100535"/>
    <s v="Operations"/>
    <d v="2025-05-30T00:00:00"/>
    <x v="1"/>
    <s v="Roy Lucero II"/>
    <s v="Yes"/>
    <s v="scottcain@example.org"/>
    <s v="5438097768"/>
    <d v="2026-02-13T22:24:08"/>
    <m/>
  </r>
  <r>
    <s v="Joseph Ross"/>
    <n v="100231"/>
    <s v="Engineering"/>
    <d v="2025-12-21T00:00:00"/>
    <x v="1"/>
    <s v="Stephanie Hughes"/>
    <s v="No"/>
    <s v="jasmine54@example.com"/>
    <s v="(453)358-5125x389"/>
    <d v="2026-02-12T03:05:08"/>
    <m/>
  </r>
  <r>
    <s v="Joseph Ross"/>
    <n v="100231"/>
    <s v="Engineering"/>
    <d v="2025-12-21T00:00:00"/>
    <x v="2"/>
    <s v="Stephanie Hughes"/>
    <s v="No"/>
    <s v="jasmine54@example.com"/>
    <s v="(453)358-5125x389"/>
    <d v="2026-02-12T03:05:08"/>
    <m/>
  </r>
  <r>
    <s v="Dr. Katie Alvarez"/>
    <n v="100123"/>
    <s v="Marketing"/>
    <d v="2026-04-10T00:00:00"/>
    <x v="5"/>
    <s v="Robert Munoz"/>
    <s v="Yes"/>
    <s v="jennifer83@example.com"/>
    <s v="990-279-7796x120"/>
    <d v="2026-02-13T04:25:08"/>
    <s v="Duplicate Employee ID"/>
  </r>
  <r>
    <s v="Karen Mccarthy"/>
    <n v="101064"/>
    <s v="IT"/>
    <d v="2025-06-24T00:00:00"/>
    <x v="0"/>
    <s v="Hector Blevins"/>
    <s v="Yes"/>
    <s v="ashley09@example.com"/>
    <s v="(726)237-4845x39862"/>
    <d v="2026-03-12T08:49:08"/>
    <m/>
  </r>
  <r>
    <s v="Karen Mccarthy"/>
    <n v="101064"/>
    <s v="IT"/>
    <d v="2025-06-24T00:00:00"/>
    <x v="3"/>
    <s v="Hector Blevins"/>
    <s v="Yes"/>
    <s v="ashley09@example.com"/>
    <s v="(726)237-4845x39862"/>
    <d v="2026-03-12T08:49:08"/>
    <m/>
  </r>
  <r>
    <s v="Karen Mccarthy"/>
    <n v="101064"/>
    <s v="IT"/>
    <d v="2025-06-24T00:00:00"/>
    <x v="4"/>
    <s v="Hector Blevins"/>
    <s v="Yes"/>
    <s v="ashley09@example.com"/>
    <s v="(726)237-4845x39862"/>
    <d v="2026-03-12T08:49:08"/>
    <m/>
  </r>
  <r>
    <s v="Amy Webster"/>
    <n v="100121"/>
    <s v="Operations"/>
    <d v="2025-08-28T00:00:00"/>
    <x v="0"/>
    <s v="Patricia Jones"/>
    <s v="No"/>
    <s v="morenojessica@example.net"/>
    <s v="339.322.0715"/>
    <d v="2026-02-17T05:26:08"/>
    <m/>
  </r>
  <r>
    <s v="Amy Webster"/>
    <n v="100121"/>
    <s v="Operations"/>
    <d v="2025-08-28T00:00:00"/>
    <x v="3"/>
    <s v="Patricia Jones"/>
    <s v="No"/>
    <s v="morenojessica@example.net"/>
    <s v="339.322.0715"/>
    <d v="2026-02-17T05:26:08"/>
    <m/>
  </r>
  <r>
    <s v="Amy Webster"/>
    <n v="100121"/>
    <s v="Operations"/>
    <d v="2025-08-28T00:00:00"/>
    <x v="2"/>
    <s v="Patricia Jones"/>
    <s v="No"/>
    <s v="morenojessica@example.net"/>
    <s v="339.322.0715"/>
    <d v="2026-02-17T05:26:08"/>
    <m/>
  </r>
  <r>
    <s v="Laura Rush"/>
    <n v="100254"/>
    <s v="HR"/>
    <d v="2025-06-21T00:00:00"/>
    <x v="3"/>
    <s v="Jason Horton"/>
    <s v="Yes"/>
    <s v="melaniewhite@example.com"/>
    <s v="(326)747-1246x335"/>
    <d v="2026-02-25T12:08:08"/>
    <m/>
  </r>
  <r>
    <s v="Laura Rush"/>
    <n v="100254"/>
    <s v="HR"/>
    <d v="2025-06-21T00:00:00"/>
    <x v="1"/>
    <s v="Jason Horton"/>
    <s v="Yes"/>
    <s v="melaniewhite@example.com"/>
    <s v="(326)747-1246x335"/>
    <d v="2026-02-25T12:08:08"/>
    <m/>
  </r>
  <r>
    <s v="Brandon Scott"/>
    <m/>
    <s v="HR"/>
    <d v="2026-01-25T00:00:00"/>
    <x v="3"/>
    <s v="Amy Hawkins"/>
    <s v="No"/>
    <s v="cody08@example.org"/>
    <s v="4565409951"/>
    <d v="2026-03-14T09:56:08"/>
    <s v="Missing Employee ID"/>
  </r>
  <r>
    <s v="Brandon Scott"/>
    <m/>
    <s v="HR"/>
    <d v="2026-01-25T00:00:00"/>
    <x v="4"/>
    <s v="Amy Hawkins"/>
    <s v="No"/>
    <s v="cody08@example.org"/>
    <s v="4565409951"/>
    <d v="2026-03-14T09:56:08"/>
    <s v="Missing Employee ID"/>
  </r>
  <r>
    <s v="Kathleen Nichols"/>
    <n v="101015"/>
    <s v="Finance"/>
    <d v="2026-03-01T00:00:00"/>
    <x v="2"/>
    <s v="Anne Vega"/>
    <s v="Yes"/>
    <s v="carolberry@example.com"/>
    <s v="001-328-727-0908x144"/>
    <d v="2026-03-13T09:37:08"/>
    <m/>
  </r>
  <r>
    <s v="Kathleen Nichols"/>
    <n v="101015"/>
    <s v="Finance"/>
    <d v="2026-03-01T00:00:00"/>
    <x v="4"/>
    <s v="Anne Vega"/>
    <s v="Yes"/>
    <s v="carolberry@example.com"/>
    <s v="001-328-727-0908x144"/>
    <d v="2026-03-13T09:37:08"/>
    <m/>
  </r>
  <r>
    <s v="Leslie Jackson"/>
    <n v="100576"/>
    <s v="IT"/>
    <d v="2025-05-30T00:00:00"/>
    <x v="1"/>
    <s v="Corey Moore"/>
    <s v="Yes"/>
    <s v="sharon86@example.com"/>
    <s v="581-853-5237"/>
    <d v="2026-02-25T02:33:08"/>
    <m/>
  </r>
  <r>
    <s v="Leslie Jackson"/>
    <n v="100576"/>
    <s v="IT"/>
    <d v="2025-05-30T00:00:00"/>
    <x v="2"/>
    <s v="Corey Moore"/>
    <s v="Yes"/>
    <s v="sharon86@example.com"/>
    <s v="581-853-5237"/>
    <d v="2026-02-25T02:33:08"/>
    <m/>
  </r>
  <r>
    <s v="Anthony Haas"/>
    <n v="100152"/>
    <s v="IT"/>
    <d v="2025-03-27T00:00:00"/>
    <x v="3"/>
    <s v="Dr. Matthew Webster"/>
    <s v="Yes"/>
    <s v="abbottchristopher@example.net"/>
    <s v="689-898-8683x45273"/>
    <d v="2026-03-02T23:15:08"/>
    <m/>
  </r>
  <r>
    <s v="Anthony Haas"/>
    <n v="100152"/>
    <s v="IT"/>
    <d v="2025-03-27T00:00:00"/>
    <x v="4"/>
    <s v="Dr. Matthew Webster"/>
    <s v="Yes"/>
    <s v="abbottchristopher@example.net"/>
    <s v="689-898-8683x45273"/>
    <d v="2026-03-02T23:15:08"/>
    <m/>
  </r>
  <r>
    <s v="James Henry"/>
    <n v="100155"/>
    <s v="IT"/>
    <d v="2026-04-04T00:00:00"/>
    <x v="3"/>
    <s v="Frank Webb MD"/>
    <s v="Yes"/>
    <s v="xgay@example.com"/>
    <s v="001-208-203-1499x82508"/>
    <d v="2026-01-30T18:03:08"/>
    <m/>
  </r>
  <r>
    <s v="James Henry"/>
    <n v="100155"/>
    <s v="IT"/>
    <d v="2026-04-04T00:00:00"/>
    <x v="5"/>
    <s v="Frank Webb MD"/>
    <s v="Yes"/>
    <s v="xgay@example.com"/>
    <s v="001-208-203-1499x82508"/>
    <d v="2026-01-30T18:03:08"/>
    <m/>
  </r>
  <r>
    <s v="Janice Bell"/>
    <n v="101479"/>
    <s v="Engineering"/>
    <d v="2025-09-24T00:00:00"/>
    <x v="0"/>
    <s v="Samantha Sutton"/>
    <s v="No"/>
    <s v="hrodgers@example.org"/>
    <s v="250.231.7235x13739"/>
    <d v="2026-03-06T15:51:08"/>
    <s v="Extra Name Spaces"/>
  </r>
  <r>
    <s v="Janice Bell"/>
    <n v="101479"/>
    <s v="Engineering"/>
    <d v="2025-09-24T00:00:00"/>
    <x v="3"/>
    <s v="Samantha Sutton"/>
    <s v="No"/>
    <s v="hrodgers@example.org"/>
    <s v="250.231.7235x13739"/>
    <d v="2026-03-06T15:51:08"/>
    <s v="Extra Name Spaces"/>
  </r>
  <r>
    <s v="Janice Bell"/>
    <n v="101479"/>
    <s v="Engineering"/>
    <d v="2025-09-24T00:00:00"/>
    <x v="2"/>
    <s v="Samantha Sutton"/>
    <s v="No"/>
    <s v="hrodgers@example.org"/>
    <s v="250.231.7235x13739"/>
    <d v="2026-03-06T15:51:08"/>
    <s v="Extra Name Spaces"/>
  </r>
  <r>
    <s v="Christine Norris"/>
    <n v="100590"/>
    <s v="HR"/>
    <d v="2025-06-26T00:00:00"/>
    <x v="3"/>
    <s v="Abigail Allen"/>
    <s v="No"/>
    <s v="tracey63@example.com"/>
    <s v="(802)229-3946x9434"/>
    <d v="2026-02-03T17:37:08"/>
    <m/>
  </r>
  <r>
    <s v="Christine Norris"/>
    <n v="100590"/>
    <s v="HR"/>
    <d v="2025-06-26T00:00:00"/>
    <x v="1"/>
    <s v="Abigail Allen"/>
    <s v="No"/>
    <s v="tracey63@example.com"/>
    <s v="(802)229-3946x9434"/>
    <d v="2026-02-03T17:37:08"/>
    <m/>
  </r>
  <r>
    <s v="Christine Norris"/>
    <n v="100590"/>
    <s v="HR"/>
    <d v="2025-06-26T00:00:00"/>
    <x v="2"/>
    <s v="Abigail Allen"/>
    <s v="No"/>
    <s v="tracey63@example.com"/>
    <s v="(802)229-3946x9434"/>
    <d v="2026-02-03T17:37:08"/>
    <m/>
  </r>
  <r>
    <s v="Jason Ramirez"/>
    <n v="100075"/>
    <s v="Engineering"/>
    <d v="2025-09-30T00:00:00"/>
    <x v="0"/>
    <s v="Ruth Freeman"/>
    <s v="Yes"/>
    <s v="simsrandall@example.net"/>
    <s v="001-672-831-1127x12852"/>
    <d v="2026-02-25T19:45:08"/>
    <m/>
  </r>
  <r>
    <s v="Jason Ramirez"/>
    <n v="100075"/>
    <s v="Engineering"/>
    <d v="2025-09-30T00:00:00"/>
    <x v="1"/>
    <s v="Ruth Freeman"/>
    <s v="Yes"/>
    <s v="simsrandall@example.net"/>
    <s v="001-672-831-1127x12852"/>
    <d v="2026-02-25T19:45:08"/>
    <m/>
  </r>
  <r>
    <s v="Jason Ramirez"/>
    <n v="100075"/>
    <s v="Engineering"/>
    <d v="2025-09-30T00:00:00"/>
    <x v="2"/>
    <s v="Ruth Freeman"/>
    <s v="Yes"/>
    <s v="simsrandall@example.net"/>
    <s v="001-672-831-1127x12852"/>
    <d v="2026-02-25T19:45:08"/>
    <m/>
  </r>
  <r>
    <s v="Dustin Foley"/>
    <n v="100503"/>
    <s v="Operations"/>
    <d v="2025-07-12T00:00:00"/>
    <x v="3"/>
    <s v="Philip Foster"/>
    <s v="No"/>
    <s v="stephaniepeters@example.com"/>
    <s v="228.807.7113"/>
    <d v="2026-02-12T21:32:08"/>
    <m/>
  </r>
  <r>
    <s v="Dustin Foley"/>
    <n v="100503"/>
    <s v="Operations"/>
    <d v="2025-07-12T00:00:00"/>
    <x v="2"/>
    <s v="Philip Foster"/>
    <s v="No"/>
    <s v="stephaniepeters@example.com"/>
    <s v="228.807.7113"/>
    <d v="2026-02-12T21:32:08"/>
    <m/>
  </r>
  <r>
    <s v="Phillip Drake"/>
    <n v="100410"/>
    <s v="IT"/>
    <d v="2025-04-30T00:00:00"/>
    <x v="4"/>
    <s v="Luis Kim"/>
    <s v="No"/>
    <s v="scotthammond@example.net"/>
    <s v="233.850.9025x42573"/>
    <d v="2026-02-09T17:10:08"/>
    <m/>
  </r>
  <r>
    <s v="Travis Wagner"/>
    <n v="100066"/>
    <s v="Engineering"/>
    <d v="2025-07-20T00:00:00"/>
    <x v="0"/>
    <s v="Mark Rogers"/>
    <s v="No"/>
    <s v="cjohnson@example.org"/>
    <s v="298.348.2285"/>
    <d v="2026-03-06T17:17:08"/>
    <m/>
  </r>
  <r>
    <s v="Travis Wagner"/>
    <n v="100066"/>
    <s v="Engineering"/>
    <d v="2025-07-20T00:00:00"/>
    <x v="1"/>
    <s v="Mark Rogers"/>
    <s v="No"/>
    <s v="cjohnson@example.org"/>
    <s v="298.348.2285"/>
    <d v="2026-03-06T17:17:08"/>
    <m/>
  </r>
  <r>
    <s v="Travis Wagner"/>
    <n v="100066"/>
    <s v="Engineering"/>
    <d v="2025-07-20T00:00:00"/>
    <x v="5"/>
    <s v="Mark Rogers"/>
    <s v="No"/>
    <s v="cjohnson@example.org"/>
    <s v="298.348.2285"/>
    <d v="2026-03-06T17:17:08"/>
    <m/>
  </r>
  <r>
    <s v="Jennifer Ferguson"/>
    <n v="101191"/>
    <s v="HR"/>
    <d v="2026-03-01T00:00:00"/>
    <x v="0"/>
    <s v="Carolyn Cantu"/>
    <s v="Yes"/>
    <s v="benjamin13@example.org"/>
    <s v="(909)806-9130x9810"/>
    <d v="2026-02-12T08:30:08"/>
    <m/>
  </r>
  <r>
    <s v="Jennifer Ferguson"/>
    <n v="101191"/>
    <s v="HR"/>
    <d v="2026-03-01T00:00:00"/>
    <x v="1"/>
    <s v="Carolyn Cantu"/>
    <s v="Yes"/>
    <s v="benjamin13@example.org"/>
    <s v="(909)806-9130x9810"/>
    <d v="2026-02-12T08:30:08"/>
    <m/>
  </r>
  <r>
    <s v="Luis Cole"/>
    <n v="100489"/>
    <s v="Engineering"/>
    <d v="2026-01-30T00:00:00"/>
    <x v="2"/>
    <s v="Melanie Salazar"/>
    <s v="No"/>
    <s v="tina77@example.org"/>
    <s v="885.632.4264x250"/>
    <d v="2026-03-02T12:44:08"/>
    <m/>
  </r>
  <r>
    <s v="Luis Cole"/>
    <n v="100489"/>
    <s v="Engineering"/>
    <d v="2026-01-30T00:00:00"/>
    <x v="5"/>
    <s v="Melanie Salazar"/>
    <s v="No"/>
    <s v="tina77@example.org"/>
    <s v="885.632.4264x250"/>
    <d v="2026-03-02T12:44:08"/>
    <m/>
  </r>
  <r>
    <s v="Joe Page"/>
    <n v="100798"/>
    <s v="HR"/>
    <d v="2025-10-03T00:00:00"/>
    <x v="2"/>
    <s v="Crystal Morales"/>
    <s v="Yes"/>
    <s v="jared66@example.com"/>
    <s v="577.567.5556x283"/>
    <d v="2026-02-18T09:42:08"/>
    <m/>
  </r>
  <r>
    <s v="Joe Page"/>
    <n v="100798"/>
    <s v="HR"/>
    <d v="2025-10-03T00:00:00"/>
    <x v="4"/>
    <s v="Crystal Morales"/>
    <s v="Yes"/>
    <s v="jared66@example.com"/>
    <s v="577.567.5556x283"/>
    <d v="2026-02-18T09:42:08"/>
    <m/>
  </r>
  <r>
    <s v="Joe Page"/>
    <n v="100798"/>
    <s v="HR"/>
    <d v="2025-10-03T00:00:00"/>
    <x v="5"/>
    <s v="Crystal Morales"/>
    <s v="Yes"/>
    <s v="jared66@example.com"/>
    <s v="577.567.5556x283"/>
    <d v="2026-02-18T09:42:08"/>
    <m/>
  </r>
  <r>
    <s v="Laura Gould"/>
    <n v="100052"/>
    <s v="IT"/>
    <d v="2025-06-02T00:00:00"/>
    <x v="3"/>
    <s v="Rachel Cox"/>
    <s v="No"/>
    <s v="wkelley@example.com"/>
    <s v="(243)562-7187x496"/>
    <d v="2026-02-15T23:24:08"/>
    <m/>
  </r>
  <r>
    <s v="Laura Gould"/>
    <n v="100052"/>
    <s v="IT"/>
    <d v="2025-06-02T00:00:00"/>
    <x v="1"/>
    <s v="Rachel Cox"/>
    <s v="No"/>
    <s v="wkelley@example.com"/>
    <s v="(243)562-7187x496"/>
    <d v="2026-02-15T23:24:08"/>
    <m/>
  </r>
  <r>
    <s v="Juan Moore"/>
    <n v="100188"/>
    <s v="Marketing"/>
    <d v="2025-06-29T00:00:00"/>
    <x v="0"/>
    <s v="Joseph White"/>
    <s v="Yes"/>
    <s v="njohnson@example.com"/>
    <s v="001-824-792-6932"/>
    <d v="2026-02-24T18:24:08"/>
    <m/>
  </r>
  <r>
    <s v="Juan Moore"/>
    <n v="100188"/>
    <s v="Marketing"/>
    <d v="2025-06-29T00:00:00"/>
    <x v="3"/>
    <s v="Joseph White"/>
    <s v="Yes"/>
    <s v="njohnson@example.com"/>
    <s v="001-824-792-6932"/>
    <d v="2026-02-24T18:24:08"/>
    <m/>
  </r>
  <r>
    <s v="Juan Moore"/>
    <n v="100188"/>
    <s v="Marketing"/>
    <d v="2025-06-29T00:00:00"/>
    <x v="4"/>
    <s v="Joseph White"/>
    <s v="Yes"/>
    <s v="njohnson@example.com"/>
    <s v="001-824-792-6932"/>
    <d v="2026-02-24T18:24:08"/>
    <m/>
  </r>
  <r>
    <s v="Sean Anderson"/>
    <n v="100687"/>
    <s v="IT"/>
    <d v="2025-05-24T00:00:00"/>
    <x v="3"/>
    <s v="Emily Fitzpatrick"/>
    <s v="Yes"/>
    <s v="lowekristin@example.org"/>
    <s v="5006515532"/>
    <d v="2026-02-24T15:36:08"/>
    <m/>
  </r>
  <r>
    <s v="Sean Anderson"/>
    <n v="100687"/>
    <s v="IT"/>
    <d v="2025-05-24T00:00:00"/>
    <x v="4"/>
    <s v="Emily Fitzpatrick"/>
    <s v="Yes"/>
    <s v="lowekristin@example.org"/>
    <s v="5006515532"/>
    <d v="2026-02-24T15:36:08"/>
    <m/>
  </r>
  <r>
    <s v="Heidi Blankenship"/>
    <n v="101336"/>
    <s v="IT"/>
    <d v="2025-12-13T00:00:00"/>
    <x v="1"/>
    <s v="Sandra Alvarez"/>
    <s v="Yes"/>
    <s v="keithgarcia@example.net"/>
    <s v="(922)661-8962"/>
    <d v="2026-03-15T07:02:08"/>
    <m/>
  </r>
  <r>
    <s v="Heidi Blankenship"/>
    <n v="101336"/>
    <s v="IT"/>
    <d v="2025-12-13T00:00:00"/>
    <x v="2"/>
    <s v="Sandra Alvarez"/>
    <s v="Yes"/>
    <s v="keithgarcia@example.net"/>
    <s v="(922)661-8962"/>
    <d v="2026-03-15T07:02:08"/>
    <m/>
  </r>
  <r>
    <s v="Heidi Blankenship"/>
    <n v="101336"/>
    <s v="IT"/>
    <d v="2025-12-13T00:00:00"/>
    <x v="4"/>
    <s v="Sandra Alvarez"/>
    <s v="Yes"/>
    <s v="keithgarcia@example.net"/>
    <s v="(922)661-8962"/>
    <d v="2026-03-15T07:02:08"/>
    <m/>
  </r>
  <r>
    <s v="Stephanie Cherry"/>
    <n v="101317"/>
    <s v="Operations"/>
    <d v="2025-10-12T00:00:00"/>
    <x v="1"/>
    <s v="Bridget Wallace"/>
    <s v="Yes"/>
    <s v="taylorparker@example.com"/>
    <s v="720.795.7992x7079"/>
    <d v="2026-03-04T14:16:08"/>
    <m/>
  </r>
  <r>
    <s v="Stephanie Cherry"/>
    <n v="101317"/>
    <s v="Operations"/>
    <d v="2025-10-12T00:00:00"/>
    <x v="5"/>
    <s v="Bridget Wallace"/>
    <s v="Yes"/>
    <s v="taylorparker@example.com"/>
    <s v="720.795.7992x7079"/>
    <d v="2026-03-04T14:16:08"/>
    <m/>
  </r>
  <r>
    <s v="Stacey Jones MD"/>
    <n v="100480"/>
    <s v="Marketing"/>
    <d v="2025-06-18T00:00:00"/>
    <x v="3"/>
    <s v="James Hernandez"/>
    <s v="No"/>
    <s v="suzanneflores@example.net"/>
    <s v="759-670-9962"/>
    <d v="2026-02-05T22:33:08"/>
    <m/>
  </r>
  <r>
    <s v="Douglas Meyer"/>
    <n v="100291"/>
    <s v="IT"/>
    <d v="2025-07-12T00:00:00"/>
    <x v="0"/>
    <s v="Katherine Bullock"/>
    <s v="No"/>
    <s v="banksjackie@example.com"/>
    <s v="265.204.7158x029"/>
    <d v="2026-03-10T18:25:08"/>
    <m/>
  </r>
  <r>
    <s v="Douglas Meyer"/>
    <n v="100291"/>
    <s v="IT"/>
    <d v="2025-07-12T00:00:00"/>
    <x v="2"/>
    <s v="Katherine Bullock"/>
    <s v="No"/>
    <s v="banksjackie@example.com"/>
    <s v="265.204.7158x029"/>
    <d v="2026-03-10T18:25:08"/>
    <m/>
  </r>
  <r>
    <s v="Douglas Meyer"/>
    <n v="100291"/>
    <s v="IT"/>
    <d v="2025-07-12T00:00:00"/>
    <x v="4"/>
    <s v="Katherine Bullock"/>
    <s v="No"/>
    <s v="banksjackie@example.com"/>
    <s v="265.204.7158x029"/>
    <d v="2026-03-10T18:25:08"/>
    <m/>
  </r>
  <r>
    <s v="Curtis Harrison"/>
    <n v="100587"/>
    <s v="IT"/>
    <d v="2025-05-23T00:00:00"/>
    <x v="3"/>
    <s v="Michael Nelson"/>
    <s v="Yes"/>
    <s v="zrogers@example.net"/>
    <s v="(765)325-4837x44171"/>
    <d v="2026-02-20T01:08:08"/>
    <m/>
  </r>
  <r>
    <s v="Curtis Harrison"/>
    <n v="100587"/>
    <s v="IT"/>
    <d v="2025-05-23T00:00:00"/>
    <x v="1"/>
    <s v="Michael Nelson"/>
    <s v="Yes"/>
    <s v="zrogers@example.net"/>
    <s v="(765)325-4837x44171"/>
    <d v="2026-02-20T01:08:08"/>
    <m/>
  </r>
  <r>
    <s v="Curtis Harrison"/>
    <n v="100587"/>
    <s v="IT"/>
    <d v="2025-05-23T00:00:00"/>
    <x v="5"/>
    <s v="Michael Nelson"/>
    <s v="Yes"/>
    <s v="zrogers@example.net"/>
    <s v="(765)325-4837x44171"/>
    <d v="2026-02-20T01:08:08"/>
    <m/>
  </r>
  <r>
    <s v="Carl Gill"/>
    <n v="100728"/>
    <s v="IT"/>
    <d v="2025-05-25T00:00:00"/>
    <x v="4"/>
    <s v="Christopher Brown"/>
    <s v="Yes"/>
    <s v="kimberlyshields@example.org"/>
    <s v="001-405-591-2975x1910"/>
    <d v="2026-03-14T03:58:08"/>
    <m/>
  </r>
  <r>
    <s v="Tammy Lopez"/>
    <n v="100105"/>
    <s v="Engineering"/>
    <d v="2025-08-01T00:00:00"/>
    <x v="0"/>
    <s v="Anna Hamilton"/>
    <s v="Yes"/>
    <s v="jasonlove@example.com"/>
    <s v="283-373-7927x49072"/>
    <d v="2026-03-12T11:52:08"/>
    <m/>
  </r>
  <r>
    <s v="Tammy Lopez"/>
    <n v="100105"/>
    <s v="Engineering"/>
    <d v="2025-08-01T00:00:00"/>
    <x v="4"/>
    <s v="Anna Hamilton"/>
    <s v="Yes"/>
    <s v="jasonlove@example.com"/>
    <s v="283-373-7927x49072"/>
    <d v="2026-03-12T11:52:08"/>
    <m/>
  </r>
  <r>
    <s v="Craig Thomas"/>
    <n v="100953"/>
    <s v="Operations"/>
    <d v="2026-01-25T00:00:00"/>
    <x v="0"/>
    <s v="Valerie Graves"/>
    <s v="No"/>
    <s v="lopezmelinda@example.org"/>
    <s v="(869)649-6843"/>
    <d v="2026-03-01T03:19:08"/>
    <m/>
  </r>
  <r>
    <s v="Craig Thomas"/>
    <n v="100953"/>
    <s v="Operations"/>
    <d v="2026-01-25T00:00:00"/>
    <x v="1"/>
    <s v="Valerie Graves"/>
    <s v="No"/>
    <s v="lopezmelinda@example.org"/>
    <s v="(869)649-6843"/>
    <d v="2026-03-01T03:19:08"/>
    <m/>
  </r>
  <r>
    <s v="Nancy Schmidt"/>
    <n v="100699"/>
    <s v="Operations"/>
    <d v="2026-04-17T00:00:00"/>
    <x v="3"/>
    <s v="Tracy King"/>
    <s v="No"/>
    <s v="calvinbrown@example.com"/>
    <s v="001-609-761-7015x9591"/>
    <d v="2026-02-24T04:27:08"/>
    <m/>
  </r>
  <r>
    <s v="Patrick Castillo"/>
    <n v="100299"/>
    <s v="IT"/>
    <d v="2026-03-31T00:00:00"/>
    <x v="0"/>
    <s v="Dr. Erik Duarte Jr."/>
    <s v="Yes"/>
    <s v="bradgomez@example.com"/>
    <s v="756.877.7226x602"/>
    <d v="2026-02-16T02:19:08"/>
    <m/>
  </r>
  <r>
    <s v="Patrick Castillo"/>
    <n v="100299"/>
    <s v="IT"/>
    <d v="2026-03-31T00:00:00"/>
    <x v="3"/>
    <s v="Dr. Erik Duarte Jr."/>
    <s v="Yes"/>
    <s v="bradgomez@example.com"/>
    <s v="756.877.7226x602"/>
    <d v="2026-02-16T02:19:08"/>
    <m/>
  </r>
  <r>
    <s v="Patrick Castillo"/>
    <n v="100299"/>
    <s v="IT"/>
    <d v="2026-03-31T00:00:00"/>
    <x v="2"/>
    <s v="Dr. Erik Duarte Jr."/>
    <s v="Yes"/>
    <s v="bradgomez@example.com"/>
    <s v="756.877.7226x602"/>
    <d v="2026-02-16T02:19:08"/>
    <m/>
  </r>
  <r>
    <s v="Lynn Ross MD"/>
    <m/>
    <s v="Engineering"/>
    <d v="2025-07-19T00:00:00"/>
    <x v="3"/>
    <s v="Mary Thompson"/>
    <s v="No"/>
    <s v="jaysmith@example.com"/>
    <s v="(645)530-7624"/>
    <d v="2026-02-10T20:23:08"/>
    <s v="Missing Employee ID"/>
  </r>
  <r>
    <s v="Lynn Ross MD"/>
    <m/>
    <s v="Engineering"/>
    <d v="2025-07-19T00:00:00"/>
    <x v="2"/>
    <s v="Mary Thompson"/>
    <s v="No"/>
    <s v="jaysmith@example.com"/>
    <s v="(645)530-7624"/>
    <d v="2026-02-10T20:23:08"/>
    <s v="Missing Employee ID"/>
  </r>
  <r>
    <s v="Lynn Ross MD"/>
    <m/>
    <s v="Engineering"/>
    <d v="2025-07-19T00:00:00"/>
    <x v="5"/>
    <s v="Mary Thompson"/>
    <s v="No"/>
    <s v="jaysmith@example.com"/>
    <s v="(645)530-7624"/>
    <d v="2026-02-10T20:23:08"/>
    <s v="Missing Employee ID"/>
  </r>
  <r>
    <s v="Lawrence Porter"/>
    <n v="100055"/>
    <s v="Engineering"/>
    <d v="2025-06-21T00:00:00"/>
    <x v="0"/>
    <s v="Samuel Freeman"/>
    <s v="No"/>
    <s v="gomezdaniel@example.com"/>
    <s v="001-679-442-3873x670"/>
    <d v="2026-02-26T02:10:08"/>
    <m/>
  </r>
  <r>
    <s v="Lawrence Porter"/>
    <n v="100055"/>
    <s v="Engineering"/>
    <d v="2025-06-21T00:00:00"/>
    <x v="5"/>
    <s v="Samuel Freeman"/>
    <s v="No"/>
    <s v="gomezdaniel@example.com"/>
    <s v="001-679-442-3873x670"/>
    <d v="2026-02-26T02:10:08"/>
    <m/>
  </r>
  <r>
    <s v="Eric Montgomery"/>
    <n v="100046"/>
    <s v="Marketing"/>
    <d v="2025-10-18T00:00:00"/>
    <x v="3"/>
    <s v="Linda Moreno"/>
    <s v="Yes"/>
    <s v="jenny25@example.net"/>
    <s v="710.775.6335x3574"/>
    <d v="2026-02-14T19:51:08"/>
    <m/>
  </r>
  <r>
    <s v="Eric Montgomery"/>
    <n v="100046"/>
    <s v="Marketing"/>
    <d v="2025-10-18T00:00:00"/>
    <x v="2"/>
    <s v="Linda Moreno"/>
    <s v="Yes"/>
    <s v="jenny25@example.net"/>
    <s v="710.775.6335x3574"/>
    <d v="2026-02-14T19:51:08"/>
    <m/>
  </r>
  <r>
    <s v="Stephanie Sheppard"/>
    <n v="100280"/>
    <s v="Operations"/>
    <d v="2025-05-01T00:00:00"/>
    <x v="3"/>
    <s v="Laura Pruitt"/>
    <s v="Yes"/>
    <s v="lisawright@example.net"/>
    <s v="605.381.6295x1877"/>
    <d v="2026-02-19T03:48:08"/>
    <m/>
  </r>
  <r>
    <s v="Stephanie Sheppard"/>
    <n v="100280"/>
    <s v="Operations"/>
    <d v="2025-05-01T00:00:00"/>
    <x v="2"/>
    <s v="Laura Pruitt"/>
    <s v="Yes"/>
    <s v="lisawright@example.net"/>
    <s v="605.381.6295x1877"/>
    <d v="2026-02-19T03:48:08"/>
    <m/>
  </r>
  <r>
    <s v="Stephanie Sheppard"/>
    <n v="100280"/>
    <s v="Operations"/>
    <d v="2025-05-01T00:00:00"/>
    <x v="4"/>
    <s v="Laura Pruitt"/>
    <s v="Yes"/>
    <s v="lisawright@example.net"/>
    <s v="605.381.6295x1877"/>
    <d v="2026-02-19T03:48:08"/>
    <m/>
  </r>
  <r>
    <s v="Richard Moody"/>
    <n v="101408"/>
    <s v="HR"/>
    <d v="2025-11-01T00:00:00"/>
    <x v="4"/>
    <s v="Charles Abbott"/>
    <s v="No"/>
    <s v="wellsjeffrey@example.org"/>
    <s v="359-678-2457x59833"/>
    <d v="2026-02-07T11:01:08"/>
    <m/>
  </r>
  <r>
    <s v="Nancy Lee"/>
    <n v="101194"/>
    <s v="Operations"/>
    <d v="2025-05-01T00:00:00"/>
    <x v="1"/>
    <s v="Diane Gibbs"/>
    <s v="Yes"/>
    <s v="ahaynes@example.com"/>
    <s v="832-440-0615x727"/>
    <d v="2026-03-11T14:01:08"/>
    <m/>
  </r>
  <r>
    <s v="Nancy Lee"/>
    <n v="101194"/>
    <s v="Operations"/>
    <d v="2025-05-01T00:00:00"/>
    <x v="4"/>
    <s v="Diane Gibbs"/>
    <s v="Yes"/>
    <s v="ahaynes@example.com"/>
    <s v="832-440-0615x727"/>
    <d v="2026-03-11T14:01:08"/>
    <m/>
  </r>
  <r>
    <s v="Olivia Rodriguez"/>
    <n v="101279"/>
    <s v="Operations"/>
    <d v="2026-02-03T00:00:00"/>
    <x v="3"/>
    <s v="Donald Mccarthy"/>
    <s v="No"/>
    <s v="lmitchell@example.org"/>
    <s v="701-805-8752x56806"/>
    <d v="2026-02-11T21:01:08"/>
    <m/>
  </r>
  <r>
    <s v="Olivia Rodriguez"/>
    <n v="101279"/>
    <s v="Operations"/>
    <d v="2026-02-03T00:00:00"/>
    <x v="2"/>
    <s v="Donald Mccarthy"/>
    <s v="No"/>
    <s v="lmitchell@example.org"/>
    <s v="701-805-8752x56806"/>
    <d v="2026-02-11T21:01:08"/>
    <m/>
  </r>
  <r>
    <s v="Louis Hodges"/>
    <n v="100309"/>
    <s v="Marketing"/>
    <d v="2025-09-25T00:00:00"/>
    <x v="2"/>
    <s v="Erica Avila"/>
    <s v="No"/>
    <s v="warebrian@example.net"/>
    <s v="001-727-711-2218x231"/>
    <d v="2026-02-07T19:24:08"/>
    <m/>
  </r>
  <r>
    <s v="Louis Hodges"/>
    <n v="100309"/>
    <s v="Marketing"/>
    <d v="2025-09-25T00:00:00"/>
    <x v="4"/>
    <s v="Erica Avila"/>
    <s v="No"/>
    <s v="warebrian@example.net"/>
    <s v="001-727-711-2218x231"/>
    <d v="2026-02-07T19:24:08"/>
    <m/>
  </r>
  <r>
    <s v="Louis Hodges"/>
    <n v="100309"/>
    <s v="Marketing"/>
    <d v="2025-09-25T00:00:00"/>
    <x v="5"/>
    <s v="Erica Avila"/>
    <s v="No"/>
    <s v="warebrian@example.net"/>
    <s v="001-727-711-2218x231"/>
    <d v="2026-02-07T19:24:08"/>
    <m/>
  </r>
  <r>
    <s v="Jason Potter"/>
    <n v="100183"/>
    <s v="Marketing"/>
    <d v="2025-06-07T00:00:00"/>
    <x v="4"/>
    <s v="Joshua Warren DDS"/>
    <s v="Yes"/>
    <s v="jneal@example.org"/>
    <s v="272.214.3308"/>
    <d v="2026-02-18T07:24:08"/>
    <m/>
  </r>
  <r>
    <s v="Melissa Mendoza"/>
    <n v="100369"/>
    <s v="HR"/>
    <d v="2026-03-24T00:00:00"/>
    <x v="1"/>
    <s v="Peter Dodson"/>
    <s v="Yes"/>
    <s v="vincentmorris@example.net"/>
    <s v="+1-560-584-7068x10390"/>
    <d v="2026-03-08T10:59:08"/>
    <m/>
  </r>
  <r>
    <s v="Melissa Mendoza"/>
    <n v="100369"/>
    <s v="HR"/>
    <d v="2026-03-24T00:00:00"/>
    <x v="4"/>
    <s v="Peter Dodson"/>
    <s v="Yes"/>
    <s v="vincentmorris@example.net"/>
    <s v="+1-560-584-7068x10390"/>
    <d v="2026-03-08T10:59:08"/>
    <m/>
  </r>
  <r>
    <s v="Adrienne Miles"/>
    <n v="101215"/>
    <s v="Engineering"/>
    <d v="2026-01-28T00:00:00"/>
    <x v="2"/>
    <s v="Isabel Roach"/>
    <s v="No"/>
    <s v="randyhernandez@example.org"/>
    <s v="+1-594-748-5862x3945"/>
    <d v="2026-02-12T23:21:08"/>
    <s v="Duplicate Employee ID"/>
  </r>
  <r>
    <s v="Adrienne Miles"/>
    <n v="101215"/>
    <s v="Engineering"/>
    <d v="2026-01-28T00:00:00"/>
    <x v="5"/>
    <s v="Isabel Roach"/>
    <s v="No"/>
    <s v="randyhernandez@example.org"/>
    <s v="+1-594-748-5862x3945"/>
    <d v="2026-02-12T23:21:08"/>
    <s v="Duplicate Employee ID"/>
  </r>
  <r>
    <s v="Jenna Santos"/>
    <n v="101106"/>
    <s v="Engineering"/>
    <d v="2026-01-21T00:00:00"/>
    <x v="0"/>
    <s v="Jeremy Faulkner"/>
    <s v="No"/>
    <s v="hharris@example.org"/>
    <s v="(613)539-4394x5703"/>
    <d v="2026-02-15T03:55:08"/>
    <m/>
  </r>
  <r>
    <s v="Jenna Santos"/>
    <n v="101106"/>
    <s v="Engineering"/>
    <d v="2026-01-21T00:00:00"/>
    <x v="4"/>
    <s v="Jeremy Faulkner"/>
    <s v="No"/>
    <s v="hharris@example.org"/>
    <s v="(613)539-4394x5703"/>
    <d v="2026-02-15T03:55:08"/>
    <m/>
  </r>
  <r>
    <s v="Emily Robinson"/>
    <n v="101256"/>
    <s v="Operations"/>
    <d v="2025-04-25T00:00:00"/>
    <x v="3"/>
    <s v="Geoffrey Porter"/>
    <s v="No"/>
    <s v="dcortez@example.com"/>
    <s v="+1-227-278-9431x910"/>
    <d v="2026-02-04T20:27:08"/>
    <m/>
  </r>
  <r>
    <s v="Emily Robinson"/>
    <n v="101256"/>
    <s v="Operations"/>
    <d v="2025-04-25T00:00:00"/>
    <x v="2"/>
    <s v="Geoffrey Porter"/>
    <s v="No"/>
    <s v="dcortez@example.com"/>
    <s v="+1-227-278-9431x910"/>
    <d v="2026-02-04T20:27:08"/>
    <m/>
  </r>
  <r>
    <s v="Emily Robinson"/>
    <n v="101256"/>
    <s v="Operations"/>
    <d v="2025-04-25T00:00:00"/>
    <x v="4"/>
    <s v="Geoffrey Porter"/>
    <s v="No"/>
    <s v="dcortez@example.com"/>
    <s v="+1-227-278-9431x910"/>
    <d v="2026-02-04T20:27:08"/>
    <m/>
  </r>
  <r>
    <s v="Theresa Conrad"/>
    <n v="101378"/>
    <s v="IT"/>
    <d v="2026-05-09T00:00:00"/>
    <x v="2"/>
    <s v="James Carroll"/>
    <s v="Yes"/>
    <s v="coltonrichardson@example.net"/>
    <s v="365.614.6040"/>
    <d v="2026-03-07T16:02:08"/>
    <m/>
  </r>
  <r>
    <s v="Jesus Randolph"/>
    <n v="100289"/>
    <s v="HR"/>
    <d v="2025-04-03T00:00:00"/>
    <x v="2"/>
    <s v="Dr. Barbara Fields"/>
    <s v="No"/>
    <s v="beardsarah@example.org"/>
    <s v="2119379844"/>
    <d v="2026-02-23T14:55:08"/>
    <m/>
  </r>
  <r>
    <s v="Michael Lewis"/>
    <n v="101335"/>
    <s v="Engineering"/>
    <d v="2025-05-10T00:00:00"/>
    <x v="0"/>
    <s v="James Johnson"/>
    <s v="No"/>
    <s v="arivas@example.org"/>
    <s v="2906144734"/>
    <d v="2026-02-04T19:21:08"/>
    <m/>
  </r>
  <r>
    <s v="Michael Lewis"/>
    <n v="101335"/>
    <s v="Engineering"/>
    <d v="2025-05-10T00:00:00"/>
    <x v="4"/>
    <s v="James Johnson"/>
    <s v="No"/>
    <s v="arivas@example.org"/>
    <s v="2906144734"/>
    <d v="2026-02-04T19:21:08"/>
    <m/>
  </r>
  <r>
    <s v="Chelsea Norris"/>
    <n v="100537"/>
    <s v="IT"/>
    <d v="2026-01-03T00:00:00"/>
    <x v="1"/>
    <s v="Whitney Williams"/>
    <s v="Yes"/>
    <s v="shansen@example.com"/>
    <s v="404.751.9577"/>
    <d v="2026-03-11T07:42:08"/>
    <m/>
  </r>
  <r>
    <s v="Chelsea Norris"/>
    <n v="100537"/>
    <s v="IT"/>
    <d v="2026-01-03T00:00:00"/>
    <x v="4"/>
    <s v="Whitney Williams"/>
    <s v="Yes"/>
    <s v="shansen@example.com"/>
    <s v="404.751.9577"/>
    <d v="2026-03-11T07:42:08"/>
    <m/>
  </r>
  <r>
    <s v="Chelsea Norris"/>
    <n v="100537"/>
    <s v="IT"/>
    <d v="2026-01-03T00:00:00"/>
    <x v="5"/>
    <s v="Whitney Williams"/>
    <s v="Yes"/>
    <s v="shansen@example.com"/>
    <s v="404.751.9577"/>
    <d v="2026-03-11T07:42:08"/>
    <m/>
  </r>
  <r>
    <s v="Jacqueline Arnold"/>
    <n v="100603"/>
    <s v="HR"/>
    <d v="2025-09-20T00:00:00"/>
    <x v="2"/>
    <s v="Nicholas Reed"/>
    <s v="Yes"/>
    <s v="bettywatson@example.com"/>
    <s v="001-942-978-6561x94255"/>
    <d v="2026-02-26T01:50:08"/>
    <s v="Extra Name Spaces"/>
  </r>
  <r>
    <s v="Jacqueline Arnold"/>
    <n v="100603"/>
    <s v="HR"/>
    <d v="2025-09-20T00:00:00"/>
    <x v="5"/>
    <s v="Nicholas Reed"/>
    <s v="Yes"/>
    <s v="bettywatson@example.com"/>
    <s v="001-942-978-6561x94255"/>
    <d v="2026-02-26T01:50:08"/>
    <s v="Extra Name Spaces"/>
  </r>
  <r>
    <s v="Shannon Martin"/>
    <n v="100900"/>
    <s v="Marketing"/>
    <d v="2025-05-17T00:00:00"/>
    <x v="0"/>
    <s v="Jonathan Heath"/>
    <s v="Yes"/>
    <s v="carolfernandez@example.net"/>
    <s v="(292)336-1618"/>
    <d v="2026-01-31T10:46:08"/>
    <m/>
  </r>
  <r>
    <s v="Shannon Martin"/>
    <n v="100900"/>
    <s v="Marketing"/>
    <d v="2025-05-17T00:00:00"/>
    <x v="1"/>
    <s v="Jonathan Heath"/>
    <s v="Yes"/>
    <s v="carolfernandez@example.net"/>
    <s v="(292)336-1618"/>
    <d v="2026-01-31T10:46:08"/>
    <m/>
  </r>
  <r>
    <s v="Shannon Martin"/>
    <n v="100900"/>
    <s v="Marketing"/>
    <d v="2025-05-17T00:00:00"/>
    <x v="5"/>
    <s v="Jonathan Heath"/>
    <s v="Yes"/>
    <s v="carolfernandez@example.net"/>
    <s v="(292)336-1618"/>
    <d v="2026-01-31T10:46:08"/>
    <m/>
  </r>
  <r>
    <s v="Dawn Pierce"/>
    <n v="100902"/>
    <s v="IT"/>
    <d v="2025-04-14T00:00:00"/>
    <x v="3"/>
    <s v="Nancy Sutton"/>
    <s v="Yes"/>
    <s v="tracy55@example.net"/>
    <s v="(386)939-5613x7230"/>
    <d v="2026-02-13T18:24:08"/>
    <m/>
  </r>
  <r>
    <s v="Benjamin Clements"/>
    <n v="101081"/>
    <s v="IT"/>
    <d v="2026-04-23T00:00:00"/>
    <x v="0"/>
    <s v="Jared Bryan"/>
    <s v="No"/>
    <s v="lynnjames@example.org"/>
    <s v="3418321147"/>
    <d v="2026-02-10T22:17:08"/>
    <m/>
  </r>
  <r>
    <s v="Benjamin Clements"/>
    <n v="101081"/>
    <s v="IT"/>
    <d v="2026-04-23T00:00:00"/>
    <x v="1"/>
    <s v="Jared Bryan"/>
    <s v="No"/>
    <s v="lynnjames@example.org"/>
    <s v="3418321147"/>
    <d v="2026-02-10T22:17:08"/>
    <m/>
  </r>
  <r>
    <s v="Benjamin Clements"/>
    <n v="101081"/>
    <s v="IT"/>
    <d v="2026-04-23T00:00:00"/>
    <x v="5"/>
    <s v="Jared Bryan"/>
    <s v="No"/>
    <s v="lynnjames@example.org"/>
    <s v="3418321147"/>
    <d v="2026-02-10T22:17:08"/>
    <m/>
  </r>
  <r>
    <s v="Mary Smith"/>
    <n v="100196"/>
    <s v="IT"/>
    <d v="2025-09-13T00:00:00"/>
    <x v="3"/>
    <s v="Grace Brooks"/>
    <s v="No"/>
    <s v="roy97@example.net"/>
    <s v="+1-390-870-7550x476"/>
    <d v="2026-02-10T20:20:08"/>
    <m/>
  </r>
  <r>
    <s v="Lisa Bell"/>
    <n v="101123"/>
    <s v="IT"/>
    <d v="2025-11-23T00:00:00"/>
    <x v="3"/>
    <s v="Katherine Johnson"/>
    <s v="Yes"/>
    <s v="esteskatherine@example.org"/>
    <s v="248.711.3176x5397"/>
    <d v="2026-01-30T08:00:08"/>
    <m/>
  </r>
  <r>
    <s v="Richard Bond"/>
    <n v="101396"/>
    <s v="Finance"/>
    <d v="2025-03-16T00:00:00"/>
    <x v="2"/>
    <s v="Jason Smith"/>
    <s v="No"/>
    <s v="brittneyleonard@example.org"/>
    <s v="971.482.7496x80491"/>
    <d v="2026-02-04T13:53:08"/>
    <m/>
  </r>
  <r>
    <s v="Elaine Martin"/>
    <n v="100122"/>
    <s v="Finance"/>
    <d v="2026-04-29T00:00:00"/>
    <x v="0"/>
    <s v="Gary Rodriguez"/>
    <s v="No"/>
    <s v="tanyajones@example.com"/>
    <s v="530.962.6042x3597"/>
    <d v="2026-02-21T22:47:08"/>
    <m/>
  </r>
  <r>
    <s v="Elaine Martin"/>
    <n v="100122"/>
    <s v="Finance"/>
    <d v="2026-04-29T00:00:00"/>
    <x v="2"/>
    <s v="Gary Rodriguez"/>
    <s v="No"/>
    <s v="tanyajones@example.com"/>
    <s v="530.962.6042x3597"/>
    <d v="2026-02-21T22:47:08"/>
    <m/>
  </r>
  <r>
    <s v="Elaine Martin"/>
    <n v="100122"/>
    <s v="Finance"/>
    <d v="2026-04-29T00:00:00"/>
    <x v="5"/>
    <s v="Gary Rodriguez"/>
    <s v="No"/>
    <s v="tanyajones@example.com"/>
    <s v="530.962.6042x3597"/>
    <d v="2026-02-21T22:47:08"/>
    <m/>
  </r>
  <r>
    <s v="Tiffany Wilson"/>
    <n v="101148"/>
    <s v="Finance"/>
    <d v="2025-03-21T00:00:00"/>
    <x v="3"/>
    <s v="Carlos Irwin"/>
    <s v="Yes"/>
    <s v="kimmichael@example.net"/>
    <s v="(308)358-1670x46861"/>
    <d v="2026-02-25T07:40:08"/>
    <m/>
  </r>
  <r>
    <s v="Tiffany Wilson"/>
    <n v="101148"/>
    <s v="Finance"/>
    <d v="2025-03-21T00:00:00"/>
    <x v="1"/>
    <s v="Carlos Irwin"/>
    <s v="Yes"/>
    <s v="kimmichael@example.net"/>
    <s v="(308)358-1670x46861"/>
    <d v="2026-02-25T07:40:08"/>
    <m/>
  </r>
  <r>
    <s v="Tiffany Wilson"/>
    <n v="101148"/>
    <s v="Finance"/>
    <d v="2025-03-21T00:00:00"/>
    <x v="4"/>
    <s v="Carlos Irwin"/>
    <s v="Yes"/>
    <s v="kimmichael@example.net"/>
    <s v="(308)358-1670x46861"/>
    <d v="2026-02-25T07:40:08"/>
    <m/>
  </r>
  <r>
    <s v="Travis Howard"/>
    <n v="100197"/>
    <s v="IT"/>
    <d v="2025-12-22T00:00:00"/>
    <x v="0"/>
    <s v="Thomas Knox"/>
    <s v="No"/>
    <s v="davidmartin@example.net"/>
    <s v="(437)885-8471"/>
    <d v="2026-02-23T04:23:08"/>
    <m/>
  </r>
  <r>
    <s v="Travis Howard"/>
    <n v="100197"/>
    <s v="IT"/>
    <d v="2025-12-22T00:00:00"/>
    <x v="2"/>
    <s v="Thomas Knox"/>
    <s v="No"/>
    <s v="davidmartin@example.net"/>
    <s v="(437)885-8471"/>
    <d v="2026-02-23T04:23:08"/>
    <m/>
  </r>
  <r>
    <s v="Andrew Harris"/>
    <n v="100573"/>
    <s v="IT"/>
    <d v="2026-01-25T00:00:00"/>
    <x v="4"/>
    <s v="Paul Myers"/>
    <s v="Yes"/>
    <s v="brian01@example.net"/>
    <s v="+1-949-580-4253x73377"/>
    <d v="2026-02-23T06:22:08"/>
    <s v="Duplicate Employee ID"/>
  </r>
  <r>
    <s v="James Schultz"/>
    <n v="101105"/>
    <s v="IT"/>
    <d v="2025-11-13T00:00:00"/>
    <x v="0"/>
    <s v="Regina Thomas"/>
    <s v="Yes"/>
    <s v="michaelathomas@example.org"/>
    <s v="281.792.3653x4606"/>
    <d v="2026-02-14T12:36:08"/>
    <m/>
  </r>
  <r>
    <s v="Alyssa Powers"/>
    <n v="101334"/>
    <s v="Operations"/>
    <d v="2025-12-15T00:00:00"/>
    <x v="0"/>
    <s v="Jeanette Obrien"/>
    <s v="Yes"/>
    <s v="kaitlynanderson@example.net"/>
    <s v="362.439.8471x69061"/>
    <d v="2026-02-11T07:41:08"/>
    <m/>
  </r>
  <r>
    <s v="Alyssa Powers"/>
    <n v="101334"/>
    <s v="Operations"/>
    <d v="2025-12-15T00:00:00"/>
    <x v="5"/>
    <s v="Jeanette Obrien"/>
    <s v="Yes"/>
    <s v="kaitlynanderson@example.net"/>
    <s v="362.439.8471x69061"/>
    <d v="2026-02-11T07:41:08"/>
    <m/>
  </r>
  <r>
    <s v="Amanda Ramirez"/>
    <n v="101345"/>
    <s v="IT"/>
    <d v="2026-03-22T00:00:00"/>
    <x v="3"/>
    <s v="Matthew Hatfield"/>
    <s v="Yes"/>
    <s v="kevin89@example.com"/>
    <s v="378-976-9899x9275"/>
    <d v="2026-02-07T18:31:08"/>
    <m/>
  </r>
  <r>
    <s v="Amanda Ramirez"/>
    <n v="101345"/>
    <s v="IT"/>
    <d v="2026-03-22T00:00:00"/>
    <x v="1"/>
    <s v="Matthew Hatfield"/>
    <s v="Yes"/>
    <s v="kevin89@example.com"/>
    <s v="378-976-9899x9275"/>
    <d v="2026-02-07T18:31:08"/>
    <m/>
  </r>
  <r>
    <s v="Amanda Ramirez"/>
    <n v="101345"/>
    <s v="IT"/>
    <d v="2026-03-22T00:00:00"/>
    <x v="2"/>
    <s v="Matthew Hatfield"/>
    <s v="Yes"/>
    <s v="kevin89@example.com"/>
    <s v="378-976-9899x9275"/>
    <d v="2026-02-07T18:31:08"/>
    <m/>
  </r>
  <r>
    <s v="Kim Jensen"/>
    <n v="100277"/>
    <s v="HR"/>
    <d v="2026-04-29T00:00:00"/>
    <x v="2"/>
    <s v="Mark Villa"/>
    <s v="No"/>
    <s v="brooke35@example.com"/>
    <s v="693.654.3586"/>
    <d v="2026-03-15T06:20:08"/>
    <m/>
  </r>
  <r>
    <s v="Kim Jensen"/>
    <n v="100277"/>
    <s v="HR"/>
    <d v="2026-04-29T00:00:00"/>
    <x v="4"/>
    <s v="Mark Villa"/>
    <s v="No"/>
    <s v="brooke35@example.com"/>
    <s v="693.654.3586"/>
    <d v="2026-03-15T06:20:08"/>
    <m/>
  </r>
  <r>
    <s v="Mckenzie Lopez"/>
    <n v="100464"/>
    <s v="Operations"/>
    <d v="2026-01-30T00:00:00"/>
    <x v="3"/>
    <s v="Rachel Pham"/>
    <s v="Yes"/>
    <s v="james58@example.net"/>
    <s v="737-598-2143x39527"/>
    <d v="2026-02-06T13:55:08"/>
    <m/>
  </r>
  <r>
    <s v="Mckenzie Lopez"/>
    <n v="100464"/>
    <s v="Operations"/>
    <d v="2026-01-30T00:00:00"/>
    <x v="4"/>
    <s v="Rachel Pham"/>
    <s v="Yes"/>
    <s v="james58@example.net"/>
    <s v="737-598-2143x39527"/>
    <d v="2026-02-06T13:55:08"/>
    <m/>
  </r>
  <r>
    <s v="Mckenzie Lopez"/>
    <n v="100464"/>
    <s v="Operations"/>
    <d v="2026-01-30T00:00:00"/>
    <x v="5"/>
    <s v="Rachel Pham"/>
    <s v="Yes"/>
    <s v="james58@example.net"/>
    <s v="737-598-2143x39527"/>
    <d v="2026-02-06T13:55:08"/>
    <m/>
  </r>
  <r>
    <s v="Mitchell Randolph"/>
    <n v="101017"/>
    <s v="HR"/>
    <d v="2026-03-12T00:00:00"/>
    <x v="0"/>
    <s v="Glenn Scott"/>
    <s v="No"/>
    <s v="kingtammy@example.net"/>
    <s v="(501)634-7789x4896"/>
    <d v="2026-02-18T14:57:08"/>
    <m/>
  </r>
  <r>
    <s v="Mitchell Randolph"/>
    <n v="101017"/>
    <s v="HR"/>
    <d v="2026-03-12T00:00:00"/>
    <x v="2"/>
    <s v="Glenn Scott"/>
    <s v="No"/>
    <s v="kingtammy@example.net"/>
    <s v="(501)634-7789x4896"/>
    <d v="2026-02-18T14:57:08"/>
    <m/>
  </r>
  <r>
    <s v="Jeffrey Holden"/>
    <n v="100871"/>
    <s v="IT"/>
    <d v="2025-07-15T00:00:00"/>
    <x v="1"/>
    <s v="Karen Hughes"/>
    <s v="Yes"/>
    <s v="taylordavid@example.org"/>
    <s v="8145188421"/>
    <d v="2026-02-11T07:35:08"/>
    <m/>
  </r>
  <r>
    <s v="Jeffrey Holden"/>
    <n v="100871"/>
    <s v="IT"/>
    <d v="2025-07-15T00:00:00"/>
    <x v="5"/>
    <s v="Karen Hughes"/>
    <s v="Yes"/>
    <s v="taylordavid@example.org"/>
    <s v="8145188421"/>
    <d v="2026-02-11T07:35:08"/>
    <m/>
  </r>
  <r>
    <s v="Matthew Brown"/>
    <n v="101496"/>
    <s v="Marketing"/>
    <d v="2025-05-12T00:00:00"/>
    <x v="2"/>
    <s v="William Ball"/>
    <s v="Yes"/>
    <s v="russell33@example.net"/>
    <s v="+1-494-885-3208x953"/>
    <d v="2026-02-16T00:38:08"/>
    <m/>
  </r>
  <r>
    <s v="Matthew Brown"/>
    <n v="101496"/>
    <s v="Marketing"/>
    <d v="2025-05-12T00:00:00"/>
    <x v="4"/>
    <s v="William Ball"/>
    <s v="Yes"/>
    <s v="russell33@example.net"/>
    <s v="+1-494-885-3208x953"/>
    <d v="2026-02-16T00:38:08"/>
    <m/>
  </r>
  <r>
    <s v="Luis Best"/>
    <n v="100943"/>
    <s v="Engineering"/>
    <d v="2026-04-29T00:00:00"/>
    <x v="3"/>
    <s v="Patrick Irwin"/>
    <s v="Yes"/>
    <s v="lisa11@example.org"/>
    <s v="(833)979-2234x10346"/>
    <d v="2026-02-23T01:24:08"/>
    <m/>
  </r>
  <r>
    <s v="Luis Best"/>
    <n v="100943"/>
    <s v="Engineering"/>
    <d v="2026-04-29T00:00:00"/>
    <x v="4"/>
    <s v="Patrick Irwin"/>
    <s v="Yes"/>
    <s v="lisa11@example.org"/>
    <s v="(833)979-2234x10346"/>
    <d v="2026-02-23T01:24:08"/>
    <m/>
  </r>
  <r>
    <s v="Brian Miller"/>
    <n v="100352"/>
    <s v="IT"/>
    <d v="2025-08-21T00:00:00"/>
    <x v="2"/>
    <s v="Jessica Stevenson"/>
    <s v="Yes"/>
    <s v="wjefferson@example.com"/>
    <s v="2849376855"/>
    <d v="2026-03-03T16:40:08"/>
    <m/>
  </r>
  <r>
    <s v="Brian Miller"/>
    <n v="100352"/>
    <s v="IT"/>
    <d v="2025-08-21T00:00:00"/>
    <x v="4"/>
    <s v="Jessica Stevenson"/>
    <s v="Yes"/>
    <s v="wjefferson@example.com"/>
    <s v="2849376855"/>
    <d v="2026-03-03T16:40:08"/>
    <m/>
  </r>
  <r>
    <s v="Jasmine Ramos"/>
    <n v="100926"/>
    <s v="Operations"/>
    <d v="2025-09-30T00:00:00"/>
    <x v="0"/>
    <s v="Charles Jones"/>
    <s v="No"/>
    <s v="zjackson@example.org"/>
    <s v="955.264.3436"/>
    <d v="2026-03-13T18:27:08"/>
    <m/>
  </r>
  <r>
    <s v="Jasmine Ramos"/>
    <n v="100926"/>
    <s v="Operations"/>
    <d v="2025-09-30T00:00:00"/>
    <x v="3"/>
    <s v="Charles Jones"/>
    <s v="No"/>
    <s v="zjackson@example.org"/>
    <s v="955.264.3436"/>
    <d v="2026-03-13T18:27:08"/>
    <m/>
  </r>
  <r>
    <s v="Jasmine Ramos"/>
    <n v="100926"/>
    <s v="Operations"/>
    <d v="2025-09-30T00:00:00"/>
    <x v="2"/>
    <s v="Charles Jones"/>
    <s v="No"/>
    <s v="zjackson@example.org"/>
    <s v="955.264.3436"/>
    <d v="2026-03-13T18:27:08"/>
    <m/>
  </r>
  <r>
    <s v="Kristine Brewer"/>
    <n v="101121"/>
    <s v="IT"/>
    <d v="2025-04-29T00:00:00"/>
    <x v="2"/>
    <s v="Micheal Johnson"/>
    <s v="Yes"/>
    <s v="michael07@example.com"/>
    <s v="001-476-516-4534x5472"/>
    <d v="2026-02-10T19:25:08"/>
    <m/>
  </r>
  <r>
    <s v="Kristine Brewer"/>
    <n v="101121"/>
    <s v="IT"/>
    <d v="2025-04-29T00:00:00"/>
    <x v="5"/>
    <s v="Micheal Johnson"/>
    <s v="Yes"/>
    <s v="michael07@example.com"/>
    <s v="001-476-516-4534x5472"/>
    <d v="2026-02-10T19:25:08"/>
    <m/>
  </r>
  <r>
    <s v="Maria George"/>
    <n v="101024"/>
    <s v="HR"/>
    <d v="2025-03-27T00:00:00"/>
    <x v="0"/>
    <s v="Sarah Werner"/>
    <s v="Yes"/>
    <s v="brandon31@example.net"/>
    <s v="(919)480-4184"/>
    <d v="2026-03-04T08:08:08"/>
    <m/>
  </r>
  <r>
    <s v="Maria George"/>
    <n v="101024"/>
    <s v="HR"/>
    <d v="2025-03-27T00:00:00"/>
    <x v="1"/>
    <s v="Sarah Werner"/>
    <s v="Yes"/>
    <s v="brandon31@example.net"/>
    <s v="(919)480-4184"/>
    <d v="2026-03-04T08:08:08"/>
    <m/>
  </r>
  <r>
    <s v="Maria George"/>
    <n v="101024"/>
    <s v="HR"/>
    <d v="2025-03-27T00:00:00"/>
    <x v="4"/>
    <s v="Sarah Werner"/>
    <s v="Yes"/>
    <s v="brandon31@example.net"/>
    <s v="(919)480-4184"/>
    <d v="2026-03-04T08:08:08"/>
    <m/>
  </r>
  <r>
    <s v="Scott Ramirez"/>
    <n v="100949"/>
    <s v="Finance"/>
    <d v="2025-12-13T00:00:00"/>
    <x v="2"/>
    <s v="Crystal Collins"/>
    <s v="No"/>
    <s v="hallchristopher@example.org"/>
    <s v="001-524-387-6230"/>
    <d v="2026-03-07T12:32:08"/>
    <m/>
  </r>
  <r>
    <s v="Scott Ramirez"/>
    <n v="100949"/>
    <s v="Finance"/>
    <d v="2025-12-13T00:00:00"/>
    <x v="5"/>
    <s v="Crystal Collins"/>
    <s v="No"/>
    <s v="hallchristopher@example.org"/>
    <s v="001-524-387-6230"/>
    <d v="2026-03-07T12:32:08"/>
    <m/>
  </r>
  <r>
    <s v="Brian Roth"/>
    <n v="100595"/>
    <s v="Finance"/>
    <d v="2025-05-13T00:00:00"/>
    <x v="3"/>
    <s v="Caleb Ford"/>
    <s v="Yes"/>
    <s v="jennifer28@example.org"/>
    <s v="205.824.8088"/>
    <d v="2026-03-02T23:23:08"/>
    <m/>
  </r>
  <r>
    <s v="Anthony Moore"/>
    <n v="101475"/>
    <s v="HR"/>
    <d v="2025-12-22T00:00:00"/>
    <x v="1"/>
    <s v="Scott Flowers"/>
    <s v="No"/>
    <s v="steven72@example.net"/>
    <s v="632-990-1620"/>
    <d v="2026-02-08T09:33:08"/>
    <m/>
  </r>
  <r>
    <s v="Anthony Moore"/>
    <n v="101475"/>
    <s v="HR"/>
    <d v="2025-12-22T00:00:00"/>
    <x v="4"/>
    <s v="Scott Flowers"/>
    <s v="No"/>
    <s v="steven72@example.net"/>
    <s v="632-990-1620"/>
    <d v="2026-02-08T09:33:08"/>
    <m/>
  </r>
  <r>
    <s v="Katherine Webster"/>
    <n v="101444"/>
    <s v="Marketing"/>
    <d v="2025-04-21T00:00:00"/>
    <x v="3"/>
    <s v="Molly Oneal"/>
    <s v="No"/>
    <s v="hhayden@example.com"/>
    <s v="+1-396-748-6287x203"/>
    <d v="2026-03-13T13:28:08"/>
    <m/>
  </r>
  <r>
    <s v="Katherine Webster"/>
    <n v="101444"/>
    <s v="Marketing"/>
    <d v="2025-04-21T00:00:00"/>
    <x v="1"/>
    <s v="Molly Oneal"/>
    <s v="No"/>
    <s v="hhayden@example.com"/>
    <s v="+1-396-748-6287x203"/>
    <d v="2026-03-13T13:28:08"/>
    <m/>
  </r>
  <r>
    <s v="Ashley Strong"/>
    <n v="100830"/>
    <s v="Engineering"/>
    <d v="2025-11-12T00:00:00"/>
    <x v="0"/>
    <s v="Elijah Johnson"/>
    <s v="Yes"/>
    <s v="bgonzalez@example.org"/>
    <s v="(827)992-4632x03747"/>
    <d v="2026-03-11T03:21:08"/>
    <m/>
  </r>
  <r>
    <s v="Ashley Strong"/>
    <n v="100830"/>
    <s v="Engineering"/>
    <d v="2025-11-12T00:00:00"/>
    <x v="2"/>
    <s v="Elijah Johnson"/>
    <s v="Yes"/>
    <s v="bgonzalez@example.org"/>
    <s v="(827)992-4632x03747"/>
    <d v="2026-03-11T03:21:08"/>
    <m/>
  </r>
  <r>
    <s v="Ashley Strong"/>
    <n v="100830"/>
    <s v="Engineering"/>
    <d v="2025-11-12T00:00:00"/>
    <x v="5"/>
    <s v="Elijah Johnson"/>
    <s v="Yes"/>
    <s v="bgonzalez@example.org"/>
    <s v="(827)992-4632x03747"/>
    <d v="2026-03-11T03:21:08"/>
    <m/>
  </r>
  <r>
    <s v="Jacqueline Harris"/>
    <n v="100226"/>
    <s v="Operations"/>
    <d v="2025-06-15T00:00:00"/>
    <x v="0"/>
    <s v="Tyler Sanchez"/>
    <s v="No"/>
    <s v="pennylivingston@example.com"/>
    <s v="(905)276-6194x588"/>
    <d v="2026-02-25T06:34:08"/>
    <m/>
  </r>
  <r>
    <s v="Jacqueline Harris"/>
    <n v="100226"/>
    <s v="Operations"/>
    <d v="2025-06-15T00:00:00"/>
    <x v="3"/>
    <s v="Tyler Sanchez"/>
    <s v="No"/>
    <s v="pennylivingston@example.com"/>
    <s v="(905)276-6194x588"/>
    <d v="2026-02-25T06:34:08"/>
    <m/>
  </r>
  <r>
    <s v="Jacqueline Harris"/>
    <n v="100226"/>
    <s v="Operations"/>
    <d v="2025-06-15T00:00:00"/>
    <x v="5"/>
    <s v="Tyler Sanchez"/>
    <s v="No"/>
    <s v="pennylivingston@example.com"/>
    <s v="(905)276-6194x588"/>
    <d v="2026-02-25T06:34:08"/>
    <m/>
  </r>
  <r>
    <s v="Sheila Mendoza"/>
    <n v="100301"/>
    <s v="Finance"/>
    <d v="2026-03-16T00:00:00"/>
    <x v="3"/>
    <s v="Corey Weeks"/>
    <s v="Yes"/>
    <s v="alexgarcia@example.net"/>
    <s v="001-784-900-8385x076"/>
    <d v="2026-03-10T18:04:08"/>
    <m/>
  </r>
  <r>
    <s v="Sheila Mendoza"/>
    <n v="100301"/>
    <s v="Finance"/>
    <d v="2026-03-16T00:00:00"/>
    <x v="2"/>
    <s v="Corey Weeks"/>
    <s v="Yes"/>
    <s v="alexgarcia@example.net"/>
    <s v="001-784-900-8385x076"/>
    <d v="2026-03-10T18:04:08"/>
    <m/>
  </r>
  <r>
    <s v="Sheila Mendoza"/>
    <n v="100301"/>
    <s v="Finance"/>
    <d v="2026-03-16T00:00:00"/>
    <x v="5"/>
    <s v="Corey Weeks"/>
    <s v="Yes"/>
    <s v="alexgarcia@example.net"/>
    <s v="001-784-900-8385x076"/>
    <d v="2026-03-10T18:04:08"/>
    <m/>
  </r>
  <r>
    <s v="Gabriel Richardson"/>
    <n v="101362"/>
    <s v="Operations"/>
    <d v="2025-05-04T00:00:00"/>
    <x v="1"/>
    <s v="Laurie Stephenson"/>
    <s v="No"/>
    <s v="ghamilton@example.org"/>
    <s v="+1-889-681-2657x42231"/>
    <d v="2026-03-02T10:16:08"/>
    <m/>
  </r>
  <r>
    <s v="Gabriel Richardson"/>
    <n v="101362"/>
    <s v="Operations"/>
    <d v="2025-05-04T00:00:00"/>
    <x v="5"/>
    <s v="Laurie Stephenson"/>
    <s v="No"/>
    <s v="ghamilton@example.org"/>
    <s v="+1-889-681-2657x42231"/>
    <d v="2026-03-02T10:16:08"/>
    <m/>
  </r>
  <r>
    <s v="Andrew Turner"/>
    <n v="100017"/>
    <s v="Marketing"/>
    <d v="2026-01-25T00:00:00"/>
    <x v="1"/>
    <s v="Cheyenne Hudson"/>
    <s v="Yes"/>
    <s v="jlloyd@example.com"/>
    <s v="+1-994-330-1204"/>
    <d v="2026-01-30T19:12:08"/>
    <m/>
  </r>
  <r>
    <s v="Andrew Turner"/>
    <n v="100017"/>
    <s v="Marketing"/>
    <d v="2026-01-25T00:00:00"/>
    <x v="5"/>
    <s v="Cheyenne Hudson"/>
    <s v="Yes"/>
    <s v="jlloyd@example.com"/>
    <s v="+1-994-330-1204"/>
    <d v="2026-01-30T19:12:08"/>
    <m/>
  </r>
  <r>
    <s v="Thomas Martin"/>
    <n v="100458"/>
    <s v="HR"/>
    <d v="2026-04-23T00:00:00"/>
    <x v="0"/>
    <s v="Ashley Caldwell"/>
    <s v="Yes"/>
    <s v="christina57@example.com"/>
    <s v="001-688-555-8298"/>
    <d v="2026-03-12T01:41:08"/>
    <m/>
  </r>
  <r>
    <s v="Thomas Martin"/>
    <n v="100458"/>
    <s v="HR"/>
    <d v="2026-04-23T00:00:00"/>
    <x v="5"/>
    <s v="Ashley Caldwell"/>
    <s v="Yes"/>
    <s v="christina57@example.com"/>
    <s v="001-688-555-8298"/>
    <d v="2026-03-12T01:41:08"/>
    <m/>
  </r>
  <r>
    <s v="Alex Webb"/>
    <n v="100502"/>
    <s v="Marketing"/>
    <d v="2025-09-11T00:00:00"/>
    <x v="4"/>
    <s v="Jordan Porter"/>
    <s v="No"/>
    <s v="lwilliams@example.com"/>
    <s v="712-883-3372x188"/>
    <d v="2026-02-21T21:17:08"/>
    <m/>
  </r>
  <r>
    <s v="Alex Webb"/>
    <n v="100502"/>
    <s v="Marketing"/>
    <d v="2025-09-11T00:00:00"/>
    <x v="5"/>
    <s v="Jordan Porter"/>
    <s v="No"/>
    <s v="lwilliams@example.com"/>
    <s v="712-883-3372x188"/>
    <d v="2026-02-21T21:17:08"/>
    <m/>
  </r>
  <r>
    <s v="Jennifer Rivera"/>
    <n v="100661"/>
    <s v="IT"/>
    <d v="2025-05-20T00:00:00"/>
    <x v="0"/>
    <s v="Christopher Olson"/>
    <s v="No"/>
    <s v="hamptonsara@example.org"/>
    <s v="(866)526-7055x14377"/>
    <d v="2026-02-08T19:44:08"/>
    <m/>
  </r>
  <r>
    <s v="Jennifer Rivera"/>
    <n v="100661"/>
    <s v="IT"/>
    <d v="2025-05-20T00:00:00"/>
    <x v="2"/>
    <s v="Christopher Olson"/>
    <s v="No"/>
    <s v="hamptonsara@example.org"/>
    <s v="(866)526-7055x14377"/>
    <d v="2026-02-08T19:44:08"/>
    <m/>
  </r>
  <r>
    <s v="Jennifer Rivera"/>
    <n v="100661"/>
    <s v="IT"/>
    <d v="2025-05-20T00:00:00"/>
    <x v="5"/>
    <s v="Christopher Olson"/>
    <s v="No"/>
    <s v="hamptonsara@example.org"/>
    <s v="(866)526-7055x14377"/>
    <d v="2026-02-08T19:44:08"/>
    <m/>
  </r>
  <r>
    <s v="Samuel Mitchell"/>
    <n v="101270"/>
    <s v="Engineering"/>
    <d v="2026-04-25T00:00:00"/>
    <x v="3"/>
    <s v="Carmen Moore"/>
    <s v="No"/>
    <s v="brittney11@example.org"/>
    <s v="202-986-7120"/>
    <d v="2026-02-07T03:48:08"/>
    <m/>
  </r>
  <r>
    <s v="Samuel Mitchell"/>
    <n v="101270"/>
    <s v="Engineering"/>
    <d v="2026-04-25T00:00:00"/>
    <x v="5"/>
    <s v="Carmen Moore"/>
    <s v="No"/>
    <s v="brittney11@example.org"/>
    <s v="202-986-7120"/>
    <d v="2026-02-07T03:48:08"/>
    <m/>
  </r>
  <r>
    <s v="Casey Terrell"/>
    <n v="100246"/>
    <s v="Finance"/>
    <d v="2026-01-27T00:00:00"/>
    <x v="3"/>
    <s v="Michael Serrano"/>
    <s v="Yes"/>
    <s v="elizabeth10@example.org"/>
    <s v="351-609-1090x3267"/>
    <d v="2026-02-14T04:48:08"/>
    <m/>
  </r>
  <r>
    <s v="Lisa Fox"/>
    <n v="100568"/>
    <s v="Engineering"/>
    <d v="2025-09-06T00:00:00"/>
    <x v="0"/>
    <s v="Diane Brown"/>
    <s v="No"/>
    <s v="eric81@example.com"/>
    <s v="+1-634-806-5277x584"/>
    <d v="2026-02-16T22:33:08"/>
    <m/>
  </r>
  <r>
    <s v="Timothy Bauer"/>
    <n v="101151"/>
    <s v="HR"/>
    <d v="2025-12-19T00:00:00"/>
    <x v="0"/>
    <s v="Mary Clark"/>
    <s v="No"/>
    <s v="jhernandez@example.org"/>
    <s v="309-612-1722"/>
    <d v="2026-03-08T21:42:08"/>
    <m/>
  </r>
  <r>
    <s v="Timothy Bauer"/>
    <n v="101151"/>
    <s v="HR"/>
    <d v="2025-12-19T00:00:00"/>
    <x v="2"/>
    <s v="Mary Clark"/>
    <s v="No"/>
    <s v="jhernandez@example.org"/>
    <s v="309-612-1722"/>
    <d v="2026-03-08T21:42:08"/>
    <m/>
  </r>
  <r>
    <s v="Timothy Bauer"/>
    <n v="101151"/>
    <s v="HR"/>
    <d v="2025-12-19T00:00:00"/>
    <x v="4"/>
    <s v="Mary Clark"/>
    <s v="No"/>
    <s v="jhernandez@example.org"/>
    <s v="309-612-1722"/>
    <d v="2026-03-08T21:42:08"/>
    <m/>
  </r>
  <r>
    <s v="Melissa Riley"/>
    <n v="101129"/>
    <s v="IT"/>
    <d v="2025-11-08T00:00:00"/>
    <x v="3"/>
    <s v="Jessica Martinez"/>
    <s v="No"/>
    <s v="sharon37@example.net"/>
    <s v="6528635100"/>
    <d v="2026-03-05T07:24:08"/>
    <m/>
  </r>
  <r>
    <s v="Melissa Riley"/>
    <n v="101129"/>
    <s v="IT"/>
    <d v="2025-11-08T00:00:00"/>
    <x v="2"/>
    <s v="Jessica Martinez"/>
    <s v="No"/>
    <s v="sharon37@example.net"/>
    <s v="6528635100"/>
    <d v="2026-03-05T07:24:08"/>
    <m/>
  </r>
  <r>
    <s v="Jonathan Barrett"/>
    <n v="101290"/>
    <s v="Operations"/>
    <d v="2025-04-20T00:00:00"/>
    <x v="3"/>
    <s v="Michael Morris"/>
    <s v="No"/>
    <s v="lisamcgee@example.net"/>
    <s v="(559)920-2461x75202"/>
    <d v="2026-02-12T19:54:08"/>
    <m/>
  </r>
  <r>
    <s v="Jonathan Barrett"/>
    <n v="101290"/>
    <s v="Operations"/>
    <d v="2025-04-20T00:00:00"/>
    <x v="2"/>
    <s v="Michael Morris"/>
    <s v="No"/>
    <s v="lisamcgee@example.net"/>
    <s v="(559)920-2461x75202"/>
    <d v="2026-02-12T19:54:08"/>
    <m/>
  </r>
  <r>
    <s v="Jonathan Barrett"/>
    <n v="101290"/>
    <s v="Operations"/>
    <d v="2025-04-20T00:00:00"/>
    <x v="5"/>
    <s v="Michael Morris"/>
    <s v="No"/>
    <s v="lisamcgee@example.net"/>
    <s v="(559)920-2461x75202"/>
    <d v="2026-02-12T19:54:08"/>
    <m/>
  </r>
  <r>
    <s v="Susan Le"/>
    <n v="100087"/>
    <s v="Engineering"/>
    <d v="2025-05-01T00:00:00"/>
    <x v="4"/>
    <s v="Randy Welch"/>
    <s v="Yes"/>
    <s v="lauren55@example.org"/>
    <s v="878-533-2584"/>
    <d v="2026-03-06T19:21:08"/>
    <m/>
  </r>
  <r>
    <s v="Travis Mcbride"/>
    <n v="100195"/>
    <s v="Marketing"/>
    <d v="2025-11-02T00:00:00"/>
    <x v="3"/>
    <s v="Nathan Payne"/>
    <s v="Yes"/>
    <s v="vwilliams@example.org"/>
    <s v="(691)276-7993x59374"/>
    <d v="2026-03-02T18:39:08"/>
    <m/>
  </r>
  <r>
    <s v="Travis Mcbride"/>
    <n v="100195"/>
    <s v="Marketing"/>
    <d v="2025-11-02T00:00:00"/>
    <x v="1"/>
    <s v="Nathan Payne"/>
    <s v="Yes"/>
    <s v="vwilliams@example.org"/>
    <s v="(691)276-7993x59374"/>
    <d v="2026-03-02T18:39:08"/>
    <m/>
  </r>
  <r>
    <s v="Travis Mcbride"/>
    <n v="100195"/>
    <s v="Marketing"/>
    <d v="2025-11-02T00:00:00"/>
    <x v="5"/>
    <s v="Nathan Payne"/>
    <s v="Yes"/>
    <s v="vwilliams@example.org"/>
    <s v="(691)276-7993x59374"/>
    <d v="2026-03-02T18:39:08"/>
    <m/>
  </r>
  <r>
    <s v="Mary Riley"/>
    <n v="100529"/>
    <s v="HR"/>
    <d v="2025-08-16T00:00:00"/>
    <x v="0"/>
    <s v="Aaron Perez"/>
    <s v="No"/>
    <s v="stephaniecole@example.com"/>
    <s v="6602148860"/>
    <d v="2026-03-10T22:01:08"/>
    <m/>
  </r>
  <r>
    <s v="Mary Riley"/>
    <n v="100529"/>
    <s v="HR"/>
    <d v="2025-08-16T00:00:00"/>
    <x v="1"/>
    <s v="Aaron Perez"/>
    <s v="No"/>
    <s v="stephaniecole@example.com"/>
    <s v="6602148860"/>
    <d v="2026-03-10T22:01:08"/>
    <m/>
  </r>
  <r>
    <s v="Mary Riley"/>
    <n v="100529"/>
    <s v="HR"/>
    <d v="2025-08-16T00:00:00"/>
    <x v="5"/>
    <s v="Aaron Perez"/>
    <s v="No"/>
    <s v="stephaniecole@example.com"/>
    <s v="6602148860"/>
    <d v="2026-03-10T22:01:08"/>
    <m/>
  </r>
  <r>
    <s v="Kevin Ferguson MD"/>
    <n v="100010"/>
    <s v="Engineering"/>
    <d v="2026-01-23T00:00:00"/>
    <x v="1"/>
    <s v="Sarah Frost"/>
    <s v="Yes"/>
    <s v="vcastro@example.org"/>
    <s v="+1-330-461-5370"/>
    <d v="2026-02-20T23:10:08"/>
    <m/>
  </r>
  <r>
    <s v="Kevin Ferguson MD"/>
    <n v="100010"/>
    <s v="Engineering"/>
    <d v="2026-01-23T00:00:00"/>
    <x v="4"/>
    <s v="Sarah Frost"/>
    <s v="Yes"/>
    <s v="vcastro@example.org"/>
    <s v="+1-330-461-5370"/>
    <d v="2026-02-20T23:10:08"/>
    <m/>
  </r>
  <r>
    <s v="Kevin Ferguson MD"/>
    <n v="100010"/>
    <s v="Engineering"/>
    <d v="2026-01-23T00:00:00"/>
    <x v="5"/>
    <s v="Sarah Frost"/>
    <s v="Yes"/>
    <s v="vcastro@example.org"/>
    <s v="+1-330-461-5370"/>
    <d v="2026-02-20T23:10:08"/>
    <m/>
  </r>
  <r>
    <s v="Monique Jackson"/>
    <n v="101428"/>
    <s v="Engineering"/>
    <d v="2025-03-16T00:00:00"/>
    <x v="3"/>
    <s v="David Martin"/>
    <s v="No"/>
    <s v="kharris@example.com"/>
    <s v="244-588-1121"/>
    <d v="2026-03-15T09:53:08"/>
    <m/>
  </r>
  <r>
    <s v="Monique Jackson"/>
    <n v="101428"/>
    <s v="Engineering"/>
    <d v="2025-03-16T00:00:00"/>
    <x v="1"/>
    <s v="David Martin"/>
    <s v="No"/>
    <s v="kharris@example.com"/>
    <s v="244-588-1121"/>
    <d v="2026-03-15T09:53:08"/>
    <m/>
  </r>
  <r>
    <s v="Monique Jackson"/>
    <n v="101428"/>
    <s v="Engineering"/>
    <d v="2025-03-16T00:00:00"/>
    <x v="2"/>
    <s v="David Martin"/>
    <s v="No"/>
    <s v="kharris@example.com"/>
    <s v="244-588-1121"/>
    <d v="2026-03-15T09:53:08"/>
    <m/>
  </r>
  <r>
    <s v="Randy Blake"/>
    <n v="100282"/>
    <s v="Operations"/>
    <d v="2026-03-10T00:00:00"/>
    <x v="0"/>
    <s v="Christopher Hubbard"/>
    <s v="No"/>
    <s v="david87@example.net"/>
    <s v="879-541-5152"/>
    <d v="2026-02-20T03:03:08"/>
    <s v="Extra Name Spaces"/>
  </r>
  <r>
    <s v="Randy Blake"/>
    <n v="100282"/>
    <s v="Operations"/>
    <d v="2026-03-10T00:00:00"/>
    <x v="1"/>
    <s v="Christopher Hubbard"/>
    <s v="No"/>
    <s v="david87@example.net"/>
    <s v="879-541-5152"/>
    <d v="2026-02-20T03:03:08"/>
    <s v="Extra Name Spaces"/>
  </r>
  <r>
    <s v="Randy Blake"/>
    <n v="100282"/>
    <s v="Operations"/>
    <d v="2026-03-10T00:00:00"/>
    <x v="5"/>
    <s v="Christopher Hubbard"/>
    <s v="No"/>
    <s v="david87@example.net"/>
    <s v="879-541-5152"/>
    <d v="2026-02-20T03:03:08"/>
    <s v="Extra Name Spaces"/>
  </r>
  <r>
    <s v="Danielle Smith"/>
    <n v="100610"/>
    <s v="IT"/>
    <d v="2025-07-02T00:00:00"/>
    <x v="0"/>
    <s v="Regina Mcguire"/>
    <s v="Yes"/>
    <s v="gayfrancis@example.com"/>
    <s v="(888)337-5056"/>
    <d v="2026-02-09T04:47:08"/>
    <m/>
  </r>
  <r>
    <s v="Danielle Smith"/>
    <n v="100610"/>
    <s v="IT"/>
    <d v="2025-07-02T00:00:00"/>
    <x v="4"/>
    <s v="Regina Mcguire"/>
    <s v="Yes"/>
    <s v="gayfrancis@example.com"/>
    <s v="(888)337-5056"/>
    <d v="2026-02-09T04:47:08"/>
    <m/>
  </r>
  <r>
    <s v="Danielle Smith"/>
    <n v="100610"/>
    <s v="IT"/>
    <d v="2025-07-02T00:00:00"/>
    <x v="5"/>
    <s v="Regina Mcguire"/>
    <s v="Yes"/>
    <s v="gayfrancis@example.com"/>
    <s v="(888)337-5056"/>
    <d v="2026-02-09T04:47:08"/>
    <m/>
  </r>
  <r>
    <s v="Patty Powell"/>
    <n v="100286"/>
    <s v="HR"/>
    <d v="2025-10-15T00:00:00"/>
    <x v="1"/>
    <s v="Marc Webb"/>
    <s v="Yes"/>
    <s v="cherryjulie@example.net"/>
    <s v="001-778-276-5530x07309"/>
    <d v="2026-03-08T17:31:08"/>
    <m/>
  </r>
  <r>
    <s v="Taylor Wong MD"/>
    <n v="100348"/>
    <s v="Engineering"/>
    <d v="2026-02-10T00:00:00"/>
    <x v="4"/>
    <s v="Tracy Atkins"/>
    <s v="No"/>
    <s v="andersoncody@example.net"/>
    <s v="+1-319-227-7885"/>
    <d v="2026-02-02T03:00:08"/>
    <m/>
  </r>
  <r>
    <s v="Margaret Sanchez"/>
    <n v="100264"/>
    <s v="Marketing"/>
    <d v="2025-04-28T00:00:00"/>
    <x v="0"/>
    <s v="Jessica Williams"/>
    <s v="No"/>
    <s v="brownkevin@example.org"/>
    <s v="001-646-624-5618x517"/>
    <d v="2026-02-14T18:10:08"/>
    <m/>
  </r>
  <r>
    <s v="Alexander Mitchell"/>
    <n v="100363"/>
    <s v="IT"/>
    <d v="2025-10-19T00:00:00"/>
    <x v="3"/>
    <s v="Brandon Taylor"/>
    <s v="No"/>
    <s v="coxcody@example.com"/>
    <s v="001-355-612-9391x30448"/>
    <d v="2026-02-20T05:47:08"/>
    <m/>
  </r>
  <r>
    <s v="Alexander Mitchell"/>
    <n v="100363"/>
    <s v="IT"/>
    <d v="2025-10-19T00:00:00"/>
    <x v="4"/>
    <s v="Brandon Taylor"/>
    <s v="No"/>
    <s v="coxcody@example.com"/>
    <s v="001-355-612-9391x30448"/>
    <d v="2026-02-20T05:47:08"/>
    <m/>
  </r>
  <r>
    <s v="Alexander Mitchell"/>
    <n v="100363"/>
    <s v="IT"/>
    <d v="2025-10-19T00:00:00"/>
    <x v="5"/>
    <s v="Brandon Taylor"/>
    <s v="No"/>
    <s v="coxcody@example.com"/>
    <s v="001-355-612-9391x30448"/>
    <d v="2026-02-20T05:47:08"/>
    <m/>
  </r>
  <r>
    <s v="Mary Garcia"/>
    <n v="101337"/>
    <s v="Finance"/>
    <d v="2025-06-19T00:00:00"/>
    <x v="3"/>
    <s v="Timothy Collins"/>
    <s v="No"/>
    <s v="vdavis@example.com"/>
    <s v="001-302-611-9017x0756"/>
    <d v="2026-03-01T00:47:08"/>
    <m/>
  </r>
  <r>
    <s v="Mary Garcia"/>
    <n v="101337"/>
    <s v="Finance"/>
    <d v="2025-06-19T00:00:00"/>
    <x v="2"/>
    <s v="Timothy Collins"/>
    <s v="No"/>
    <s v="vdavis@example.com"/>
    <s v="001-302-611-9017x0756"/>
    <d v="2026-03-01T00:47:08"/>
    <m/>
  </r>
  <r>
    <s v="Todd Jacobson"/>
    <n v="101252"/>
    <s v="Finance"/>
    <d v="2025-10-12T00:00:00"/>
    <x v="3"/>
    <s v="Geoffrey Lopez"/>
    <s v="Yes"/>
    <s v="mccoyandre@example.org"/>
    <s v="001-522-283-6084x9378"/>
    <d v="2026-02-08T01:25:08"/>
    <m/>
  </r>
  <r>
    <s v="Todd Jacobson"/>
    <n v="101252"/>
    <s v="Finance"/>
    <d v="2025-10-12T00:00:00"/>
    <x v="1"/>
    <s v="Geoffrey Lopez"/>
    <s v="Yes"/>
    <s v="mccoyandre@example.org"/>
    <s v="001-522-283-6084x9378"/>
    <d v="2026-02-08T01:25:08"/>
    <m/>
  </r>
  <r>
    <s v="Todd Jacobson"/>
    <n v="101252"/>
    <s v="Finance"/>
    <d v="2025-10-12T00:00:00"/>
    <x v="2"/>
    <s v="Geoffrey Lopez"/>
    <s v="Yes"/>
    <s v="mccoyandre@example.org"/>
    <s v="001-522-283-6084x9378"/>
    <d v="2026-02-08T01:25:08"/>
    <m/>
  </r>
  <r>
    <s v="Louis Price"/>
    <n v="100999"/>
    <s v="HR"/>
    <d v="2025-05-12T00:00:00"/>
    <x v="2"/>
    <s v="Eileen Taylor"/>
    <s v="No"/>
    <s v="sbartlett@example.com"/>
    <s v="891.564.9701"/>
    <d v="2026-02-15T00:16:08"/>
    <m/>
  </r>
  <r>
    <s v="Louis Price"/>
    <n v="100999"/>
    <s v="HR"/>
    <d v="2025-05-12T00:00:00"/>
    <x v="4"/>
    <s v="Eileen Taylor"/>
    <s v="No"/>
    <s v="sbartlett@example.com"/>
    <s v="891.564.9701"/>
    <d v="2026-02-15T00:16:08"/>
    <m/>
  </r>
  <r>
    <s v="Louis Price"/>
    <n v="100999"/>
    <s v="HR"/>
    <d v="2025-05-12T00:00:00"/>
    <x v="5"/>
    <s v="Eileen Taylor"/>
    <s v="No"/>
    <s v="sbartlett@example.com"/>
    <s v="891.564.9701"/>
    <d v="2026-02-15T00:16:08"/>
    <m/>
  </r>
  <r>
    <s v="Melissa Ray"/>
    <n v="101091"/>
    <s v="Engineering"/>
    <d v="2025-12-08T00:00:00"/>
    <x v="2"/>
    <s v="Lauren Coffey"/>
    <s v="Yes"/>
    <s v="davidwilliams@example.org"/>
    <s v="001-801-362-3419x0310"/>
    <d v="2026-01-31T20:17:08"/>
    <m/>
  </r>
  <r>
    <s v="Melissa Ray"/>
    <n v="101091"/>
    <s v="Engineering"/>
    <d v="2025-12-08T00:00:00"/>
    <x v="4"/>
    <s v="Lauren Coffey"/>
    <s v="Yes"/>
    <s v="davidwilliams@example.org"/>
    <s v="001-801-362-3419x0310"/>
    <d v="2026-01-31T20:17:08"/>
    <m/>
  </r>
  <r>
    <s v="Melissa Ray"/>
    <n v="101091"/>
    <s v="Engineering"/>
    <d v="2025-12-08T00:00:00"/>
    <x v="5"/>
    <s v="Lauren Coffey"/>
    <s v="Yes"/>
    <s v="davidwilliams@example.org"/>
    <s v="001-801-362-3419x0310"/>
    <d v="2026-01-31T20:17:08"/>
    <m/>
  </r>
  <r>
    <s v="Jeremy Thomas"/>
    <n v="100957"/>
    <s v="IT"/>
    <d v="2026-04-28T00:00:00"/>
    <x v="3"/>
    <s v="Barbara Wood"/>
    <s v="No"/>
    <s v="hgray@example.net"/>
    <s v="873-223-6533x774"/>
    <d v="2026-02-10T17:32:08"/>
    <m/>
  </r>
  <r>
    <s v="Jeremy Thomas"/>
    <n v="100957"/>
    <s v="IT"/>
    <d v="2026-04-28T00:00:00"/>
    <x v="1"/>
    <s v="Barbara Wood"/>
    <s v="No"/>
    <s v="hgray@example.net"/>
    <s v="873-223-6533x774"/>
    <d v="2026-02-10T17:32:08"/>
    <m/>
  </r>
  <r>
    <s v="Jeremy Thomas"/>
    <n v="100957"/>
    <s v="IT"/>
    <d v="2026-04-28T00:00:00"/>
    <x v="2"/>
    <s v="Barbara Wood"/>
    <s v="No"/>
    <s v="hgray@example.net"/>
    <s v="873-223-6533x774"/>
    <d v="2026-02-10T17:32:08"/>
    <m/>
  </r>
  <r>
    <s v="Jeffrey Moore"/>
    <n v="101031"/>
    <s v="IT"/>
    <d v="2025-11-03T00:00:00"/>
    <x v="3"/>
    <s v="Sandra Goodman"/>
    <s v="No"/>
    <s v="james14@example.org"/>
    <s v="942-560-7819x7543"/>
    <d v="2026-02-22T07:51:08"/>
    <m/>
  </r>
  <r>
    <s v="Jeffrey Moore"/>
    <n v="101031"/>
    <s v="IT"/>
    <d v="2025-11-03T00:00:00"/>
    <x v="1"/>
    <s v="Sandra Goodman"/>
    <s v="No"/>
    <s v="james14@example.org"/>
    <s v="942-560-7819x7543"/>
    <d v="2026-02-22T07:51:08"/>
    <m/>
  </r>
  <r>
    <s v="Jeffrey Moore"/>
    <n v="101031"/>
    <s v="IT"/>
    <d v="2025-11-03T00:00:00"/>
    <x v="5"/>
    <s v="Sandra Goodman"/>
    <s v="No"/>
    <s v="james14@example.org"/>
    <s v="942-560-7819x7543"/>
    <d v="2026-02-22T07:51:08"/>
    <m/>
  </r>
  <r>
    <s v="Desiree Woods"/>
    <n v="101240"/>
    <s v="HR"/>
    <d v="2025-06-09T00:00:00"/>
    <x v="0"/>
    <s v="Christopher Walker"/>
    <s v="No"/>
    <s v="andreyoung@example.com"/>
    <s v="(638)882-1458x4148"/>
    <d v="2026-02-08T09:01:08"/>
    <m/>
  </r>
  <r>
    <s v="Keith Dyer"/>
    <n v="100802"/>
    <s v="Engineering"/>
    <d v="2026-02-01T00:00:00"/>
    <x v="3"/>
    <s v="Douglas Pacheco"/>
    <s v="Yes"/>
    <s v="courtneymadden@example.org"/>
    <s v="(505)486-9507"/>
    <d v="2026-02-02T07:57:08"/>
    <m/>
  </r>
  <r>
    <s v="Keith Dyer"/>
    <n v="100802"/>
    <s v="Engineering"/>
    <d v="2026-02-01T00:00:00"/>
    <x v="4"/>
    <s v="Douglas Pacheco"/>
    <s v="Yes"/>
    <s v="courtneymadden@example.org"/>
    <s v="(505)486-9507"/>
    <d v="2026-02-02T07:57:08"/>
    <m/>
  </r>
  <r>
    <s v="Eric Duran"/>
    <n v="101259"/>
    <s v="IT"/>
    <d v="2025-03-29T00:00:00"/>
    <x v="2"/>
    <s v="Robert Willis"/>
    <s v="Yes"/>
    <s v="msantiago@example.net"/>
    <s v="001-251-767-9335"/>
    <d v="2026-02-12T15:17:08"/>
    <m/>
  </r>
  <r>
    <s v="Eric Duran"/>
    <n v="101259"/>
    <s v="IT"/>
    <d v="2025-03-29T00:00:00"/>
    <x v="5"/>
    <s v="Robert Willis"/>
    <s v="Yes"/>
    <s v="msantiago@example.net"/>
    <s v="001-251-767-9335"/>
    <d v="2026-02-12T15:17:08"/>
    <m/>
  </r>
  <r>
    <s v="Peter Patel"/>
    <n v="100624"/>
    <s v="Finance"/>
    <d v="2025-07-23T00:00:00"/>
    <x v="3"/>
    <s v="Jeffrey Hart DDS"/>
    <s v="No"/>
    <s v="cunninghamderrick@example.com"/>
    <s v="4375681187"/>
    <d v="2026-02-27T09:08:08"/>
    <m/>
  </r>
  <r>
    <s v="Colleen Davis"/>
    <n v="101381"/>
    <s v="Engineering"/>
    <d v="2026-03-30T00:00:00"/>
    <x v="3"/>
    <s v="Thomas Ortiz"/>
    <s v="Yes"/>
    <s v="dawn73@example.org"/>
    <s v="239-911-4983x07482"/>
    <d v="2026-02-07T12:45:08"/>
    <m/>
  </r>
  <r>
    <s v="Cindy Jenkins"/>
    <n v="101427"/>
    <s v="Operations"/>
    <d v="2025-09-21T00:00:00"/>
    <x v="1"/>
    <s v="Brandon Aguilar"/>
    <s v="Yes"/>
    <s v="aaron55@example.com"/>
    <s v="+1-420-519-0432"/>
    <d v="2026-02-13T11:44:08"/>
    <m/>
  </r>
  <r>
    <s v="Morgan Gonzalez"/>
    <n v="100955"/>
    <s v="IT"/>
    <d v="2025-04-01T00:00:00"/>
    <x v="2"/>
    <s v="Casey Murray"/>
    <s v="Yes"/>
    <s v="iperez@example.org"/>
    <s v="835-246-2127"/>
    <d v="2026-02-13T03:49:08"/>
    <m/>
  </r>
  <r>
    <s v="Morgan Gonzalez"/>
    <n v="100955"/>
    <s v="IT"/>
    <d v="2025-04-01T00:00:00"/>
    <x v="4"/>
    <s v="Casey Murray"/>
    <s v="Yes"/>
    <s v="iperez@example.org"/>
    <s v="835-246-2127"/>
    <d v="2026-02-13T03:49:08"/>
    <m/>
  </r>
  <r>
    <s v="Andrew Thompson"/>
    <n v="100778"/>
    <s v="Operations"/>
    <d v="2025-07-15T00:00:00"/>
    <x v="3"/>
    <s v="Jennifer Miller"/>
    <s v="No"/>
    <s v="jasonhernandez@example.org"/>
    <s v="(532)948-8899x57298"/>
    <d v="2026-03-12T19:59:08"/>
    <s v="Duplicate Employee ID"/>
  </r>
  <r>
    <s v="Andrew Thompson"/>
    <n v="100778"/>
    <s v="Operations"/>
    <d v="2025-07-15T00:00:00"/>
    <x v="4"/>
    <s v="Jennifer Miller"/>
    <s v="No"/>
    <s v="jasonhernandez@example.org"/>
    <s v="(532)948-8899x57298"/>
    <d v="2026-03-12T19:59:08"/>
    <s v="Duplicate Employee ID"/>
  </r>
  <r>
    <s v="Andrew Thompson"/>
    <n v="100778"/>
    <s v="Operations"/>
    <d v="2025-07-15T00:00:00"/>
    <x v="5"/>
    <s v="Jennifer Miller"/>
    <s v="No"/>
    <s v="jasonhernandez@example.org"/>
    <s v="(532)948-8899x57298"/>
    <d v="2026-03-12T19:59:08"/>
    <s v="Duplicate Employee ID"/>
  </r>
  <r>
    <s v="Levi Norton"/>
    <n v="101383"/>
    <s v="Finance"/>
    <d v="2026-04-06T00:00:00"/>
    <x v="2"/>
    <s v="David Lewis"/>
    <s v="Yes"/>
    <s v="gonzalezkenneth@example.net"/>
    <s v="419.212.0381x876"/>
    <d v="2026-02-15T04:18:08"/>
    <m/>
  </r>
  <r>
    <s v="Kimberly Hall"/>
    <n v="101450"/>
    <s v="IT"/>
    <d v="2025-08-17T00:00:00"/>
    <x v="0"/>
    <s v="Terry Romero"/>
    <s v="Yes"/>
    <s v="allenandrea@example.com"/>
    <s v="581.344.5822x06732"/>
    <d v="2026-02-19T18:35:08"/>
    <m/>
  </r>
  <r>
    <s v="Kimberly Hall"/>
    <n v="101450"/>
    <s v="IT"/>
    <d v="2025-08-17T00:00:00"/>
    <x v="3"/>
    <s v="Terry Romero"/>
    <s v="Yes"/>
    <s v="allenandrea@example.com"/>
    <s v="581.344.5822x06732"/>
    <d v="2026-02-19T18:35:08"/>
    <m/>
  </r>
  <r>
    <s v="Lori Jones"/>
    <n v="100251"/>
    <s v="Operations"/>
    <d v="2025-11-13T00:00:00"/>
    <x v="3"/>
    <s v="Kimberly Rojas"/>
    <s v="No"/>
    <s v="steven45@example.org"/>
    <s v="3003001529"/>
    <d v="2026-03-16T08:03:08"/>
    <m/>
  </r>
  <r>
    <s v="Lori Jones"/>
    <n v="100251"/>
    <s v="Operations"/>
    <d v="2025-11-13T00:00:00"/>
    <x v="4"/>
    <s v="Kimberly Rojas"/>
    <s v="No"/>
    <s v="steven45@example.org"/>
    <s v="3003001529"/>
    <d v="2026-03-16T08:03:08"/>
    <m/>
  </r>
  <r>
    <s v="Karen Trujillo"/>
    <n v="101115"/>
    <s v="Operations"/>
    <d v="2025-09-27T00:00:00"/>
    <x v="3"/>
    <s v="Steven Holland"/>
    <s v="Yes"/>
    <s v="cobbkaitlyn@example.net"/>
    <s v="6254561844"/>
    <d v="2026-02-09T20:09:08"/>
    <m/>
  </r>
  <r>
    <s v="Karen Trujillo"/>
    <n v="101115"/>
    <s v="Operations"/>
    <d v="2025-09-27T00:00:00"/>
    <x v="1"/>
    <s v="Steven Holland"/>
    <s v="Yes"/>
    <s v="cobbkaitlyn@example.net"/>
    <s v="6254561844"/>
    <d v="2026-02-09T20:09:08"/>
    <m/>
  </r>
  <r>
    <s v="Karen Trujillo"/>
    <n v="101115"/>
    <s v="Operations"/>
    <d v="2025-09-27T00:00:00"/>
    <x v="2"/>
    <s v="Steven Holland"/>
    <s v="Yes"/>
    <s v="cobbkaitlyn@example.net"/>
    <s v="6254561844"/>
    <d v="2026-02-09T20:09:08"/>
    <m/>
  </r>
  <r>
    <s v="Robert Burke"/>
    <n v="100274"/>
    <s v="HR"/>
    <d v="2025-10-23T00:00:00"/>
    <x v="0"/>
    <s v="Karen Henry"/>
    <s v="No"/>
    <s v="hernandezmadison@example.com"/>
    <s v="290.656.7086x70090"/>
    <d v="2026-02-27T14:33:08"/>
    <m/>
  </r>
  <r>
    <s v="Robert Burke"/>
    <n v="100274"/>
    <s v="HR"/>
    <d v="2025-10-23T00:00:00"/>
    <x v="3"/>
    <s v="Karen Henry"/>
    <s v="No"/>
    <s v="hernandezmadison@example.com"/>
    <s v="290.656.7086x70090"/>
    <d v="2026-02-27T14:33:08"/>
    <m/>
  </r>
  <r>
    <s v="Robert Burke"/>
    <n v="100274"/>
    <s v="HR"/>
    <d v="2025-10-23T00:00:00"/>
    <x v="1"/>
    <s v="Karen Henry"/>
    <s v="No"/>
    <s v="hernandezmadison@example.com"/>
    <s v="290.656.7086x70090"/>
    <d v="2026-02-27T14:33:08"/>
    <m/>
  </r>
  <r>
    <s v="Jamie Fields"/>
    <n v="100749"/>
    <s v="Finance"/>
    <d v="2026-02-14T00:00:00"/>
    <x v="0"/>
    <s v="Nathaniel Hill"/>
    <s v="Yes"/>
    <s v="richardhart@example.org"/>
    <s v="(224)983-5505x42960"/>
    <d v="2026-02-11T06:23:08"/>
    <m/>
  </r>
  <r>
    <s v="Jamie Fields"/>
    <n v="100749"/>
    <s v="Finance"/>
    <d v="2026-02-14T00:00:00"/>
    <x v="4"/>
    <s v="Nathaniel Hill"/>
    <s v="Yes"/>
    <s v="richardhart@example.org"/>
    <s v="(224)983-5505x42960"/>
    <d v="2026-02-11T06:23:08"/>
    <m/>
  </r>
  <r>
    <s v="Jamie Fields"/>
    <n v="100749"/>
    <s v="Finance"/>
    <d v="2026-02-14T00:00:00"/>
    <x v="5"/>
    <s v="Nathaniel Hill"/>
    <s v="Yes"/>
    <s v="richardhart@example.org"/>
    <s v="(224)983-5505x42960"/>
    <d v="2026-02-11T06:23:08"/>
    <m/>
  </r>
  <r>
    <s v="Daniel Ortiz"/>
    <n v="100984"/>
    <s v="Marketing"/>
    <d v="2025-08-23T00:00:00"/>
    <x v="0"/>
    <s v="Kristin Montgomery"/>
    <s v="Yes"/>
    <s v="bartonkimberly@example.net"/>
    <s v="(321)204-0164"/>
    <d v="2026-02-18T14:34:08"/>
    <m/>
  </r>
  <r>
    <s v="Daniel Ortiz"/>
    <n v="100984"/>
    <s v="Marketing"/>
    <d v="2025-08-23T00:00:00"/>
    <x v="3"/>
    <s v="Kristin Montgomery"/>
    <s v="Yes"/>
    <s v="bartonkimberly@example.net"/>
    <s v="(321)204-0164"/>
    <d v="2026-02-18T14:34:08"/>
    <m/>
  </r>
  <r>
    <s v="Daniel Ortiz"/>
    <n v="100984"/>
    <s v="Marketing"/>
    <d v="2025-08-23T00:00:00"/>
    <x v="2"/>
    <s v="Kristin Montgomery"/>
    <s v="Yes"/>
    <s v="bartonkimberly@example.net"/>
    <s v="(321)204-0164"/>
    <d v="2026-02-18T14:34:08"/>
    <m/>
  </r>
  <r>
    <s v="Nicholas Hayden"/>
    <n v="100851"/>
    <s v="IT"/>
    <d v="2025-05-08T00:00:00"/>
    <x v="1"/>
    <s v="Kimberly Wells"/>
    <s v="No"/>
    <s v="zacharygray@example.org"/>
    <s v="616.843.2126x94289"/>
    <d v="2026-02-28T11:19:08"/>
    <m/>
  </r>
  <r>
    <s v="Nicholas Hayden"/>
    <n v="100851"/>
    <s v="IT"/>
    <d v="2025-05-08T00:00:00"/>
    <x v="4"/>
    <s v="Kimberly Wells"/>
    <s v="No"/>
    <s v="zacharygray@example.org"/>
    <s v="616.843.2126x94289"/>
    <d v="2026-02-28T11:19:08"/>
    <m/>
  </r>
  <r>
    <s v="Nicholas Hayden"/>
    <n v="100851"/>
    <s v="IT"/>
    <d v="2025-05-08T00:00:00"/>
    <x v="5"/>
    <s v="Kimberly Wells"/>
    <s v="No"/>
    <s v="zacharygray@example.org"/>
    <s v="616.843.2126x94289"/>
    <d v="2026-02-28T11:19:08"/>
    <m/>
  </r>
  <r>
    <s v="Alex Suarez"/>
    <n v="100495"/>
    <s v="Engineering"/>
    <d v="2025-03-28T00:00:00"/>
    <x v="0"/>
    <s v="Bianca Bowen"/>
    <s v="Yes"/>
    <s v="tlewis@example.com"/>
    <s v="670-264-6255"/>
    <d v="2026-01-30T13:49:08"/>
    <m/>
  </r>
  <r>
    <s v="Alex Suarez"/>
    <n v="100495"/>
    <s v="Engineering"/>
    <d v="2025-03-28T00:00:00"/>
    <x v="2"/>
    <s v="Bianca Bowen"/>
    <s v="Yes"/>
    <s v="tlewis@example.com"/>
    <s v="670-264-6255"/>
    <d v="2026-01-30T13:49:08"/>
    <m/>
  </r>
  <r>
    <s v="Alex Suarez"/>
    <n v="100495"/>
    <s v="Engineering"/>
    <d v="2025-03-28T00:00:00"/>
    <x v="4"/>
    <s v="Bianca Bowen"/>
    <s v="Yes"/>
    <s v="tlewis@example.com"/>
    <s v="670-264-6255"/>
    <d v="2026-01-30T13:49:08"/>
    <m/>
  </r>
  <r>
    <s v="Richard Griffith"/>
    <n v="100848"/>
    <s v="Engineering"/>
    <d v="2026-01-19T00:00:00"/>
    <x v="5"/>
    <s v="Joshua Lopez"/>
    <s v="Yes"/>
    <s v="susanpruitt@example.org"/>
    <s v="+1-317-764-6448x98803"/>
    <d v="2026-03-08T18:10:08"/>
    <m/>
  </r>
  <r>
    <s v="Michael Stone"/>
    <n v="101389"/>
    <s v="Marketing"/>
    <d v="2025-07-23T00:00:00"/>
    <x v="2"/>
    <s v="Desiree Swanson"/>
    <s v="No"/>
    <s v="stevendecker@example.org"/>
    <s v="+1-750-340-4333x35384"/>
    <d v="2026-02-27T03:20:08"/>
    <m/>
  </r>
  <r>
    <s v="Michael Stone"/>
    <n v="101389"/>
    <s v="Marketing"/>
    <d v="2025-07-23T00:00:00"/>
    <x v="5"/>
    <s v="Desiree Swanson"/>
    <s v="No"/>
    <s v="stevendecker@example.org"/>
    <s v="+1-750-340-4333x35384"/>
    <d v="2026-02-27T03:20:08"/>
    <m/>
  </r>
  <r>
    <s v="Daniel Thomas"/>
    <n v="100276"/>
    <s v="HR"/>
    <d v="2025-07-25T00:00:00"/>
    <x v="2"/>
    <s v="Brandon Greene"/>
    <s v="No"/>
    <s v="ygriffith@example.org"/>
    <s v="+1-509-433-9137"/>
    <d v="2026-03-13T04:51:08"/>
    <m/>
  </r>
  <r>
    <s v="Frank Perez"/>
    <n v="100666"/>
    <s v="Operations"/>
    <d v="2025-09-02T00:00:00"/>
    <x v="1"/>
    <s v="Sarah Cummings"/>
    <s v="No"/>
    <s v="hullcheryl@example.net"/>
    <s v="256.217.8688x0023"/>
    <d v="2026-03-05T02:52:08"/>
    <m/>
  </r>
  <r>
    <s v="Felicia Perry"/>
    <n v="101057"/>
    <s v="Engineering"/>
    <d v="2025-11-22T00:00:00"/>
    <x v="3"/>
    <s v="Sara Warren"/>
    <s v="No"/>
    <s v="sancheznicholas@example.com"/>
    <s v="+1-774-449-1609x3659"/>
    <d v="2026-03-04T19:53:08"/>
    <m/>
  </r>
  <r>
    <s v="Angela Munoz"/>
    <n v="100941"/>
    <s v="IT"/>
    <d v="2025-05-10T00:00:00"/>
    <x v="3"/>
    <s v="Shelby Fowler"/>
    <s v="No"/>
    <s v="daniel43@example.org"/>
    <s v="(487)350-9263x2239"/>
    <d v="2026-03-02T20:57:08"/>
    <m/>
  </r>
  <r>
    <s v="Donald Morgan"/>
    <n v="101284"/>
    <s v="Marketing"/>
    <d v="2025-10-28T00:00:00"/>
    <x v="3"/>
    <s v="David Johnson"/>
    <s v="Yes"/>
    <s v="david86@example.net"/>
    <s v="2503537666"/>
    <d v="2026-03-11T22:24:08"/>
    <m/>
  </r>
  <r>
    <s v="Donald Morgan"/>
    <n v="101284"/>
    <s v="Marketing"/>
    <d v="2025-10-28T00:00:00"/>
    <x v="1"/>
    <s v="David Johnson"/>
    <s v="Yes"/>
    <s v="david86@example.net"/>
    <s v="2503537666"/>
    <d v="2026-03-11T22:24:08"/>
    <m/>
  </r>
  <r>
    <s v="Donald Morgan"/>
    <n v="101284"/>
    <s v="Marketing"/>
    <d v="2025-10-28T00:00:00"/>
    <x v="2"/>
    <s v="David Johnson"/>
    <s v="Yes"/>
    <s v="david86@example.net"/>
    <s v="2503537666"/>
    <d v="2026-03-11T22:24:08"/>
    <m/>
  </r>
  <r>
    <s v="Carl Deleon"/>
    <n v="100803"/>
    <s v="Finance"/>
    <d v="2026-04-17T00:00:00"/>
    <x v="2"/>
    <s v="Andrew Lee"/>
    <s v="Yes"/>
    <s v="meyerjames@example.com"/>
    <s v="(691)706-2715x3123"/>
    <d v="2026-02-02T20:03:08"/>
    <m/>
  </r>
  <r>
    <s v="Carl Deleon"/>
    <n v="100803"/>
    <s v="Finance"/>
    <d v="2026-04-17T00:00:00"/>
    <x v="5"/>
    <s v="Andrew Lee"/>
    <s v="Yes"/>
    <s v="meyerjames@example.com"/>
    <s v="(691)706-2715x3123"/>
    <d v="2026-02-02T20:03:08"/>
    <m/>
  </r>
  <r>
    <s v="Robert Hicks"/>
    <n v="100470"/>
    <s v="Engineering"/>
    <d v="2025-04-04T00:00:00"/>
    <x v="1"/>
    <s v="Kenneth Washington"/>
    <s v="No"/>
    <s v="jcoleman@example.net"/>
    <s v="(693)284-4013"/>
    <d v="2026-02-18T22:18:08"/>
    <m/>
  </r>
  <r>
    <s v="Robert Hicks"/>
    <n v="100470"/>
    <s v="Engineering"/>
    <d v="2025-04-04T00:00:00"/>
    <x v="4"/>
    <s v="Kenneth Washington"/>
    <s v="No"/>
    <s v="jcoleman@example.net"/>
    <s v="(693)284-4013"/>
    <d v="2026-02-18T22:18:08"/>
    <m/>
  </r>
  <r>
    <s v="Robert Hicks"/>
    <n v="100470"/>
    <s v="Engineering"/>
    <d v="2025-04-04T00:00:00"/>
    <x v="5"/>
    <s v="Kenneth Washington"/>
    <s v="No"/>
    <s v="jcoleman@example.net"/>
    <s v="(693)284-4013"/>
    <d v="2026-02-18T22:18:08"/>
    <m/>
  </r>
  <r>
    <s v="Victoria Deleon"/>
    <n v="100650"/>
    <s v="Engineering"/>
    <d v="2025-12-04T00:00:00"/>
    <x v="0"/>
    <s v="David Roy"/>
    <s v="No"/>
    <s v="ricklewis@example.net"/>
    <s v="(391)601-5709x085"/>
    <d v="2026-03-11T23:28:08"/>
    <m/>
  </r>
  <r>
    <s v="Victoria Deleon"/>
    <n v="100650"/>
    <s v="Engineering"/>
    <d v="2025-12-04T00:00:00"/>
    <x v="3"/>
    <s v="David Roy"/>
    <s v="No"/>
    <s v="ricklewis@example.net"/>
    <s v="(391)601-5709x085"/>
    <d v="2026-03-11T23:28:08"/>
    <m/>
  </r>
  <r>
    <s v="Victoria Deleon"/>
    <n v="100650"/>
    <s v="Engineering"/>
    <d v="2025-12-04T00:00:00"/>
    <x v="5"/>
    <s v="David Roy"/>
    <s v="No"/>
    <s v="ricklewis@example.net"/>
    <s v="(391)601-5709x085"/>
    <d v="2026-03-11T23:28:08"/>
    <m/>
  </r>
  <r>
    <s v="Christopher Smith"/>
    <n v="100370"/>
    <s v="Finance"/>
    <d v="2025-03-17T00:00:00"/>
    <x v="0"/>
    <s v="Wendy Aguilar MD"/>
    <s v="Yes"/>
    <s v="kwang@example.com"/>
    <s v="001-548-499-7184x28596"/>
    <d v="2026-02-07T23:38:08"/>
    <m/>
  </r>
  <r>
    <s v="Christopher Smith"/>
    <n v="100370"/>
    <s v="Finance"/>
    <d v="2025-03-17T00:00:00"/>
    <x v="5"/>
    <s v="Wendy Aguilar MD"/>
    <s v="Yes"/>
    <s v="kwang@example.com"/>
    <s v="001-548-499-7184x28596"/>
    <d v="2026-02-07T23:38:08"/>
    <m/>
  </r>
  <r>
    <s v="Brian Smith"/>
    <n v="100443"/>
    <s v="HR"/>
    <d v="2025-09-02T00:00:00"/>
    <x v="1"/>
    <s v="Emily Montgomery"/>
    <s v="Yes"/>
    <s v="stephaniezamora@example.org"/>
    <s v="(834)226-6980"/>
    <d v="2026-02-20T23:40:08"/>
    <m/>
  </r>
  <r>
    <s v="Brian Smith"/>
    <n v="100443"/>
    <s v="HR"/>
    <d v="2025-09-02T00:00:00"/>
    <x v="2"/>
    <s v="Emily Montgomery"/>
    <s v="Yes"/>
    <s v="stephaniezamora@example.org"/>
    <s v="(834)226-6980"/>
    <d v="2026-02-20T23:40:08"/>
    <m/>
  </r>
  <r>
    <s v="Brian Smith"/>
    <n v="100443"/>
    <s v="HR"/>
    <d v="2025-09-02T00:00:00"/>
    <x v="5"/>
    <s v="Emily Montgomery"/>
    <s v="Yes"/>
    <s v="stephaniezamora@example.org"/>
    <s v="(834)226-6980"/>
    <d v="2026-02-20T23:40:08"/>
    <m/>
  </r>
  <r>
    <s v="Kara Sanders MD"/>
    <n v="100108"/>
    <s v="HR"/>
    <d v="2025-04-26T00:00:00"/>
    <x v="1"/>
    <s v="Valerie Johnson"/>
    <s v="Yes"/>
    <s v="nthompson@example.com"/>
    <s v="+1-438-293-5953"/>
    <d v="2026-02-09T16:34:08"/>
    <m/>
  </r>
  <r>
    <s v="Kara Sanders MD"/>
    <n v="100108"/>
    <s v="HR"/>
    <d v="2025-04-26T00:00:00"/>
    <x v="4"/>
    <s v="Valerie Johnson"/>
    <s v="Yes"/>
    <s v="nthompson@example.com"/>
    <s v="+1-438-293-5953"/>
    <d v="2026-02-09T16:34:08"/>
    <m/>
  </r>
  <r>
    <s v="Veronica Clayton"/>
    <n v="101411"/>
    <s v="Operations"/>
    <d v="2026-02-17T00:00:00"/>
    <x v="1"/>
    <s v="Toni Clay"/>
    <s v="No"/>
    <s v="jarvisrachel@example.net"/>
    <s v="+1-665-308-2695x826"/>
    <d v="2026-03-09T20:23:08"/>
    <m/>
  </r>
  <r>
    <s v="Janet Gray"/>
    <n v="101238"/>
    <s v="HR"/>
    <d v="2025-11-20T00:00:00"/>
    <x v="0"/>
    <s v="Benjamin Calderon"/>
    <s v="No"/>
    <s v="hoffmanlindsey@example.org"/>
    <s v="+1-523-685-9514x34682"/>
    <d v="2026-03-04T13:08:08"/>
    <m/>
  </r>
  <r>
    <s v="Denise Nolan"/>
    <n v="100012"/>
    <s v="Engineering"/>
    <d v="2025-06-22T00:00:00"/>
    <x v="0"/>
    <s v="Sandra Martin"/>
    <s v="Yes"/>
    <s v="aaroncontreras@example.net"/>
    <s v="(796)261-0168x31139"/>
    <d v="2026-02-13T04:38:08"/>
    <m/>
  </r>
  <r>
    <s v="Austin Rose"/>
    <n v="100349"/>
    <s v="Engineering"/>
    <d v="2026-04-25T00:00:00"/>
    <x v="0"/>
    <s v="Diana Carter"/>
    <s v="No"/>
    <s v="hodgemanuel@example.com"/>
    <s v="(928)939-7620x53440"/>
    <d v="2026-03-15T16:39:08"/>
    <m/>
  </r>
  <r>
    <s v="Austin Rose"/>
    <n v="100349"/>
    <s v="Engineering"/>
    <d v="2026-04-25T00:00:00"/>
    <x v="1"/>
    <s v="Diana Carter"/>
    <s v="No"/>
    <s v="hodgemanuel@example.com"/>
    <s v="(928)939-7620x53440"/>
    <d v="2026-03-15T16:39:08"/>
    <m/>
  </r>
  <r>
    <s v="Austin Rose"/>
    <n v="100349"/>
    <s v="Engineering"/>
    <d v="2026-04-25T00:00:00"/>
    <x v="5"/>
    <s v="Diana Carter"/>
    <s v="No"/>
    <s v="hodgemanuel@example.com"/>
    <s v="(928)939-7620x53440"/>
    <d v="2026-03-15T16:39:08"/>
    <m/>
  </r>
  <r>
    <s v="Douglas Martin"/>
    <n v="101323"/>
    <s v="HR"/>
    <d v="2025-04-13T00:00:00"/>
    <x v="0"/>
    <s v="Joann Taylor"/>
    <s v="No"/>
    <s v="ahines@example.net"/>
    <s v="(892)250-8177"/>
    <d v="2026-03-09T10:41:08"/>
    <m/>
  </r>
  <r>
    <s v="Douglas Martin"/>
    <n v="101323"/>
    <s v="HR"/>
    <d v="2025-04-13T00:00:00"/>
    <x v="2"/>
    <s v="Joann Taylor"/>
    <s v="No"/>
    <s v="ahines@example.net"/>
    <s v="(892)250-8177"/>
    <d v="2026-03-09T10:41:08"/>
    <m/>
  </r>
  <r>
    <s v="Ms. Tara Jones"/>
    <n v="100518"/>
    <s v="IT"/>
    <d v="2025-11-05T00:00:00"/>
    <x v="0"/>
    <s v="Alison Zuniga"/>
    <s v="Yes"/>
    <s v="carlos33@example.org"/>
    <s v="331.925.5235x617"/>
    <d v="2026-03-14T13:05:08"/>
    <m/>
  </r>
  <r>
    <s v="Ms. Tara Jones"/>
    <n v="100518"/>
    <s v="IT"/>
    <d v="2025-11-05T00:00:00"/>
    <x v="3"/>
    <s v="Alison Zuniga"/>
    <s v="Yes"/>
    <s v="carlos33@example.org"/>
    <s v="331.925.5235x617"/>
    <d v="2026-03-14T13:05:08"/>
    <m/>
  </r>
  <r>
    <s v="Ms. Tara Jones"/>
    <n v="100518"/>
    <s v="IT"/>
    <d v="2025-11-05T00:00:00"/>
    <x v="4"/>
    <s v="Alison Zuniga"/>
    <s v="Yes"/>
    <s v="carlos33@example.org"/>
    <s v="331.925.5235x617"/>
    <d v="2026-03-14T13:05:08"/>
    <m/>
  </r>
  <r>
    <s v="Samuel Nolan"/>
    <n v="100862"/>
    <s v="IT"/>
    <d v="2026-02-13T00:00:00"/>
    <x v="5"/>
    <s v="Brian Morrison"/>
    <s v="Yes"/>
    <s v="jamesjeffery@example.com"/>
    <s v="885.327.7895"/>
    <d v="2026-02-28T17:58:08"/>
    <m/>
  </r>
  <r>
    <s v="Jermaine Vance"/>
    <n v="100379"/>
    <s v="Marketing"/>
    <d v="2025-03-23T00:00:00"/>
    <x v="0"/>
    <s v="Elizabeth Watkins"/>
    <s v="Yes"/>
    <s v="michellemorris@example.org"/>
    <s v="(348)801-6440x3734"/>
    <d v="2026-02-25T14:35:08"/>
    <m/>
  </r>
  <r>
    <s v="Brian Thomas"/>
    <n v="100677"/>
    <s v="Operations"/>
    <d v="2026-01-22T00:00:00"/>
    <x v="3"/>
    <s v="Richard Contreras"/>
    <s v="Yes"/>
    <s v="rosejones@example.org"/>
    <s v="+1-717-998-2134x8629"/>
    <d v="2026-03-10T14:01:08"/>
    <m/>
  </r>
  <r>
    <s v="Melissa Kim"/>
    <n v="101208"/>
    <s v="IT"/>
    <d v="2026-01-14T00:00:00"/>
    <x v="0"/>
    <s v="Sharon Hall"/>
    <s v="No"/>
    <s v="nancycharles@example.org"/>
    <s v="+1-956-805-3970"/>
    <d v="2026-02-22T18:45:08"/>
    <m/>
  </r>
  <r>
    <s v="Melissa Kim"/>
    <n v="101208"/>
    <s v="IT"/>
    <d v="2026-01-14T00:00:00"/>
    <x v="2"/>
    <s v="Sharon Hall"/>
    <s v="No"/>
    <s v="nancycharles@example.org"/>
    <s v="+1-956-805-3970"/>
    <d v="2026-02-22T18:45:08"/>
    <m/>
  </r>
  <r>
    <s v="Melissa Kim"/>
    <n v="101208"/>
    <s v="IT"/>
    <d v="2026-01-14T00:00:00"/>
    <x v="4"/>
    <s v="Sharon Hall"/>
    <s v="No"/>
    <s v="nancycharles@example.org"/>
    <s v="+1-956-805-3970"/>
    <d v="2026-02-22T18:45:08"/>
    <m/>
  </r>
  <r>
    <s v="Timothy Wilson"/>
    <n v="100545"/>
    <s v="Operations"/>
    <d v="2025-08-29T00:00:00"/>
    <x v="0"/>
    <s v="Antonio Valencia"/>
    <s v="Yes"/>
    <s v="zyoung@example.net"/>
    <s v="001-420-350-6821x22355"/>
    <d v="2026-02-24T10:38:08"/>
    <m/>
  </r>
  <r>
    <s v="Meghan Keller MD"/>
    <n v="100355"/>
    <s v="Engineering"/>
    <d v="2026-01-13T00:00:00"/>
    <x v="1"/>
    <s v="William Giles"/>
    <s v="Yes"/>
    <s v="richard21@example.net"/>
    <s v="+1-621-592-5967x9089"/>
    <d v="2026-03-09T08:34:08"/>
    <m/>
  </r>
  <r>
    <s v="Lee Roberts"/>
    <n v="100042"/>
    <s v="Marketing"/>
    <d v="2026-04-07T00:00:00"/>
    <x v="1"/>
    <s v="Alexis Moore"/>
    <s v="Yes"/>
    <s v="rosaleslauren@example.net"/>
    <s v="001-338-369-4842x495"/>
    <d v="2026-02-16T09:36:08"/>
    <m/>
  </r>
  <r>
    <s v="Lee Roberts"/>
    <n v="100042"/>
    <s v="Marketing"/>
    <d v="2026-04-07T00:00:00"/>
    <x v="4"/>
    <s v="Alexis Moore"/>
    <s v="Yes"/>
    <s v="rosaleslauren@example.net"/>
    <s v="001-338-369-4842x495"/>
    <d v="2026-02-16T09:36:08"/>
    <m/>
  </r>
  <r>
    <s v="Jesse Gardner"/>
    <n v="100579"/>
    <s v="IT"/>
    <d v="2025-04-05T00:00:00"/>
    <x v="2"/>
    <s v="Robert Durham"/>
    <s v="No"/>
    <s v="ldavis@example.org"/>
    <s v="+1-967-667-3820"/>
    <d v="2026-03-06T17:22:08"/>
    <m/>
  </r>
  <r>
    <s v="Blake Mendez"/>
    <n v="100123"/>
    <s v="IT"/>
    <d v="2025-04-26T00:00:00"/>
    <x v="2"/>
    <s v="Mary Murray"/>
    <s v="Yes"/>
    <s v="jcruz@example.net"/>
    <s v="001-568-972-2589"/>
    <d v="2026-03-10T19:40:08"/>
    <m/>
  </r>
  <r>
    <s v="Amanda Schneider MD"/>
    <n v="101167"/>
    <s v="IT"/>
    <d v="2025-08-08T00:00:00"/>
    <x v="0"/>
    <s v="Jennifer Lopez"/>
    <s v="Yes"/>
    <s v="migueldominguez@example.org"/>
    <s v="+1-456-769-5790x01248"/>
    <d v="2026-03-03T13:01:08"/>
    <m/>
  </r>
  <r>
    <s v="Amanda Schneider MD"/>
    <n v="101167"/>
    <s v="IT"/>
    <d v="2025-08-08T00:00:00"/>
    <x v="5"/>
    <s v="Jennifer Lopez"/>
    <s v="Yes"/>
    <s v="migueldominguez@example.org"/>
    <s v="+1-456-769-5790x01248"/>
    <d v="2026-03-03T13:01:08"/>
    <m/>
  </r>
  <r>
    <s v="Debra White"/>
    <n v="100700"/>
    <s v="Finance"/>
    <d v="2025-12-08T00:00:00"/>
    <x v="4"/>
    <s v="Julia Long"/>
    <s v="Yes"/>
    <s v="michaelochoa@example.com"/>
    <s v="(332)789-4633"/>
    <d v="2026-02-04T18:18:08"/>
    <m/>
  </r>
  <r>
    <s v="Debra White"/>
    <n v="100700"/>
    <s v="Finance"/>
    <d v="2025-12-08T00:00:00"/>
    <x v="5"/>
    <s v="Julia Long"/>
    <s v="Yes"/>
    <s v="michaelochoa@example.com"/>
    <s v="(332)789-4633"/>
    <d v="2026-02-04T18:18:08"/>
    <m/>
  </r>
  <r>
    <s v="Dean Cohen"/>
    <n v="101020"/>
    <s v="Engineering"/>
    <d v="2026-01-15T00:00:00"/>
    <x v="0"/>
    <s v="Chelsea Juarez"/>
    <s v="No"/>
    <s v="vthompson@example.com"/>
    <s v="(792)369-3358"/>
    <d v="2026-02-05T14:54:08"/>
    <m/>
  </r>
  <r>
    <s v="William Wagner"/>
    <n v="100959"/>
    <s v="HR"/>
    <d v="2025-09-10T00:00:00"/>
    <x v="3"/>
    <s v="Jeanne Diaz"/>
    <s v="Yes"/>
    <s v="ystone@example.net"/>
    <s v="309-357-4430x34918"/>
    <d v="2026-03-04T13:54:08"/>
    <m/>
  </r>
  <r>
    <s v="William Wagner"/>
    <n v="100959"/>
    <s v="HR"/>
    <d v="2025-09-10T00:00:00"/>
    <x v="2"/>
    <s v="Jeanne Diaz"/>
    <s v="Yes"/>
    <s v="ystone@example.net"/>
    <s v="309-357-4430x34918"/>
    <d v="2026-03-04T13:54:08"/>
    <m/>
  </r>
  <r>
    <s v="Linda Martin"/>
    <n v="101124"/>
    <s v="IT"/>
    <d v="2025-05-03T00:00:00"/>
    <x v="3"/>
    <s v="Roy Cook"/>
    <s v="No"/>
    <s v="josephjohnson@example.com"/>
    <s v="764.515.4715"/>
    <d v="2026-02-03T19:24:08"/>
    <m/>
  </r>
  <r>
    <s v="Linda Martin"/>
    <n v="101124"/>
    <s v="IT"/>
    <d v="2025-05-03T00:00:00"/>
    <x v="1"/>
    <s v="Roy Cook"/>
    <s v="No"/>
    <s v="josephjohnson@example.com"/>
    <s v="764.515.4715"/>
    <d v="2026-02-03T19:24:08"/>
    <m/>
  </r>
  <r>
    <s v="Linda Martin"/>
    <n v="101124"/>
    <s v="IT"/>
    <d v="2025-05-03T00:00:00"/>
    <x v="4"/>
    <s v="Roy Cook"/>
    <s v="No"/>
    <s v="josephjohnson@example.com"/>
    <s v="764.515.4715"/>
    <d v="2026-02-03T19:24:08"/>
    <m/>
  </r>
  <r>
    <s v="Nicholas Diaz"/>
    <n v="100248"/>
    <s v="Finance"/>
    <d v="2025-08-04T00:00:00"/>
    <x v="4"/>
    <s v="Ruth Alvarez"/>
    <s v="Yes"/>
    <s v="allenronald@example.com"/>
    <s v="7094421410"/>
    <d v="2026-03-06T18:31:08"/>
    <m/>
  </r>
  <r>
    <s v="Luis Gould"/>
    <n v="101231"/>
    <s v="IT"/>
    <d v="2025-11-25T00:00:00"/>
    <x v="4"/>
    <s v="Kevin Kennedy"/>
    <s v="Yes"/>
    <s v="jacobsmary@example.com"/>
    <s v="8454238885"/>
    <d v="2026-03-12T19:54:08"/>
    <m/>
  </r>
  <r>
    <s v="Taylor Grant"/>
    <n v="101051"/>
    <s v="HR"/>
    <d v="2025-08-08T00:00:00"/>
    <x v="5"/>
    <s v="Patty Butler"/>
    <s v="No"/>
    <s v="michelle98@example.com"/>
    <s v="001-778-874-4227x58548"/>
    <d v="2026-02-22T20:51:08"/>
    <m/>
  </r>
  <r>
    <s v="Rebecca Stewart"/>
    <n v="101219"/>
    <s v="Operations"/>
    <d v="2025-04-07T00:00:00"/>
    <x v="0"/>
    <s v="Lisa Thompson"/>
    <s v="Yes"/>
    <s v="kevinmendez@example.org"/>
    <s v="665-702-0002"/>
    <d v="2026-02-10T11:54:08"/>
    <m/>
  </r>
  <r>
    <s v="Laurie Johns"/>
    <n v="100077"/>
    <s v="Marketing"/>
    <d v="2026-04-22T00:00:00"/>
    <x v="5"/>
    <s v="David Day"/>
    <s v="Yes"/>
    <s v="lloydmiranda@example.org"/>
    <s v="405.357.0836"/>
    <d v="2026-03-12T09:53:08"/>
    <m/>
  </r>
  <r>
    <s v="Duane Meyer"/>
    <n v="101376"/>
    <s v="Operations"/>
    <d v="2026-01-13T00:00:00"/>
    <x v="1"/>
    <s v="Janice Harvey"/>
    <s v="No"/>
    <s v="sthomas@example.org"/>
    <s v="(377)546-2025x82543"/>
    <d v="2026-03-02T14:09:08"/>
    <m/>
  </r>
  <r>
    <s v="Duane Meyer"/>
    <n v="101376"/>
    <s v="Operations"/>
    <d v="2026-01-13T00:00:00"/>
    <x v="4"/>
    <s v="Janice Harvey"/>
    <s v="No"/>
    <s v="sthomas@example.org"/>
    <s v="(377)546-2025x82543"/>
    <d v="2026-03-02T14:09:08"/>
    <m/>
  </r>
  <r>
    <s v="Duane Meyer"/>
    <n v="101376"/>
    <s v="Operations"/>
    <d v="2026-01-13T00:00:00"/>
    <x v="5"/>
    <s v="Janice Harvey"/>
    <s v="No"/>
    <s v="sthomas@example.org"/>
    <s v="(377)546-2025x82543"/>
    <d v="2026-03-02T14:09:08"/>
    <m/>
  </r>
  <r>
    <s v="Carrie Daniels"/>
    <n v="101351"/>
    <s v="HR"/>
    <d v="2025-07-10T00:00:00"/>
    <x v="4"/>
    <s v="Nancy Lee"/>
    <s v="No"/>
    <s v="martinezcatherine@example.net"/>
    <s v="5498106018"/>
    <d v="2026-03-04T05:05:08"/>
    <m/>
  </r>
  <r>
    <s v="Christopher Robbins"/>
    <n v="100406"/>
    <s v="Finance"/>
    <d v="2025-04-22T00:00:00"/>
    <x v="3"/>
    <s v="Alexander Martin"/>
    <s v="Yes"/>
    <s v="tpowell@example.org"/>
    <s v="+1-872-425-7754x58472"/>
    <d v="2026-02-17T12:58:08"/>
    <m/>
  </r>
  <r>
    <s v="Christopher Robbins"/>
    <n v="100406"/>
    <s v="Finance"/>
    <d v="2025-04-22T00:00:00"/>
    <x v="5"/>
    <s v="Alexander Martin"/>
    <s v="Yes"/>
    <s v="tpowell@example.org"/>
    <s v="+1-872-425-7754x58472"/>
    <d v="2026-02-17T12:58:08"/>
    <m/>
  </r>
  <r>
    <s v="Terri Nguyen"/>
    <n v="100384"/>
    <s v="Finance"/>
    <d v="2026-01-22T00:00:00"/>
    <x v="4"/>
    <s v="Kayla Rowe"/>
    <s v="No"/>
    <s v="qreyes@example.net"/>
    <s v="416.308.2717"/>
    <d v="2026-03-08T02:17:08"/>
    <m/>
  </r>
  <r>
    <s v="Terri Nguyen"/>
    <n v="100384"/>
    <s v="Finance"/>
    <d v="2026-01-22T00:00:00"/>
    <x v="5"/>
    <s v="Kayla Rowe"/>
    <s v="No"/>
    <s v="qreyes@example.net"/>
    <s v="416.308.2717"/>
    <d v="2026-03-08T02:17:08"/>
    <m/>
  </r>
  <r>
    <s v="Daniel Ramos"/>
    <n v="100693"/>
    <s v="Finance"/>
    <d v="2026-02-02T00:00:00"/>
    <x v="1"/>
    <s v="Claudia Cunningham"/>
    <s v="No"/>
    <s v="suehowe@example.com"/>
    <s v="(322)899-9362"/>
    <d v="2026-03-08T16:49:08"/>
    <m/>
  </r>
  <r>
    <s v="Daniel Ramos"/>
    <n v="100693"/>
    <s v="Finance"/>
    <d v="2026-02-02T00:00:00"/>
    <x v="4"/>
    <s v="Claudia Cunningham"/>
    <s v="No"/>
    <s v="suehowe@example.com"/>
    <s v="(322)899-9362"/>
    <d v="2026-03-08T16:49:08"/>
    <m/>
  </r>
  <r>
    <s v="Mary Richards"/>
    <n v="100857"/>
    <s v="IT"/>
    <d v="2025-04-15T00:00:00"/>
    <x v="2"/>
    <s v="Cynthia Pierce"/>
    <s v="No"/>
    <s v="peggynguyen@example.com"/>
    <s v="001-939-983-5844x617"/>
    <d v="2026-02-15T03:38:08"/>
    <m/>
  </r>
  <r>
    <s v="Mary Richards"/>
    <n v="100857"/>
    <s v="IT"/>
    <d v="2025-04-15T00:00:00"/>
    <x v="4"/>
    <s v="Cynthia Pierce"/>
    <s v="No"/>
    <s v="peggynguyen@example.com"/>
    <s v="001-939-983-5844x617"/>
    <d v="2026-02-15T03:38:08"/>
    <m/>
  </r>
  <r>
    <s v="Robert Roberts"/>
    <n v="100319"/>
    <m/>
    <d v="2026-04-09T00:00:00"/>
    <x v="1"/>
    <s v="Laura Green"/>
    <s v="Yes"/>
    <s v="becky79@example.net"/>
    <s v="001-412-279-9702x9271"/>
    <d v="2026-02-03T21:02:08"/>
    <s v="Missing Department"/>
  </r>
  <r>
    <s v="Robert Roberts"/>
    <n v="100319"/>
    <m/>
    <d v="2026-04-09T00:00:00"/>
    <x v="4"/>
    <s v="Laura Green"/>
    <s v="Yes"/>
    <s v="becky79@example.net"/>
    <s v="001-412-279-9702x9271"/>
    <d v="2026-02-03T21:02:08"/>
    <s v="Missing Department"/>
  </r>
  <r>
    <s v="Melvin Carlson"/>
    <n v="100026"/>
    <s v="Marketing"/>
    <d v="2026-01-05T00:00:00"/>
    <x v="2"/>
    <s v="Susan Higgins"/>
    <s v="No"/>
    <s v="tracywoodard@example.com"/>
    <s v="(498)783-2201"/>
    <d v="2026-03-02T21:43:08"/>
    <m/>
  </r>
  <r>
    <s v="Melvin Carlson"/>
    <n v="100026"/>
    <s v="Marketing"/>
    <d v="2026-01-05T00:00:00"/>
    <x v="4"/>
    <s v="Susan Higgins"/>
    <s v="No"/>
    <s v="tracywoodard@example.com"/>
    <s v="(498)783-2201"/>
    <d v="2026-03-02T21:43:08"/>
    <m/>
  </r>
  <r>
    <s v="Melvin Carlson"/>
    <n v="100026"/>
    <s v="Marketing"/>
    <d v="2026-01-05T00:00:00"/>
    <x v="5"/>
    <s v="Susan Higgins"/>
    <s v="No"/>
    <s v="tracywoodard@example.com"/>
    <s v="(498)783-2201"/>
    <d v="2026-03-02T21:43:08"/>
    <m/>
  </r>
  <r>
    <s v="Richard Roy"/>
    <n v="101433"/>
    <s v="IT"/>
    <d v="2025-11-07T00:00:00"/>
    <x v="2"/>
    <s v="Carrie Ware"/>
    <s v="Yes"/>
    <s v="kathleen79@example.net"/>
    <s v="588.889.7535x852"/>
    <d v="2026-03-01T06:44:08"/>
    <m/>
  </r>
  <r>
    <s v="Richard Roy"/>
    <n v="101433"/>
    <s v="IT"/>
    <d v="2025-11-07T00:00:00"/>
    <x v="5"/>
    <s v="Carrie Ware"/>
    <s v="Yes"/>
    <s v="kathleen79@example.net"/>
    <s v="588.889.7535x852"/>
    <d v="2026-03-01T06:44:08"/>
    <m/>
  </r>
  <r>
    <s v="Rebecca Nielsen"/>
    <n v="101250"/>
    <s v="Operations"/>
    <d v="2026-01-06T00:00:00"/>
    <x v="3"/>
    <s v="Robin Williams"/>
    <s v="Yes"/>
    <s v="ramirezkevin@example.com"/>
    <s v="+1-219-495-1715x2391"/>
    <d v="2026-02-08T17:44:08"/>
    <m/>
  </r>
  <r>
    <s v="Carol Mcintosh"/>
    <n v="101283"/>
    <s v="Operations"/>
    <d v="2025-04-07T00:00:00"/>
    <x v="5"/>
    <s v="Nicole Beck"/>
    <s v="Yes"/>
    <s v="turnertimothy@example.net"/>
    <s v="001-983-309-3096x7139"/>
    <d v="2026-02-16T23:47:08"/>
    <m/>
  </r>
  <r>
    <s v="Ashley Sanders"/>
    <n v="101179"/>
    <m/>
    <d v="2025-11-16T00:00:00"/>
    <x v="3"/>
    <s v="Monique Wilson"/>
    <s v="Yes"/>
    <s v="davidmcdaniel@example.net"/>
    <s v="367.420.1911x166"/>
    <d v="2026-03-10T22:51:08"/>
    <s v="Missing Department"/>
  </r>
  <r>
    <s v="Ashley Sanders"/>
    <n v="101179"/>
    <m/>
    <d v="2025-11-16T00:00:00"/>
    <x v="2"/>
    <s v="Monique Wilson"/>
    <s v="Yes"/>
    <s v="davidmcdaniel@example.net"/>
    <s v="367.420.1911x166"/>
    <d v="2026-03-10T22:51:08"/>
    <s v="Missing Department"/>
  </r>
  <r>
    <s v="Ashley Sanders"/>
    <n v="101179"/>
    <m/>
    <d v="2025-11-16T00:00:00"/>
    <x v="5"/>
    <s v="Monique Wilson"/>
    <s v="Yes"/>
    <s v="davidmcdaniel@example.net"/>
    <s v="367.420.1911x166"/>
    <d v="2026-03-10T22:51:08"/>
    <s v="Missing Department"/>
  </r>
  <r>
    <s v="Amanda Williamson"/>
    <n v="100774"/>
    <s v="Engineering"/>
    <d v="2026-03-05T00:00:00"/>
    <x v="3"/>
    <s v="Chad Cooper"/>
    <s v="No"/>
    <s v="mrandolph@example.net"/>
    <s v="001-930-649-3665x3802"/>
    <d v="2026-02-26T09:45:08"/>
    <m/>
  </r>
  <r>
    <s v="Amanda Williamson"/>
    <n v="100774"/>
    <s v="Engineering"/>
    <d v="2026-03-05T00:00:00"/>
    <x v="4"/>
    <s v="Chad Cooper"/>
    <s v="No"/>
    <s v="mrandolph@example.net"/>
    <s v="001-930-649-3665x3802"/>
    <d v="2026-02-26T09:45:08"/>
    <m/>
  </r>
  <r>
    <s v="Amanda Williamson"/>
    <n v="100774"/>
    <s v="Engineering"/>
    <d v="2026-03-05T00:00:00"/>
    <x v="5"/>
    <s v="Chad Cooper"/>
    <s v="No"/>
    <s v="mrandolph@example.net"/>
    <s v="001-930-649-3665x3802"/>
    <d v="2026-02-26T09:45:08"/>
    <m/>
  </r>
  <r>
    <s v="Ashley Duran"/>
    <n v="100960"/>
    <s v="Engineering"/>
    <d v="2025-03-24T00:00:00"/>
    <x v="0"/>
    <s v="Brian Mitchell"/>
    <s v="Yes"/>
    <s v="igarrett@example.com"/>
    <s v="2955229462"/>
    <d v="2026-01-30T02:14:08"/>
    <m/>
  </r>
  <r>
    <s v="Ashley Duran"/>
    <n v="100960"/>
    <s v="Engineering"/>
    <d v="2025-03-24T00:00:00"/>
    <x v="1"/>
    <s v="Brian Mitchell"/>
    <s v="Yes"/>
    <s v="igarrett@example.com"/>
    <s v="2955229462"/>
    <d v="2026-01-30T02:14:08"/>
    <m/>
  </r>
  <r>
    <s v="Holly Ponce"/>
    <n v="101009"/>
    <s v="IT"/>
    <d v="2026-04-02T00:00:00"/>
    <x v="3"/>
    <s v="Sara Jones"/>
    <s v="Yes"/>
    <s v="trujillojason@example.net"/>
    <s v="001-995-329-7013"/>
    <d v="2026-01-30T04:04:08"/>
    <m/>
  </r>
  <r>
    <s v="Holly Ponce"/>
    <n v="101009"/>
    <s v="IT"/>
    <d v="2026-04-02T00:00:00"/>
    <x v="2"/>
    <s v="Sara Jones"/>
    <s v="Yes"/>
    <s v="trujillojason@example.net"/>
    <s v="001-995-329-7013"/>
    <d v="2026-01-30T04:04:08"/>
    <m/>
  </r>
  <r>
    <s v="Holly Ponce"/>
    <n v="101009"/>
    <s v="IT"/>
    <d v="2026-04-02T00:00:00"/>
    <x v="5"/>
    <s v="Sara Jones"/>
    <s v="Yes"/>
    <s v="trujillojason@example.net"/>
    <s v="001-995-329-7013"/>
    <d v="2026-01-30T04:04:08"/>
    <m/>
  </r>
  <r>
    <s v="Connor Mcconnell"/>
    <n v="100620"/>
    <s v="Marketing"/>
    <d v="2026-04-24T00:00:00"/>
    <x v="0"/>
    <s v="Kimberly Hughes"/>
    <s v="Yes"/>
    <s v="jasonjohnson@example.org"/>
    <s v="001-920-627-0615x9273"/>
    <d v="2026-02-04T15:30:08"/>
    <m/>
  </r>
  <r>
    <s v="Connor Mcconnell"/>
    <n v="100620"/>
    <s v="Marketing"/>
    <d v="2026-04-24T00:00:00"/>
    <x v="5"/>
    <s v="Kimberly Hughes"/>
    <s v="Yes"/>
    <s v="jasonjohnson@example.org"/>
    <s v="001-920-627-0615x9273"/>
    <d v="2026-02-04T15:30:08"/>
    <m/>
  </r>
  <r>
    <s v="Kyle Brown"/>
    <n v="100171"/>
    <s v="Operations"/>
    <d v="2026-03-04T00:00:00"/>
    <x v="3"/>
    <s v="Tracey Reynolds"/>
    <s v="No"/>
    <s v="gutierrezdavid@example.com"/>
    <s v="715.854.2034x03010"/>
    <d v="2026-02-17T08:42:08"/>
    <m/>
  </r>
  <r>
    <s v="Kyle Brown"/>
    <n v="100171"/>
    <s v="Operations"/>
    <d v="2026-03-04T00:00:00"/>
    <x v="2"/>
    <s v="Tracey Reynolds"/>
    <s v="No"/>
    <s v="gutierrezdavid@example.com"/>
    <s v="715.854.2034x03010"/>
    <d v="2026-02-17T08:42:08"/>
    <m/>
  </r>
  <r>
    <s v="Kristy Tate"/>
    <n v="100377"/>
    <s v="IT"/>
    <d v="2025-12-18T00:00:00"/>
    <x v="1"/>
    <s v="Jay Buchanan"/>
    <s v="Yes"/>
    <s v="woodbrittany@example.com"/>
    <s v="(246)323-4712x476"/>
    <d v="2026-02-11T18:53:08"/>
    <m/>
  </r>
  <r>
    <s v="Kristy Tate"/>
    <n v="100377"/>
    <s v="IT"/>
    <d v="2025-12-18T00:00:00"/>
    <x v="2"/>
    <s v="Jay Buchanan"/>
    <s v="Yes"/>
    <s v="woodbrittany@example.com"/>
    <s v="(246)323-4712x476"/>
    <d v="2026-02-11T18:53:08"/>
    <m/>
  </r>
  <r>
    <s v="Kristy Tate"/>
    <n v="100377"/>
    <s v="IT"/>
    <d v="2025-12-18T00:00:00"/>
    <x v="4"/>
    <s v="Jay Buchanan"/>
    <s v="Yes"/>
    <s v="woodbrittany@example.com"/>
    <s v="(246)323-4712x476"/>
    <d v="2026-02-11T18:53:08"/>
    <m/>
  </r>
  <r>
    <s v="Anthony Wilson"/>
    <n v="101307"/>
    <s v="HR"/>
    <d v="2025-04-11T00:00:00"/>
    <x v="5"/>
    <s v="Barbara Clark"/>
    <s v="No"/>
    <s v="gspencer@example.com"/>
    <s v="(941)372-6808x0815"/>
    <d v="2026-02-14T20:47:08"/>
    <m/>
  </r>
  <r>
    <s v="Andre Cortez"/>
    <n v="101074"/>
    <s v="Engineering"/>
    <d v="2025-09-19T00:00:00"/>
    <x v="3"/>
    <s v="Michele Ford"/>
    <s v="Yes"/>
    <s v="williamortiz@example.org"/>
    <s v="607.935.1045"/>
    <d v="2026-02-09T10:55:08"/>
    <m/>
  </r>
  <r>
    <s v="Andre Cortez"/>
    <n v="101074"/>
    <s v="Engineering"/>
    <d v="2025-09-19T00:00:00"/>
    <x v="4"/>
    <s v="Michele Ford"/>
    <s v="Yes"/>
    <s v="williamortiz@example.org"/>
    <s v="607.935.1045"/>
    <d v="2026-02-09T10:55:08"/>
    <m/>
  </r>
  <r>
    <s v="Robert Thompson"/>
    <n v="101006"/>
    <s v="Marketing"/>
    <d v="2025-09-03T00:00:00"/>
    <x v="3"/>
    <s v="Allison Cunningham"/>
    <s v="Yes"/>
    <s v="michaelvillarreal@example.net"/>
    <s v="(776)569-4703x180"/>
    <d v="2026-02-03T01:35:08"/>
    <m/>
  </r>
  <r>
    <s v="Dr. Paula Lawson MD"/>
    <n v="101245"/>
    <s v="IT"/>
    <d v="2026-03-10T00:00:00"/>
    <x v="0"/>
    <s v="Teresa Weeks"/>
    <s v="Yes"/>
    <s v="bpreston@example.org"/>
    <s v="259-218-3270"/>
    <d v="2026-02-24T05:52:08"/>
    <m/>
  </r>
  <r>
    <s v="Jennifer Coleman"/>
    <n v="101343"/>
    <s v="Finance"/>
    <d v="2025-11-28T00:00:00"/>
    <x v="1"/>
    <s v="Gary Lawrence"/>
    <s v="Yes"/>
    <s v="popebrent@example.net"/>
    <s v="671.240.0493x8819"/>
    <d v="2026-02-21T06:07:08"/>
    <m/>
  </r>
  <r>
    <s v="Jennifer Coleman"/>
    <n v="101343"/>
    <s v="Finance"/>
    <d v="2025-11-28T00:00:00"/>
    <x v="2"/>
    <s v="Gary Lawrence"/>
    <s v="Yes"/>
    <s v="popebrent@example.net"/>
    <s v="671.240.0493x8819"/>
    <d v="2026-02-21T06:07:08"/>
    <m/>
  </r>
  <r>
    <s v="Jennifer Coleman"/>
    <n v="101343"/>
    <s v="Finance"/>
    <d v="2025-11-28T00:00:00"/>
    <x v="5"/>
    <s v="Gary Lawrence"/>
    <s v="Yes"/>
    <s v="popebrent@example.net"/>
    <s v="671.240.0493x8819"/>
    <d v="2026-02-21T06:07:08"/>
    <m/>
  </r>
  <r>
    <s v="Michael Zimmerman"/>
    <n v="101198"/>
    <s v="Operations"/>
    <d v="2025-11-19T00:00:00"/>
    <x v="3"/>
    <s v="Christopher Scott"/>
    <s v="No"/>
    <s v="mortonkenneth@example.net"/>
    <s v="869.687.3137x9716"/>
    <d v="2026-02-15T20:43:08"/>
    <m/>
  </r>
  <r>
    <s v="Michael Zimmerman"/>
    <n v="101198"/>
    <s v="Operations"/>
    <d v="2025-11-19T00:00:00"/>
    <x v="2"/>
    <s v="Christopher Scott"/>
    <s v="No"/>
    <s v="mortonkenneth@example.net"/>
    <s v="869.687.3137x9716"/>
    <d v="2026-02-15T20:43:08"/>
    <m/>
  </r>
  <r>
    <s v="Michael Zimmerman"/>
    <n v="101198"/>
    <s v="Operations"/>
    <d v="2025-11-19T00:00:00"/>
    <x v="5"/>
    <s v="Christopher Scott"/>
    <s v="No"/>
    <s v="mortonkenneth@example.net"/>
    <s v="869.687.3137x9716"/>
    <d v="2026-02-15T20:43:08"/>
    <m/>
  </r>
  <r>
    <s v="Terry Moses"/>
    <m/>
    <s v="HR"/>
    <d v="2026-04-29T00:00:00"/>
    <x v="0"/>
    <s v="John Cisneros"/>
    <s v="No"/>
    <s v="rcastillo@example.org"/>
    <s v="625.362.3899"/>
    <d v="2026-03-11T15:10:08"/>
    <s v="Missing Employee ID"/>
  </r>
  <r>
    <s v="Terry Moses"/>
    <m/>
    <s v="HR"/>
    <d v="2026-04-29T00:00:00"/>
    <x v="2"/>
    <s v="John Cisneros"/>
    <s v="No"/>
    <s v="rcastillo@example.org"/>
    <s v="625.362.3899"/>
    <d v="2026-03-11T15:10:08"/>
    <s v="Missing Employee ID"/>
  </r>
  <r>
    <s v="Terry Moses"/>
    <m/>
    <s v="HR"/>
    <d v="2026-04-29T00:00:00"/>
    <x v="4"/>
    <s v="John Cisneros"/>
    <s v="No"/>
    <s v="rcastillo@example.org"/>
    <s v="625.362.3899"/>
    <d v="2026-03-11T15:10:08"/>
    <s v="Missing Employee ID"/>
  </r>
  <r>
    <s v="Jill Smith DDS"/>
    <n v="101126"/>
    <s v="Operations"/>
    <d v="2025-06-15T00:00:00"/>
    <x v="0"/>
    <s v="Carmen Jordan"/>
    <s v="Yes"/>
    <s v="anthonymcdonald@example.net"/>
    <s v="382.511.6020x418"/>
    <d v="2026-02-27T14:05:08"/>
    <m/>
  </r>
  <r>
    <s v="Jill Smith DDS"/>
    <n v="101126"/>
    <s v="Operations"/>
    <d v="2025-06-15T00:00:00"/>
    <x v="2"/>
    <s v="Carmen Jordan"/>
    <s v="Yes"/>
    <s v="anthonymcdonald@example.net"/>
    <s v="382.511.6020x418"/>
    <d v="2026-02-27T14:05:08"/>
    <m/>
  </r>
  <r>
    <s v="Michael Gilbert"/>
    <m/>
    <s v="Marketing"/>
    <d v="2025-11-25T00:00:00"/>
    <x v="4"/>
    <s v="Kathy Kaiser"/>
    <s v="Yes"/>
    <s v="hlester@example.org"/>
    <s v="608.489.4801x864"/>
    <d v="2026-02-26T03:41:08"/>
    <s v="Missing Employee ID"/>
  </r>
  <r>
    <s v="Bryan Arroyo"/>
    <n v="100894"/>
    <s v="IT"/>
    <d v="2025-05-22T00:00:00"/>
    <x v="1"/>
    <s v="Kelly Mclaughlin"/>
    <s v="No"/>
    <s v="ashleyalexander@example.net"/>
    <s v="(770)982-0048x067"/>
    <d v="2026-02-03T17:11:08"/>
    <m/>
  </r>
  <r>
    <s v="Bryan Arroyo"/>
    <n v="100894"/>
    <s v="IT"/>
    <d v="2025-05-22T00:00:00"/>
    <x v="5"/>
    <s v="Kelly Mclaughlin"/>
    <s v="No"/>
    <s v="ashleyalexander@example.net"/>
    <s v="(770)982-0048x067"/>
    <d v="2026-02-03T17:11:08"/>
    <m/>
  </r>
  <r>
    <s v="Sandra White"/>
    <n v="101377"/>
    <s v="HR"/>
    <d v="2025-06-20T00:00:00"/>
    <x v="2"/>
    <s v="Justin Evans"/>
    <s v="Yes"/>
    <s v="pdavis@example.net"/>
    <s v="428-979-4296"/>
    <d v="2026-02-10T19:54:08"/>
    <m/>
  </r>
  <r>
    <s v="Jenna Harding"/>
    <n v="100636"/>
    <s v="HR"/>
    <d v="2025-10-12T00:00:00"/>
    <x v="0"/>
    <s v="Sarah Beck"/>
    <s v="No"/>
    <s v="adamsbrianna@example.org"/>
    <s v="001-514-419-6156x078"/>
    <d v="2026-02-15T07:32:08"/>
    <m/>
  </r>
  <r>
    <s v="Jenna Harding"/>
    <n v="100636"/>
    <s v="HR"/>
    <d v="2025-10-12T00:00:00"/>
    <x v="1"/>
    <s v="Sarah Beck"/>
    <s v="No"/>
    <s v="adamsbrianna@example.org"/>
    <s v="001-514-419-6156x078"/>
    <d v="2026-02-15T07:32:08"/>
    <m/>
  </r>
  <r>
    <s v="Jenna Harding"/>
    <n v="100636"/>
    <s v="HR"/>
    <d v="2025-10-12T00:00:00"/>
    <x v="5"/>
    <s v="Sarah Beck"/>
    <s v="No"/>
    <s v="adamsbrianna@example.org"/>
    <s v="001-514-419-6156x078"/>
    <d v="2026-02-15T07:32:08"/>
    <m/>
  </r>
  <r>
    <s v="Mr. Robert Tran"/>
    <n v="101472"/>
    <s v="IT"/>
    <d v="2025-05-22T00:00:00"/>
    <x v="1"/>
    <s v="Nathan Gomez"/>
    <s v="Yes"/>
    <s v="zcarpenter@example.net"/>
    <s v="+1-862-240-9649x66834"/>
    <d v="2026-02-14T05:13:08"/>
    <m/>
  </r>
  <r>
    <s v="Mr. Robert Tran"/>
    <n v="101472"/>
    <s v="IT"/>
    <d v="2025-05-22T00:00:00"/>
    <x v="4"/>
    <s v="Nathan Gomez"/>
    <s v="Yes"/>
    <s v="zcarpenter@example.net"/>
    <s v="+1-862-240-9649x66834"/>
    <d v="2026-02-14T05:13:08"/>
    <m/>
  </r>
  <r>
    <s v="Jorge Hernandez"/>
    <n v="101160"/>
    <s v="HR"/>
    <d v="2026-04-14T00:00:00"/>
    <x v="4"/>
    <s v="Christian Morgan"/>
    <s v="No"/>
    <s v="wthomas@example.net"/>
    <s v="001-536-248-8208x93486"/>
    <d v="2026-02-26T02:21:08"/>
    <m/>
  </r>
  <r>
    <s v="Brenda Green"/>
    <n v="100903"/>
    <s v="Marketing"/>
    <d v="2026-01-26T00:00:00"/>
    <x v="0"/>
    <s v="William Mullins"/>
    <s v="No"/>
    <s v="eguzman@example.com"/>
    <s v="5917141319"/>
    <d v="2026-03-05T11:55:08"/>
    <m/>
  </r>
  <r>
    <s v="Victoria Bowman"/>
    <n v="100031"/>
    <s v="Marketing"/>
    <d v="2025-06-06T00:00:00"/>
    <x v="2"/>
    <s v="Robert Harris"/>
    <s v="Yes"/>
    <s v="nrodriguez@example.com"/>
    <s v="001-760-252-3045x8816"/>
    <d v="2026-02-23T22:18:08"/>
    <m/>
  </r>
  <r>
    <s v="Heather Blanchard"/>
    <n v="100772"/>
    <s v="Marketing"/>
    <d v="2025-10-27T00:00:00"/>
    <x v="1"/>
    <s v="Kathleen Baker"/>
    <s v="Yes"/>
    <s v="pattersondebra@example.org"/>
    <s v="001-444-609-6617x718"/>
    <d v="2026-02-09T16:43:08"/>
    <m/>
  </r>
  <r>
    <s v="Heather Blanchard"/>
    <n v="100772"/>
    <s v="Marketing"/>
    <d v="2025-10-27T00:00:00"/>
    <x v="4"/>
    <s v="Kathleen Baker"/>
    <s v="Yes"/>
    <s v="pattersondebra@example.org"/>
    <s v="001-444-609-6617x718"/>
    <d v="2026-02-09T16:43:08"/>
    <m/>
  </r>
  <r>
    <s v="Laura Payne"/>
    <n v="100041"/>
    <s v="HR"/>
    <d v="2025-09-08T00:00:00"/>
    <x v="1"/>
    <s v="Joshua Solomon"/>
    <s v="No"/>
    <s v="clinesteven@example.net"/>
    <s v="(514)717-4681"/>
    <d v="2026-02-10T12:22:08"/>
    <m/>
  </r>
  <r>
    <s v="Tamara Sims"/>
    <n v="100667"/>
    <s v="IT"/>
    <d v="2025-08-17T00:00:00"/>
    <x v="2"/>
    <s v="Kimberly Jensen"/>
    <s v="No"/>
    <s v="hollyperkins@example.net"/>
    <s v="+1-687-748-6941x559"/>
    <d v="2026-02-13T12:57:08"/>
    <m/>
  </r>
  <r>
    <s v="Amber Martinez"/>
    <n v="100070"/>
    <s v="Operations"/>
    <d v="2025-08-26T00:00:00"/>
    <x v="2"/>
    <s v="Kyle White"/>
    <s v="No"/>
    <s v="pvang@example.net"/>
    <s v="(805)511-7160x3988"/>
    <d v="2026-02-03T07:49:08"/>
    <m/>
  </r>
  <r>
    <s v="David Daugherty"/>
    <n v="100665"/>
    <s v="IT"/>
    <d v="2025-08-11T00:00:00"/>
    <x v="0"/>
    <s v="Ariel Riley"/>
    <s v="No"/>
    <s v="nathan06@example.com"/>
    <s v="6004994248"/>
    <d v="2026-01-31T14:04:08"/>
    <m/>
  </r>
  <r>
    <s v="David Daugherty"/>
    <n v="100665"/>
    <s v="IT"/>
    <d v="2025-08-11T00:00:00"/>
    <x v="4"/>
    <s v="Ariel Riley"/>
    <s v="No"/>
    <s v="nathan06@example.com"/>
    <s v="6004994248"/>
    <d v="2026-01-31T14:04:08"/>
    <m/>
  </r>
  <r>
    <s v="David Daugherty"/>
    <n v="100665"/>
    <s v="IT"/>
    <d v="2025-08-11T00:00:00"/>
    <x v="5"/>
    <s v="Ariel Riley"/>
    <s v="No"/>
    <s v="nathan06@example.com"/>
    <s v="6004994248"/>
    <d v="2026-01-31T14:04:08"/>
    <m/>
  </r>
  <r>
    <s v="Thomas Lutz"/>
    <n v="101111"/>
    <s v="IT"/>
    <d v="2025-04-05T00:00:00"/>
    <x v="0"/>
    <s v="Denise Leach"/>
    <s v="Yes"/>
    <s v="areynolds@example.org"/>
    <s v="964-620-4565x77580"/>
    <d v="2026-02-25T17:04:08"/>
    <m/>
  </r>
  <r>
    <s v="Traci Lee"/>
    <n v="100358"/>
    <s v="Operations"/>
    <d v="2026-01-26T00:00:00"/>
    <x v="5"/>
    <s v="Lisa Coleman"/>
    <s v="No"/>
    <s v="melodywood@example.com"/>
    <s v="(522)265-4016x5995"/>
    <d v="2026-03-11T06:46:08"/>
    <m/>
  </r>
  <r>
    <s v="Timothy Coleman"/>
    <n v="100053"/>
    <s v="Engineering"/>
    <d v="2026-01-21T00:00:00"/>
    <x v="0"/>
    <s v="Bailey Hernandez"/>
    <s v="No"/>
    <s v="sylviayates@example.com"/>
    <s v="674.362.5916x0112"/>
    <d v="2026-03-04T17:08:08"/>
    <m/>
  </r>
  <r>
    <s v="Timothy Coleman"/>
    <n v="100053"/>
    <s v="Engineering"/>
    <d v="2026-01-21T00:00:00"/>
    <x v="3"/>
    <s v="Bailey Hernandez"/>
    <s v="No"/>
    <s v="sylviayates@example.com"/>
    <s v="674.362.5916x0112"/>
    <d v="2026-03-04T17:08:08"/>
    <m/>
  </r>
  <r>
    <s v="Timothy Coleman"/>
    <n v="100053"/>
    <s v="Engineering"/>
    <d v="2026-01-21T00:00:00"/>
    <x v="4"/>
    <s v="Bailey Hernandez"/>
    <s v="No"/>
    <s v="sylviayates@example.com"/>
    <s v="674.362.5916x0112"/>
    <d v="2026-03-04T17:08:08"/>
    <m/>
  </r>
  <r>
    <s v="Thomas Christian"/>
    <n v="101407"/>
    <s v="Engineering"/>
    <d v="2025-12-16T00:00:00"/>
    <x v="0"/>
    <s v="Danielle Robles"/>
    <s v="No"/>
    <s v="aholder@example.net"/>
    <s v="4175986778"/>
    <d v="2026-03-04T01:10:08"/>
    <m/>
  </r>
  <r>
    <s v="Thomas Christian"/>
    <n v="101407"/>
    <s v="Engineering"/>
    <d v="2025-12-16T00:00:00"/>
    <x v="2"/>
    <s v="Danielle Robles"/>
    <s v="No"/>
    <s v="aholder@example.net"/>
    <s v="4175986778"/>
    <d v="2026-03-04T01:10:08"/>
    <m/>
  </r>
  <r>
    <s v="Carrie Larson"/>
    <n v="100767"/>
    <s v="HR"/>
    <d v="2026-01-18T00:00:00"/>
    <x v="3"/>
    <s v="Jill Floyd"/>
    <s v="No"/>
    <s v="galvanjoshua@example.org"/>
    <s v="001-664-526-1212x038"/>
    <d v="2026-03-07T03:19:08"/>
    <m/>
  </r>
  <r>
    <s v="Carrie Larson"/>
    <n v="100767"/>
    <s v="HR"/>
    <d v="2026-01-18T00:00:00"/>
    <x v="1"/>
    <s v="Jill Floyd"/>
    <s v="No"/>
    <s v="galvanjoshua@example.org"/>
    <s v="001-664-526-1212x038"/>
    <d v="2026-03-07T03:19:08"/>
    <m/>
  </r>
  <r>
    <s v="Carrie Larson"/>
    <n v="100767"/>
    <s v="HR"/>
    <d v="2026-01-18T00:00:00"/>
    <x v="2"/>
    <s v="Jill Floyd"/>
    <s v="No"/>
    <s v="galvanjoshua@example.org"/>
    <s v="001-664-526-1212x038"/>
    <d v="2026-03-07T03:19:08"/>
    <m/>
  </r>
  <r>
    <s v="Stacey Peterson"/>
    <n v="101146"/>
    <s v="HR"/>
    <d v="2025-09-29T00:00:00"/>
    <x v="1"/>
    <s v="Michael Blair"/>
    <s v="No"/>
    <s v="murraymichael@example.net"/>
    <s v="(554)782-4218"/>
    <d v="2026-02-22T07:24:08"/>
    <m/>
  </r>
  <r>
    <s v="Stacey Peterson"/>
    <n v="101146"/>
    <s v="HR"/>
    <d v="2025-09-29T00:00:00"/>
    <x v="2"/>
    <s v="Michael Blair"/>
    <s v="No"/>
    <s v="murraymichael@example.net"/>
    <s v="(554)782-4218"/>
    <d v="2026-02-22T07:24:08"/>
    <m/>
  </r>
  <r>
    <s v="Heidi Goodwin"/>
    <n v="101185"/>
    <s v="Operations"/>
    <d v="2025-12-28T00:00:00"/>
    <x v="4"/>
    <s v="Amber Lowe"/>
    <s v="No"/>
    <s v="pscott@example.com"/>
    <s v="975-323-1123x2748"/>
    <d v="2026-02-18T02:48:08"/>
    <m/>
  </r>
  <r>
    <s v="Steven Sanders"/>
    <n v="100083"/>
    <s v="HR"/>
    <d v="2025-06-07T00:00:00"/>
    <x v="0"/>
    <s v="Matthew Newman"/>
    <s v="Yes"/>
    <s v="tracyjohnson@example.net"/>
    <s v="+1-362-817-5080"/>
    <d v="2026-03-07T10:49:08"/>
    <m/>
  </r>
  <r>
    <s v="Steven Sanders"/>
    <n v="100083"/>
    <s v="HR"/>
    <d v="2025-06-07T00:00:00"/>
    <x v="4"/>
    <s v="Matthew Newman"/>
    <s v="Yes"/>
    <s v="tracyjohnson@example.net"/>
    <s v="+1-362-817-5080"/>
    <d v="2026-03-07T10:49:08"/>
    <m/>
  </r>
  <r>
    <s v="Steven Sanders"/>
    <n v="100083"/>
    <s v="HR"/>
    <d v="2025-06-07T00:00:00"/>
    <x v="5"/>
    <s v="Matthew Newman"/>
    <s v="Yes"/>
    <s v="tracyjohnson@example.net"/>
    <s v="+1-362-817-5080"/>
    <d v="2026-03-07T10:49:08"/>
    <m/>
  </r>
  <r>
    <s v="Samantha Scott"/>
    <n v="100258"/>
    <s v="HR"/>
    <d v="2025-11-14T00:00:00"/>
    <x v="1"/>
    <s v="Cheyenne Hughes"/>
    <s v="Yes"/>
    <s v="markgardner@example.org"/>
    <s v="993-953-4001x816"/>
    <d v="2026-03-16T03:56:08"/>
    <m/>
  </r>
  <r>
    <s v="Samantha Scott"/>
    <n v="100258"/>
    <s v="HR"/>
    <d v="2025-11-14T00:00:00"/>
    <x v="2"/>
    <s v="Cheyenne Hughes"/>
    <s v="Yes"/>
    <s v="markgardner@example.org"/>
    <s v="993-953-4001x816"/>
    <d v="2026-03-16T03:56:08"/>
    <m/>
  </r>
  <r>
    <s v="Samantha Scott"/>
    <n v="100258"/>
    <s v="HR"/>
    <d v="2025-11-14T00:00:00"/>
    <x v="5"/>
    <s v="Cheyenne Hughes"/>
    <s v="Yes"/>
    <s v="markgardner@example.org"/>
    <s v="993-953-4001x816"/>
    <d v="2026-03-16T03:56:08"/>
    <m/>
  </r>
  <r>
    <s v="Kayla Jones"/>
    <n v="101131"/>
    <s v="Finance"/>
    <d v="2025-10-14T00:00:00"/>
    <x v="3"/>
    <s v="William Ramirez"/>
    <s v="No"/>
    <s v="sabrina54@example.com"/>
    <s v="(208)738-5179x93781"/>
    <d v="2026-01-29T22:31:08"/>
    <m/>
  </r>
  <r>
    <s v="Kyle Thomas"/>
    <n v="100770"/>
    <s v="Marketing"/>
    <d v="2025-06-26T00:00:00"/>
    <x v="5"/>
    <s v="Jonathan Guerrero"/>
    <s v="No"/>
    <s v="klara@example.net"/>
    <s v="(698)982-9045x79271"/>
    <d v="2026-02-09T01:10:08"/>
    <m/>
  </r>
  <r>
    <s v="Dawn Hall"/>
    <n v="100284"/>
    <s v="Engineering"/>
    <d v="2026-05-11T00:00:00"/>
    <x v="3"/>
    <s v="Shannon Downs"/>
    <s v="No"/>
    <s v="lpage@example.com"/>
    <s v="(538)339-7283"/>
    <d v="2026-02-09T02:05:08"/>
    <m/>
  </r>
  <r>
    <s v="Dawn Hall"/>
    <n v="100284"/>
    <s v="Engineering"/>
    <d v="2026-05-11T00:00:00"/>
    <x v="1"/>
    <s v="Shannon Downs"/>
    <s v="No"/>
    <s v="lpage@example.com"/>
    <s v="(538)339-7283"/>
    <d v="2026-02-09T02:05:08"/>
    <m/>
  </r>
  <r>
    <s v="Brian Lucas"/>
    <n v="100809"/>
    <s v="Finance"/>
    <d v="2025-03-29T00:00:00"/>
    <x v="4"/>
    <s v="Amanda Mora"/>
    <s v="No"/>
    <s v="sherryknight@example.org"/>
    <s v="480.298.3221x01023"/>
    <d v="2026-02-24T20:03:08"/>
    <m/>
  </r>
  <r>
    <s v="Michael Cruz"/>
    <n v="100779"/>
    <s v="IT"/>
    <d v="2025-05-18T00:00:00"/>
    <x v="0"/>
    <s v="Brian Kent"/>
    <s v="Yes"/>
    <s v="hespinoza@example.org"/>
    <s v="+1-514-635-6140"/>
    <d v="2026-02-12T18:26:08"/>
    <m/>
  </r>
  <r>
    <s v="Michael Cruz"/>
    <n v="100779"/>
    <s v="IT"/>
    <d v="2025-05-18T00:00:00"/>
    <x v="1"/>
    <s v="Brian Kent"/>
    <s v="Yes"/>
    <s v="hespinoza@example.org"/>
    <s v="+1-514-635-6140"/>
    <d v="2026-02-12T18:26:08"/>
    <m/>
  </r>
  <r>
    <s v="Michael Cruz"/>
    <n v="100779"/>
    <s v="IT"/>
    <d v="2025-05-18T00:00:00"/>
    <x v="5"/>
    <s v="Brian Kent"/>
    <s v="Yes"/>
    <s v="hespinoza@example.org"/>
    <s v="+1-514-635-6140"/>
    <d v="2026-02-12T18:26:08"/>
    <m/>
  </r>
  <r>
    <s v="Marie Davidson"/>
    <n v="100345"/>
    <s v="Finance"/>
    <d v="2025-03-30T00:00:00"/>
    <x v="1"/>
    <s v="Jordan Williams"/>
    <s v="No"/>
    <s v="yhill@example.net"/>
    <s v="+1-923-854-6951x0030"/>
    <d v="2026-03-11T21:28:08"/>
    <m/>
  </r>
  <r>
    <s v="April Roth"/>
    <n v="101410"/>
    <s v="HR"/>
    <d v="2026-01-07T00:00:00"/>
    <x v="3"/>
    <s v="Gary Harmon"/>
    <s v="No"/>
    <s v="ekim@example.com"/>
    <s v="2068666411"/>
    <d v="2026-02-03T18:30:08"/>
    <m/>
  </r>
  <r>
    <s v="April Roth"/>
    <n v="101410"/>
    <s v="HR"/>
    <d v="2026-01-07T00:00:00"/>
    <x v="5"/>
    <s v="Gary Harmon"/>
    <s v="No"/>
    <s v="ekim@example.com"/>
    <s v="2068666411"/>
    <d v="2026-02-03T18:30:08"/>
    <m/>
  </r>
  <r>
    <s v="Elizabeth Miller"/>
    <n v="100465"/>
    <m/>
    <d v="2026-03-06T00:00:00"/>
    <x v="1"/>
    <s v="Ryan Kaiser"/>
    <s v="Yes"/>
    <s v="valeriesmith@example.com"/>
    <s v="+1-251-269-9497"/>
    <d v="2026-02-28T12:21:08"/>
    <s v="Missing Department"/>
  </r>
  <r>
    <s v="Justin Lee"/>
    <n v="100216"/>
    <s v="IT"/>
    <d v="2025-04-14T00:00:00"/>
    <x v="1"/>
    <s v="Dale Spencer"/>
    <s v="No"/>
    <s v="kferguson@example.net"/>
    <s v="+1-362-969-7083x868"/>
    <d v="2026-01-31T13:17:08"/>
    <m/>
  </r>
  <r>
    <s v="Melanie Davidson"/>
    <n v="100335"/>
    <s v="HR"/>
    <d v="2025-06-07T00:00:00"/>
    <x v="1"/>
    <s v="Angel Johnson"/>
    <s v="No"/>
    <s v="dwhite@example.org"/>
    <s v="001-476-809-3201"/>
    <d v="2026-02-17T20:11:08"/>
    <m/>
  </r>
  <r>
    <s v="Pamela Howard"/>
    <n v="101469"/>
    <s v="HR"/>
    <d v="2025-04-09T00:00:00"/>
    <x v="3"/>
    <s v="Lynn Ray"/>
    <s v="Yes"/>
    <s v="omarturner@example.org"/>
    <s v="+1-709-352-1755"/>
    <d v="2026-02-12T11:18:08"/>
    <m/>
  </r>
  <r>
    <s v="Pamela Howard"/>
    <n v="101469"/>
    <s v="HR"/>
    <d v="2025-04-09T00:00:00"/>
    <x v="1"/>
    <s v="Lynn Ray"/>
    <s v="Yes"/>
    <s v="omarturner@example.org"/>
    <s v="+1-709-352-1755"/>
    <d v="2026-02-12T11:18:08"/>
    <m/>
  </r>
  <r>
    <s v="Jesus Mccarthy"/>
    <n v="100266"/>
    <s v="Marketing"/>
    <d v="2026-04-11T00:00:00"/>
    <x v="3"/>
    <s v="Brenda Phillips"/>
    <s v="Yes"/>
    <s v="kristendavis@example.net"/>
    <s v="+1-482-941-9962x6422"/>
    <d v="2026-02-10T06:54:08"/>
    <m/>
  </r>
  <r>
    <s v="Kevin Cole"/>
    <n v="101439"/>
    <s v="HR"/>
    <d v="2026-05-13T00:00:00"/>
    <x v="0"/>
    <s v="Sierra Gentry"/>
    <s v="Yes"/>
    <s v="jennifer54@example.org"/>
    <s v="485-245-7056"/>
    <d v="2026-02-09T22:07:08"/>
    <m/>
  </r>
  <r>
    <s v="Kevin Cole"/>
    <n v="101439"/>
    <s v="HR"/>
    <d v="2026-05-13T00:00:00"/>
    <x v="3"/>
    <s v="Sierra Gentry"/>
    <s v="Yes"/>
    <s v="jennifer54@example.org"/>
    <s v="485-245-7056"/>
    <d v="2026-02-09T22:07:08"/>
    <m/>
  </r>
  <r>
    <s v="Kevin Cole"/>
    <n v="101439"/>
    <s v="HR"/>
    <d v="2026-05-13T00:00:00"/>
    <x v="1"/>
    <s v="Sierra Gentry"/>
    <s v="Yes"/>
    <s v="jennifer54@example.org"/>
    <s v="485-245-7056"/>
    <d v="2026-02-09T22:07:08"/>
    <m/>
  </r>
  <r>
    <s v="Brenda Richard"/>
    <n v="101369"/>
    <s v="HR"/>
    <d v="2026-05-11T00:00:00"/>
    <x v="2"/>
    <s v="Ronald Page"/>
    <s v="Yes"/>
    <s v="hurleybrandon@example.net"/>
    <s v="(435)764-0723x2472"/>
    <d v="2026-02-11T08:18:08"/>
    <m/>
  </r>
  <r>
    <s v="Stacey Ramirez"/>
    <n v="100472"/>
    <s v="HR"/>
    <d v="2026-04-18T00:00:00"/>
    <x v="1"/>
    <s v="John Pearson"/>
    <s v="Yes"/>
    <s v="eugenegreen@example.com"/>
    <s v="912.361.6850"/>
    <d v="2026-03-10T10:28:08"/>
    <m/>
  </r>
  <r>
    <s v="Stacey Ramirez"/>
    <n v="100472"/>
    <s v="HR"/>
    <d v="2026-04-18T00:00:00"/>
    <x v="5"/>
    <s v="John Pearson"/>
    <s v="Yes"/>
    <s v="eugenegreen@example.com"/>
    <s v="912.361.6850"/>
    <d v="2026-03-10T10:28:08"/>
    <m/>
  </r>
  <r>
    <s v="Gregory Hart"/>
    <n v="101275"/>
    <s v="Marketing"/>
    <d v="2025-11-28T00:00:00"/>
    <x v="4"/>
    <s v="Tiffany Davis"/>
    <s v="Yes"/>
    <s v="theresa92@example.com"/>
    <s v="915-226-1053"/>
    <d v="2026-02-18T02:11:08"/>
    <m/>
  </r>
  <r>
    <s v="Brandy Williams"/>
    <n v="101267"/>
    <s v="Engineering"/>
    <d v="2025-05-14T00:00:00"/>
    <x v="2"/>
    <s v="Robert Wheeler"/>
    <s v="No"/>
    <s v="smithtimothy@example.net"/>
    <s v="+1-818-594-8543x2987"/>
    <d v="2026-02-22T07:16:08"/>
    <m/>
  </r>
  <r>
    <s v="Jennifer Anderson"/>
    <n v="100658"/>
    <s v="HR"/>
    <d v="2025-05-26T00:00:00"/>
    <x v="0"/>
    <s v="Tyler Miranda"/>
    <s v="No"/>
    <s v="fhuff@example.net"/>
    <s v="001-282-473-4813x1045"/>
    <d v="2026-03-05T07:31:08"/>
    <m/>
  </r>
  <r>
    <s v="Jennifer Anderson"/>
    <n v="100658"/>
    <s v="HR"/>
    <d v="2025-05-26T00:00:00"/>
    <x v="3"/>
    <s v="Tyler Miranda"/>
    <s v="No"/>
    <s v="fhuff@example.net"/>
    <s v="001-282-473-4813x1045"/>
    <d v="2026-03-05T07:31:08"/>
    <m/>
  </r>
  <r>
    <s v="Justin Bishop"/>
    <n v="101380"/>
    <s v="Engineering"/>
    <d v="2026-04-01T00:00:00"/>
    <x v="4"/>
    <s v="Clifford Mcdonald"/>
    <s v="Yes"/>
    <s v="jason57@example.com"/>
    <s v="535.526.8064x86067"/>
    <d v="2026-01-31T13:03:08"/>
    <m/>
  </r>
  <r>
    <s v="Whitney Macdonald DVM"/>
    <n v="101449"/>
    <s v="Finance"/>
    <d v="2025-08-20T00:00:00"/>
    <x v="4"/>
    <s v="Kimberly Ponce"/>
    <s v="Yes"/>
    <s v="lauren64@example.com"/>
    <s v="(280)855-0774"/>
    <d v="2026-03-11T03:24:08"/>
    <m/>
  </r>
  <r>
    <s v="Manuel Gomez"/>
    <n v="101060"/>
    <s v="Marketing"/>
    <d v="2025-04-24T00:00:00"/>
    <x v="5"/>
    <s v="James Harris"/>
    <s v="No"/>
    <s v="jessicasmith@example.org"/>
    <s v="+1-355-510-7409"/>
    <d v="2026-03-14T11:12:08"/>
    <m/>
  </r>
  <r>
    <s v="Bradley Garcia"/>
    <n v="101132"/>
    <s v="Marketing"/>
    <d v="2025-04-01T00:00:00"/>
    <x v="0"/>
    <s v="Teresa Davis"/>
    <s v="No"/>
    <s v="thomaslinda@example.net"/>
    <s v="360.422.0695x354"/>
    <d v="2026-03-09T09:16:08"/>
    <m/>
  </r>
  <r>
    <s v="Bradley Garcia"/>
    <n v="101132"/>
    <s v="Marketing"/>
    <d v="2025-04-01T00:00:00"/>
    <x v="3"/>
    <s v="Teresa Davis"/>
    <s v="No"/>
    <s v="thomaslinda@example.net"/>
    <s v="360.422.0695x354"/>
    <d v="2026-03-09T09:16:08"/>
    <m/>
  </r>
  <r>
    <s v="Bradley Garcia"/>
    <n v="101132"/>
    <s v="Marketing"/>
    <d v="2025-04-01T00:00:00"/>
    <x v="2"/>
    <s v="Teresa Davis"/>
    <s v="No"/>
    <s v="thomaslinda@example.net"/>
    <s v="360.422.0695x354"/>
    <d v="2026-03-09T09:16:08"/>
    <m/>
  </r>
  <r>
    <s v="Dr. Mary White DVM"/>
    <n v="100606"/>
    <s v="Engineering"/>
    <d v="2025-04-18T00:00:00"/>
    <x v="0"/>
    <s v="Stephanie Howard"/>
    <s v="Yes"/>
    <s v="smithmichelle@example.net"/>
    <s v="6159153259"/>
    <d v="2026-03-08T21:22:08"/>
    <m/>
  </r>
  <r>
    <s v="Dr. Mary White DVM"/>
    <n v="100606"/>
    <s v="Engineering"/>
    <d v="2025-04-18T00:00:00"/>
    <x v="2"/>
    <s v="Stephanie Howard"/>
    <s v="Yes"/>
    <s v="smithmichelle@example.net"/>
    <s v="6159153259"/>
    <d v="2026-03-08T21:22:08"/>
    <m/>
  </r>
  <r>
    <s v="Lisa Johnson"/>
    <n v="101190"/>
    <s v="Finance"/>
    <d v="2026-01-10T00:00:00"/>
    <x v="4"/>
    <s v="Tyler Vasquez"/>
    <s v="No"/>
    <s v="ipadilla@example.com"/>
    <s v="+1-680-559-5031x006"/>
    <d v="2026-03-15T14:49:08"/>
    <m/>
  </r>
  <r>
    <s v="Patricia Smith"/>
    <n v="100027"/>
    <s v="Marketing"/>
    <d v="2026-04-02T00:00:00"/>
    <x v="3"/>
    <s v="Lauren Smith"/>
    <s v="No"/>
    <s v="david03@example.com"/>
    <s v="3895411849"/>
    <d v="2026-03-06T00:49:08"/>
    <m/>
  </r>
  <r>
    <s v="Patricia Smith"/>
    <n v="100027"/>
    <s v="Marketing"/>
    <d v="2026-04-02T00:00:00"/>
    <x v="1"/>
    <s v="Lauren Smith"/>
    <s v="No"/>
    <s v="david03@example.com"/>
    <s v="3895411849"/>
    <d v="2026-03-06T00:49:08"/>
    <m/>
  </r>
  <r>
    <s v="Gabrielle Gilbert DVM"/>
    <n v="101144"/>
    <s v="IT"/>
    <d v="2025-07-17T00:00:00"/>
    <x v="0"/>
    <s v="Heather Wolf"/>
    <s v="Yes"/>
    <s v="reginaparks@example.com"/>
    <s v="(205)261-0067"/>
    <d v="2026-02-11T10:30:08"/>
    <m/>
  </r>
  <r>
    <s v="Gabrielle Gilbert DVM"/>
    <n v="101144"/>
    <s v="IT"/>
    <d v="2025-07-17T00:00:00"/>
    <x v="3"/>
    <s v="Heather Wolf"/>
    <s v="Yes"/>
    <s v="reginaparks@example.com"/>
    <s v="(205)261-0067"/>
    <d v="2026-02-11T10:30:08"/>
    <m/>
  </r>
  <r>
    <s v="Gabrielle Gilbert DVM"/>
    <n v="101144"/>
    <s v="IT"/>
    <d v="2025-07-17T00:00:00"/>
    <x v="2"/>
    <s v="Heather Wolf"/>
    <s v="Yes"/>
    <s v="reginaparks@example.com"/>
    <s v="(205)261-0067"/>
    <d v="2026-02-11T10:30:08"/>
    <m/>
  </r>
  <r>
    <s v="Jeffrey Sloan"/>
    <n v="100637"/>
    <s v="Finance"/>
    <d v="2025-08-07T00:00:00"/>
    <x v="3"/>
    <s v="Amy Payne"/>
    <s v="Yes"/>
    <s v="cwoods@example.net"/>
    <s v="678.742.3394"/>
    <d v="2026-03-10T10:36:08"/>
    <m/>
  </r>
  <r>
    <s v="Alicia Long"/>
    <n v="101361"/>
    <s v="IT"/>
    <d v="2026-03-13T00:00:00"/>
    <x v="3"/>
    <s v="Peter Bradford"/>
    <s v="Yes"/>
    <s v="mark32@example.net"/>
    <s v="(301)973-6542x624"/>
    <d v="2026-02-15T18:55:08"/>
    <m/>
  </r>
  <r>
    <s v="Alicia Long"/>
    <n v="101361"/>
    <s v="IT"/>
    <d v="2026-03-13T00:00:00"/>
    <x v="1"/>
    <s v="Peter Bradford"/>
    <s v="Yes"/>
    <s v="mark32@example.net"/>
    <s v="(301)973-6542x624"/>
    <d v="2026-02-15T18:55:08"/>
    <m/>
  </r>
  <r>
    <s v="Catherine Brown"/>
    <n v="100478"/>
    <s v="Marketing"/>
    <d v="2025-06-16T00:00:00"/>
    <x v="0"/>
    <s v="Travis Park"/>
    <s v="Yes"/>
    <s v="jefferywalker@example.com"/>
    <s v="510-209-0605"/>
    <d v="2026-02-12T10:08:08"/>
    <m/>
  </r>
  <r>
    <s v="Catherine Brown"/>
    <n v="100478"/>
    <s v="Marketing"/>
    <d v="2025-06-16T00:00:00"/>
    <x v="5"/>
    <s v="Travis Park"/>
    <s v="Yes"/>
    <s v="jefferywalker@example.com"/>
    <s v="510-209-0605"/>
    <d v="2026-02-12T10:08:08"/>
    <m/>
  </r>
  <r>
    <s v="Tina Peters"/>
    <n v="100169"/>
    <s v="Operations"/>
    <d v="2025-05-12T00:00:00"/>
    <x v="2"/>
    <s v="David Smith"/>
    <s v="Yes"/>
    <s v="davisphilip@example.org"/>
    <s v="(990)745-7598"/>
    <d v="2026-02-11T13:16:08"/>
    <m/>
  </r>
  <r>
    <s v="Tina Peters"/>
    <n v="100169"/>
    <s v="Operations"/>
    <d v="2025-05-12T00:00:00"/>
    <x v="5"/>
    <s v="David Smith"/>
    <s v="Yes"/>
    <s v="davisphilip@example.org"/>
    <s v="(990)745-7598"/>
    <d v="2026-02-11T13:16:08"/>
    <m/>
  </r>
  <r>
    <s v="Shannon Miller"/>
    <n v="101374"/>
    <s v="IT"/>
    <d v="2026-04-10T00:00:00"/>
    <x v="0"/>
    <s v="Linda Henderson"/>
    <s v="Yes"/>
    <s v="randallhall@example.org"/>
    <s v="(420)227-5582x14770"/>
    <d v="2026-03-11T06:43:08"/>
    <m/>
  </r>
  <r>
    <s v="Shannon Miller"/>
    <n v="101374"/>
    <s v="IT"/>
    <d v="2026-04-10T00:00:00"/>
    <x v="1"/>
    <s v="Linda Henderson"/>
    <s v="Yes"/>
    <s v="randallhall@example.org"/>
    <s v="(420)227-5582x14770"/>
    <d v="2026-03-11T06:43:08"/>
    <m/>
  </r>
  <r>
    <s v="Ashley Owen"/>
    <n v="100414"/>
    <s v="IT"/>
    <d v="2025-05-14T00:00:00"/>
    <x v="1"/>
    <s v="Courtney Walton"/>
    <s v="No"/>
    <s v="whiteryan@example.org"/>
    <s v="992-215-8189"/>
    <d v="2026-02-01T02:45:08"/>
    <m/>
  </r>
  <r>
    <s v="Ashley Owen"/>
    <n v="100414"/>
    <s v="IT"/>
    <d v="2025-05-14T00:00:00"/>
    <x v="5"/>
    <s v="Courtney Walton"/>
    <s v="No"/>
    <s v="whiteryan@example.org"/>
    <s v="992-215-8189"/>
    <d v="2026-02-01T02:45:08"/>
    <m/>
  </r>
  <r>
    <s v="Krystal Hamilton"/>
    <n v="101295"/>
    <s v="Finance"/>
    <d v="2025-12-24T00:00:00"/>
    <x v="1"/>
    <s v="Kathy Lewis"/>
    <s v="Yes"/>
    <s v="martin81@example.net"/>
    <s v="001-259-277-2168"/>
    <d v="2026-03-12T01:40:08"/>
    <m/>
  </r>
  <r>
    <s v="Krystal Hamilton"/>
    <n v="101295"/>
    <s v="Finance"/>
    <d v="2025-12-24T00:00:00"/>
    <x v="5"/>
    <s v="Kathy Lewis"/>
    <s v="Yes"/>
    <s v="martin81@example.net"/>
    <s v="001-259-277-2168"/>
    <d v="2026-03-12T01:40:08"/>
    <m/>
  </r>
  <r>
    <s v="Patricia Stark"/>
    <n v="100695"/>
    <s v="HR"/>
    <d v="2025-06-15T00:00:00"/>
    <x v="0"/>
    <s v="Ralph Lyons"/>
    <s v="No"/>
    <s v="carloswerner@example.net"/>
    <s v="(289)372-8454"/>
    <d v="2026-02-01T14:19:08"/>
    <m/>
  </r>
  <r>
    <s v="Brenda Bowen DDS"/>
    <n v="100684"/>
    <s v="Operations"/>
    <d v="2025-10-26T00:00:00"/>
    <x v="0"/>
    <s v="Christopher Lewis"/>
    <s v="Yes"/>
    <s v="amanda32@example.net"/>
    <s v="(404)314-4743"/>
    <d v="2026-02-19T04:14:08"/>
    <m/>
  </r>
  <r>
    <s v="Brenda Bowen DDS"/>
    <n v="100684"/>
    <s v="Operations"/>
    <d v="2025-10-26T00:00:00"/>
    <x v="3"/>
    <s v="Christopher Lewis"/>
    <s v="Yes"/>
    <s v="amanda32@example.net"/>
    <s v="(404)314-4743"/>
    <d v="2026-02-19T04:14:08"/>
    <m/>
  </r>
  <r>
    <s v="Brenda Bowen DDS"/>
    <n v="100684"/>
    <s v="Operations"/>
    <d v="2025-10-26T00:00:00"/>
    <x v="2"/>
    <s v="Christopher Lewis"/>
    <s v="Yes"/>
    <s v="amanda32@example.net"/>
    <s v="(404)314-4743"/>
    <d v="2026-02-19T04:14:08"/>
    <m/>
  </r>
  <r>
    <s v="William Frye"/>
    <n v="100344"/>
    <s v="IT"/>
    <d v="2025-05-07T00:00:00"/>
    <x v="1"/>
    <s v="Michelle Haynes"/>
    <s v="Yes"/>
    <s v="jillnavarro@example.org"/>
    <s v="9307423227"/>
    <d v="2026-02-23T11:04:08"/>
    <m/>
  </r>
  <r>
    <s v="William Frye"/>
    <n v="100344"/>
    <s v="IT"/>
    <d v="2025-05-07T00:00:00"/>
    <x v="2"/>
    <s v="Michelle Haynes"/>
    <s v="Yes"/>
    <s v="jillnavarro@example.org"/>
    <s v="9307423227"/>
    <d v="2026-02-23T11:04:08"/>
    <m/>
  </r>
  <r>
    <s v="William Frye"/>
    <n v="100344"/>
    <s v="IT"/>
    <d v="2025-05-07T00:00:00"/>
    <x v="4"/>
    <s v="Michelle Haynes"/>
    <s v="Yes"/>
    <s v="jillnavarro@example.org"/>
    <s v="9307423227"/>
    <d v="2026-02-23T11:04:08"/>
    <m/>
  </r>
  <r>
    <s v="Bethany Liu"/>
    <n v="100863"/>
    <s v="IT"/>
    <d v="2025-10-08T00:00:00"/>
    <x v="4"/>
    <s v="Mitchell Williams"/>
    <s v="No"/>
    <s v="wesleybutler@example.org"/>
    <s v="(346)530-0593x77756"/>
    <d v="2026-02-13T08:24:08"/>
    <m/>
  </r>
  <r>
    <s v="Benjamin Johnson"/>
    <m/>
    <s v="IT"/>
    <d v="2026-01-13T00:00:00"/>
    <x v="0"/>
    <s v="Kyle Perry"/>
    <s v="No"/>
    <s v="harrisonnicholas@example.net"/>
    <s v="6293831043"/>
    <d v="2026-02-13T19:09:08"/>
    <s v="Missing Employee ID"/>
  </r>
  <r>
    <s v="Benjamin Johnson"/>
    <m/>
    <s v="IT"/>
    <d v="2026-01-13T00:00:00"/>
    <x v="5"/>
    <s v="Kyle Perry"/>
    <s v="No"/>
    <s v="harrisonnicholas@example.net"/>
    <s v="6293831043"/>
    <d v="2026-02-13T19:09:08"/>
    <s v="Missing Employee ID"/>
  </r>
  <r>
    <s v="Jenna Hernandez"/>
    <n v="101261"/>
    <s v="IT"/>
    <d v="2025-10-09T00:00:00"/>
    <x v="3"/>
    <s v="Sean Mcmillan"/>
    <s v="Yes"/>
    <s v="gtucker@example.org"/>
    <s v="(368)856-6706x362"/>
    <d v="2026-02-15T14:13:08"/>
    <m/>
  </r>
  <r>
    <s v="Jenna Hernandez"/>
    <n v="101261"/>
    <s v="IT"/>
    <d v="2025-10-09T00:00:00"/>
    <x v="1"/>
    <s v="Sean Mcmillan"/>
    <s v="Yes"/>
    <s v="gtucker@example.org"/>
    <s v="(368)856-6706x362"/>
    <d v="2026-02-15T14:13:08"/>
    <m/>
  </r>
  <r>
    <s v="Antonio Perkins"/>
    <n v="100446"/>
    <s v="Marketing"/>
    <d v="2025-07-22T00:00:00"/>
    <x v="4"/>
    <s v="Rachel Turner"/>
    <s v="Yes"/>
    <s v="alexanderryan@example.org"/>
    <s v="+1-549-433-9650x49627"/>
    <d v="2026-03-15T14:31:08"/>
    <m/>
  </r>
  <r>
    <s v="Antonio Perkins"/>
    <n v="100446"/>
    <s v="Marketing"/>
    <d v="2025-07-22T00:00:00"/>
    <x v="5"/>
    <s v="Rachel Turner"/>
    <s v="Yes"/>
    <s v="alexanderryan@example.org"/>
    <s v="+1-549-433-9650x49627"/>
    <d v="2026-03-15T14:31:08"/>
    <m/>
  </r>
  <r>
    <s v="Janice Hamilton"/>
    <n v="100279"/>
    <s v="Engineering"/>
    <d v="2026-05-15T00:00:00"/>
    <x v="5"/>
    <s v="Ann Schmitt"/>
    <s v="Yes"/>
    <s v="javier62@example.net"/>
    <s v="885-442-1880x87991"/>
    <d v="2026-03-05T04:51:08"/>
    <m/>
  </r>
  <r>
    <s v="Misty Solomon"/>
    <n v="101075"/>
    <s v="IT"/>
    <d v="2026-02-26T00:00:00"/>
    <x v="1"/>
    <s v="Mary Duncan"/>
    <s v="Yes"/>
    <s v="mbaker@example.net"/>
    <s v="532-247-2505x83334"/>
    <d v="2026-03-11T19:21:08"/>
    <m/>
  </r>
  <r>
    <s v="Misty Solomon"/>
    <n v="101075"/>
    <s v="IT"/>
    <d v="2026-02-26T00:00:00"/>
    <x v="4"/>
    <s v="Mary Duncan"/>
    <s v="Yes"/>
    <s v="mbaker@example.net"/>
    <s v="532-247-2505x83334"/>
    <d v="2026-03-11T19:21:08"/>
    <m/>
  </r>
  <r>
    <s v="Cynthia Miller"/>
    <n v="100499"/>
    <s v="IT"/>
    <d v="2026-04-12T00:00:00"/>
    <x v="4"/>
    <s v="Sarah Rice"/>
    <s v="No"/>
    <s v="ujohnson@example.com"/>
    <s v="(576)794-7576x945"/>
    <d v="2026-02-02T00:55:08"/>
    <m/>
  </r>
  <r>
    <s v="Cynthia Miller"/>
    <n v="100499"/>
    <s v="IT"/>
    <d v="2026-04-12T00:00:00"/>
    <x v="5"/>
    <s v="Sarah Rice"/>
    <s v="No"/>
    <s v="ujohnson@example.com"/>
    <s v="(576)794-7576x945"/>
    <d v="2026-02-02T00:55:08"/>
    <m/>
  </r>
  <r>
    <s v="Jessica Elliott"/>
    <n v="100225"/>
    <s v="IT"/>
    <d v="2025-11-29T00:00:00"/>
    <x v="3"/>
    <s v="Denise Hughes PhD"/>
    <s v="Yes"/>
    <s v="erivers@example.com"/>
    <s v="242.712.5450"/>
    <d v="2026-03-14T03:13:08"/>
    <m/>
  </r>
  <r>
    <s v="Jessica Elliott"/>
    <n v="100225"/>
    <s v="IT"/>
    <d v="2025-11-29T00:00:00"/>
    <x v="1"/>
    <s v="Denise Hughes PhD"/>
    <s v="Yes"/>
    <s v="erivers@example.com"/>
    <s v="242.712.5450"/>
    <d v="2026-03-14T03:13:08"/>
    <m/>
  </r>
  <r>
    <s v="Taylor Stark"/>
    <n v="100617"/>
    <s v="Marketing"/>
    <d v="2025-09-28T00:00:00"/>
    <x v="1"/>
    <s v="Brandon Peterson"/>
    <s v="No"/>
    <s v="ucarlson@example.com"/>
    <s v="001-966-647-2130"/>
    <d v="2026-02-15T16:41:08"/>
    <m/>
  </r>
  <r>
    <s v="Taylor Stark"/>
    <n v="100617"/>
    <s v="Marketing"/>
    <d v="2025-09-28T00:00:00"/>
    <x v="5"/>
    <s v="Brandon Peterson"/>
    <s v="No"/>
    <s v="ucarlson@example.com"/>
    <s v="001-966-647-2130"/>
    <d v="2026-02-15T16:41:08"/>
    <m/>
  </r>
  <r>
    <s v="Jacob Love"/>
    <n v="100819"/>
    <s v="Engineering"/>
    <d v="2025-06-14T00:00:00"/>
    <x v="0"/>
    <s v="Mrs. Janice Fitzpatrick"/>
    <s v="No"/>
    <s v="brian48@example.net"/>
    <s v="232.961.4543"/>
    <d v="2026-02-17T13:19:08"/>
    <m/>
  </r>
  <r>
    <s v="Jacob Love"/>
    <n v="100819"/>
    <s v="Engineering"/>
    <d v="2025-06-14T00:00:00"/>
    <x v="1"/>
    <s v="Mrs. Janice Fitzpatrick"/>
    <s v="No"/>
    <s v="brian48@example.net"/>
    <s v="232.961.4543"/>
    <d v="2026-02-17T13:19:08"/>
    <m/>
  </r>
  <r>
    <s v="Jacob Love"/>
    <n v="100819"/>
    <s v="Engineering"/>
    <d v="2025-06-14T00:00:00"/>
    <x v="4"/>
    <s v="Mrs. Janice Fitzpatrick"/>
    <s v="No"/>
    <s v="brian48@example.net"/>
    <s v="232.961.4543"/>
    <d v="2026-02-17T13:19:08"/>
    <m/>
  </r>
  <r>
    <s v="Connie Townsend"/>
    <n v="100559"/>
    <s v="HR"/>
    <d v="2026-03-17T00:00:00"/>
    <x v="2"/>
    <s v="Tyler Becker"/>
    <s v="No"/>
    <s v="johnsondebbie@example.net"/>
    <s v="978-352-2115"/>
    <d v="2026-02-01T23:00:08"/>
    <m/>
  </r>
  <r>
    <s v="Connie Townsend"/>
    <n v="100559"/>
    <s v="HR"/>
    <d v="2026-03-17T00:00:00"/>
    <x v="5"/>
    <s v="Tyler Becker"/>
    <s v="No"/>
    <s v="johnsondebbie@example.net"/>
    <s v="978-352-2115"/>
    <d v="2026-02-01T23:00:08"/>
    <m/>
  </r>
  <r>
    <s v="Kristin Flores"/>
    <n v="100752"/>
    <s v="IT"/>
    <d v="2026-01-02T00:00:00"/>
    <x v="3"/>
    <s v="Robert Barrett"/>
    <s v="Yes"/>
    <s v="ryanbullock@example.com"/>
    <s v="447-501-7320x865"/>
    <d v="2026-02-12T16:00:08"/>
    <m/>
  </r>
  <r>
    <s v="Kristin Flores"/>
    <n v="100752"/>
    <s v="IT"/>
    <d v="2026-01-02T00:00:00"/>
    <x v="5"/>
    <s v="Robert Barrett"/>
    <s v="Yes"/>
    <s v="ryanbullock@example.com"/>
    <s v="447-501-7320x865"/>
    <d v="2026-02-12T16:00:08"/>
    <m/>
  </r>
  <r>
    <s v="Julie Anderson"/>
    <n v="101329"/>
    <s v="Operations"/>
    <d v="2025-07-28T00:00:00"/>
    <x v="3"/>
    <s v="Michael Russell"/>
    <s v="No"/>
    <s v="taylorrodriguez@example.org"/>
    <s v="+1-205-427-8105x5800"/>
    <d v="2026-02-26T06:58:08"/>
    <m/>
  </r>
  <r>
    <s v="Julie Anderson"/>
    <n v="101329"/>
    <s v="Operations"/>
    <d v="2025-07-28T00:00:00"/>
    <x v="5"/>
    <s v="Michael Russell"/>
    <s v="No"/>
    <s v="taylorrodriguez@example.org"/>
    <s v="+1-205-427-8105x5800"/>
    <d v="2026-02-26T06:58:08"/>
    <m/>
  </r>
  <r>
    <s v="Mr. Nicholas Jones"/>
    <n v="100551"/>
    <s v="Engineering"/>
    <d v="2025-03-30T00:00:00"/>
    <x v="1"/>
    <s v="Joel Bradford"/>
    <s v="No"/>
    <s v="davidjohnson@example.com"/>
    <s v="291.536.8172"/>
    <d v="2026-02-07T16:59:08"/>
    <m/>
  </r>
  <r>
    <s v="Mr. Nicholas Jones"/>
    <n v="100551"/>
    <s v="Engineering"/>
    <d v="2025-03-30T00:00:00"/>
    <x v="2"/>
    <s v="Joel Bradford"/>
    <s v="No"/>
    <s v="davidjohnson@example.com"/>
    <s v="291.536.8172"/>
    <d v="2026-02-07T16:59:08"/>
    <m/>
  </r>
  <r>
    <s v="Mr. Nicholas Jones"/>
    <n v="100551"/>
    <s v="Engineering"/>
    <d v="2025-03-30T00:00:00"/>
    <x v="4"/>
    <s v="Joel Bradford"/>
    <s v="No"/>
    <s v="davidjohnson@example.com"/>
    <s v="291.536.8172"/>
    <d v="2026-02-07T16:59:08"/>
    <m/>
  </r>
  <r>
    <s v="James Reed"/>
    <n v="101421"/>
    <s v="HR"/>
    <d v="2025-09-26T00:00:00"/>
    <x v="5"/>
    <s v="Kelly Myers"/>
    <s v="No"/>
    <s v="burkejacob@example.net"/>
    <s v="+1-973-552-5953x3222"/>
    <d v="2026-02-22T03:51:08"/>
    <m/>
  </r>
  <r>
    <s v="Cheryl Boyd"/>
    <n v="100399"/>
    <s v="HR"/>
    <d v="2025-04-13T00:00:00"/>
    <x v="0"/>
    <s v="April Cox"/>
    <s v="No"/>
    <s v="yvazquez@example.org"/>
    <s v="(332)236-6185x076"/>
    <d v="2026-02-07T15:01:08"/>
    <m/>
  </r>
  <r>
    <s v="Cheryl Boyd"/>
    <n v="100399"/>
    <s v="HR"/>
    <d v="2025-04-13T00:00:00"/>
    <x v="3"/>
    <s v="April Cox"/>
    <s v="No"/>
    <s v="yvazquez@example.org"/>
    <s v="(332)236-6185x076"/>
    <d v="2026-02-07T15:01:08"/>
    <m/>
  </r>
  <r>
    <s v="Cheryl Boyd"/>
    <n v="100399"/>
    <s v="HR"/>
    <d v="2025-04-13T00:00:00"/>
    <x v="4"/>
    <s v="April Cox"/>
    <s v="No"/>
    <s v="yvazquez@example.org"/>
    <s v="(332)236-6185x076"/>
    <d v="2026-02-07T15:01:08"/>
    <m/>
  </r>
  <r>
    <s v="Judy Dixon"/>
    <n v="100771"/>
    <s v="Engineering"/>
    <d v="2025-08-19T00:00:00"/>
    <x v="1"/>
    <s v="Jonathan Moyer"/>
    <s v="Yes"/>
    <s v="mariagonzalez@example.org"/>
    <s v="507-412-6158"/>
    <d v="2026-03-14T23:32:08"/>
    <m/>
  </r>
  <r>
    <s v="Tracey Vasquez"/>
    <n v="101109"/>
    <s v="HR"/>
    <d v="2025-04-04T00:00:00"/>
    <x v="0"/>
    <s v="Lorraine Leblanc"/>
    <s v="No"/>
    <s v="amanda46@example.com"/>
    <s v="457.442.2332"/>
    <d v="2026-02-27T17:13:08"/>
    <m/>
  </r>
  <r>
    <s v="Tracey Vasquez"/>
    <n v="101109"/>
    <s v="HR"/>
    <d v="2025-04-04T00:00:00"/>
    <x v="5"/>
    <s v="Lorraine Leblanc"/>
    <s v="No"/>
    <s v="amanda46@example.com"/>
    <s v="457.442.2332"/>
    <d v="2026-02-27T17:13:08"/>
    <m/>
  </r>
  <r>
    <s v="Katie Walters"/>
    <n v="100360"/>
    <s v="IT"/>
    <d v="2026-01-11T00:00:00"/>
    <x v="1"/>
    <s v="Dorothy Osborn"/>
    <s v="No"/>
    <s v="ann92@example.net"/>
    <s v="+1-522-956-0629x53506"/>
    <d v="2026-02-08T04:35:08"/>
    <m/>
  </r>
  <r>
    <s v="Dana Wyatt"/>
    <n v="101390"/>
    <s v="HR"/>
    <d v="2026-01-03T00:00:00"/>
    <x v="5"/>
    <s v="Anthony Sanders"/>
    <s v="Yes"/>
    <s v="phill@example.org"/>
    <s v="453.884.1852x0136"/>
    <d v="2026-01-30T18:52:08"/>
    <m/>
  </r>
  <r>
    <s v="Katie Mitchell"/>
    <n v="101171"/>
    <s v="Finance"/>
    <d v="2025-09-04T00:00:00"/>
    <x v="3"/>
    <s v="Kenneth Cortez"/>
    <s v="Yes"/>
    <s v="paul54@example.com"/>
    <s v="3558491215"/>
    <d v="2026-02-05T07:41:08"/>
    <m/>
  </r>
  <r>
    <s v="Katie Mitchell"/>
    <n v="101171"/>
    <s v="Finance"/>
    <d v="2025-09-04T00:00:00"/>
    <x v="1"/>
    <s v="Kenneth Cortez"/>
    <s v="Yes"/>
    <s v="paul54@example.com"/>
    <s v="3558491215"/>
    <d v="2026-02-05T07:41:08"/>
    <m/>
  </r>
  <r>
    <s v="Debra Jones"/>
    <n v="101045"/>
    <s v="HR"/>
    <d v="2025-10-25T00:00:00"/>
    <x v="5"/>
    <s v="Megan Rivera"/>
    <s v="Yes"/>
    <s v="andre19@example.net"/>
    <s v="(493)295-7875x2070"/>
    <d v="2026-02-10T10:36:08"/>
    <m/>
  </r>
  <r>
    <s v="Jeffrey Moore"/>
    <n v="100962"/>
    <s v="HR"/>
    <d v="2025-07-29T00:00:00"/>
    <x v="1"/>
    <s v="Marcus Pearson"/>
    <s v="No"/>
    <s v="taylordorothy@example.org"/>
    <s v="213-993-6967x8976"/>
    <d v="2026-03-01T20:35:08"/>
    <m/>
  </r>
  <r>
    <s v="Christopher Henry"/>
    <n v="101302"/>
    <s v="Engineering"/>
    <d v="2026-03-18T00:00:00"/>
    <x v="3"/>
    <s v="Mr. Lance Townsend"/>
    <s v="No"/>
    <s v="samuelprice@example.org"/>
    <s v="659.588.9786x533"/>
    <d v="2026-03-11T22:34:08"/>
    <m/>
  </r>
  <r>
    <s v="Christopher Henry"/>
    <n v="101302"/>
    <s v="Engineering"/>
    <d v="2026-03-18T00:00:00"/>
    <x v="1"/>
    <s v="Mr. Lance Townsend"/>
    <s v="No"/>
    <s v="samuelprice@example.org"/>
    <s v="659.588.9786x533"/>
    <d v="2026-03-11T22:34:08"/>
    <m/>
  </r>
  <r>
    <s v="Christopher Henry"/>
    <n v="101302"/>
    <s v="Engineering"/>
    <d v="2026-03-18T00:00:00"/>
    <x v="2"/>
    <s v="Mr. Lance Townsend"/>
    <s v="No"/>
    <s v="samuelprice@example.org"/>
    <s v="659.588.9786x533"/>
    <d v="2026-03-11T22:34:08"/>
    <m/>
  </r>
  <r>
    <s v="Brandon Carrillo"/>
    <n v="100020"/>
    <s v="IT"/>
    <d v="2025-11-14T00:00:00"/>
    <x v="1"/>
    <s v="Colin Mckay"/>
    <s v="Yes"/>
    <s v="hunter12@example.org"/>
    <s v="(619)615-0576"/>
    <d v="2026-02-03T07:36:08"/>
    <m/>
  </r>
  <r>
    <s v="Brandon Carrillo"/>
    <n v="100020"/>
    <s v="IT"/>
    <d v="2025-11-14T00:00:00"/>
    <x v="4"/>
    <s v="Colin Mckay"/>
    <s v="Yes"/>
    <s v="hunter12@example.org"/>
    <s v="(619)615-0576"/>
    <d v="2026-02-03T07:36:08"/>
    <m/>
  </r>
  <r>
    <s v="Joy Dorsey"/>
    <n v="101386"/>
    <s v="IT"/>
    <d v="2026-05-01T00:00:00"/>
    <x v="3"/>
    <s v="Michael Smith"/>
    <s v="No"/>
    <s v="ddonaldson@example.com"/>
    <s v="848-567-6497x9741"/>
    <d v="2026-03-04T03:46:08"/>
    <m/>
  </r>
  <r>
    <s v="Joy Dorsey"/>
    <n v="101386"/>
    <s v="IT"/>
    <d v="2026-05-01T00:00:00"/>
    <x v="5"/>
    <s v="Michael Smith"/>
    <s v="No"/>
    <s v="ddonaldson@example.com"/>
    <s v="848-567-6497x9741"/>
    <d v="2026-03-04T03:46:08"/>
    <m/>
  </r>
  <r>
    <s v="Gregory Vazquez"/>
    <n v="100598"/>
    <s v="Operations"/>
    <d v="2025-07-22T00:00:00"/>
    <x v="3"/>
    <s v="Scott Johnson"/>
    <s v="Yes"/>
    <s v="usanchez@example.net"/>
    <s v="473.909.6496"/>
    <d v="2026-02-03T17:54:08"/>
    <m/>
  </r>
  <r>
    <s v="Gregory Vazquez"/>
    <n v="100598"/>
    <s v="Operations"/>
    <d v="2025-07-22T00:00:00"/>
    <x v="4"/>
    <s v="Scott Johnson"/>
    <s v="Yes"/>
    <s v="usanchez@example.net"/>
    <s v="473.909.6496"/>
    <d v="2026-02-03T17:54:08"/>
    <m/>
  </r>
  <r>
    <s v="Gregory Vazquez"/>
    <n v="100598"/>
    <s v="Operations"/>
    <d v="2025-07-22T00:00:00"/>
    <x v="5"/>
    <s v="Scott Johnson"/>
    <s v="Yes"/>
    <s v="usanchez@example.net"/>
    <s v="473.909.6496"/>
    <d v="2026-02-03T17:54:08"/>
    <m/>
  </r>
  <r>
    <s v="Brian Reid"/>
    <n v="101235"/>
    <s v="IT"/>
    <d v="2025-06-19T00:00:00"/>
    <x v="0"/>
    <s v="Brenda Dominguez"/>
    <s v="No"/>
    <s v="manuelwilliams@example.com"/>
    <s v="001-470-925-5128"/>
    <d v="2026-02-03T23:43:08"/>
    <m/>
  </r>
  <r>
    <s v="Brian Reid"/>
    <n v="101235"/>
    <s v="IT"/>
    <d v="2025-06-19T00:00:00"/>
    <x v="4"/>
    <s v="Brenda Dominguez"/>
    <s v="No"/>
    <s v="manuelwilliams@example.com"/>
    <s v="001-470-925-5128"/>
    <d v="2026-02-03T23:43:08"/>
    <m/>
  </r>
  <r>
    <s v="Brian Reid"/>
    <n v="101235"/>
    <s v="IT"/>
    <d v="2025-06-19T00:00:00"/>
    <x v="5"/>
    <s v="Brenda Dominguez"/>
    <s v="No"/>
    <s v="manuelwilliams@example.com"/>
    <s v="001-470-925-5128"/>
    <d v="2026-02-03T23:43:08"/>
    <m/>
  </r>
  <r>
    <s v="Daniel Evans"/>
    <n v="100398"/>
    <s v="IT"/>
    <d v="2026-04-13T00:00:00"/>
    <x v="3"/>
    <s v="Dr. Lisa Hendricks"/>
    <s v="Yes"/>
    <s v="cheryl54@example.com"/>
    <s v="+1-863-545-4434x41491"/>
    <d v="2026-02-21T02:07:08"/>
    <m/>
  </r>
  <r>
    <s v="Daniel Evans"/>
    <n v="100398"/>
    <s v="IT"/>
    <d v="2026-04-13T00:00:00"/>
    <x v="2"/>
    <s v="Dr. Lisa Hendricks"/>
    <s v="Yes"/>
    <s v="cheryl54@example.com"/>
    <s v="+1-863-545-4434x41491"/>
    <d v="2026-02-21T02:07:08"/>
    <m/>
  </r>
  <r>
    <s v="Dana Thornton"/>
    <n v="101241"/>
    <s v="Marketing"/>
    <d v="2025-07-17T00:00:00"/>
    <x v="0"/>
    <s v="Desiree Hayes"/>
    <s v="No"/>
    <s v="baileynelson@example.com"/>
    <s v="408-982-2309x586"/>
    <d v="2026-02-17T03:54:08"/>
    <m/>
  </r>
  <r>
    <s v="Colleen Johnston"/>
    <n v="100852"/>
    <s v="HR"/>
    <d v="2026-05-15T00:00:00"/>
    <x v="0"/>
    <s v="Maria Khan"/>
    <s v="Yes"/>
    <s v="cory21@example.org"/>
    <s v="001-597-620-2170x75485"/>
    <d v="2026-02-18T08:48:08"/>
    <m/>
  </r>
  <r>
    <s v="Rachel Wood"/>
    <n v="100211"/>
    <s v="HR"/>
    <d v="2026-02-09T00:00:00"/>
    <x v="1"/>
    <s v="Kevin Villarreal"/>
    <s v="Yes"/>
    <s v="benjaminsmith@example.com"/>
    <s v="496-746-1293x900"/>
    <d v="2026-02-19T09:46:08"/>
    <m/>
  </r>
  <r>
    <s v="Richard Harris"/>
    <n v="100063"/>
    <s v="Marketing"/>
    <d v="2025-05-31T00:00:00"/>
    <x v="2"/>
    <s v="Felicia Long"/>
    <s v="Yes"/>
    <s v="allison96@example.org"/>
    <s v="695-570-8619x93145"/>
    <d v="2026-02-25T02:04:08"/>
    <m/>
  </r>
  <r>
    <s v="Garrett Hughes"/>
    <n v="100730"/>
    <s v="IT"/>
    <d v="2025-12-27T00:00:00"/>
    <x v="2"/>
    <s v="Daniel Weaver"/>
    <s v="Yes"/>
    <s v="brandon34@example.org"/>
    <s v="662.420.3347"/>
    <d v="2026-03-06T08:36:08"/>
    <s v="Duplicate Employee ID"/>
  </r>
  <r>
    <s v="Garrett Hughes"/>
    <n v="100730"/>
    <s v="IT"/>
    <d v="2025-12-27T00:00:00"/>
    <x v="5"/>
    <s v="Daniel Weaver"/>
    <s v="Yes"/>
    <s v="brandon34@example.org"/>
    <s v="662.420.3347"/>
    <d v="2026-03-06T08:36:08"/>
    <s v="Duplicate Employee ID"/>
  </r>
  <r>
    <s v="Daniel Rodriguez"/>
    <n v="100477"/>
    <s v="Marketing"/>
    <d v="2025-03-30T00:00:00"/>
    <x v="3"/>
    <s v="Matthew Klein"/>
    <s v="Yes"/>
    <s v="sgordon@example.net"/>
    <s v="+1-368-900-8529x46902"/>
    <d v="2026-02-03T16:28:08"/>
    <m/>
  </r>
  <r>
    <s v="Daniel Rodriguez"/>
    <n v="100477"/>
    <s v="Marketing"/>
    <d v="2025-03-30T00:00:00"/>
    <x v="1"/>
    <s v="Matthew Klein"/>
    <s v="Yes"/>
    <s v="sgordon@example.net"/>
    <s v="+1-368-900-8529x46902"/>
    <d v="2026-02-03T16:28:08"/>
    <m/>
  </r>
  <r>
    <s v="Dustin Owens"/>
    <n v="100555"/>
    <s v="IT"/>
    <d v="2026-04-20T00:00:00"/>
    <x v="2"/>
    <s v="Andrew Clark"/>
    <s v="Yes"/>
    <s v="brian38@example.com"/>
    <s v="4229894665"/>
    <d v="2026-02-23T21:22:08"/>
    <m/>
  </r>
  <r>
    <s v="Monica Molina"/>
    <n v="101304"/>
    <s v="HR"/>
    <d v="2025-04-17T00:00:00"/>
    <x v="1"/>
    <s v="Christina Anderson"/>
    <s v="No"/>
    <s v="cindyhall@example.org"/>
    <s v="5252691330"/>
    <d v="2026-03-08T09:51:08"/>
    <m/>
  </r>
  <r>
    <s v="Monica Molina"/>
    <n v="101304"/>
    <s v="HR"/>
    <d v="2025-04-17T00:00:00"/>
    <x v="2"/>
    <s v="Christina Anderson"/>
    <s v="No"/>
    <s v="cindyhall@example.org"/>
    <s v="5252691330"/>
    <d v="2026-03-08T09:51:08"/>
    <m/>
  </r>
  <r>
    <s v="David Mcdonald"/>
    <n v="100417"/>
    <s v="Marketing"/>
    <d v="2026-01-02T00:00:00"/>
    <x v="3"/>
    <s v="Michael Santiago"/>
    <s v="No"/>
    <s v="xlogan@example.org"/>
    <s v="762.579.9553x024"/>
    <d v="2026-03-11T09:47:08"/>
    <m/>
  </r>
  <r>
    <s v="David Mcdonald"/>
    <n v="100417"/>
    <s v="Marketing"/>
    <d v="2026-01-02T00:00:00"/>
    <x v="1"/>
    <s v="Michael Santiago"/>
    <s v="No"/>
    <s v="xlogan@example.org"/>
    <s v="762.579.9553x024"/>
    <d v="2026-03-11T09:47:08"/>
    <m/>
  </r>
  <r>
    <s v="David Mcdonald"/>
    <n v="100417"/>
    <s v="Marketing"/>
    <d v="2026-01-02T00:00:00"/>
    <x v="2"/>
    <s v="Michael Santiago"/>
    <s v="No"/>
    <s v="xlogan@example.org"/>
    <s v="762.579.9553x024"/>
    <d v="2026-03-11T09:47:08"/>
    <m/>
  </r>
  <r>
    <s v="Todd Thompson"/>
    <n v="100965"/>
    <s v="IT"/>
    <d v="2025-05-17T00:00:00"/>
    <x v="3"/>
    <s v="Kevin Hammond"/>
    <s v="No"/>
    <s v="bjackson@example.org"/>
    <s v="420-428-4719x017"/>
    <d v="2026-03-01T03:28:08"/>
    <m/>
  </r>
  <r>
    <s v="Todd Thompson"/>
    <n v="100965"/>
    <s v="IT"/>
    <d v="2025-05-17T00:00:00"/>
    <x v="1"/>
    <s v="Kevin Hammond"/>
    <s v="No"/>
    <s v="bjackson@example.org"/>
    <s v="420-428-4719x017"/>
    <d v="2026-03-01T03:28:08"/>
    <m/>
  </r>
  <r>
    <s v="Brandi Williams"/>
    <n v="101418"/>
    <s v="Finance"/>
    <d v="2025-05-28T00:00:00"/>
    <x v="4"/>
    <s v="Jeffrey Johns"/>
    <s v="Yes"/>
    <s v="qhendricks@example.net"/>
    <s v="+1-471-677-5461"/>
    <d v="2026-02-27T02:54:08"/>
    <m/>
  </r>
  <r>
    <s v="Ian Weaver"/>
    <n v="101136"/>
    <s v="Operations"/>
    <d v="2025-07-24T00:00:00"/>
    <x v="1"/>
    <s v="Tami Moore"/>
    <s v="Yes"/>
    <s v="vfuller@example.net"/>
    <s v="822-659-0956"/>
    <d v="2026-02-23T23:17:08"/>
    <m/>
  </r>
  <r>
    <s v="Ian Weaver"/>
    <n v="101136"/>
    <s v="Operations"/>
    <d v="2025-07-24T00:00:00"/>
    <x v="2"/>
    <s v="Tami Moore"/>
    <s v="Yes"/>
    <s v="vfuller@example.net"/>
    <s v="822-659-0956"/>
    <d v="2026-02-23T23:17:08"/>
    <m/>
  </r>
  <r>
    <s v="Ian Weaver"/>
    <n v="101136"/>
    <s v="Operations"/>
    <d v="2025-07-24T00:00:00"/>
    <x v="5"/>
    <s v="Tami Moore"/>
    <s v="Yes"/>
    <s v="vfuller@example.net"/>
    <s v="822-659-0956"/>
    <d v="2026-02-23T23:17:08"/>
    <m/>
  </r>
  <r>
    <s v="Suzanne Hardy"/>
    <n v="100723"/>
    <s v="Operations"/>
    <d v="2025-11-14T00:00:00"/>
    <x v="0"/>
    <s v="David Wright"/>
    <s v="No"/>
    <s v="shannonhammond@example.org"/>
    <s v="(212)511-0187"/>
    <d v="2026-02-14T05:21:08"/>
    <m/>
  </r>
  <r>
    <s v="Suzanne Hardy"/>
    <n v="100723"/>
    <s v="Operations"/>
    <d v="2025-11-14T00:00:00"/>
    <x v="1"/>
    <s v="David Wright"/>
    <s v="No"/>
    <s v="shannonhammond@example.org"/>
    <s v="(212)511-0187"/>
    <d v="2026-02-14T05:21:08"/>
    <m/>
  </r>
  <r>
    <s v="Suzanne Hardy"/>
    <n v="100723"/>
    <s v="Operations"/>
    <d v="2025-11-14T00:00:00"/>
    <x v="4"/>
    <s v="David Wright"/>
    <s v="No"/>
    <s v="shannonhammond@example.org"/>
    <s v="(212)511-0187"/>
    <d v="2026-02-14T05:21:08"/>
    <m/>
  </r>
  <r>
    <s v="Vickie Tran"/>
    <n v="100156"/>
    <s v="HR"/>
    <d v="2025-03-26T00:00:00"/>
    <x v="0"/>
    <s v="Natalie Williams"/>
    <s v="Yes"/>
    <s v="gibsonbrandon@example.com"/>
    <s v="703-392-5199x9452"/>
    <d v="2026-02-27T23:03:08"/>
    <m/>
  </r>
  <r>
    <s v="Vickie Tran"/>
    <n v="100156"/>
    <s v="HR"/>
    <d v="2025-03-26T00:00:00"/>
    <x v="3"/>
    <s v="Natalie Williams"/>
    <s v="Yes"/>
    <s v="gibsonbrandon@example.com"/>
    <s v="703-392-5199x9452"/>
    <d v="2026-02-27T23:03:08"/>
    <m/>
  </r>
  <r>
    <s v="Vickie Tran"/>
    <n v="100156"/>
    <s v="HR"/>
    <d v="2025-03-26T00:00:00"/>
    <x v="2"/>
    <s v="Natalie Williams"/>
    <s v="Yes"/>
    <s v="gibsonbrandon@example.com"/>
    <s v="703-392-5199x9452"/>
    <d v="2026-02-27T23:03:08"/>
    <m/>
  </r>
  <r>
    <s v="Christopher Thomas MD"/>
    <n v="100710"/>
    <s v="Operations"/>
    <d v="2025-08-21T00:00:00"/>
    <x v="0"/>
    <s v="David Robinson"/>
    <s v="Yes"/>
    <s v="bwhite@example.com"/>
    <s v="222-516-2654x9633"/>
    <d v="2026-02-16T04:39:08"/>
    <m/>
  </r>
  <r>
    <s v="Christopher Thomas MD"/>
    <n v="100710"/>
    <s v="Operations"/>
    <d v="2025-08-21T00:00:00"/>
    <x v="1"/>
    <s v="David Robinson"/>
    <s v="Yes"/>
    <s v="bwhite@example.com"/>
    <s v="222-516-2654x9633"/>
    <d v="2026-02-16T04:39:08"/>
    <m/>
  </r>
  <r>
    <s v="Christopher Thomas MD"/>
    <n v="100710"/>
    <s v="Operations"/>
    <d v="2025-08-21T00:00:00"/>
    <x v="2"/>
    <s v="David Robinson"/>
    <s v="Yes"/>
    <s v="bwhite@example.com"/>
    <s v="222-516-2654x9633"/>
    <d v="2026-02-16T04:39:08"/>
    <m/>
  </r>
  <r>
    <s v="Dylan Turner"/>
    <n v="101026"/>
    <s v="Engineering"/>
    <d v="2025-10-03T00:00:00"/>
    <x v="1"/>
    <s v="Sandra Torres"/>
    <s v="Yes"/>
    <s v="lromero@example.com"/>
    <s v="7473020596"/>
    <d v="2026-02-25T10:44:08"/>
    <m/>
  </r>
  <r>
    <s v="Dylan Turner"/>
    <n v="101026"/>
    <s v="Engineering"/>
    <d v="2025-10-03T00:00:00"/>
    <x v="2"/>
    <s v="Sandra Torres"/>
    <s v="Yes"/>
    <s v="lromero@example.com"/>
    <s v="7473020596"/>
    <d v="2026-02-25T10:44:08"/>
    <m/>
  </r>
  <r>
    <s v="Sheri Lopez"/>
    <n v="101048"/>
    <s v="Marketing"/>
    <d v="2025-10-26T00:00:00"/>
    <x v="1"/>
    <s v="Kathleen Hanson"/>
    <s v="No"/>
    <s v="raywalters@example.org"/>
    <s v="(995)763-4277"/>
    <d v="2026-03-11T01:08:08"/>
    <m/>
  </r>
  <r>
    <s v="Sheri Lopez"/>
    <n v="101048"/>
    <s v="Marketing"/>
    <d v="2025-10-26T00:00:00"/>
    <x v="2"/>
    <s v="Kathleen Hanson"/>
    <s v="No"/>
    <s v="raywalters@example.org"/>
    <s v="(995)763-4277"/>
    <d v="2026-03-11T01:08:08"/>
    <m/>
  </r>
  <r>
    <s v="Sheri Lopez"/>
    <n v="101048"/>
    <s v="Marketing"/>
    <d v="2025-10-26T00:00:00"/>
    <x v="5"/>
    <s v="Kathleen Hanson"/>
    <s v="No"/>
    <s v="raywalters@example.org"/>
    <s v="(995)763-4277"/>
    <d v="2026-03-11T01:08:08"/>
    <m/>
  </r>
  <r>
    <s v="Caitlin Howard"/>
    <n v="101201"/>
    <s v="IT"/>
    <d v="2026-03-28T00:00:00"/>
    <x v="1"/>
    <s v="Jason Blackwell"/>
    <s v="Yes"/>
    <s v="amy29@example.org"/>
    <s v="7598229411"/>
    <d v="2026-03-05T18:04:08"/>
    <m/>
  </r>
  <r>
    <s v="Caitlin Howard"/>
    <n v="101201"/>
    <s v="IT"/>
    <d v="2026-03-28T00:00:00"/>
    <x v="5"/>
    <s v="Jason Blackwell"/>
    <s v="Yes"/>
    <s v="amy29@example.org"/>
    <s v="7598229411"/>
    <d v="2026-03-05T18:04:08"/>
    <m/>
  </r>
  <r>
    <s v="Christian Stewart"/>
    <n v="101406"/>
    <s v="Finance"/>
    <d v="2025-11-30T00:00:00"/>
    <x v="1"/>
    <s v="Meredith Morales"/>
    <s v="No"/>
    <s v="qsanchez@example.net"/>
    <s v="(362)794-2066"/>
    <d v="2026-02-05T23:13:08"/>
    <s v="Extra Name Spaces"/>
  </r>
  <r>
    <s v="Loretta Johnson"/>
    <n v="100082"/>
    <s v="HR"/>
    <d v="2025-11-03T00:00:00"/>
    <x v="0"/>
    <s v="Gina Lee"/>
    <s v="No"/>
    <s v="walkeramanda@example.org"/>
    <s v="4493832112"/>
    <d v="2026-02-03T13:16:08"/>
    <m/>
  </r>
  <r>
    <s v="Loretta Johnson"/>
    <n v="100082"/>
    <s v="HR"/>
    <d v="2025-11-03T00:00:00"/>
    <x v="2"/>
    <s v="Gina Lee"/>
    <s v="No"/>
    <s v="walkeramanda@example.org"/>
    <s v="4493832112"/>
    <d v="2026-02-03T13:16:08"/>
    <m/>
  </r>
  <r>
    <s v="Loretta Johnson"/>
    <n v="100082"/>
    <s v="HR"/>
    <d v="2025-11-03T00:00:00"/>
    <x v="4"/>
    <s v="Gina Lee"/>
    <s v="No"/>
    <s v="walkeramanda@example.org"/>
    <s v="4493832112"/>
    <d v="2026-02-03T13:16:08"/>
    <m/>
  </r>
  <r>
    <s v="Carrie Jones"/>
    <n v="100553"/>
    <s v="Engineering"/>
    <d v="2025-10-07T00:00:00"/>
    <x v="0"/>
    <s v="Kayla Buck"/>
    <s v="No"/>
    <s v="dawsonamanda@example.com"/>
    <s v="+1-368-776-4019"/>
    <d v="2026-02-23T22:15:08"/>
    <m/>
  </r>
  <r>
    <s v="Joshua Price"/>
    <n v="101364"/>
    <m/>
    <d v="2025-05-11T00:00:00"/>
    <x v="4"/>
    <s v="Nicole Hood DDS"/>
    <s v="Yes"/>
    <s v="nortongregory@example.net"/>
    <s v="378.873.5856x6464"/>
    <d v="2026-02-05T18:30:08"/>
    <s v="Missing Department"/>
  </r>
  <r>
    <s v="Claudia Barrett"/>
    <n v="100986"/>
    <s v="Operations"/>
    <d v="2026-04-25T00:00:00"/>
    <x v="0"/>
    <s v="Charles Conrad"/>
    <s v="Yes"/>
    <s v="haroldlee@example.org"/>
    <s v="310-342-9483x1478"/>
    <d v="2026-02-28T11:59:08"/>
    <m/>
  </r>
  <r>
    <s v="Claudia Barrett"/>
    <n v="100986"/>
    <s v="Operations"/>
    <d v="2026-04-25T00:00:00"/>
    <x v="5"/>
    <s v="Charles Conrad"/>
    <s v="Yes"/>
    <s v="haroldlee@example.org"/>
    <s v="310-342-9483x1478"/>
    <d v="2026-02-28T11:59:08"/>
    <m/>
  </r>
  <r>
    <s v="Lucas Hernandez"/>
    <n v="100278"/>
    <s v="IT"/>
    <d v="2026-05-13T00:00:00"/>
    <x v="1"/>
    <s v="Leah Wheeler"/>
    <s v="Yes"/>
    <s v="barbara81@example.net"/>
    <s v="(883)818-0036"/>
    <d v="2026-02-18T05:22:08"/>
    <m/>
  </r>
  <r>
    <s v="Lucas Hernandez"/>
    <n v="100278"/>
    <s v="IT"/>
    <d v="2026-05-13T00:00:00"/>
    <x v="4"/>
    <s v="Leah Wheeler"/>
    <s v="Yes"/>
    <s v="barbara81@example.net"/>
    <s v="(883)818-0036"/>
    <d v="2026-02-18T05:22:08"/>
    <m/>
  </r>
  <r>
    <s v="Michael Jackson"/>
    <n v="100981"/>
    <m/>
    <d v="2025-10-03T00:00:00"/>
    <x v="3"/>
    <s v="Aaron Mayer"/>
    <s v="Yes"/>
    <s v="amberlee@example.com"/>
    <s v="510.250.5243"/>
    <d v="2026-03-14T22:51:08"/>
    <s v="Missing Department"/>
  </r>
  <r>
    <s v="Michael Jackson"/>
    <n v="100981"/>
    <m/>
    <d v="2025-10-03T00:00:00"/>
    <x v="4"/>
    <s v="Aaron Mayer"/>
    <s v="Yes"/>
    <s v="amberlee@example.com"/>
    <s v="510.250.5243"/>
    <d v="2026-03-14T22:51:08"/>
    <s v="Missing Department"/>
  </r>
  <r>
    <s v="Kristen Martin"/>
    <n v="101491"/>
    <s v="IT"/>
    <d v="2026-01-30T00:00:00"/>
    <x v="2"/>
    <s v="Robert Jackson"/>
    <s v="No"/>
    <s v="brownraymond@example.net"/>
    <s v="(927)863-3283x89633"/>
    <d v="2026-03-04T08:58:08"/>
    <m/>
  </r>
  <r>
    <s v="Angela Rogers"/>
    <n v="100730"/>
    <s v="Marketing"/>
    <d v="2025-04-10T00:00:00"/>
    <x v="3"/>
    <s v="Mark Daniels"/>
    <s v="No"/>
    <s v="dthompson@example.org"/>
    <s v="468.541.0132"/>
    <d v="2026-03-07T14:52:08"/>
    <m/>
  </r>
  <r>
    <s v="Angela Rogers"/>
    <n v="100730"/>
    <s v="Marketing"/>
    <d v="2025-04-10T00:00:00"/>
    <x v="5"/>
    <s v="Mark Daniels"/>
    <s v="No"/>
    <s v="dthompson@example.org"/>
    <s v="468.541.0132"/>
    <d v="2026-03-07T14:52:08"/>
    <m/>
  </r>
  <r>
    <s v="Michelle Hernandez"/>
    <n v="101079"/>
    <s v="HR"/>
    <d v="2025-06-11T00:00:00"/>
    <x v="0"/>
    <s v="Sarah Simon"/>
    <s v="No"/>
    <s v="michaellopez@example.net"/>
    <s v="+1-818-775-0677x610"/>
    <d v="2026-02-01T01:02:08"/>
    <m/>
  </r>
  <r>
    <s v="Michelle Hernandez"/>
    <n v="101079"/>
    <s v="HR"/>
    <d v="2025-06-11T00:00:00"/>
    <x v="2"/>
    <s v="Sarah Simon"/>
    <s v="No"/>
    <s v="michaellopez@example.net"/>
    <s v="+1-818-775-0677x610"/>
    <d v="2026-02-01T01:02:08"/>
    <m/>
  </r>
  <r>
    <s v="Michelle Hernandez"/>
    <n v="101079"/>
    <s v="HR"/>
    <d v="2025-06-11T00:00:00"/>
    <x v="5"/>
    <s v="Sarah Simon"/>
    <s v="No"/>
    <s v="michaellopez@example.net"/>
    <s v="+1-818-775-0677x610"/>
    <d v="2026-02-01T01:02:08"/>
    <m/>
  </r>
  <r>
    <s v="Carol Walters"/>
    <n v="100450"/>
    <s v="Marketing"/>
    <d v="2025-07-08T00:00:00"/>
    <x v="0"/>
    <s v="Kelly Chase"/>
    <s v="No"/>
    <s v="john19@example.org"/>
    <s v="597.661.7815x969"/>
    <d v="2026-02-13T04:52:08"/>
    <m/>
  </r>
  <r>
    <s v="Carol Walters"/>
    <n v="100450"/>
    <s v="Marketing"/>
    <d v="2025-07-08T00:00:00"/>
    <x v="1"/>
    <s v="Kelly Chase"/>
    <s v="No"/>
    <s v="john19@example.org"/>
    <s v="597.661.7815x969"/>
    <d v="2026-02-13T04:52:08"/>
    <m/>
  </r>
  <r>
    <s v="Carol Walters"/>
    <n v="100450"/>
    <s v="Marketing"/>
    <d v="2025-07-08T00:00:00"/>
    <x v="4"/>
    <s v="Kelly Chase"/>
    <s v="No"/>
    <s v="john19@example.org"/>
    <s v="597.661.7815x969"/>
    <d v="2026-02-13T04:52:08"/>
    <m/>
  </r>
  <r>
    <s v="Jonathan Navarro"/>
    <n v="100281"/>
    <s v="Marketing"/>
    <d v="2025-10-22T00:00:00"/>
    <x v="3"/>
    <s v="Mike Dennis"/>
    <s v="Yes"/>
    <s v="sbennett@example.com"/>
    <s v="+1-962-595-9125"/>
    <d v="2026-02-25T18:48:08"/>
    <m/>
  </r>
  <r>
    <s v="Jordan Cunningham"/>
    <n v="100244"/>
    <s v="Finance"/>
    <d v="2025-10-16T00:00:00"/>
    <x v="5"/>
    <s v="Gwendolyn Walker"/>
    <s v="Yes"/>
    <s v="emily07@example.net"/>
    <s v="629-390-7472x9669"/>
    <d v="2026-03-15T08:00:08"/>
    <m/>
  </r>
  <r>
    <s v="Laura Sanders"/>
    <n v="100641"/>
    <s v="Finance"/>
    <d v="2025-07-14T00:00:00"/>
    <x v="1"/>
    <s v="Aaron Casey"/>
    <s v="No"/>
    <s v="rparker@example.com"/>
    <s v="685-399-4641x839"/>
    <d v="2026-03-11T17:33:08"/>
    <m/>
  </r>
  <r>
    <s v="Laura Sanders"/>
    <n v="100641"/>
    <s v="Finance"/>
    <d v="2025-07-14T00:00:00"/>
    <x v="4"/>
    <s v="Aaron Casey"/>
    <s v="No"/>
    <s v="rparker@example.com"/>
    <s v="685-399-4641x839"/>
    <d v="2026-03-11T17:33:08"/>
    <m/>
  </r>
  <r>
    <s v="Laura Sanders"/>
    <n v="100641"/>
    <s v="Finance"/>
    <d v="2025-07-14T00:00:00"/>
    <x v="5"/>
    <s v="Aaron Casey"/>
    <s v="No"/>
    <s v="rparker@example.com"/>
    <s v="685-399-4641x839"/>
    <d v="2026-03-11T17:33:08"/>
    <m/>
  </r>
  <r>
    <s v="David Combs"/>
    <n v="100496"/>
    <s v="IT"/>
    <d v="2025-05-23T00:00:00"/>
    <x v="0"/>
    <s v="Lori Clark"/>
    <s v="Yes"/>
    <s v="osbornkelly@example.net"/>
    <s v="+1-804-245-0928"/>
    <d v="2026-01-30T04:49:08"/>
    <m/>
  </r>
  <r>
    <s v="David Combs"/>
    <n v="100496"/>
    <s v="IT"/>
    <d v="2025-05-23T00:00:00"/>
    <x v="5"/>
    <s v="Lori Clark"/>
    <s v="Yes"/>
    <s v="osbornkelly@example.net"/>
    <s v="+1-804-245-0928"/>
    <d v="2026-01-30T04:49:08"/>
    <m/>
  </r>
  <r>
    <s v="Christopher Houston"/>
    <n v="100533"/>
    <s v="Operations"/>
    <d v="2026-03-27T00:00:00"/>
    <x v="3"/>
    <s v="Mrs. Brenda Ellis"/>
    <s v="Yes"/>
    <s v="jross@example.net"/>
    <s v="3085248458"/>
    <d v="2026-03-13T06:33:08"/>
    <m/>
  </r>
  <r>
    <s v="Christopher Houston"/>
    <n v="100533"/>
    <s v="Operations"/>
    <d v="2026-03-27T00:00:00"/>
    <x v="1"/>
    <s v="Mrs. Brenda Ellis"/>
    <s v="Yes"/>
    <s v="jross@example.net"/>
    <s v="3085248458"/>
    <d v="2026-03-13T06:33:08"/>
    <m/>
  </r>
  <r>
    <s v="Christopher Houston"/>
    <n v="100533"/>
    <s v="Operations"/>
    <d v="2026-03-27T00:00:00"/>
    <x v="2"/>
    <s v="Mrs. Brenda Ellis"/>
    <s v="Yes"/>
    <s v="jross@example.net"/>
    <s v="3085248458"/>
    <d v="2026-03-13T06:33:08"/>
    <m/>
  </r>
  <r>
    <s v="Shawn Berry"/>
    <n v="100796"/>
    <s v="Finance"/>
    <d v="2025-11-12T00:00:00"/>
    <x v="0"/>
    <s v="Max Williams"/>
    <s v="Yes"/>
    <s v="itorres@example.net"/>
    <s v="599.274.1856"/>
    <d v="2026-03-16T09:15:08"/>
    <m/>
  </r>
  <r>
    <s v="Shawn Berry"/>
    <n v="100796"/>
    <s v="Finance"/>
    <d v="2025-11-12T00:00:00"/>
    <x v="3"/>
    <s v="Max Williams"/>
    <s v="Yes"/>
    <s v="itorres@example.net"/>
    <s v="599.274.1856"/>
    <d v="2026-03-16T09:15:08"/>
    <m/>
  </r>
  <r>
    <s v="Tyler Kramer"/>
    <n v="100784"/>
    <s v="IT"/>
    <d v="2026-01-27T00:00:00"/>
    <x v="1"/>
    <s v="Amber Lewis"/>
    <s v="No"/>
    <s v="jennifer61@example.net"/>
    <s v="001-695-830-5641x84937"/>
    <d v="2026-03-07T22:49:08"/>
    <m/>
  </r>
  <r>
    <s v="Tyler Kramer"/>
    <n v="100784"/>
    <s v="IT"/>
    <d v="2026-01-27T00:00:00"/>
    <x v="5"/>
    <s v="Amber Lewis"/>
    <s v="No"/>
    <s v="jennifer61@example.net"/>
    <s v="001-695-830-5641x84937"/>
    <d v="2026-03-07T22:49:08"/>
    <m/>
  </r>
  <r>
    <s v="Anthony Juarez"/>
    <n v="101420"/>
    <s v="Engineering"/>
    <d v="2026-01-07T00:00:00"/>
    <x v="1"/>
    <s v="Susan Valdez"/>
    <s v="Yes"/>
    <s v="pmartin@example.org"/>
    <s v="6136651034"/>
    <d v="2026-02-12T01:05:08"/>
    <m/>
  </r>
  <r>
    <s v="Darlene Guzman"/>
    <n v="100652"/>
    <s v="HR"/>
    <d v="2025-11-10T00:00:00"/>
    <x v="2"/>
    <s v="Jennifer Hill"/>
    <s v="No"/>
    <s v="stephanie86@example.com"/>
    <s v="(840)962-2155"/>
    <d v="2026-01-29T23:48:08"/>
    <m/>
  </r>
  <r>
    <s v="Timothy Tate"/>
    <n v="100860"/>
    <s v="Operations"/>
    <d v="2025-05-27T00:00:00"/>
    <x v="1"/>
    <s v="Scott Martinez"/>
    <s v="Yes"/>
    <s v="riverajason@example.net"/>
    <s v="+1-747-504-7476x4845"/>
    <d v="2026-03-08T00:52:08"/>
    <m/>
  </r>
  <r>
    <s v="Timothy Tate"/>
    <n v="100860"/>
    <s v="Operations"/>
    <d v="2025-05-27T00:00:00"/>
    <x v="2"/>
    <s v="Scott Martinez"/>
    <s v="Yes"/>
    <s v="riverajason@example.net"/>
    <s v="+1-747-504-7476x4845"/>
    <d v="2026-03-08T00:52:08"/>
    <m/>
  </r>
  <r>
    <s v="Erika Davis"/>
    <n v="100253"/>
    <s v="Finance"/>
    <d v="2026-04-02T00:00:00"/>
    <x v="1"/>
    <s v="Crystal Perez"/>
    <s v="No"/>
    <s v="burnschristopher@example.org"/>
    <s v="355-331-2900x3622"/>
    <d v="2026-02-05T08:54:08"/>
    <m/>
  </r>
  <r>
    <s v="Erika Davis"/>
    <n v="100253"/>
    <s v="Finance"/>
    <d v="2026-04-02T00:00:00"/>
    <x v="5"/>
    <s v="Crystal Perez"/>
    <s v="No"/>
    <s v="burnschristopher@example.org"/>
    <s v="355-331-2900x3622"/>
    <d v="2026-02-05T08:54:08"/>
    <m/>
  </r>
  <r>
    <s v="Peggy Young"/>
    <n v="100997"/>
    <s v="IT"/>
    <d v="2025-08-23T00:00:00"/>
    <x v="1"/>
    <s v="Briana Booker"/>
    <s v="No"/>
    <s v="xmoore@example.com"/>
    <s v="+1-783-495-8558"/>
    <d v="2026-03-06T22:56:08"/>
    <m/>
  </r>
  <r>
    <s v="Peggy Young"/>
    <n v="100997"/>
    <s v="IT"/>
    <d v="2025-08-23T00:00:00"/>
    <x v="4"/>
    <s v="Briana Booker"/>
    <s v="No"/>
    <s v="xmoore@example.com"/>
    <s v="+1-783-495-8558"/>
    <d v="2026-03-06T22:56:08"/>
    <m/>
  </r>
  <r>
    <s v="Michael Jackson"/>
    <n v="100265"/>
    <s v="Operations"/>
    <d v="2025-04-12T00:00:00"/>
    <x v="4"/>
    <s v="Brenda Villarreal"/>
    <s v="Yes"/>
    <s v="sullivantiffany@example.com"/>
    <s v="359.617.1050x8054"/>
    <d v="2026-03-02T11:39:08"/>
    <m/>
  </r>
  <r>
    <s v="Eric Ruiz"/>
    <n v="101288"/>
    <s v="Engineering"/>
    <d v="2025-11-11T00:00:00"/>
    <x v="4"/>
    <s v="Margaret Kelly"/>
    <s v="No"/>
    <s v="kennethrusso@example.net"/>
    <s v="001-541-271-5949x7344"/>
    <d v="2026-03-09T01:01:08"/>
    <m/>
  </r>
  <r>
    <s v="Eric Ruiz"/>
    <n v="101288"/>
    <s v="Engineering"/>
    <d v="2025-11-11T00:00:00"/>
    <x v="5"/>
    <s v="Margaret Kelly"/>
    <s v="No"/>
    <s v="kennethrusso@example.net"/>
    <s v="001-541-271-5949x7344"/>
    <d v="2026-03-09T01:01:08"/>
    <m/>
  </r>
  <r>
    <s v="John Ferguson"/>
    <n v="100971"/>
    <s v="Engineering"/>
    <d v="2025-10-28T00:00:00"/>
    <x v="0"/>
    <s v="Calvin Robinson"/>
    <s v="No"/>
    <s v="russocasey@example.org"/>
    <s v="489.326.0878"/>
    <d v="2026-02-15T01:05:08"/>
    <m/>
  </r>
  <r>
    <s v="John Ferguson"/>
    <n v="100971"/>
    <s v="Engineering"/>
    <d v="2025-10-28T00:00:00"/>
    <x v="3"/>
    <s v="Calvin Robinson"/>
    <s v="No"/>
    <s v="russocasey@example.org"/>
    <s v="489.326.0878"/>
    <d v="2026-02-15T01:05:08"/>
    <m/>
  </r>
  <r>
    <s v="Christopher Daniels"/>
    <n v="101255"/>
    <s v="Marketing"/>
    <d v="2026-03-19T00:00:00"/>
    <x v="2"/>
    <s v="Dustin Peters"/>
    <s v="No"/>
    <s v="lesliebrown@example.org"/>
    <s v="274-365-3537"/>
    <d v="2026-03-11T10:57:08"/>
    <m/>
  </r>
  <r>
    <s v="Sharon Kelly"/>
    <n v="100761"/>
    <s v="HR"/>
    <d v="2025-06-16T00:00:00"/>
    <x v="0"/>
    <s v="Chelsea Ramirez"/>
    <s v="No"/>
    <s v="vcrawford@example.com"/>
    <s v="662.896.9143x362"/>
    <d v="2026-02-07T19:16:08"/>
    <m/>
  </r>
  <r>
    <s v="Jessica Bonilla"/>
    <n v="100162"/>
    <s v="IT"/>
    <d v="2025-07-02T00:00:00"/>
    <x v="3"/>
    <s v="Leonard Andrews"/>
    <s v="No"/>
    <s v="norrisdaniel@example.net"/>
    <s v="+1-385-873-9083x521"/>
    <d v="2026-03-12T09:30:08"/>
    <m/>
  </r>
  <r>
    <s v="Jessica Bonilla"/>
    <n v="100162"/>
    <s v="IT"/>
    <d v="2025-07-02T00:00:00"/>
    <x v="2"/>
    <s v="Leonard Andrews"/>
    <s v="No"/>
    <s v="norrisdaniel@example.net"/>
    <s v="+1-385-873-9083x521"/>
    <d v="2026-03-12T09:30:08"/>
    <m/>
  </r>
  <r>
    <s v="Jessica Bonilla"/>
    <n v="100162"/>
    <s v="IT"/>
    <d v="2025-07-02T00:00:00"/>
    <x v="4"/>
    <s v="Leonard Andrews"/>
    <s v="No"/>
    <s v="norrisdaniel@example.net"/>
    <s v="+1-385-873-9083x521"/>
    <d v="2026-03-12T09:30:08"/>
    <m/>
  </r>
  <r>
    <s v="Donna Roberts"/>
    <n v="101071"/>
    <s v="IT"/>
    <d v="2026-02-25T00:00:00"/>
    <x v="1"/>
    <s v="Jean Fitzgerald"/>
    <s v="Yes"/>
    <s v="christine97@example.net"/>
    <s v="(372)285-7595x828"/>
    <d v="2026-02-25T18:39:08"/>
    <m/>
  </r>
  <r>
    <s v="Benjamin Mcgee"/>
    <n v="101018"/>
    <s v="Marketing"/>
    <d v="2025-10-03T00:00:00"/>
    <x v="3"/>
    <s v="Joshua Guerrero"/>
    <s v="No"/>
    <s v="wilkinskevin@example.net"/>
    <s v="697.617.0598"/>
    <d v="2026-03-07T16:55:08"/>
    <m/>
  </r>
  <r>
    <s v="Benjamin Mcgee"/>
    <n v="101018"/>
    <s v="Marketing"/>
    <d v="2025-10-03T00:00:00"/>
    <x v="2"/>
    <s v="Joshua Guerrero"/>
    <s v="No"/>
    <s v="wilkinskevin@example.net"/>
    <s v="697.617.0598"/>
    <d v="2026-03-07T16:55:08"/>
    <m/>
  </r>
  <r>
    <s v="Rita Tyler"/>
    <n v="100850"/>
    <s v="Engineering"/>
    <d v="2025-11-06T00:00:00"/>
    <x v="0"/>
    <s v="Christine Crawford"/>
    <s v="No"/>
    <s v="alexandramyers@example.net"/>
    <s v="812-330-3885"/>
    <d v="2026-02-05T19:27:08"/>
    <m/>
  </r>
  <r>
    <s v="Rita Tyler"/>
    <n v="100850"/>
    <s v="Engineering"/>
    <d v="2025-11-06T00:00:00"/>
    <x v="3"/>
    <s v="Christine Crawford"/>
    <s v="No"/>
    <s v="alexandramyers@example.net"/>
    <s v="812-330-3885"/>
    <d v="2026-02-05T19:27:08"/>
    <m/>
  </r>
  <r>
    <s v="Rita Tyler"/>
    <n v="100850"/>
    <s v="Engineering"/>
    <d v="2025-11-06T00:00:00"/>
    <x v="5"/>
    <s v="Christine Crawford"/>
    <s v="No"/>
    <s v="alexandramyers@example.net"/>
    <s v="812-330-3885"/>
    <d v="2026-02-05T19:27:08"/>
    <m/>
  </r>
  <r>
    <s v="Laura Lynch"/>
    <n v="101177"/>
    <s v="Engineering"/>
    <d v="2025-08-31T00:00:00"/>
    <x v="0"/>
    <s v="Dr. Angela Landry"/>
    <s v="No"/>
    <s v="barbara09@example.net"/>
    <s v="001-892-517-7905x5286"/>
    <d v="2026-02-23T22:29:08"/>
    <m/>
  </r>
  <r>
    <s v="Richard Davis"/>
    <n v="100516"/>
    <s v="Marketing"/>
    <d v="2025-07-02T00:00:00"/>
    <x v="0"/>
    <s v="Emily Wagner"/>
    <s v="No"/>
    <s v="webstersteven@example.net"/>
    <s v="5533260119"/>
    <d v="2026-02-24T16:01:08"/>
    <m/>
  </r>
  <r>
    <s v="Tyler Patel"/>
    <n v="100913"/>
    <s v="Engineering"/>
    <d v="2025-12-21T00:00:00"/>
    <x v="0"/>
    <s v="Victoria Parker"/>
    <s v="No"/>
    <s v="michael36@example.org"/>
    <s v="001-608-758-1810"/>
    <d v="2026-03-05T09:43:08"/>
    <m/>
  </r>
  <r>
    <s v="Tyler Patel"/>
    <n v="100913"/>
    <s v="Engineering"/>
    <d v="2025-12-21T00:00:00"/>
    <x v="2"/>
    <s v="Victoria Parker"/>
    <s v="No"/>
    <s v="michael36@example.org"/>
    <s v="001-608-758-1810"/>
    <d v="2026-03-05T09:43:08"/>
    <m/>
  </r>
  <r>
    <s v="Tyler Patel"/>
    <n v="100913"/>
    <s v="Engineering"/>
    <d v="2025-12-21T00:00:00"/>
    <x v="5"/>
    <s v="Victoria Parker"/>
    <s v="No"/>
    <s v="michael36@example.org"/>
    <s v="001-608-758-1810"/>
    <d v="2026-03-05T09:43:08"/>
    <m/>
  </r>
  <r>
    <s v="Chad Lewis"/>
    <n v="100736"/>
    <s v="Operations"/>
    <d v="2025-04-30T00:00:00"/>
    <x v="4"/>
    <s v="James Bullock"/>
    <s v="Yes"/>
    <s v="wharris@example.com"/>
    <s v="(571)535-8969"/>
    <d v="2026-02-20T04:10:08"/>
    <m/>
  </r>
  <r>
    <s v="Robert Brown"/>
    <n v="100834"/>
    <s v="HR"/>
    <d v="2026-02-10T00:00:00"/>
    <x v="1"/>
    <s v="Gene Morris"/>
    <s v="No"/>
    <s v="odavis@example.com"/>
    <s v="731.356.6397x925"/>
    <d v="2026-02-17T07:19:08"/>
    <m/>
  </r>
  <r>
    <s v="Robert Brown"/>
    <n v="100834"/>
    <s v="HR"/>
    <d v="2026-02-10T00:00:00"/>
    <x v="2"/>
    <s v="Gene Morris"/>
    <s v="No"/>
    <s v="odavis@example.com"/>
    <s v="731.356.6397x925"/>
    <d v="2026-02-17T07:19:08"/>
    <m/>
  </r>
  <r>
    <s v="Robert Brown"/>
    <n v="100834"/>
    <s v="HR"/>
    <d v="2026-02-10T00:00:00"/>
    <x v="4"/>
    <s v="Gene Morris"/>
    <s v="No"/>
    <s v="odavis@example.com"/>
    <s v="731.356.6397x925"/>
    <d v="2026-02-17T07:19:08"/>
    <m/>
  </r>
  <r>
    <s v="Dylan Long"/>
    <n v="100627"/>
    <s v="IT"/>
    <d v="2025-05-22T00:00:00"/>
    <x v="0"/>
    <s v="Amanda Anderson"/>
    <s v="No"/>
    <s v="thomaswhite@example.org"/>
    <s v="(689)466-6053"/>
    <d v="2026-02-12T11:05:08"/>
    <m/>
  </r>
  <r>
    <s v="Dylan Long"/>
    <n v="100627"/>
    <s v="IT"/>
    <d v="2025-05-22T00:00:00"/>
    <x v="2"/>
    <s v="Amanda Anderson"/>
    <s v="No"/>
    <s v="thomaswhite@example.org"/>
    <s v="(689)466-6053"/>
    <d v="2026-02-12T11:05:08"/>
    <m/>
  </r>
  <r>
    <s v="Jamie Scott"/>
    <n v="100453"/>
    <s v="IT"/>
    <d v="2025-10-30T00:00:00"/>
    <x v="1"/>
    <s v="Michael Gutierrez"/>
    <s v="No"/>
    <s v="barrycindy@example.net"/>
    <s v="553.258.4640x510"/>
    <d v="2026-03-11T03:29:08"/>
    <m/>
  </r>
  <r>
    <s v="Jamie Scott"/>
    <n v="100453"/>
    <s v="IT"/>
    <d v="2025-10-30T00:00:00"/>
    <x v="5"/>
    <s v="Michael Gutierrez"/>
    <s v="No"/>
    <s v="barrycindy@example.net"/>
    <s v="553.258.4640x510"/>
    <d v="2026-03-11T03:29:08"/>
    <m/>
  </r>
  <r>
    <s v="William Smith"/>
    <n v="100912"/>
    <s v="HR"/>
    <d v="2026-01-24T00:00:00"/>
    <x v="5"/>
    <s v="Jason Henderson"/>
    <s v="No"/>
    <s v="bakerjonathon@example.com"/>
    <s v="218.893.9530x969"/>
    <d v="2026-03-11T16:32:08"/>
    <m/>
  </r>
  <r>
    <s v="David Avila DVM"/>
    <n v="100773"/>
    <s v="IT"/>
    <d v="2025-09-06T00:00:00"/>
    <x v="0"/>
    <s v="Lori Holt"/>
    <s v="Yes"/>
    <s v="hudsonglen@example.net"/>
    <s v="001-949-387-4551x35872"/>
    <d v="2026-02-12T23:55:08"/>
    <m/>
  </r>
  <r>
    <s v="David Avila DVM"/>
    <n v="100773"/>
    <s v="IT"/>
    <d v="2025-09-06T00:00:00"/>
    <x v="4"/>
    <s v="Lori Holt"/>
    <s v="Yes"/>
    <s v="hudsonglen@example.net"/>
    <s v="001-949-387-4551x35872"/>
    <d v="2026-02-12T23:55:08"/>
    <m/>
  </r>
  <r>
    <s v="Stephen Smith"/>
    <n v="100324"/>
    <s v="IT"/>
    <d v="2025-04-27T00:00:00"/>
    <x v="0"/>
    <s v="Renee Moyer"/>
    <s v="Yes"/>
    <s v="mccormickkatherine@example.com"/>
    <s v="001-903-743-9881x87387"/>
    <d v="2026-02-14T07:39:08"/>
    <m/>
  </r>
  <r>
    <s v="Stephen Smith"/>
    <n v="100324"/>
    <s v="IT"/>
    <d v="2025-04-27T00:00:00"/>
    <x v="5"/>
    <s v="Renee Moyer"/>
    <s v="Yes"/>
    <s v="mccormickkatherine@example.com"/>
    <s v="001-903-743-9881x87387"/>
    <d v="2026-02-14T07:39:08"/>
    <m/>
  </r>
  <r>
    <s v="Courtney Young"/>
    <n v="100609"/>
    <s v="Marketing"/>
    <d v="2025-05-20T00:00:00"/>
    <x v="1"/>
    <s v="Philip Cole"/>
    <s v="No"/>
    <s v="clinton09@example.org"/>
    <s v="+1-715-638-6028x262"/>
    <d v="2026-02-08T16:17:08"/>
    <m/>
  </r>
  <r>
    <s v="Courtney Young"/>
    <n v="100609"/>
    <s v="Marketing"/>
    <d v="2025-05-20T00:00:00"/>
    <x v="4"/>
    <s v="Philip Cole"/>
    <s v="No"/>
    <s v="clinton09@example.org"/>
    <s v="+1-715-638-6028x262"/>
    <d v="2026-02-08T16:17:08"/>
    <m/>
  </r>
  <r>
    <s v="Courtney Young"/>
    <n v="100609"/>
    <s v="Marketing"/>
    <d v="2025-05-20T00:00:00"/>
    <x v="5"/>
    <s v="Philip Cole"/>
    <s v="No"/>
    <s v="clinton09@example.org"/>
    <s v="+1-715-638-6028x262"/>
    <d v="2026-02-08T16:17:08"/>
    <m/>
  </r>
  <r>
    <s v="Tracy Bradshaw"/>
    <n v="100572"/>
    <s v="IT"/>
    <d v="2025-04-24T00:00:00"/>
    <x v="3"/>
    <s v="Ryan Huffman"/>
    <s v="Yes"/>
    <s v="patriciacarr@example.net"/>
    <s v="+1-657-372-0441x0079"/>
    <d v="2026-02-12T03:24:08"/>
    <m/>
  </r>
  <r>
    <s v="Caitlin Watson"/>
    <n v="101055"/>
    <s v="Operations"/>
    <d v="2025-05-03T00:00:00"/>
    <x v="0"/>
    <s v="Sara Day"/>
    <s v="No"/>
    <s v="howelljennifer@example.com"/>
    <s v="922-448-7098"/>
    <d v="2026-02-22T09:13:08"/>
    <m/>
  </r>
  <r>
    <s v="Caitlin Watson"/>
    <n v="101055"/>
    <s v="Operations"/>
    <d v="2025-05-03T00:00:00"/>
    <x v="3"/>
    <s v="Sara Day"/>
    <s v="No"/>
    <s v="howelljennifer@example.com"/>
    <s v="922-448-7098"/>
    <d v="2026-02-22T09:13:08"/>
    <m/>
  </r>
  <r>
    <s v="Victoria Glenn"/>
    <n v="101118"/>
    <s v="IT"/>
    <d v="2025-04-26T00:00:00"/>
    <x v="0"/>
    <s v="Christine Thompson"/>
    <s v="Yes"/>
    <s v="braunmegan@example.org"/>
    <s v="(240)243-2611"/>
    <d v="2026-03-05T04:30:08"/>
    <m/>
  </r>
  <r>
    <s v="Victoria Glenn"/>
    <n v="101118"/>
    <s v="IT"/>
    <d v="2025-04-26T00:00:00"/>
    <x v="2"/>
    <s v="Christine Thompson"/>
    <s v="Yes"/>
    <s v="braunmegan@example.org"/>
    <s v="(240)243-2611"/>
    <d v="2026-03-05T04:30:08"/>
    <m/>
  </r>
  <r>
    <s v="Victoria Glenn"/>
    <n v="101118"/>
    <s v="IT"/>
    <d v="2025-04-26T00:00:00"/>
    <x v="5"/>
    <s v="Christine Thompson"/>
    <s v="Yes"/>
    <s v="braunmegan@example.org"/>
    <s v="(240)243-2611"/>
    <d v="2026-03-05T04:30:08"/>
    <m/>
  </r>
  <r>
    <s v="James Reynolds"/>
    <n v="100937"/>
    <m/>
    <d v="2025-04-27T00:00:00"/>
    <x v="0"/>
    <s v="Cindy Wells"/>
    <s v="No"/>
    <s v="amywest@example.net"/>
    <s v="(802)400-9536"/>
    <d v="2026-02-07T02:23:08"/>
    <s v="Missing Department"/>
  </r>
  <r>
    <s v="James Reynolds"/>
    <n v="100937"/>
    <m/>
    <d v="2025-04-27T00:00:00"/>
    <x v="1"/>
    <s v="Cindy Wells"/>
    <s v="No"/>
    <s v="amywest@example.net"/>
    <s v="(802)400-9536"/>
    <d v="2026-02-07T02:23:08"/>
    <s v="Missing Department"/>
  </r>
  <r>
    <s v="Isaac Ortiz"/>
    <n v="100820"/>
    <s v="Operations"/>
    <d v="2026-01-29T00:00:00"/>
    <x v="1"/>
    <s v="Amanda Morgan"/>
    <s v="Yes"/>
    <s v="bjacobs@example.org"/>
    <s v="573-925-9007"/>
    <d v="2026-03-05T15:14:08"/>
    <m/>
  </r>
  <r>
    <s v="Isaac Ortiz"/>
    <n v="100820"/>
    <s v="Operations"/>
    <d v="2026-01-29T00:00:00"/>
    <x v="4"/>
    <s v="Amanda Morgan"/>
    <s v="Yes"/>
    <s v="bjacobs@example.org"/>
    <s v="573-925-9007"/>
    <d v="2026-03-05T15:14:08"/>
    <m/>
  </r>
  <r>
    <s v="Paul Johnson"/>
    <n v="100136"/>
    <s v="IT"/>
    <d v="2025-07-26T00:00:00"/>
    <x v="0"/>
    <s v="Christopher Rodriguez"/>
    <s v="Yes"/>
    <s v="vknight@example.net"/>
    <s v="916.372.2104x5461"/>
    <d v="2026-02-19T13:56:08"/>
    <m/>
  </r>
  <r>
    <s v="Paul Johnson"/>
    <n v="100136"/>
    <s v="IT"/>
    <d v="2025-07-26T00:00:00"/>
    <x v="2"/>
    <s v="Christopher Rodriguez"/>
    <s v="Yes"/>
    <s v="vknight@example.net"/>
    <s v="916.372.2104x5461"/>
    <d v="2026-02-19T13:56:08"/>
    <m/>
  </r>
  <r>
    <s v="Paul Johnson"/>
    <n v="100136"/>
    <s v="IT"/>
    <d v="2025-07-26T00:00:00"/>
    <x v="5"/>
    <s v="Christopher Rodriguez"/>
    <s v="Yes"/>
    <s v="vknight@example.net"/>
    <s v="916.372.2104x5461"/>
    <d v="2026-02-19T13:56:08"/>
    <m/>
  </r>
  <r>
    <s v="Kimberly Haney"/>
    <n v="100467"/>
    <s v="Engineering"/>
    <d v="2025-06-11T00:00:00"/>
    <x v="0"/>
    <s v="Roy Gibson"/>
    <s v="No"/>
    <s v="john02@example.org"/>
    <s v="001-644-322-5216x02523"/>
    <d v="2026-02-24T20:48:08"/>
    <m/>
  </r>
  <r>
    <s v="Kimberly Haney"/>
    <n v="100467"/>
    <s v="Engineering"/>
    <d v="2025-06-11T00:00:00"/>
    <x v="3"/>
    <s v="Roy Gibson"/>
    <s v="No"/>
    <s v="john02@example.org"/>
    <s v="001-644-322-5216x02523"/>
    <d v="2026-02-24T20:48:08"/>
    <m/>
  </r>
  <r>
    <s v="Kimberly Haney"/>
    <n v="100467"/>
    <s v="Engineering"/>
    <d v="2025-06-11T00:00:00"/>
    <x v="5"/>
    <s v="Roy Gibson"/>
    <s v="No"/>
    <s v="john02@example.org"/>
    <s v="001-644-322-5216x02523"/>
    <d v="2026-02-24T20:48:08"/>
    <m/>
  </r>
  <r>
    <s v="Nicholas Zuniga"/>
    <n v="101200"/>
    <s v="IT"/>
    <d v="2025-09-16T00:00:00"/>
    <x v="0"/>
    <s v="Lauren Torres"/>
    <s v="Yes"/>
    <s v="esalinas@example.org"/>
    <s v="(390)932-6551x3276"/>
    <d v="2026-03-08T13:18:08"/>
    <m/>
  </r>
  <r>
    <s v="Nicholas Zuniga"/>
    <n v="101200"/>
    <s v="IT"/>
    <d v="2025-09-16T00:00:00"/>
    <x v="1"/>
    <s v="Lauren Torres"/>
    <s v="Yes"/>
    <s v="esalinas@example.org"/>
    <s v="(390)932-6551x3276"/>
    <d v="2026-03-08T13:18:08"/>
    <m/>
  </r>
  <r>
    <s v="Nicholas Zuniga"/>
    <n v="101200"/>
    <s v="IT"/>
    <d v="2025-09-16T00:00:00"/>
    <x v="5"/>
    <s v="Lauren Torres"/>
    <s v="Yes"/>
    <s v="esalinas@example.org"/>
    <s v="(390)932-6551x3276"/>
    <d v="2026-03-08T13:18:08"/>
    <m/>
  </r>
  <r>
    <s v="Elizabeth Grant"/>
    <n v="100868"/>
    <s v="Engineering"/>
    <d v="2025-06-21T00:00:00"/>
    <x v="2"/>
    <s v="Megan Nelson"/>
    <s v="Yes"/>
    <s v="margaret59@example.net"/>
    <s v="(316)402-1191x589"/>
    <d v="2026-03-15T10:46:08"/>
    <m/>
  </r>
  <r>
    <s v="Kimberly Sullivan"/>
    <n v="101481"/>
    <s v="IT"/>
    <d v="2026-02-11T00:00:00"/>
    <x v="0"/>
    <s v="Donna Obrien"/>
    <s v="Yes"/>
    <s v="jscott@example.com"/>
    <s v="262.537.6008x84474"/>
    <d v="2026-02-16T20:32:08"/>
    <m/>
  </r>
  <r>
    <s v="Matthew Bray"/>
    <n v="101066"/>
    <s v="IT"/>
    <d v="2025-06-21T00:00:00"/>
    <x v="1"/>
    <s v="Ashley Johnson"/>
    <s v="No"/>
    <s v="christine92@example.org"/>
    <s v="(640)606-9836x92353"/>
    <d v="2026-03-07T01:44:08"/>
    <m/>
  </r>
  <r>
    <s v="Debra Blackburn"/>
    <n v="101497"/>
    <s v="Operations"/>
    <d v="2025-03-27T00:00:00"/>
    <x v="4"/>
    <s v="Christopher Walker"/>
    <s v="Yes"/>
    <s v="bflores@example.org"/>
    <s v="(702)712-3720"/>
    <d v="2026-01-31T02:43:08"/>
    <m/>
  </r>
  <r>
    <s v="Daniel Robinson"/>
    <n v="100475"/>
    <s v="IT"/>
    <d v="2025-11-12T00:00:00"/>
    <x v="5"/>
    <s v="Albert Stone"/>
    <s v="Yes"/>
    <s v="lauramanning@example.com"/>
    <s v="339.619.0088x991"/>
    <d v="2026-03-04T07:51:08"/>
    <m/>
  </r>
  <r>
    <s v="Robert Johnson"/>
    <n v="100530"/>
    <s v="IT"/>
    <d v="2026-05-14T00:00:00"/>
    <x v="1"/>
    <s v="Sarah Cruz"/>
    <s v="Yes"/>
    <s v="loritaylor@example.com"/>
    <s v="279.789.7906"/>
    <d v="2026-03-09T20:23:08"/>
    <m/>
  </r>
  <r>
    <s v="Robert Johnson"/>
    <n v="100530"/>
    <s v="IT"/>
    <d v="2026-05-14T00:00:00"/>
    <x v="2"/>
    <s v="Sarah Cruz"/>
    <s v="Yes"/>
    <s v="loritaylor@example.com"/>
    <s v="279.789.7906"/>
    <d v="2026-03-09T20:23:08"/>
    <m/>
  </r>
  <r>
    <s v="William Tapia"/>
    <n v="100712"/>
    <s v="Operations"/>
    <d v="2025-10-14T00:00:00"/>
    <x v="0"/>
    <s v="Sharon Kelley"/>
    <s v="No"/>
    <s v="ycooke@example.org"/>
    <s v="8003998433"/>
    <d v="2026-03-14T01:16:08"/>
    <m/>
  </r>
  <r>
    <s v="William Tapia"/>
    <n v="100712"/>
    <s v="Operations"/>
    <d v="2025-10-14T00:00:00"/>
    <x v="3"/>
    <s v="Sharon Kelley"/>
    <s v="No"/>
    <s v="ycooke@example.org"/>
    <s v="8003998433"/>
    <d v="2026-03-14T01:16:08"/>
    <m/>
  </r>
  <r>
    <s v="Miranda Sanchez"/>
    <n v="100823"/>
    <s v="Operations"/>
    <d v="2025-11-19T00:00:00"/>
    <x v="0"/>
    <s v="Timothy Mills"/>
    <s v="Yes"/>
    <s v="floreseileen@example.net"/>
    <s v="+1-354-758-2942x0340"/>
    <d v="2026-01-30T15:50:08"/>
    <m/>
  </r>
  <r>
    <s v="Miranda Sanchez"/>
    <n v="100823"/>
    <s v="Operations"/>
    <d v="2025-11-19T00:00:00"/>
    <x v="3"/>
    <s v="Timothy Mills"/>
    <s v="Yes"/>
    <s v="floreseileen@example.net"/>
    <s v="+1-354-758-2942x0340"/>
    <d v="2026-01-30T15:50:08"/>
    <m/>
  </r>
  <r>
    <s v="Miranda Sanchez"/>
    <n v="100823"/>
    <s v="Operations"/>
    <d v="2025-11-19T00:00:00"/>
    <x v="5"/>
    <s v="Timothy Mills"/>
    <s v="Yes"/>
    <s v="floreseileen@example.net"/>
    <s v="+1-354-758-2942x0340"/>
    <d v="2026-01-30T15:50:08"/>
    <m/>
  </r>
  <r>
    <s v="Phillip Ramirez"/>
    <n v="100180"/>
    <s v="IT"/>
    <d v="2025-03-25T00:00:00"/>
    <x v="3"/>
    <s v="Jeremy Brooks"/>
    <s v="Yes"/>
    <s v="justin46@example.com"/>
    <s v="420.410.8240x281"/>
    <d v="2026-02-26T19:47:08"/>
    <m/>
  </r>
  <r>
    <s v="Phillip Ramirez"/>
    <n v="100180"/>
    <s v="IT"/>
    <d v="2025-03-25T00:00:00"/>
    <x v="1"/>
    <s v="Jeremy Brooks"/>
    <s v="Yes"/>
    <s v="justin46@example.com"/>
    <s v="420.410.8240x281"/>
    <d v="2026-02-26T19:47:08"/>
    <m/>
  </r>
  <r>
    <s v="Kayla Carlson"/>
    <n v="101367"/>
    <s v="Operations"/>
    <d v="2025-11-13T00:00:00"/>
    <x v="5"/>
    <s v="Tracy Hernandez"/>
    <s v="No"/>
    <s v="htaylor@example.com"/>
    <s v="717.945.2735x36423"/>
    <d v="2026-02-15T18:06:08"/>
    <m/>
  </r>
  <r>
    <s v="Edward Moore"/>
    <n v="101391"/>
    <s v="Operations"/>
    <d v="2025-03-26T00:00:00"/>
    <x v="1"/>
    <s v="Raymond Clements"/>
    <s v="Yes"/>
    <s v="daniel16@example.org"/>
    <s v="+1-425-559-0461x0079"/>
    <d v="2026-02-14T06:10:08"/>
    <m/>
  </r>
  <r>
    <s v="Jeffery Johnson"/>
    <n v="100797"/>
    <s v="Operations"/>
    <d v="2025-07-12T00:00:00"/>
    <x v="3"/>
    <s v="Justin Boyd"/>
    <s v="No"/>
    <s v="fmiller@example.net"/>
    <s v="001-723-229-6151x2048"/>
    <d v="2026-03-08T07:54:08"/>
    <m/>
  </r>
  <r>
    <s v="Jeffery Johnson"/>
    <n v="100797"/>
    <s v="Operations"/>
    <d v="2025-07-12T00:00:00"/>
    <x v="1"/>
    <s v="Justin Boyd"/>
    <s v="No"/>
    <s v="fmiller@example.net"/>
    <s v="001-723-229-6151x2048"/>
    <d v="2026-03-08T07:54:08"/>
    <m/>
  </r>
  <r>
    <s v="Jeffery Johnson"/>
    <n v="100797"/>
    <s v="Operations"/>
    <d v="2025-07-12T00:00:00"/>
    <x v="4"/>
    <s v="Justin Boyd"/>
    <s v="No"/>
    <s v="fmiller@example.net"/>
    <s v="001-723-229-6151x2048"/>
    <d v="2026-03-08T07:54:08"/>
    <m/>
  </r>
  <r>
    <s v="Mr. Paul Walker PhD"/>
    <n v="100109"/>
    <s v="Operations"/>
    <d v="2025-10-15T00:00:00"/>
    <x v="0"/>
    <s v="Susan Molina"/>
    <s v="Yes"/>
    <s v="patrick04@example.net"/>
    <s v="(327)763-4601"/>
    <d v="2026-02-05T10:50:08"/>
    <m/>
  </r>
  <r>
    <s v="Mr. Paul Walker PhD"/>
    <n v="100109"/>
    <s v="Operations"/>
    <d v="2025-10-15T00:00:00"/>
    <x v="1"/>
    <s v="Susan Molina"/>
    <s v="Yes"/>
    <s v="patrick04@example.net"/>
    <s v="(327)763-4601"/>
    <d v="2026-02-05T10:50:08"/>
    <m/>
  </r>
  <r>
    <s v="Mr. Paul Walker PhD"/>
    <n v="100109"/>
    <s v="Operations"/>
    <d v="2025-10-15T00:00:00"/>
    <x v="5"/>
    <s v="Susan Molina"/>
    <s v="Yes"/>
    <s v="patrick04@example.net"/>
    <s v="(327)763-4601"/>
    <d v="2026-02-05T10:50:08"/>
    <m/>
  </r>
  <r>
    <s v="Jacob Ball"/>
    <n v="100906"/>
    <s v="HR"/>
    <d v="2026-03-04T00:00:00"/>
    <x v="2"/>
    <s v="Victoria Maynard"/>
    <s v="Yes"/>
    <s v="travis24@example.org"/>
    <s v="(986)417-6822x512"/>
    <d v="2026-03-04T12:34:08"/>
    <m/>
  </r>
  <r>
    <s v="Jacob Ball"/>
    <n v="100906"/>
    <s v="HR"/>
    <d v="2026-03-04T00:00:00"/>
    <x v="4"/>
    <s v="Victoria Maynard"/>
    <s v="Yes"/>
    <s v="travis24@example.org"/>
    <s v="(986)417-6822x512"/>
    <d v="2026-03-04T12:34:08"/>
    <m/>
  </r>
  <r>
    <s v="Jacob Ball"/>
    <n v="100906"/>
    <s v="HR"/>
    <d v="2026-03-04T00:00:00"/>
    <x v="5"/>
    <s v="Victoria Maynard"/>
    <s v="Yes"/>
    <s v="travis24@example.org"/>
    <s v="(986)417-6822x512"/>
    <d v="2026-03-04T12:34:08"/>
    <m/>
  </r>
  <r>
    <s v="William Hicks"/>
    <n v="101046"/>
    <m/>
    <d v="2025-11-22T00:00:00"/>
    <x v="5"/>
    <s v="Michele Hughes"/>
    <s v="No"/>
    <s v="sarah62@example.org"/>
    <s v="919-376-8784x947"/>
    <d v="2026-02-25T09:54:08"/>
    <s v="Missing Department"/>
  </r>
  <r>
    <s v="Laura Fowler"/>
    <n v="100881"/>
    <s v="Finance"/>
    <d v="2025-12-26T00:00:00"/>
    <x v="2"/>
    <s v="Andrew Proctor"/>
    <s v="No"/>
    <s v="drakekevin@example.net"/>
    <s v="442.323.5434x0466"/>
    <d v="2026-02-28T05:43:08"/>
    <m/>
  </r>
  <r>
    <s v="George Walsh"/>
    <n v="100768"/>
    <s v="Marketing"/>
    <d v="2025-06-13T00:00:00"/>
    <x v="0"/>
    <s v="Lindsey Potter"/>
    <s v="No"/>
    <s v="michaelandrews@example.org"/>
    <s v="5643411197"/>
    <d v="2026-03-08T20:50:08"/>
    <m/>
  </r>
  <r>
    <s v="George Walsh"/>
    <n v="100768"/>
    <s v="Marketing"/>
    <d v="2025-06-13T00:00:00"/>
    <x v="1"/>
    <s v="Lindsey Potter"/>
    <s v="No"/>
    <s v="michaelandrews@example.org"/>
    <s v="5643411197"/>
    <d v="2026-03-08T20:50:08"/>
    <m/>
  </r>
  <r>
    <s v="George Walsh"/>
    <n v="100768"/>
    <s v="Marketing"/>
    <d v="2025-06-13T00:00:00"/>
    <x v="2"/>
    <s v="Lindsey Potter"/>
    <s v="No"/>
    <s v="michaelandrews@example.org"/>
    <s v="5643411197"/>
    <d v="2026-03-08T20:50:08"/>
    <m/>
  </r>
  <r>
    <s v="Julie Smith"/>
    <n v="100914"/>
    <s v="Finance"/>
    <d v="2025-05-16T00:00:00"/>
    <x v="1"/>
    <s v="Cynthia Perez"/>
    <s v="No"/>
    <s v="vincent82@example.net"/>
    <s v="888-649-6806"/>
    <d v="2026-02-22T16:19:08"/>
    <m/>
  </r>
  <r>
    <s v="Julie Smith"/>
    <n v="100914"/>
    <s v="Finance"/>
    <d v="2025-05-16T00:00:00"/>
    <x v="4"/>
    <s v="Cynthia Perez"/>
    <s v="No"/>
    <s v="vincent82@example.net"/>
    <s v="888-649-6806"/>
    <d v="2026-02-22T16:19:08"/>
    <m/>
  </r>
  <r>
    <s v="Julie Smith"/>
    <n v="100914"/>
    <s v="Finance"/>
    <d v="2025-05-16T00:00:00"/>
    <x v="5"/>
    <s v="Cynthia Perez"/>
    <s v="No"/>
    <s v="vincent82@example.net"/>
    <s v="888-649-6806"/>
    <d v="2026-02-22T16:19:08"/>
    <m/>
  </r>
  <r>
    <s v="Alicia Bradford"/>
    <n v="100005"/>
    <s v="IT"/>
    <d v="2025-07-30T00:00:00"/>
    <x v="0"/>
    <s v="Wendy White"/>
    <s v="Yes"/>
    <s v="lisawatson@example.org"/>
    <s v="+1-541-923-0160x49860"/>
    <d v="2026-01-30T16:11:08"/>
    <m/>
  </r>
  <r>
    <s v="Micheal May"/>
    <n v="101453"/>
    <s v="Operations"/>
    <d v="2026-04-29T00:00:00"/>
    <x v="0"/>
    <s v="Amy Brown"/>
    <s v="Yes"/>
    <s v="bryanhale@example.org"/>
    <s v="+1-578-699-9011x400"/>
    <d v="2026-02-09T16:29:08"/>
    <m/>
  </r>
  <r>
    <s v="Micheal May"/>
    <n v="101453"/>
    <s v="Operations"/>
    <d v="2026-04-29T00:00:00"/>
    <x v="2"/>
    <s v="Amy Brown"/>
    <s v="Yes"/>
    <s v="bryanhale@example.org"/>
    <s v="+1-578-699-9011x400"/>
    <d v="2026-02-09T16:29:08"/>
    <m/>
  </r>
  <r>
    <s v="Karen Wilson"/>
    <n v="100671"/>
    <s v="IT"/>
    <d v="2025-05-08T00:00:00"/>
    <x v="0"/>
    <s v="Michael Adkins"/>
    <s v="Yes"/>
    <s v="jgill@example.com"/>
    <s v="3166259084"/>
    <d v="2026-03-03T05:34:08"/>
    <m/>
  </r>
  <r>
    <s v="Makayla Underwood"/>
    <n v="100151"/>
    <s v="Marketing"/>
    <d v="2026-03-23T00:00:00"/>
    <x v="0"/>
    <s v="Jacob Smith"/>
    <s v="No"/>
    <s v="jonessusan@example.com"/>
    <s v="958.221.0728"/>
    <d v="2026-03-10T12:39:08"/>
    <m/>
  </r>
  <r>
    <s v="Makayla Underwood"/>
    <n v="100151"/>
    <s v="Marketing"/>
    <d v="2026-03-23T00:00:00"/>
    <x v="5"/>
    <s v="Jacob Smith"/>
    <s v="No"/>
    <s v="jonessusan@example.com"/>
    <s v="958.221.0728"/>
    <d v="2026-03-10T12:39:08"/>
    <m/>
  </r>
  <r>
    <s v="Richard George"/>
    <n v="100249"/>
    <s v="HR"/>
    <d v="2025-09-03T00:00:00"/>
    <x v="2"/>
    <s v="Darrell Rodriguez"/>
    <s v="Yes"/>
    <s v="brodriguez@example.net"/>
    <s v="001-981-997-2239x964"/>
    <d v="2026-02-16T03:43:08"/>
    <m/>
  </r>
  <r>
    <s v="Kimberly Washington"/>
    <n v="100409"/>
    <s v="Engineering"/>
    <d v="2025-07-19T00:00:00"/>
    <x v="0"/>
    <s v="Amanda Johns"/>
    <s v="Yes"/>
    <s v="yoderadam@example.com"/>
    <s v="+1-408-655-7800"/>
    <d v="2026-03-11T08:50:08"/>
    <s v="Extra Name Spaces"/>
  </r>
  <r>
    <s v="Kimberly Washington"/>
    <n v="100409"/>
    <s v="Engineering"/>
    <d v="2025-07-19T00:00:00"/>
    <x v="1"/>
    <s v="Amanda Johns"/>
    <s v="Yes"/>
    <s v="yoderadam@example.com"/>
    <s v="+1-408-655-7800"/>
    <d v="2026-03-11T08:50:08"/>
    <s v="Extra Name Spaces"/>
  </r>
  <r>
    <s v="Elaine Lindsey"/>
    <n v="100506"/>
    <s v="HR"/>
    <d v="2026-03-17T00:00:00"/>
    <x v="1"/>
    <s v="Shawn Maynard"/>
    <s v="Yes"/>
    <s v="taramartinez@example.net"/>
    <s v="9692685746"/>
    <d v="2026-02-11T03:31:08"/>
    <m/>
  </r>
  <r>
    <s v="Elaine Lindsey"/>
    <n v="100506"/>
    <s v="HR"/>
    <d v="2026-03-17T00:00:00"/>
    <x v="4"/>
    <s v="Shawn Maynard"/>
    <s v="Yes"/>
    <s v="taramartinez@example.net"/>
    <s v="9692685746"/>
    <d v="2026-02-11T03:31:08"/>
    <m/>
  </r>
  <r>
    <s v="Jeremy Fleming"/>
    <n v="101438"/>
    <s v="Finance"/>
    <d v="2025-05-25T00:00:00"/>
    <x v="0"/>
    <s v="Manuel Wilson"/>
    <s v="No"/>
    <s v="heidi21@example.com"/>
    <s v="2165426107"/>
    <d v="2026-02-10T18:37:08"/>
    <m/>
  </r>
  <r>
    <s v="Jeremy Fleming"/>
    <n v="101438"/>
    <s v="Finance"/>
    <d v="2025-05-25T00:00:00"/>
    <x v="5"/>
    <s v="Manuel Wilson"/>
    <s v="No"/>
    <s v="heidi21@example.com"/>
    <s v="2165426107"/>
    <d v="2026-02-10T18:37:08"/>
    <m/>
  </r>
  <r>
    <s v="Anthony Everett"/>
    <n v="100713"/>
    <s v="HR"/>
    <d v="2025-03-31T00:00:00"/>
    <x v="2"/>
    <s v="Kelly Scott"/>
    <s v="Yes"/>
    <s v="julianlewis@example.net"/>
    <s v="001-519-283-9248x481"/>
    <d v="2026-03-11T06:22:08"/>
    <m/>
  </r>
  <r>
    <s v="Anthony Everett"/>
    <n v="100713"/>
    <s v="HR"/>
    <d v="2025-03-31T00:00:00"/>
    <x v="4"/>
    <s v="Kelly Scott"/>
    <s v="Yes"/>
    <s v="julianlewis@example.net"/>
    <s v="001-519-283-9248x481"/>
    <d v="2026-03-11T06:22:08"/>
    <m/>
  </r>
  <r>
    <s v="Thomas Rodgers"/>
    <n v="101454"/>
    <s v="HR"/>
    <d v="2025-10-07T00:00:00"/>
    <x v="5"/>
    <s v="Rhonda Cervantes"/>
    <s v="Yes"/>
    <s v="michele02@example.org"/>
    <s v="(716)575-8646x339"/>
    <d v="2026-02-19T16:39:08"/>
    <m/>
  </r>
  <r>
    <s v="Brandon Smith"/>
    <n v="100199"/>
    <s v="Marketing"/>
    <d v="2026-01-04T00:00:00"/>
    <x v="0"/>
    <s v="Bryan Juarez"/>
    <s v="No"/>
    <s v="xfisher@example.org"/>
    <s v="389.961.5738x5512"/>
    <d v="2026-02-18T04:11:08"/>
    <m/>
  </r>
  <r>
    <s v="Erin Garcia"/>
    <n v="100589"/>
    <s v="IT"/>
    <d v="2025-08-18T00:00:00"/>
    <x v="0"/>
    <s v="Jacob Hart"/>
    <s v="Yes"/>
    <s v="petersonjordan@example.com"/>
    <s v="+1-609-872-3602x4465"/>
    <d v="2026-02-26T23:54:08"/>
    <m/>
  </r>
  <r>
    <s v="Erin Garcia"/>
    <n v="100589"/>
    <s v="IT"/>
    <d v="2025-08-18T00:00:00"/>
    <x v="3"/>
    <s v="Jacob Hart"/>
    <s v="Yes"/>
    <s v="petersonjordan@example.com"/>
    <s v="+1-609-872-3602x4465"/>
    <d v="2026-02-26T23:54:08"/>
    <m/>
  </r>
  <r>
    <s v="Erin Garcia"/>
    <n v="100589"/>
    <s v="IT"/>
    <d v="2025-08-18T00:00:00"/>
    <x v="1"/>
    <s v="Jacob Hart"/>
    <s v="Yes"/>
    <s v="petersonjordan@example.com"/>
    <s v="+1-609-872-3602x4465"/>
    <d v="2026-02-26T23:54:08"/>
    <m/>
  </r>
  <r>
    <s v="Julie Johnson"/>
    <n v="101392"/>
    <s v="IT"/>
    <d v="2025-05-30T00:00:00"/>
    <x v="0"/>
    <s v="Brian Murray"/>
    <s v="No"/>
    <s v="serranosteven@example.com"/>
    <s v="(247)483-7031x7543"/>
    <d v="2026-01-31T06:07:08"/>
    <m/>
  </r>
  <r>
    <s v="Julie Johnson"/>
    <n v="101392"/>
    <s v="IT"/>
    <d v="2025-05-30T00:00:00"/>
    <x v="4"/>
    <s v="Brian Murray"/>
    <s v="No"/>
    <s v="serranosteven@example.com"/>
    <s v="(247)483-7031x7543"/>
    <d v="2026-01-31T06:07:08"/>
    <m/>
  </r>
  <r>
    <s v="Julie Johnson"/>
    <n v="101392"/>
    <s v="IT"/>
    <d v="2025-05-30T00:00:00"/>
    <x v="5"/>
    <s v="Brian Murray"/>
    <s v="No"/>
    <s v="serranosteven@example.com"/>
    <s v="(247)483-7031x7543"/>
    <d v="2026-01-31T06:07:08"/>
    <m/>
  </r>
  <r>
    <s v="Elizabeth Jones"/>
    <n v="101480"/>
    <s v="Operations"/>
    <d v="2026-04-17T00:00:00"/>
    <x v="1"/>
    <s v="Ryan Thornton"/>
    <s v="Yes"/>
    <s v="patrickmartin@example.org"/>
    <s v="846-686-2728x84076"/>
    <d v="2026-03-13T23:34:08"/>
    <m/>
  </r>
  <r>
    <s v="Jeremy Stafford"/>
    <n v="100424"/>
    <s v="HR"/>
    <d v="2025-10-01T00:00:00"/>
    <x v="0"/>
    <s v="Briana Dougherty"/>
    <s v="Yes"/>
    <s v="sherryclark@example.net"/>
    <s v="(276)825-9238x6879"/>
    <d v="2026-03-11T00:27:08"/>
    <m/>
  </r>
  <r>
    <s v="Jeremy Stafford"/>
    <n v="100424"/>
    <s v="HR"/>
    <d v="2025-10-01T00:00:00"/>
    <x v="1"/>
    <s v="Briana Dougherty"/>
    <s v="Yes"/>
    <s v="sherryclark@example.net"/>
    <s v="(276)825-9238x6879"/>
    <d v="2026-03-11T00:27:08"/>
    <m/>
  </r>
  <r>
    <s v="Jeremy Stafford"/>
    <n v="100424"/>
    <s v="HR"/>
    <d v="2025-10-01T00:00:00"/>
    <x v="4"/>
    <s v="Briana Dougherty"/>
    <s v="Yes"/>
    <s v="sherryclark@example.net"/>
    <s v="(276)825-9238x6879"/>
    <d v="2026-03-11T00:27:08"/>
    <m/>
  </r>
  <r>
    <s v="Melissa Salinas"/>
    <n v="101072"/>
    <s v="IT"/>
    <d v="2025-08-22T00:00:00"/>
    <x v="1"/>
    <s v="Taylor Chaney"/>
    <s v="Yes"/>
    <s v="gregorybenson@example.com"/>
    <s v="001-734-905-0892x73961"/>
    <d v="2026-02-09T21:41:08"/>
    <m/>
  </r>
  <r>
    <s v="Melissa Salinas"/>
    <n v="101072"/>
    <s v="IT"/>
    <d v="2025-08-22T00:00:00"/>
    <x v="2"/>
    <s v="Taylor Chaney"/>
    <s v="Yes"/>
    <s v="gregorybenson@example.com"/>
    <s v="001-734-905-0892x73961"/>
    <d v="2026-02-09T21:41:08"/>
    <m/>
  </r>
  <r>
    <s v="Melissa Salinas"/>
    <n v="101072"/>
    <s v="IT"/>
    <d v="2025-08-22T00:00:00"/>
    <x v="4"/>
    <s v="Taylor Chaney"/>
    <s v="Yes"/>
    <s v="gregorybenson@example.com"/>
    <s v="001-734-905-0892x73961"/>
    <d v="2026-02-09T21:41:08"/>
    <m/>
  </r>
  <r>
    <s v="David Smith"/>
    <n v="100074"/>
    <s v="Finance"/>
    <d v="2025-07-17T00:00:00"/>
    <x v="0"/>
    <s v="Matthew Morris"/>
    <s v="Yes"/>
    <s v="ebrown@example.net"/>
    <s v="+1-677-455-4261x903"/>
    <d v="2026-03-13T05:11:08"/>
    <m/>
  </r>
  <r>
    <s v="David Smith"/>
    <n v="100074"/>
    <s v="Finance"/>
    <d v="2025-07-17T00:00:00"/>
    <x v="5"/>
    <s v="Matthew Morris"/>
    <s v="Yes"/>
    <s v="ebrown@example.net"/>
    <s v="+1-677-455-4261x903"/>
    <d v="2026-03-13T05:11:08"/>
    <m/>
  </r>
  <r>
    <s v="Karen Dalton"/>
    <n v="100786"/>
    <s v="Finance"/>
    <d v="2026-01-31T00:00:00"/>
    <x v="3"/>
    <s v="Bianca Chandler"/>
    <s v="Yes"/>
    <s v="brianthompson@example.net"/>
    <s v="(371)911-7576"/>
    <d v="2026-02-16T07:44:08"/>
    <m/>
  </r>
  <r>
    <s v="Karen Dalton"/>
    <n v="100786"/>
    <s v="Finance"/>
    <d v="2026-01-31T00:00:00"/>
    <x v="1"/>
    <s v="Bianca Chandler"/>
    <s v="Yes"/>
    <s v="brianthompson@example.net"/>
    <s v="(371)911-7576"/>
    <d v="2026-02-16T07:44:08"/>
    <m/>
  </r>
  <r>
    <s v="Karen Dalton"/>
    <n v="100786"/>
    <s v="Finance"/>
    <d v="2026-01-31T00:00:00"/>
    <x v="2"/>
    <s v="Bianca Chandler"/>
    <s v="Yes"/>
    <s v="brianthompson@example.net"/>
    <s v="(371)911-7576"/>
    <d v="2026-02-16T07:44:08"/>
    <m/>
  </r>
  <r>
    <s v="Christopher Chan"/>
    <n v="100870"/>
    <s v="IT"/>
    <d v="2026-03-28T00:00:00"/>
    <x v="5"/>
    <s v="Stephen Watson"/>
    <s v="No"/>
    <s v="joseph86@example.net"/>
    <s v="+1-530-452-1690"/>
    <d v="2026-02-28T22:03:08"/>
    <m/>
  </r>
  <r>
    <s v="Steven Burgess"/>
    <n v="101073"/>
    <s v="IT"/>
    <d v="2026-03-16T00:00:00"/>
    <x v="0"/>
    <s v="Victoria Norton MD"/>
    <s v="No"/>
    <s v="jack64@example.com"/>
    <s v="506-380-1770"/>
    <d v="2026-02-25T08:12:08"/>
    <m/>
  </r>
  <r>
    <s v="Steven Burgess"/>
    <n v="101073"/>
    <s v="IT"/>
    <d v="2026-03-16T00:00:00"/>
    <x v="3"/>
    <s v="Victoria Norton MD"/>
    <s v="No"/>
    <s v="jack64@example.com"/>
    <s v="506-380-1770"/>
    <d v="2026-02-25T08:12:08"/>
    <m/>
  </r>
  <r>
    <s v="Steven Burgess"/>
    <n v="101073"/>
    <s v="IT"/>
    <d v="2026-03-16T00:00:00"/>
    <x v="4"/>
    <s v="Victoria Norton MD"/>
    <s v="No"/>
    <s v="jack64@example.com"/>
    <s v="506-380-1770"/>
    <d v="2026-02-25T08:12:08"/>
    <m/>
  </r>
  <r>
    <s v="Cory Eaton"/>
    <n v="100486"/>
    <s v="IT"/>
    <d v="2026-02-23T00:00:00"/>
    <x v="0"/>
    <s v="Grant Smith"/>
    <s v="No"/>
    <s v="carterjames@example.org"/>
    <s v="(872)544-6931x72947"/>
    <d v="2026-02-11T09:27:08"/>
    <m/>
  </r>
  <r>
    <s v="Abigail Walker"/>
    <n v="100250"/>
    <s v="Marketing"/>
    <d v="2025-08-30T00:00:00"/>
    <x v="3"/>
    <s v="Natalie Avila"/>
    <s v="No"/>
    <s v="jordan25@example.net"/>
    <s v="001-498-351-9393x2727"/>
    <d v="2026-03-10T12:54:08"/>
    <m/>
  </r>
  <r>
    <s v="Abigail Walker"/>
    <n v="100250"/>
    <s v="Marketing"/>
    <d v="2025-08-30T00:00:00"/>
    <x v="1"/>
    <s v="Natalie Avila"/>
    <s v="No"/>
    <s v="jordan25@example.net"/>
    <s v="001-498-351-9393x2727"/>
    <d v="2026-03-10T12:54:08"/>
    <m/>
  </r>
  <r>
    <s v="Abigail Walker"/>
    <n v="100250"/>
    <s v="Marketing"/>
    <d v="2025-08-30T00:00:00"/>
    <x v="4"/>
    <s v="Natalie Avila"/>
    <s v="No"/>
    <s v="jordan25@example.net"/>
    <s v="001-498-351-9393x2727"/>
    <d v="2026-03-10T12:54:08"/>
    <m/>
  </r>
  <r>
    <s v="Kenneth Short"/>
    <n v="100047"/>
    <s v="Operations"/>
    <d v="2026-05-14T00:00:00"/>
    <x v="0"/>
    <s v="Matthew Evans"/>
    <s v="Yes"/>
    <s v="bbrown@example.net"/>
    <s v="(776)252-7284x53974"/>
    <d v="2026-02-17T13:28:08"/>
    <m/>
  </r>
  <r>
    <s v="Kenneth Short"/>
    <n v="100047"/>
    <s v="Operations"/>
    <d v="2026-05-14T00:00:00"/>
    <x v="2"/>
    <s v="Matthew Evans"/>
    <s v="Yes"/>
    <s v="bbrown@example.net"/>
    <s v="(776)252-7284x53974"/>
    <d v="2026-02-17T13:28:08"/>
    <m/>
  </r>
  <r>
    <s v="Aaron Villarreal"/>
    <n v="100025"/>
    <s v="IT"/>
    <d v="2025-07-03T00:00:00"/>
    <x v="1"/>
    <s v="Robert Barnes"/>
    <s v="No"/>
    <s v="wchaney@example.com"/>
    <s v="2204801929"/>
    <d v="2026-02-06T22:50:08"/>
    <m/>
  </r>
  <r>
    <s v="Aaron Villarreal"/>
    <n v="100025"/>
    <s v="IT"/>
    <d v="2025-07-03T00:00:00"/>
    <x v="2"/>
    <s v="Robert Barnes"/>
    <s v="No"/>
    <s v="wchaney@example.com"/>
    <s v="2204801929"/>
    <d v="2026-02-06T22:50:08"/>
    <m/>
  </r>
  <r>
    <s v="Blake Watson"/>
    <n v="101159"/>
    <s v="IT"/>
    <d v="2026-04-18T00:00:00"/>
    <x v="3"/>
    <s v="Elizabeth Cervantes"/>
    <s v="No"/>
    <s v="ramirezamy@example.org"/>
    <s v="001-232-425-3332"/>
    <d v="2026-02-04T03:27:08"/>
    <m/>
  </r>
  <r>
    <s v="Blake Watson"/>
    <n v="101159"/>
    <s v="IT"/>
    <d v="2026-04-18T00:00:00"/>
    <x v="1"/>
    <s v="Elizabeth Cervantes"/>
    <s v="No"/>
    <s v="ramirezamy@example.org"/>
    <s v="001-232-425-3332"/>
    <d v="2026-02-04T03:27:08"/>
    <m/>
  </r>
  <r>
    <s v="Austin Moore"/>
    <n v="100203"/>
    <s v="Operations"/>
    <d v="2026-03-03T00:00:00"/>
    <x v="0"/>
    <s v="Matthew Rivera"/>
    <s v="Yes"/>
    <s v="wilsonnicole@example.org"/>
    <s v="545-503-6988x84393"/>
    <d v="2026-03-07T00:39:08"/>
    <m/>
  </r>
  <r>
    <s v="Austin Moore"/>
    <n v="100203"/>
    <s v="Operations"/>
    <d v="2026-03-03T00:00:00"/>
    <x v="5"/>
    <s v="Matthew Rivera"/>
    <s v="Yes"/>
    <s v="wilsonnicole@example.org"/>
    <s v="545-503-6988x84393"/>
    <d v="2026-03-07T00:39:08"/>
    <m/>
  </r>
  <r>
    <s v="Elizabeth Sanchez"/>
    <n v="100825"/>
    <s v="Marketing"/>
    <d v="2025-11-19T00:00:00"/>
    <x v="2"/>
    <s v="Leslie Anderson"/>
    <s v="Yes"/>
    <s v="reedjulie@example.net"/>
    <s v="+1-831-724-4129x0759"/>
    <d v="2026-02-15T01:45:08"/>
    <m/>
  </r>
  <r>
    <s v="Elizabeth Sanchez"/>
    <n v="100825"/>
    <s v="Marketing"/>
    <d v="2025-11-19T00:00:00"/>
    <x v="4"/>
    <s v="Leslie Anderson"/>
    <s v="Yes"/>
    <s v="reedjulie@example.net"/>
    <s v="+1-831-724-4129x0759"/>
    <d v="2026-02-15T01:45:08"/>
    <m/>
  </r>
  <r>
    <s v="Elizabeth Sanchez"/>
    <n v="100825"/>
    <s v="Marketing"/>
    <d v="2025-11-19T00:00:00"/>
    <x v="5"/>
    <s v="Leslie Anderson"/>
    <s v="Yes"/>
    <s v="reedjulie@example.net"/>
    <s v="+1-831-724-4129x0759"/>
    <d v="2026-02-15T01:45:08"/>
    <m/>
  </r>
  <r>
    <s v="Lisa Mendez"/>
    <n v="100230"/>
    <s v="Engineering"/>
    <d v="2026-04-02T00:00:00"/>
    <x v="3"/>
    <s v="Bailey Sanchez"/>
    <s v="No"/>
    <s v="emorales@example.com"/>
    <s v="349.554.2106x294"/>
    <d v="2026-03-08T21:22:08"/>
    <m/>
  </r>
  <r>
    <s v="Gloria Odom"/>
    <n v="101207"/>
    <s v="Operations"/>
    <d v="2025-05-11T00:00:00"/>
    <x v="1"/>
    <s v="Casey Foster"/>
    <s v="No"/>
    <s v="warnercory@example.com"/>
    <s v="862.664.7528"/>
    <d v="2026-03-14T00:04:08"/>
    <m/>
  </r>
  <r>
    <s v="Steven Thomas"/>
    <n v="100688"/>
    <s v="Marketing"/>
    <d v="2025-05-15T00:00:00"/>
    <x v="0"/>
    <s v="Marc Martinez"/>
    <s v="No"/>
    <s v="anthonyduncan@example.org"/>
    <s v="+1-784-252-4032x11535"/>
    <d v="2026-02-26T01:19:08"/>
    <m/>
  </r>
  <r>
    <s v="Steven Thomas"/>
    <n v="100688"/>
    <s v="Marketing"/>
    <d v="2025-05-15T00:00:00"/>
    <x v="1"/>
    <s v="Marc Martinez"/>
    <s v="No"/>
    <s v="anthonyduncan@example.org"/>
    <s v="+1-784-252-4032x11535"/>
    <d v="2026-02-26T01:19:08"/>
    <m/>
  </r>
  <r>
    <s v="Devin Cortez"/>
    <n v="100240"/>
    <s v="Engineering"/>
    <d v="2026-04-25T00:00:00"/>
    <x v="4"/>
    <s v="Kevin Garcia"/>
    <s v="No"/>
    <s v="elizabethwilliams@example.com"/>
    <s v="597.624.7925x4221"/>
    <d v="2026-03-13T07:30:08"/>
    <m/>
  </r>
  <r>
    <s v="Megan Graves"/>
    <n v="100769"/>
    <s v="HR"/>
    <d v="2025-07-04T00:00:00"/>
    <x v="0"/>
    <s v="Ashley White"/>
    <s v="No"/>
    <s v="turneramy@example.com"/>
    <s v="8677693332"/>
    <d v="2026-03-16T13:44:08"/>
    <m/>
  </r>
  <r>
    <s v="Shane Bender"/>
    <n v="100974"/>
    <s v="IT"/>
    <d v="2025-09-10T00:00:00"/>
    <x v="2"/>
    <s v="John Daniels"/>
    <s v="No"/>
    <s v="susan40@example.net"/>
    <s v="285-688-3825x67262"/>
    <d v="2026-02-13T22:21:08"/>
    <m/>
  </r>
  <r>
    <s v="Calvin Silva"/>
    <n v="100838"/>
    <s v="HR"/>
    <d v="2025-12-30T00:00:00"/>
    <x v="1"/>
    <s v="Eric Robinson"/>
    <s v="No"/>
    <s v="jillian19@example.com"/>
    <s v="(482)722-5018"/>
    <d v="2026-02-06T13:23:08"/>
    <m/>
  </r>
  <r>
    <s v="Calvin Silva"/>
    <n v="100838"/>
    <s v="HR"/>
    <d v="2025-12-30T00:00:00"/>
    <x v="5"/>
    <s v="Eric Robinson"/>
    <s v="No"/>
    <s v="jillian19@example.com"/>
    <s v="(482)722-5018"/>
    <d v="2026-02-06T13:23:08"/>
    <m/>
  </r>
  <r>
    <s v="Mary Reid"/>
    <n v="100095"/>
    <s v="Marketing"/>
    <d v="2025-11-29T00:00:00"/>
    <x v="0"/>
    <s v="Stephen Evans"/>
    <s v="Yes"/>
    <s v="andrealopez@example.com"/>
    <s v="(401)222-3414"/>
    <d v="2026-02-24T14:52:08"/>
    <m/>
  </r>
  <r>
    <s v="Mary Reid"/>
    <n v="100095"/>
    <s v="Marketing"/>
    <d v="2025-11-29T00:00:00"/>
    <x v="3"/>
    <s v="Stephen Evans"/>
    <s v="Yes"/>
    <s v="andrealopez@example.com"/>
    <s v="(401)222-3414"/>
    <d v="2026-02-24T14:52:08"/>
    <m/>
  </r>
  <r>
    <s v="Mary Reid"/>
    <n v="100095"/>
    <s v="Marketing"/>
    <d v="2025-11-29T00:00:00"/>
    <x v="5"/>
    <s v="Stephen Evans"/>
    <s v="Yes"/>
    <s v="andrealopez@example.com"/>
    <s v="(401)222-3414"/>
    <d v="2026-02-24T14:52:08"/>
    <m/>
  </r>
  <r>
    <s v="Lisa Rios"/>
    <n v="100343"/>
    <s v="IT"/>
    <d v="2026-02-19T00:00:00"/>
    <x v="0"/>
    <s v="Ronald Ramos"/>
    <s v="No"/>
    <s v="robertsmith@example.com"/>
    <s v="2952632174"/>
    <d v="2026-02-22T23:27:08"/>
    <m/>
  </r>
  <r>
    <s v="Lisa Rios"/>
    <n v="100343"/>
    <s v="IT"/>
    <d v="2026-02-19T00:00:00"/>
    <x v="4"/>
    <s v="Ronald Ramos"/>
    <s v="No"/>
    <s v="robertsmith@example.com"/>
    <s v="2952632174"/>
    <d v="2026-02-22T23:27:08"/>
    <m/>
  </r>
  <r>
    <s v="Lisa Rios"/>
    <n v="100343"/>
    <s v="IT"/>
    <d v="2026-02-19T00:00:00"/>
    <x v="5"/>
    <s v="Ronald Ramos"/>
    <s v="No"/>
    <s v="robertsmith@example.com"/>
    <s v="2952632174"/>
    <d v="2026-02-22T23:27:08"/>
    <m/>
  </r>
  <r>
    <s v="Lisa Williams"/>
    <n v="100634"/>
    <s v="Engineering"/>
    <d v="2026-02-22T00:00:00"/>
    <x v="0"/>
    <s v="Laura Sanchez"/>
    <s v="Yes"/>
    <s v="amberthompson@example.org"/>
    <s v="971-919-3600x6082"/>
    <d v="2026-03-06T17:04:08"/>
    <m/>
  </r>
  <r>
    <s v="Lisa Williams"/>
    <n v="100634"/>
    <s v="Engineering"/>
    <d v="2026-02-22T00:00:00"/>
    <x v="1"/>
    <s v="Laura Sanchez"/>
    <s v="Yes"/>
    <s v="amberthompson@example.org"/>
    <s v="971-919-3600x6082"/>
    <d v="2026-03-06T17:04:08"/>
    <m/>
  </r>
  <r>
    <s v="Erica Campbell"/>
    <n v="100648"/>
    <s v="IT"/>
    <d v="2026-02-01T00:00:00"/>
    <x v="3"/>
    <s v="Michael Butler"/>
    <s v="Yes"/>
    <s v="wellsryan@example.org"/>
    <s v="(643)885-0095x3723"/>
    <d v="2026-03-03T20:47:08"/>
    <m/>
  </r>
  <r>
    <s v="Erica Campbell"/>
    <n v="100648"/>
    <s v="IT"/>
    <d v="2026-02-01T00:00:00"/>
    <x v="1"/>
    <s v="Michael Butler"/>
    <s v="Yes"/>
    <s v="wellsryan@example.org"/>
    <s v="(643)885-0095x3723"/>
    <d v="2026-03-03T20:47:08"/>
    <m/>
  </r>
  <r>
    <s v="Erica Campbell"/>
    <n v="100648"/>
    <s v="IT"/>
    <d v="2026-02-01T00:00:00"/>
    <x v="2"/>
    <s v="Michael Butler"/>
    <s v="Yes"/>
    <s v="wellsryan@example.org"/>
    <s v="(643)885-0095x3723"/>
    <d v="2026-03-03T20:47:08"/>
    <m/>
  </r>
  <r>
    <s v="Ronald Hopkins"/>
    <n v="100679"/>
    <s v="IT"/>
    <d v="2026-01-05T00:00:00"/>
    <x v="3"/>
    <s v="Megan Harris"/>
    <s v="Yes"/>
    <s v="kristinwilson@example.net"/>
    <s v="+1-644-316-4231x654"/>
    <d v="2026-02-14T00:45:08"/>
    <m/>
  </r>
  <r>
    <s v="Christina White"/>
    <n v="100527"/>
    <s v="Engineering"/>
    <d v="2025-05-16T00:00:00"/>
    <x v="3"/>
    <s v="Steven Mills"/>
    <s v="No"/>
    <s v="wtapia@example.org"/>
    <s v="(334)994-2904x61755"/>
    <d v="2026-03-03T09:32:08"/>
    <m/>
  </r>
  <r>
    <s v="Christina White"/>
    <n v="100527"/>
    <s v="Engineering"/>
    <d v="2025-05-16T00:00:00"/>
    <x v="2"/>
    <s v="Steven Mills"/>
    <s v="No"/>
    <s v="wtapia@example.org"/>
    <s v="(334)994-2904x61755"/>
    <d v="2026-03-03T09:32:08"/>
    <m/>
  </r>
  <r>
    <s v="Christina White"/>
    <n v="100527"/>
    <s v="Engineering"/>
    <d v="2025-05-16T00:00:00"/>
    <x v="4"/>
    <s v="Steven Mills"/>
    <s v="No"/>
    <s v="wtapia@example.org"/>
    <s v="(334)994-2904x61755"/>
    <d v="2026-03-03T09:32:08"/>
    <m/>
  </r>
  <r>
    <s v="Brandon Mathis"/>
    <n v="100290"/>
    <s v="IT"/>
    <d v="2025-10-29T00:00:00"/>
    <x v="3"/>
    <s v="Krystal Thompson"/>
    <s v="No"/>
    <s v="blakejackson@example.net"/>
    <s v="674.744.1723"/>
    <d v="2026-02-18T21:48:08"/>
    <m/>
  </r>
  <r>
    <s v="George Gonzalez"/>
    <n v="100086"/>
    <s v="Engineering"/>
    <d v="2025-11-22T00:00:00"/>
    <x v="1"/>
    <s v="Laura West"/>
    <s v="No"/>
    <s v="martinmorgan@example.net"/>
    <s v="(836)626-8904x723"/>
    <d v="2026-03-05T03:45:08"/>
    <m/>
  </r>
  <r>
    <s v="Adam Bernard"/>
    <n v="100674"/>
    <s v="Engineering"/>
    <d v="2025-12-11T00:00:00"/>
    <x v="1"/>
    <s v="Crystal Baxter"/>
    <s v="Yes"/>
    <s v="timothy42@example.org"/>
    <s v="(643)859-9009x3781"/>
    <d v="2026-03-09T14:31:08"/>
    <m/>
  </r>
  <r>
    <s v="Adam Bernard"/>
    <n v="100674"/>
    <s v="Engineering"/>
    <d v="2025-12-11T00:00:00"/>
    <x v="5"/>
    <s v="Crystal Baxter"/>
    <s v="Yes"/>
    <s v="timothy42@example.org"/>
    <s v="(643)859-9009x3781"/>
    <d v="2026-03-09T14:31:08"/>
    <m/>
  </r>
  <r>
    <s v="John Holland"/>
    <n v="100173"/>
    <s v="IT"/>
    <d v="2025-06-10T00:00:00"/>
    <x v="0"/>
    <s v="Brandon Walker"/>
    <s v="No"/>
    <s v="joshua70@example.com"/>
    <s v="001-861-387-5646x7263"/>
    <d v="2026-03-11T12:39:08"/>
    <m/>
  </r>
  <r>
    <s v="John Holland"/>
    <n v="100173"/>
    <s v="IT"/>
    <d v="2025-06-10T00:00:00"/>
    <x v="4"/>
    <s v="Brandon Walker"/>
    <s v="No"/>
    <s v="joshua70@example.com"/>
    <s v="001-861-387-5646x7263"/>
    <d v="2026-03-11T12:39:08"/>
    <m/>
  </r>
  <r>
    <s v="Edward Benson"/>
    <n v="100753"/>
    <s v="HR"/>
    <d v="2025-10-10T00:00:00"/>
    <x v="1"/>
    <s v="Rose Francis"/>
    <s v="Yes"/>
    <s v="maysedward@example.com"/>
    <s v="001-229-610-8450x786"/>
    <d v="2026-03-15T15:55:08"/>
    <m/>
  </r>
  <r>
    <s v="Edward Benson"/>
    <n v="100753"/>
    <s v="HR"/>
    <d v="2025-10-10T00:00:00"/>
    <x v="2"/>
    <s v="Rose Francis"/>
    <s v="Yes"/>
    <s v="maysedward@example.com"/>
    <s v="001-229-610-8450x786"/>
    <d v="2026-03-15T15:55:08"/>
    <m/>
  </r>
  <r>
    <s v="Edward Benson"/>
    <n v="100753"/>
    <s v="HR"/>
    <d v="2025-10-10T00:00:00"/>
    <x v="4"/>
    <s v="Rose Francis"/>
    <s v="Yes"/>
    <s v="maysedward@example.com"/>
    <s v="001-229-610-8450x786"/>
    <d v="2026-03-15T15:55:08"/>
    <m/>
  </r>
  <r>
    <s v="Heidi Mullins"/>
    <n v="100815"/>
    <s v="HR"/>
    <d v="2025-10-01T00:00:00"/>
    <x v="1"/>
    <s v="George Johnson"/>
    <s v="Yes"/>
    <s v="seanmelendez@example.net"/>
    <s v="433.406.7730x67182"/>
    <d v="2026-02-18T06:51:08"/>
    <m/>
  </r>
  <r>
    <s v="Stephen Alvarez"/>
    <n v="100982"/>
    <s v="Finance"/>
    <d v="2025-09-24T00:00:00"/>
    <x v="2"/>
    <s v="Diana Miller"/>
    <s v="Yes"/>
    <s v="wiseshannon@example.net"/>
    <s v="665.438.5906x73963"/>
    <d v="2026-02-28T21:32:08"/>
    <m/>
  </r>
  <r>
    <s v="Melissa Oneill"/>
    <n v="100922"/>
    <s v="IT"/>
    <d v="2025-07-15T00:00:00"/>
    <x v="0"/>
    <s v="Karen Ross"/>
    <s v="No"/>
    <s v="lauren50@example.net"/>
    <s v="+1-849-922-1704x8618"/>
    <d v="2026-03-09T08:43:08"/>
    <m/>
  </r>
  <r>
    <s v="Melissa Oneill"/>
    <n v="100922"/>
    <s v="IT"/>
    <d v="2025-07-15T00:00:00"/>
    <x v="3"/>
    <s v="Karen Ross"/>
    <s v="No"/>
    <s v="lauren50@example.net"/>
    <s v="+1-849-922-1704x8618"/>
    <d v="2026-03-09T08:43:08"/>
    <m/>
  </r>
  <r>
    <s v="James Lopez"/>
    <n v="100812"/>
    <s v="Engineering"/>
    <d v="2025-08-25T00:00:00"/>
    <x v="3"/>
    <s v="Benjamin Hines"/>
    <s v="Yes"/>
    <s v="wellssherry@example.net"/>
    <s v="001-328-491-9827"/>
    <d v="2026-02-14T16:55:08"/>
    <m/>
  </r>
  <r>
    <s v="James Lopez"/>
    <n v="100812"/>
    <s v="Engineering"/>
    <d v="2025-08-25T00:00:00"/>
    <x v="5"/>
    <s v="Benjamin Hines"/>
    <s v="Yes"/>
    <s v="wellssherry@example.net"/>
    <s v="001-328-491-9827"/>
    <d v="2026-02-14T16:55:08"/>
    <m/>
  </r>
  <r>
    <s v="Frank Stephenson"/>
    <n v="101092"/>
    <s v="Operations"/>
    <d v="2026-02-03T00:00:00"/>
    <x v="2"/>
    <s v="Robert Ford"/>
    <s v="No"/>
    <s v="amclaughlin@example.net"/>
    <s v="(349)542-6942x03983"/>
    <d v="2026-02-08T21:54:08"/>
    <m/>
  </r>
  <r>
    <s v="Elizabeth Mayo"/>
    <n v="100523"/>
    <s v="Marketing"/>
    <d v="2025-07-20T00:00:00"/>
    <x v="0"/>
    <s v="Alicia Campbell"/>
    <s v="No"/>
    <s v="ycole@example.net"/>
    <s v="(619)458-7305"/>
    <d v="2026-02-16T15:03:08"/>
    <m/>
  </r>
  <r>
    <s v="Elizabeth Mayo"/>
    <n v="100523"/>
    <s v="Marketing"/>
    <d v="2025-07-20T00:00:00"/>
    <x v="1"/>
    <s v="Alicia Campbell"/>
    <s v="No"/>
    <s v="ycole@example.net"/>
    <s v="(619)458-7305"/>
    <d v="2026-02-16T15:03:08"/>
    <m/>
  </r>
  <r>
    <s v="Elizabeth Mayo"/>
    <n v="100523"/>
    <s v="Marketing"/>
    <d v="2025-07-20T00:00:00"/>
    <x v="4"/>
    <s v="Alicia Campbell"/>
    <s v="No"/>
    <s v="ycole@example.net"/>
    <s v="(619)458-7305"/>
    <d v="2026-02-16T15:03:08"/>
    <m/>
  </r>
  <r>
    <s v="Denise Hoffman"/>
    <n v="100218"/>
    <s v="IT"/>
    <d v="2025-06-28T00:00:00"/>
    <x v="1"/>
    <s v="Patty Hopkins"/>
    <s v="Yes"/>
    <s v="lisaterry@example.net"/>
    <s v="+1-717-281-6780x66431"/>
    <d v="2026-02-28T23:34:08"/>
    <m/>
  </r>
  <r>
    <s v="Matthew King"/>
    <n v="100691"/>
    <s v="Operations"/>
    <d v="2025-12-25T00:00:00"/>
    <x v="0"/>
    <s v="Tammy Barrett"/>
    <s v="No"/>
    <s v="murphyjames@example.com"/>
    <s v="001-201-370-9264x07030"/>
    <d v="2026-02-05T08:02:08"/>
    <m/>
  </r>
  <r>
    <s v="Matthew King"/>
    <n v="100691"/>
    <s v="Operations"/>
    <d v="2025-12-25T00:00:00"/>
    <x v="2"/>
    <s v="Tammy Barrett"/>
    <s v="No"/>
    <s v="murphyjames@example.com"/>
    <s v="001-201-370-9264x07030"/>
    <d v="2026-02-05T08:02:08"/>
    <m/>
  </r>
  <r>
    <s v="James Rice"/>
    <n v="101458"/>
    <s v="Marketing"/>
    <d v="2025-03-16T00:00:00"/>
    <x v="5"/>
    <s v="Jennifer Thompson"/>
    <s v="No"/>
    <s v="marissa85@example.org"/>
    <s v="+1-807-228-8959x27411"/>
    <d v="2026-02-06T09:21:08"/>
    <s v="Duplicate Employee ID"/>
  </r>
  <r>
    <s v="Kevin Rodriguez"/>
    <n v="100452"/>
    <s v="Operations"/>
    <d v="2025-09-11T00:00:00"/>
    <x v="3"/>
    <s v="Stephanie Garrison"/>
    <s v="Yes"/>
    <s v="laurensullivan@example.org"/>
    <s v="9802820391"/>
    <d v="2026-03-05T23:41:08"/>
    <m/>
  </r>
  <r>
    <s v="Kevin Rodriguez"/>
    <n v="100452"/>
    <s v="Operations"/>
    <d v="2025-09-11T00:00:00"/>
    <x v="1"/>
    <s v="Stephanie Garrison"/>
    <s v="Yes"/>
    <s v="laurensullivan@example.org"/>
    <s v="9802820391"/>
    <d v="2026-03-05T23:41:08"/>
    <m/>
  </r>
  <r>
    <s v="Kevin Rodriguez"/>
    <n v="100452"/>
    <s v="Operations"/>
    <d v="2025-09-11T00:00:00"/>
    <x v="4"/>
    <s v="Stephanie Garrison"/>
    <s v="Yes"/>
    <s v="laurensullivan@example.org"/>
    <s v="9802820391"/>
    <d v="2026-03-05T23:41:08"/>
    <m/>
  </r>
  <r>
    <s v="Regina Gamble"/>
    <n v="101431"/>
    <s v="IT"/>
    <d v="2025-04-20T00:00:00"/>
    <x v="2"/>
    <s v="Michael Khan"/>
    <s v="Yes"/>
    <s v="joseph59@example.com"/>
    <s v="+1-424-758-7012x0424"/>
    <d v="2026-03-07T22:55:08"/>
    <m/>
  </r>
  <r>
    <s v="Regina Gamble"/>
    <n v="101431"/>
    <s v="IT"/>
    <d v="2025-04-20T00:00:00"/>
    <x v="5"/>
    <s v="Michael Khan"/>
    <s v="Yes"/>
    <s v="joseph59@example.com"/>
    <s v="+1-424-758-7012x0424"/>
    <d v="2026-03-07T22:55:08"/>
    <m/>
  </r>
  <r>
    <s v="Kyle Richards"/>
    <n v="100329"/>
    <s v="Finance"/>
    <d v="2025-10-23T00:00:00"/>
    <x v="3"/>
    <s v="Brooke Walker"/>
    <s v="No"/>
    <s v="john28@example.com"/>
    <s v="001-476-603-9670"/>
    <d v="2026-02-01T06:13:08"/>
    <m/>
  </r>
  <r>
    <s v="Evan Richard"/>
    <n v="100670"/>
    <s v="Finance"/>
    <d v="2026-04-05T00:00:00"/>
    <x v="1"/>
    <s v="Elizabeth Bell"/>
    <s v="No"/>
    <s v="hollycoleman@example.net"/>
    <s v="001-718-975-4036x48821"/>
    <d v="2026-02-23T10:43:08"/>
    <m/>
  </r>
  <r>
    <s v="Evan Richard"/>
    <n v="100670"/>
    <s v="Finance"/>
    <d v="2026-04-05T00:00:00"/>
    <x v="4"/>
    <s v="Elizabeth Bell"/>
    <s v="No"/>
    <s v="hollycoleman@example.net"/>
    <s v="001-718-975-4036x48821"/>
    <d v="2026-02-23T10:43:08"/>
    <m/>
  </r>
  <r>
    <s v="Evan Richard"/>
    <n v="100670"/>
    <s v="Finance"/>
    <d v="2026-04-05T00:00:00"/>
    <x v="5"/>
    <s v="Elizabeth Bell"/>
    <s v="No"/>
    <s v="hollycoleman@example.net"/>
    <s v="001-718-975-4036x48821"/>
    <d v="2026-02-23T10:43:08"/>
    <m/>
  </r>
  <r>
    <s v="Mrs. Jaclyn Crosby MD"/>
    <n v="100621"/>
    <s v="Operations"/>
    <d v="2026-01-16T00:00:00"/>
    <x v="2"/>
    <s v="Craig Martinez"/>
    <s v="Yes"/>
    <s v="zjohnson@example.com"/>
    <s v="+1-998-464-9125x949"/>
    <d v="2026-02-06T01:39:08"/>
    <m/>
  </r>
  <r>
    <s v="Mrs. Jaclyn Crosby MD"/>
    <n v="100621"/>
    <s v="Operations"/>
    <d v="2026-01-16T00:00:00"/>
    <x v="4"/>
    <s v="Craig Martinez"/>
    <s v="Yes"/>
    <s v="zjohnson@example.com"/>
    <s v="+1-998-464-9125x949"/>
    <d v="2026-02-06T01:39:08"/>
    <m/>
  </r>
  <r>
    <s v="Anthony Scott"/>
    <n v="100593"/>
    <s v="Engineering"/>
    <d v="2025-03-20T00:00:00"/>
    <x v="3"/>
    <s v="Jasmine Martin"/>
    <s v="No"/>
    <s v="ielliott@example.org"/>
    <s v="(466)517-9962x3569"/>
    <d v="2026-02-10T15:08:08"/>
    <m/>
  </r>
  <r>
    <s v="Anthony Scott"/>
    <n v="100593"/>
    <s v="Engineering"/>
    <d v="2025-03-20T00:00:00"/>
    <x v="4"/>
    <s v="Jasmine Martin"/>
    <s v="No"/>
    <s v="ielliott@example.org"/>
    <s v="(466)517-9962x3569"/>
    <d v="2026-02-10T15:08:08"/>
    <m/>
  </r>
  <r>
    <s v="Anthony Scott"/>
    <n v="100593"/>
    <s v="Engineering"/>
    <d v="2025-03-20T00:00:00"/>
    <x v="5"/>
    <s v="Jasmine Martin"/>
    <s v="No"/>
    <s v="ielliott@example.org"/>
    <s v="(466)517-9962x3569"/>
    <d v="2026-02-10T15:08:08"/>
    <m/>
  </r>
  <r>
    <s v="Paul Navarro"/>
    <n v="100804"/>
    <s v="Engineering"/>
    <d v="2025-12-16T00:00:00"/>
    <x v="0"/>
    <s v="Jennifer Robertson"/>
    <s v="No"/>
    <s v="lhayes@example.com"/>
    <s v="001-360-741-3482x08493"/>
    <d v="2026-02-01T13:42:08"/>
    <m/>
  </r>
  <r>
    <s v="Joseph Lopez"/>
    <n v="100071"/>
    <s v="HR"/>
    <d v="2026-05-06T00:00:00"/>
    <x v="3"/>
    <s v="Angela Ritter"/>
    <s v="No"/>
    <s v="asmith@example.org"/>
    <s v="340-576-2914x3049"/>
    <d v="2026-03-04T18:07:08"/>
    <s v="Duplicate Employee ID"/>
  </r>
  <r>
    <s v="Joseph Lopez"/>
    <n v="100071"/>
    <s v="HR"/>
    <d v="2026-05-06T00:00:00"/>
    <x v="1"/>
    <s v="Angela Ritter"/>
    <s v="No"/>
    <s v="asmith@example.org"/>
    <s v="340-576-2914x3049"/>
    <d v="2026-03-04T18:07:08"/>
    <s v="Duplicate Employee ID"/>
  </r>
  <r>
    <s v="Alan Black"/>
    <n v="100215"/>
    <s v="Engineering"/>
    <d v="2025-05-18T00:00:00"/>
    <x v="1"/>
    <s v="Erica Santana"/>
    <s v="No"/>
    <s v="landerson@example.net"/>
    <s v="+1-765-464-2240"/>
    <d v="2026-03-16T10:21:08"/>
    <m/>
  </r>
  <r>
    <s v="Alan Black"/>
    <n v="100215"/>
    <s v="Engineering"/>
    <d v="2025-05-18T00:00:00"/>
    <x v="4"/>
    <s v="Erica Santana"/>
    <s v="No"/>
    <s v="landerson@example.net"/>
    <s v="+1-765-464-2240"/>
    <d v="2026-03-16T10:21:08"/>
    <m/>
  </r>
  <r>
    <s v="Clayton Rogers"/>
    <n v="100293"/>
    <s v="Engineering"/>
    <d v="2026-04-08T00:00:00"/>
    <x v="0"/>
    <s v="Kelly Washington"/>
    <s v="Yes"/>
    <s v="zpatterson@example.org"/>
    <s v="+1-448-296-2980x568"/>
    <d v="2026-03-10T20:58:08"/>
    <m/>
  </r>
  <r>
    <s v="Clayton Rogers"/>
    <n v="100293"/>
    <s v="Engineering"/>
    <d v="2026-04-08T00:00:00"/>
    <x v="1"/>
    <s v="Kelly Washington"/>
    <s v="Yes"/>
    <s v="zpatterson@example.org"/>
    <s v="+1-448-296-2980x568"/>
    <d v="2026-03-10T20:58:08"/>
    <m/>
  </r>
  <r>
    <s v="Matthew Sanchez"/>
    <n v="100311"/>
    <s v="HR"/>
    <d v="2026-05-03T00:00:00"/>
    <x v="0"/>
    <s v="Joan Ortiz"/>
    <s v="No"/>
    <s v="mayerryan@example.com"/>
    <s v="324.504.3474x1253"/>
    <d v="2026-03-14T08:20:08"/>
    <m/>
  </r>
  <r>
    <s v="Matthew Sanchez"/>
    <n v="100311"/>
    <s v="HR"/>
    <d v="2026-05-03T00:00:00"/>
    <x v="4"/>
    <s v="Joan Ortiz"/>
    <s v="No"/>
    <s v="mayerryan@example.com"/>
    <s v="324.504.3474x1253"/>
    <d v="2026-03-14T08:20:08"/>
    <m/>
  </r>
  <r>
    <s v="Matthew Sanchez"/>
    <n v="100311"/>
    <s v="HR"/>
    <d v="2026-05-03T00:00:00"/>
    <x v="5"/>
    <s v="Joan Ortiz"/>
    <s v="No"/>
    <s v="mayerryan@example.com"/>
    <s v="324.504.3474x1253"/>
    <d v="2026-03-14T08:20:08"/>
    <m/>
  </r>
  <r>
    <s v="Mr. Samuel Davis"/>
    <n v="100000"/>
    <s v="IT"/>
    <d v="2026-03-11T00:00:00"/>
    <x v="3"/>
    <s v="John Gonzalez"/>
    <s v="Yes"/>
    <s v="charlesewing@example.com"/>
    <s v="3365192025"/>
    <d v="2026-02-04T04:23:08"/>
    <m/>
  </r>
  <r>
    <s v="Mr. Samuel Davis"/>
    <n v="100000"/>
    <s v="IT"/>
    <d v="2026-03-11T00:00:00"/>
    <x v="2"/>
    <s v="John Gonzalez"/>
    <s v="Yes"/>
    <s v="charlesewing@example.com"/>
    <s v="3365192025"/>
    <d v="2026-02-04T04:23:08"/>
    <m/>
  </r>
  <r>
    <s v="Mr. Samuel Davis"/>
    <n v="100000"/>
    <s v="IT"/>
    <d v="2026-03-11T00:00:00"/>
    <x v="4"/>
    <s v="John Gonzalez"/>
    <s v="Yes"/>
    <s v="charlesewing@example.com"/>
    <s v="3365192025"/>
    <d v="2026-02-04T04:23:08"/>
    <m/>
  </r>
  <r>
    <s v="Cheryl Stevens"/>
    <n v="100853"/>
    <s v="Marketing"/>
    <d v="2025-08-05T00:00:00"/>
    <x v="3"/>
    <s v="Nicholas Patrick"/>
    <s v="Yes"/>
    <s v="joshua74@example.net"/>
    <s v="+1-304-276-0786x235"/>
    <d v="2026-02-01T22:36:08"/>
    <m/>
  </r>
  <r>
    <s v="Cheryl Stevens"/>
    <n v="100853"/>
    <s v="Marketing"/>
    <d v="2025-08-05T00:00:00"/>
    <x v="4"/>
    <s v="Nicholas Patrick"/>
    <s v="Yes"/>
    <s v="joshua74@example.net"/>
    <s v="+1-304-276-0786x235"/>
    <d v="2026-02-01T22:36:08"/>
    <m/>
  </r>
  <r>
    <s v="Cheryl Stevens"/>
    <n v="100853"/>
    <s v="Marketing"/>
    <d v="2025-08-05T00:00:00"/>
    <x v="5"/>
    <s v="Nicholas Patrick"/>
    <s v="Yes"/>
    <s v="joshua74@example.net"/>
    <s v="+1-304-276-0786x235"/>
    <d v="2026-02-01T22:36:08"/>
    <m/>
  </r>
  <r>
    <s v="Julie Morris"/>
    <n v="100561"/>
    <s v="IT"/>
    <d v="2025-12-30T00:00:00"/>
    <x v="2"/>
    <s v="Lisa Hartman"/>
    <s v="Yes"/>
    <s v="maddenhailey@example.com"/>
    <s v="773-828-9514"/>
    <d v="2026-03-12T13:34:08"/>
    <m/>
  </r>
  <r>
    <s v="David Jacobs"/>
    <n v="100415"/>
    <s v="Finance"/>
    <d v="2026-01-01T00:00:00"/>
    <x v="3"/>
    <s v="Robert Hicks"/>
    <s v="No"/>
    <s v="michael11@example.com"/>
    <s v="944.296.5391x607"/>
    <d v="2026-03-03T18:46:08"/>
    <m/>
  </r>
  <r>
    <s v="Adam Sanchez"/>
    <n v="100308"/>
    <m/>
    <d v="2026-03-05T00:00:00"/>
    <x v="0"/>
    <s v="Alexandria Collins"/>
    <s v="No"/>
    <s v="david40@example.org"/>
    <s v="+1-282-521-8039x662"/>
    <d v="2026-03-16T03:20:08"/>
    <s v="Missing Department"/>
  </r>
  <r>
    <s v="Adam Sanchez"/>
    <n v="100308"/>
    <m/>
    <d v="2026-03-05T00:00:00"/>
    <x v="3"/>
    <s v="Alexandria Collins"/>
    <s v="No"/>
    <s v="david40@example.org"/>
    <s v="+1-282-521-8039x662"/>
    <d v="2026-03-16T03:20:08"/>
    <s v="Missing Department"/>
  </r>
  <r>
    <s v="Adam Sanchez"/>
    <n v="100308"/>
    <m/>
    <d v="2026-03-05T00:00:00"/>
    <x v="1"/>
    <s v="Alexandria Collins"/>
    <s v="No"/>
    <s v="david40@example.org"/>
    <s v="+1-282-521-8039x662"/>
    <d v="2026-03-16T03:20:08"/>
    <s v="Missing Department"/>
  </r>
  <r>
    <s v="Suzanne Stephens"/>
    <n v="100582"/>
    <s v="Engineering"/>
    <d v="2025-08-28T00:00:00"/>
    <x v="1"/>
    <s v="Travis Fuller"/>
    <s v="Yes"/>
    <s v="kelleramanda@example.org"/>
    <s v="(865)529-5164"/>
    <d v="2026-02-01T00:13:08"/>
    <m/>
  </r>
  <r>
    <s v="Suzanne Stephens"/>
    <n v="100582"/>
    <s v="Engineering"/>
    <d v="2025-08-28T00:00:00"/>
    <x v="5"/>
    <s v="Travis Fuller"/>
    <s v="Yes"/>
    <s v="kelleramanda@example.org"/>
    <s v="(865)529-5164"/>
    <d v="2026-02-01T00:13:08"/>
    <m/>
  </r>
  <r>
    <s v="Miranda Cooper"/>
    <n v="100630"/>
    <s v="Operations"/>
    <d v="2025-11-24T00:00:00"/>
    <x v="3"/>
    <s v="Curtis Cantu"/>
    <s v="Yes"/>
    <s v="bevans@example.net"/>
    <s v="306.670.8987x09201"/>
    <d v="2026-03-13T08:25:08"/>
    <m/>
  </r>
  <r>
    <s v="Miranda Cooper"/>
    <n v="100630"/>
    <s v="Operations"/>
    <d v="2025-11-24T00:00:00"/>
    <x v="2"/>
    <s v="Curtis Cantu"/>
    <s v="Yes"/>
    <s v="bevans@example.net"/>
    <s v="306.670.8987x09201"/>
    <d v="2026-03-13T08:25:08"/>
    <m/>
  </r>
  <r>
    <s v="Angela Gonzalez"/>
    <n v="100356"/>
    <s v="Operations"/>
    <d v="2025-12-13T00:00:00"/>
    <x v="1"/>
    <s v="Brianna Price"/>
    <s v="No"/>
    <s v="davisamanda@example.net"/>
    <s v="980-452-6321x19604"/>
    <d v="2026-03-04T06:29:08"/>
    <m/>
  </r>
  <r>
    <s v="Angela Gonzalez"/>
    <n v="100356"/>
    <s v="Operations"/>
    <d v="2025-12-13T00:00:00"/>
    <x v="2"/>
    <s v="Brianna Price"/>
    <s v="No"/>
    <s v="davisamanda@example.net"/>
    <s v="980-452-6321x19604"/>
    <d v="2026-03-04T06:29:08"/>
    <m/>
  </r>
  <r>
    <s v="Erik Burke"/>
    <n v="101216"/>
    <s v="Engineering"/>
    <d v="2026-01-02T00:00:00"/>
    <x v="0"/>
    <s v="Adam Woods"/>
    <s v="Yes"/>
    <s v="michael44@example.com"/>
    <s v="001-708-523-1714x6199"/>
    <d v="2026-01-31T03:27:08"/>
    <m/>
  </r>
  <r>
    <s v="Jennifer Sparks"/>
    <n v="100861"/>
    <s v="Engineering"/>
    <d v="2025-07-21T00:00:00"/>
    <x v="4"/>
    <s v="Yolanda Anderson"/>
    <s v="No"/>
    <s v="uwhite@example.net"/>
    <s v="001-796-905-3026x18402"/>
    <d v="2026-02-25T15:46:08"/>
    <m/>
  </r>
  <r>
    <s v="Susan Smith"/>
    <n v="101243"/>
    <s v="Marketing"/>
    <d v="2025-03-30T00:00:00"/>
    <x v="2"/>
    <s v="Kelly Williams"/>
    <s v="No"/>
    <s v="longbob@example.com"/>
    <s v="660.250.2816"/>
    <d v="2026-02-28T09:28:08"/>
    <s v="Extra Name Spaces"/>
  </r>
  <r>
    <s v="Susan Smith"/>
    <n v="101243"/>
    <s v="Marketing"/>
    <d v="2025-03-30T00:00:00"/>
    <x v="5"/>
    <s v="Kelly Williams"/>
    <s v="No"/>
    <s v="longbob@example.com"/>
    <s v="660.250.2816"/>
    <d v="2026-02-28T09:28:08"/>
    <s v="Extra Name Spaces"/>
  </r>
  <r>
    <s v="Laurie Smith"/>
    <n v="100260"/>
    <s v="Marketing"/>
    <d v="2025-11-13T00:00:00"/>
    <x v="1"/>
    <s v="Andrew Wilson"/>
    <s v="Yes"/>
    <s v="brianyang@example.net"/>
    <s v="5259209452"/>
    <d v="2026-02-23T00:10:08"/>
    <m/>
  </r>
  <r>
    <s v="Laura Horton"/>
    <n v="100605"/>
    <s v="Finance"/>
    <d v="2025-04-22T00:00:00"/>
    <x v="3"/>
    <s v="Scott Andrews"/>
    <s v="No"/>
    <s v="tanyawilliams@example.net"/>
    <s v="001-486-202-7574x544"/>
    <d v="2026-02-07T13:39:08"/>
    <m/>
  </r>
  <r>
    <s v="Laura Horton"/>
    <n v="100605"/>
    <s v="Finance"/>
    <d v="2025-04-22T00:00:00"/>
    <x v="2"/>
    <s v="Scott Andrews"/>
    <s v="No"/>
    <s v="tanyawilliams@example.net"/>
    <s v="001-486-202-7574x544"/>
    <d v="2026-02-07T13:39:08"/>
    <m/>
  </r>
  <r>
    <s v="Laura Horton"/>
    <n v="100605"/>
    <s v="Finance"/>
    <d v="2025-04-22T00:00:00"/>
    <x v="5"/>
    <s v="Scott Andrews"/>
    <s v="No"/>
    <s v="tanyawilliams@example.net"/>
    <s v="001-486-202-7574x544"/>
    <d v="2026-02-07T13:39:08"/>
    <m/>
  </r>
  <r>
    <s v="Paul Estes"/>
    <n v="101332"/>
    <s v="Engineering"/>
    <d v="2025-04-16T00:00:00"/>
    <x v="5"/>
    <s v="Dustin Murphy"/>
    <s v="No"/>
    <s v="martinezallen@example.net"/>
    <s v="689-765-5834"/>
    <d v="2026-01-31T15:41:08"/>
    <m/>
  </r>
  <r>
    <s v="Jared Camacho"/>
    <n v="100668"/>
    <s v="Marketing"/>
    <d v="2025-04-16T00:00:00"/>
    <x v="1"/>
    <s v="Melissa Hernandez"/>
    <s v="No"/>
    <s v="djensen@example.com"/>
    <s v="001-266-903-6162x486"/>
    <d v="2026-03-12T14:26:08"/>
    <m/>
  </r>
  <r>
    <s v="Jared Camacho"/>
    <n v="100668"/>
    <s v="Marketing"/>
    <d v="2025-04-16T00:00:00"/>
    <x v="2"/>
    <s v="Melissa Hernandez"/>
    <s v="No"/>
    <s v="djensen@example.com"/>
    <s v="001-266-903-6162x486"/>
    <d v="2026-03-12T14:26:08"/>
    <m/>
  </r>
  <r>
    <s v="Jerry Bowman"/>
    <n v="100836"/>
    <s v="Engineering"/>
    <d v="2025-12-27T00:00:00"/>
    <x v="1"/>
    <s v="Stephanie Sullivan"/>
    <s v="No"/>
    <s v="jamesmarsh@example.org"/>
    <s v="(885)901-5301x731"/>
    <d v="2026-02-19T14:38:08"/>
    <m/>
  </r>
  <r>
    <s v="Emily Brown"/>
    <n v="100633"/>
    <s v="IT"/>
    <d v="2026-04-05T00:00:00"/>
    <x v="3"/>
    <s v="Laura Brooks"/>
    <s v="Yes"/>
    <s v="jonathanjones@example.org"/>
    <s v="001-754-579-4064"/>
    <d v="2026-02-15T04:48:08"/>
    <m/>
  </r>
  <r>
    <s v="Emily Brown"/>
    <n v="100633"/>
    <s v="IT"/>
    <d v="2026-04-05T00:00:00"/>
    <x v="4"/>
    <s v="Laura Brooks"/>
    <s v="Yes"/>
    <s v="jonathanjones@example.org"/>
    <s v="001-754-579-4064"/>
    <d v="2026-02-15T04:48:08"/>
    <m/>
  </r>
  <r>
    <s v="Robert Benson"/>
    <n v="100615"/>
    <s v="Operations"/>
    <d v="2026-04-27T00:00:00"/>
    <x v="0"/>
    <s v="Mrs. Amy Sharp"/>
    <s v="Yes"/>
    <s v="armstrongjill@example.net"/>
    <s v="598.566.4693x65618"/>
    <d v="2026-02-22T19:41:08"/>
    <m/>
  </r>
  <r>
    <s v="Robert Benson"/>
    <n v="100615"/>
    <s v="Operations"/>
    <d v="2026-04-27T00:00:00"/>
    <x v="3"/>
    <s v="Mrs. Amy Sharp"/>
    <s v="Yes"/>
    <s v="armstrongjill@example.net"/>
    <s v="598.566.4693x65618"/>
    <d v="2026-02-22T19:41:08"/>
    <m/>
  </r>
  <r>
    <s v="Michelle Simpson"/>
    <n v="101447"/>
    <s v="Engineering"/>
    <d v="2025-11-03T00:00:00"/>
    <x v="3"/>
    <s v="Kristin Foster"/>
    <s v="Yes"/>
    <s v="brookstaylor@example.org"/>
    <s v="477.418.4301"/>
    <d v="2026-03-10T17:29:08"/>
    <s v="Extra Name Spaces"/>
  </r>
  <r>
    <s v="Michelle Simpson"/>
    <n v="101447"/>
    <s v="Engineering"/>
    <d v="2025-11-03T00:00:00"/>
    <x v="1"/>
    <s v="Kristin Foster"/>
    <s v="Yes"/>
    <s v="brookstaylor@example.org"/>
    <s v="477.418.4301"/>
    <d v="2026-03-10T17:29:08"/>
    <s v="Extra Name Spaces"/>
  </r>
  <r>
    <s v="Michelle Simpson"/>
    <n v="101447"/>
    <s v="Engineering"/>
    <d v="2025-11-03T00:00:00"/>
    <x v="4"/>
    <s v="Kristin Foster"/>
    <s v="Yes"/>
    <s v="brookstaylor@example.org"/>
    <s v="477.418.4301"/>
    <d v="2026-03-10T17:29:08"/>
    <s v="Extra Name Spaces"/>
  </r>
  <r>
    <s v="Ian Burns"/>
    <n v="101050"/>
    <s v="IT"/>
    <d v="2026-03-16T00:00:00"/>
    <x v="3"/>
    <s v="Samuel Thomas"/>
    <s v="Yes"/>
    <s v="rlewis@example.org"/>
    <s v="796.544.0282"/>
    <d v="2026-02-08T13:36:08"/>
    <m/>
  </r>
  <r>
    <s v="Robin Donovan"/>
    <n v="101273"/>
    <s v="IT"/>
    <d v="2025-07-25T00:00:00"/>
    <x v="0"/>
    <s v="Julia Williamson"/>
    <s v="No"/>
    <s v="jonathangonzales@example.org"/>
    <s v="+1-323-685-2023x209"/>
    <d v="2026-03-05T09:37:08"/>
    <m/>
  </r>
  <r>
    <s v="Robin Donovan"/>
    <n v="101273"/>
    <s v="IT"/>
    <d v="2025-07-25T00:00:00"/>
    <x v="5"/>
    <s v="Julia Williamson"/>
    <s v="No"/>
    <s v="jonathangonzales@example.org"/>
    <s v="+1-323-685-2023x209"/>
    <d v="2026-03-05T09:37:08"/>
    <m/>
  </r>
  <r>
    <s v="April Henderson"/>
    <n v="100143"/>
    <s v="Marketing"/>
    <d v="2026-04-28T00:00:00"/>
    <x v="2"/>
    <s v="Philip Thompson"/>
    <s v="Yes"/>
    <s v="kelly34@example.com"/>
    <s v="+1-719-498-2907x55154"/>
    <d v="2026-02-24T21:57:08"/>
    <m/>
  </r>
  <r>
    <s v="Amy Howe"/>
    <n v="100883"/>
    <s v="Operations"/>
    <d v="2025-12-03T00:00:00"/>
    <x v="0"/>
    <s v="Keith Lynch"/>
    <s v="Yes"/>
    <s v="harrissusan@example.org"/>
    <s v="4064433226"/>
    <d v="2026-02-14T07:22:08"/>
    <m/>
  </r>
  <r>
    <s v="Amy Howe"/>
    <n v="100883"/>
    <s v="Operations"/>
    <d v="2025-12-03T00:00:00"/>
    <x v="1"/>
    <s v="Keith Lynch"/>
    <s v="Yes"/>
    <s v="harrissusan@example.org"/>
    <s v="4064433226"/>
    <d v="2026-02-14T07:22:08"/>
    <m/>
  </r>
  <r>
    <s v="Amy Howe"/>
    <n v="100883"/>
    <s v="Operations"/>
    <d v="2025-12-03T00:00:00"/>
    <x v="4"/>
    <s v="Keith Lynch"/>
    <s v="Yes"/>
    <s v="harrissusan@example.org"/>
    <s v="4064433226"/>
    <d v="2026-02-14T07:22:08"/>
    <m/>
  </r>
  <r>
    <s v="John Robinson DVM"/>
    <n v="100745"/>
    <s v="IT"/>
    <d v="2025-09-07T00:00:00"/>
    <x v="1"/>
    <s v="Nicholas Graves"/>
    <s v="Yes"/>
    <s v="friedmanrichard@example.com"/>
    <s v="001-770-470-3850x3605"/>
    <d v="2026-03-13T09:48:08"/>
    <m/>
  </r>
  <r>
    <s v="John Robinson DVM"/>
    <n v="100745"/>
    <s v="IT"/>
    <d v="2025-09-07T00:00:00"/>
    <x v="2"/>
    <s v="Nicholas Graves"/>
    <s v="Yes"/>
    <s v="friedmanrichard@example.com"/>
    <s v="001-770-470-3850x3605"/>
    <d v="2026-03-13T09:48:08"/>
    <m/>
  </r>
  <r>
    <s v="Rebecca Taylor"/>
    <n v="100403"/>
    <s v="IT"/>
    <d v="2026-05-09T00:00:00"/>
    <x v="1"/>
    <s v="Nicholas Johnson"/>
    <s v="Yes"/>
    <s v="tmoody@example.net"/>
    <s v="4278406758"/>
    <d v="2026-03-03T20:03:08"/>
    <m/>
  </r>
  <r>
    <s v="Rebecca Taylor"/>
    <n v="100403"/>
    <s v="IT"/>
    <d v="2026-05-09T00:00:00"/>
    <x v="2"/>
    <s v="Nicholas Johnson"/>
    <s v="Yes"/>
    <s v="tmoody@example.net"/>
    <s v="4278406758"/>
    <d v="2026-03-03T20:03:08"/>
    <m/>
  </r>
  <r>
    <s v="Rebecca Taylor"/>
    <n v="100403"/>
    <s v="IT"/>
    <d v="2026-05-09T00:00:00"/>
    <x v="5"/>
    <s v="Nicholas Johnson"/>
    <s v="Yes"/>
    <s v="tmoody@example.net"/>
    <s v="4278406758"/>
    <d v="2026-03-03T20:03:08"/>
    <m/>
  </r>
  <r>
    <s v="Chad Carroll"/>
    <n v="100003"/>
    <s v="Finance"/>
    <d v="2026-04-22T00:00:00"/>
    <x v="1"/>
    <s v="Timothy Greer"/>
    <s v="Yes"/>
    <s v="cameronjohn@example.com"/>
    <s v="985.664.6149"/>
    <d v="2026-02-02T01:40:08"/>
    <m/>
  </r>
  <r>
    <s v="John Willis"/>
    <n v="101049"/>
    <s v="Operations"/>
    <d v="2026-01-17T00:00:00"/>
    <x v="0"/>
    <s v="Timothy Pollard"/>
    <s v="No"/>
    <s v="igoodman@example.net"/>
    <s v="291-649-8609x955"/>
    <d v="2026-02-18T06:41:08"/>
    <m/>
  </r>
  <r>
    <s v="John Willis"/>
    <n v="101049"/>
    <s v="Operations"/>
    <d v="2026-01-17T00:00:00"/>
    <x v="3"/>
    <s v="Timothy Pollard"/>
    <s v="No"/>
    <s v="igoodman@example.net"/>
    <s v="291-649-8609x955"/>
    <d v="2026-02-18T06:41:08"/>
    <m/>
  </r>
  <r>
    <s v="John Willis"/>
    <n v="101049"/>
    <s v="Operations"/>
    <d v="2026-01-17T00:00:00"/>
    <x v="1"/>
    <s v="Timothy Pollard"/>
    <s v="No"/>
    <s v="igoodman@example.net"/>
    <s v="291-649-8609x955"/>
    <d v="2026-02-18T06:41:08"/>
    <m/>
  </r>
  <r>
    <s v="Rebecca Clark"/>
    <n v="101120"/>
    <s v="Marketing"/>
    <d v="2025-05-08T00:00:00"/>
    <x v="2"/>
    <s v="Patricia Kim"/>
    <s v="Yes"/>
    <s v="davidmcgee@example.net"/>
    <s v="661-721-2898x115"/>
    <d v="2026-03-15T20:06:08"/>
    <m/>
  </r>
  <r>
    <s v="Rebecca Clark"/>
    <n v="101120"/>
    <s v="Marketing"/>
    <d v="2025-05-08T00:00:00"/>
    <x v="5"/>
    <s v="Patricia Kim"/>
    <s v="Yes"/>
    <s v="davidmcgee@example.net"/>
    <s v="661-721-2898x115"/>
    <d v="2026-03-15T20:06:08"/>
    <m/>
  </r>
  <r>
    <s v="Alan Lyons"/>
    <n v="100521"/>
    <s v="Finance"/>
    <d v="2026-03-05T00:00:00"/>
    <x v="5"/>
    <s v="Jerry Figueroa"/>
    <s v="Yes"/>
    <s v="derricklee@example.net"/>
    <s v="447.442.2567x87188"/>
    <d v="2026-03-01T01:30:08"/>
    <m/>
  </r>
  <r>
    <s v="Joseph Payne"/>
    <n v="101426"/>
    <s v="HR"/>
    <d v="2026-05-03T00:00:00"/>
    <x v="0"/>
    <s v="Mr. Joshua Abbott"/>
    <s v="Yes"/>
    <s v="hughesbrandon@example.net"/>
    <s v="634-895-6479"/>
    <d v="2026-03-16T05:31:08"/>
    <m/>
  </r>
  <r>
    <s v="Joseph Payne"/>
    <n v="101426"/>
    <s v="HR"/>
    <d v="2026-05-03T00:00:00"/>
    <x v="4"/>
    <s v="Mr. Joshua Abbott"/>
    <s v="Yes"/>
    <s v="hughesbrandon@example.net"/>
    <s v="634-895-6479"/>
    <d v="2026-03-16T05:31:08"/>
    <m/>
  </r>
  <r>
    <s v="Joseph Payne"/>
    <n v="101426"/>
    <s v="HR"/>
    <d v="2026-05-03T00:00:00"/>
    <x v="5"/>
    <s v="Mr. Joshua Abbott"/>
    <s v="Yes"/>
    <s v="hughesbrandon@example.net"/>
    <s v="634-895-6479"/>
    <d v="2026-03-16T05:31:08"/>
    <m/>
  </r>
  <r>
    <s v="Michael Robertson"/>
    <n v="101360"/>
    <s v="Engineering"/>
    <d v="2025-04-22T00:00:00"/>
    <x v="3"/>
    <s v="Loretta Bradley"/>
    <s v="Yes"/>
    <s v="rlee@example.net"/>
    <s v="209.472.3610"/>
    <d v="2026-03-07T07:59:08"/>
    <m/>
  </r>
  <r>
    <s v="Michael Robertson"/>
    <n v="101360"/>
    <s v="Engineering"/>
    <d v="2025-04-22T00:00:00"/>
    <x v="2"/>
    <s v="Loretta Bradley"/>
    <s v="Yes"/>
    <s v="rlee@example.net"/>
    <s v="209.472.3610"/>
    <d v="2026-03-07T07:59:08"/>
    <m/>
  </r>
  <r>
    <s v="James Anderson"/>
    <n v="101058"/>
    <s v="Operations"/>
    <d v="2025-06-23T00:00:00"/>
    <x v="3"/>
    <s v="Frank Santana"/>
    <s v="Yes"/>
    <s v="acohen@example.com"/>
    <s v="678-265-5575x12476"/>
    <d v="2026-03-04T11:09:08"/>
    <m/>
  </r>
  <r>
    <s v="James Anderson"/>
    <n v="101058"/>
    <s v="Operations"/>
    <d v="2025-06-23T00:00:00"/>
    <x v="1"/>
    <s v="Frank Santana"/>
    <s v="Yes"/>
    <s v="acohen@example.com"/>
    <s v="678-265-5575x12476"/>
    <d v="2026-03-04T11:09:08"/>
    <m/>
  </r>
  <r>
    <s v="James Anderson"/>
    <n v="101058"/>
    <s v="Operations"/>
    <d v="2025-06-23T00:00:00"/>
    <x v="2"/>
    <s v="Frank Santana"/>
    <s v="Yes"/>
    <s v="acohen@example.com"/>
    <s v="678-265-5575x12476"/>
    <d v="2026-03-04T11:09:08"/>
    <m/>
  </r>
  <r>
    <s v="James Griffin"/>
    <n v="101047"/>
    <s v="HR"/>
    <d v="2025-06-13T00:00:00"/>
    <x v="1"/>
    <s v="Rhonda Stokes"/>
    <s v="Yes"/>
    <s v="kellybrown@example.org"/>
    <s v="(965)645-1224x44189"/>
    <d v="2026-02-22T22:59:08"/>
    <m/>
  </r>
  <r>
    <s v="Robert Whitaker"/>
    <n v="100893"/>
    <s v="Finance"/>
    <d v="2025-06-15T00:00:00"/>
    <x v="2"/>
    <s v="Jason Ferguson"/>
    <s v="Yes"/>
    <s v="xsmith@example.org"/>
    <s v="570-817-0363x09442"/>
    <d v="2026-02-28T14:27:08"/>
    <m/>
  </r>
  <r>
    <s v="Andrew Steele"/>
    <n v="101199"/>
    <s v="Engineering"/>
    <d v="2026-05-15T00:00:00"/>
    <x v="2"/>
    <s v="Kimberly Fitzgerald"/>
    <s v="No"/>
    <s v="anthonyfranklin@example.com"/>
    <s v="001-913-449-0961x9797"/>
    <d v="2026-03-03T07:30:08"/>
    <m/>
  </r>
  <r>
    <s v="Andrew Steele"/>
    <n v="101199"/>
    <s v="Engineering"/>
    <d v="2026-05-15T00:00:00"/>
    <x v="4"/>
    <s v="Kimberly Fitzgerald"/>
    <s v="No"/>
    <s v="anthonyfranklin@example.com"/>
    <s v="001-913-449-0961x9797"/>
    <d v="2026-03-03T07:30:08"/>
    <m/>
  </r>
  <r>
    <s v="Andrew Steele"/>
    <n v="101199"/>
    <s v="Engineering"/>
    <d v="2026-05-15T00:00:00"/>
    <x v="5"/>
    <s v="Kimberly Fitzgerald"/>
    <s v="No"/>
    <s v="anthonyfranklin@example.com"/>
    <s v="001-913-449-0961x9797"/>
    <d v="2026-03-03T07:30:08"/>
    <m/>
  </r>
  <r>
    <s v="Gabrielle Hernandez"/>
    <n v="100707"/>
    <s v="Operations"/>
    <d v="2025-07-16T00:00:00"/>
    <x v="1"/>
    <s v="Daniel Price"/>
    <s v="No"/>
    <s v="alisha45@example.org"/>
    <s v="635.267.4809x573"/>
    <d v="2026-01-30T15:41:08"/>
    <m/>
  </r>
  <r>
    <s v="Gabrielle Hernandez"/>
    <n v="100707"/>
    <s v="Operations"/>
    <d v="2025-07-16T00:00:00"/>
    <x v="4"/>
    <s v="Daniel Price"/>
    <s v="No"/>
    <s v="alisha45@example.org"/>
    <s v="635.267.4809x573"/>
    <d v="2026-01-30T15:41:08"/>
    <m/>
  </r>
  <r>
    <s v="Lauren Burton"/>
    <m/>
    <m/>
    <d v="2025-05-28T00:00:00"/>
    <x v="4"/>
    <s v="Brenda Haas"/>
    <s v="Yes"/>
    <s v="jacksonchristina@example.com"/>
    <s v="(603)215-8925"/>
    <d v="2026-02-10T05:00:08"/>
    <s v="Missing Department; Missing Employee ID"/>
  </r>
  <r>
    <s v="Ryan Hernandez"/>
    <n v="100222"/>
    <s v="HR"/>
    <d v="2025-08-25T00:00:00"/>
    <x v="2"/>
    <s v="Justin Alexander"/>
    <s v="Yes"/>
    <s v="iruiz@example.com"/>
    <s v="559.251.4186x482"/>
    <d v="2026-02-10T07:52:08"/>
    <m/>
  </r>
  <r>
    <s v="Ryan Hernandez"/>
    <n v="100222"/>
    <s v="HR"/>
    <d v="2025-08-25T00:00:00"/>
    <x v="4"/>
    <s v="Justin Alexander"/>
    <s v="Yes"/>
    <s v="iruiz@example.com"/>
    <s v="559.251.4186x482"/>
    <d v="2026-02-10T07:52:08"/>
    <m/>
  </r>
  <r>
    <s v="Ryan Hernandez"/>
    <n v="100222"/>
    <s v="HR"/>
    <d v="2025-08-25T00:00:00"/>
    <x v="5"/>
    <s v="Justin Alexander"/>
    <s v="Yes"/>
    <s v="iruiz@example.com"/>
    <s v="559.251.4186x482"/>
    <d v="2026-02-10T07:52:08"/>
    <m/>
  </r>
  <r>
    <s v="Nicole Anderson"/>
    <n v="100078"/>
    <s v="Marketing"/>
    <d v="2025-08-30T00:00:00"/>
    <x v="2"/>
    <s v="Rachel Meyer"/>
    <s v="No"/>
    <s v="zhorton@example.com"/>
    <s v="796-823-3260"/>
    <d v="2026-03-08T00:34:08"/>
    <m/>
  </r>
  <r>
    <s v="Nicole Martin"/>
    <n v="101155"/>
    <s v="IT"/>
    <d v="2025-11-21T00:00:00"/>
    <x v="0"/>
    <s v="John Reilly"/>
    <s v="Yes"/>
    <s v="coreyhendrix@example.org"/>
    <s v="001-906-462-9315x181"/>
    <d v="2026-02-13T19:16:08"/>
    <m/>
  </r>
  <r>
    <s v="Charles James"/>
    <n v="101339"/>
    <s v="IT"/>
    <d v="2025-04-18T00:00:00"/>
    <x v="3"/>
    <s v="Gerald Edwards"/>
    <s v="No"/>
    <s v="mahoneysarah@example.org"/>
    <s v="(272)437-1798"/>
    <d v="2026-02-03T00:32:08"/>
    <m/>
  </r>
  <r>
    <s v="Crystal Shelton"/>
    <n v="101174"/>
    <s v="HR"/>
    <d v="2025-11-26T00:00:00"/>
    <x v="1"/>
    <s v="Amanda Hess"/>
    <s v="No"/>
    <s v="rstewart@example.net"/>
    <s v="+1-670-384-7795"/>
    <d v="2026-02-10T18:12:08"/>
    <m/>
  </r>
  <r>
    <s v="Crystal Shelton"/>
    <n v="101174"/>
    <s v="HR"/>
    <d v="2025-11-26T00:00:00"/>
    <x v="4"/>
    <s v="Amanda Hess"/>
    <s v="No"/>
    <s v="rstewart@example.net"/>
    <s v="+1-670-384-7795"/>
    <d v="2026-02-10T18:12:08"/>
    <m/>
  </r>
  <r>
    <s v="Crystal Shelton"/>
    <n v="101174"/>
    <s v="HR"/>
    <d v="2025-11-26T00:00:00"/>
    <x v="5"/>
    <s v="Amanda Hess"/>
    <s v="No"/>
    <s v="rstewart@example.net"/>
    <s v="+1-670-384-7795"/>
    <d v="2026-02-10T18:12:08"/>
    <m/>
  </r>
  <r>
    <s v="Jill Crawford"/>
    <n v="101137"/>
    <s v="IT"/>
    <d v="2026-03-17T00:00:00"/>
    <x v="1"/>
    <s v="Kevin Jones"/>
    <s v="No"/>
    <s v="cameronkaitlyn@example.com"/>
    <s v="815.491.5790x89458"/>
    <d v="2026-02-03T21:59:08"/>
    <m/>
  </r>
  <r>
    <s v="Jill Crawford"/>
    <n v="101137"/>
    <s v="IT"/>
    <d v="2026-03-17T00:00:00"/>
    <x v="5"/>
    <s v="Kevin Jones"/>
    <s v="No"/>
    <s v="cameronkaitlyn@example.com"/>
    <s v="815.491.5790x89458"/>
    <d v="2026-02-03T21:59:08"/>
    <m/>
  </r>
  <r>
    <s v="Joshua Wagner"/>
    <n v="100056"/>
    <s v="Engineering"/>
    <d v="2025-06-30T00:00:00"/>
    <x v="4"/>
    <s v="Jessica Harris"/>
    <s v="No"/>
    <s v="callahansusan@example.net"/>
    <s v="361.323.9612x1905"/>
    <d v="2026-03-01T04:24:08"/>
    <m/>
  </r>
  <r>
    <s v="Keith Mccormick"/>
    <n v="100678"/>
    <s v="Finance"/>
    <d v="2025-08-19T00:00:00"/>
    <x v="3"/>
    <s v="Jasmine Rios"/>
    <s v="Yes"/>
    <s v="dixondennis@example.org"/>
    <s v="+1-970-466-9010x7923"/>
    <d v="2026-02-21T09:13:08"/>
    <m/>
  </r>
  <r>
    <s v="Keith Mccormick"/>
    <n v="100678"/>
    <s v="Finance"/>
    <d v="2025-08-19T00:00:00"/>
    <x v="5"/>
    <s v="Jasmine Rios"/>
    <s v="Yes"/>
    <s v="dixondennis@example.org"/>
    <s v="+1-970-466-9010x7923"/>
    <d v="2026-02-21T09:13:08"/>
    <m/>
  </r>
  <r>
    <s v="Brianna Tran"/>
    <n v="100818"/>
    <s v="IT"/>
    <d v="2025-04-28T00:00:00"/>
    <x v="2"/>
    <s v="Courtney Whitehead"/>
    <s v="No"/>
    <s v="mstanley@example.com"/>
    <s v="8355067578"/>
    <d v="2026-02-16T00:12:08"/>
    <m/>
  </r>
  <r>
    <s v="Cheryl Gomez MD"/>
    <n v="101371"/>
    <s v="HR"/>
    <d v="2025-07-11T00:00:00"/>
    <x v="1"/>
    <s v="Jessica Singh"/>
    <s v="No"/>
    <s v="marybarrett@example.org"/>
    <s v="455-350-5705"/>
    <d v="2026-02-16T01:57:08"/>
    <m/>
  </r>
  <r>
    <s v="Cheryl Gomez MD"/>
    <n v="101371"/>
    <s v="HR"/>
    <d v="2025-07-11T00:00:00"/>
    <x v="2"/>
    <s v="Jessica Singh"/>
    <s v="No"/>
    <s v="marybarrett@example.org"/>
    <s v="455-350-5705"/>
    <d v="2026-02-16T01:57:08"/>
    <m/>
  </r>
  <r>
    <s v="Cheryl Gomez MD"/>
    <n v="101371"/>
    <s v="HR"/>
    <d v="2025-07-11T00:00:00"/>
    <x v="5"/>
    <s v="Jessica Singh"/>
    <s v="No"/>
    <s v="marybarrett@example.org"/>
    <s v="455-350-5705"/>
    <d v="2026-02-16T01:57:08"/>
    <m/>
  </r>
  <r>
    <s v="Lisa Lowe"/>
    <n v="100719"/>
    <s v="Operations"/>
    <d v="2025-10-11T00:00:00"/>
    <x v="1"/>
    <s v="Kellie Page"/>
    <s v="No"/>
    <s v="jose45@example.net"/>
    <s v="+1-331-414-1470"/>
    <d v="2026-02-20T17:04:08"/>
    <m/>
  </r>
  <r>
    <s v="Lisa Lowe"/>
    <n v="100719"/>
    <s v="Operations"/>
    <d v="2025-10-11T00:00:00"/>
    <x v="5"/>
    <s v="Kellie Page"/>
    <s v="No"/>
    <s v="jose45@example.net"/>
    <s v="+1-331-414-1470"/>
    <d v="2026-02-20T17:04:08"/>
    <m/>
  </r>
  <r>
    <s v="Vanessa Mcguire"/>
    <n v="100571"/>
    <s v="Marketing"/>
    <d v="2025-10-28T00:00:00"/>
    <x v="1"/>
    <s v="Christina Nichols"/>
    <s v="Yes"/>
    <s v="owilson@example.com"/>
    <s v="001-689-610-9779x78023"/>
    <d v="2026-02-22T15:06:08"/>
    <m/>
  </r>
  <r>
    <s v="Jose Baker"/>
    <m/>
    <s v="HR"/>
    <d v="2025-11-27T00:00:00"/>
    <x v="3"/>
    <s v="Laura Carter"/>
    <s v="Yes"/>
    <s v="lorihenderson@example.com"/>
    <s v="301-763-2957x3783"/>
    <d v="2026-03-10T13:52:08"/>
    <s v="Missing Employee ID"/>
  </r>
  <r>
    <s v="Jose Baker"/>
    <m/>
    <s v="HR"/>
    <d v="2025-11-27T00:00:00"/>
    <x v="1"/>
    <s v="Laura Carter"/>
    <s v="Yes"/>
    <s v="lorihenderson@example.com"/>
    <s v="301-763-2957x3783"/>
    <d v="2026-03-10T13:52:08"/>
    <s v="Missing Employee ID"/>
  </r>
  <r>
    <s v="Jose Baker"/>
    <m/>
    <s v="HR"/>
    <d v="2025-11-27T00:00:00"/>
    <x v="2"/>
    <s v="Laura Carter"/>
    <s v="Yes"/>
    <s v="lorihenderson@example.com"/>
    <s v="301-763-2957x3783"/>
    <d v="2026-03-10T13:52:08"/>
    <s v="Missing Employee ID"/>
  </r>
  <r>
    <s v="Kathleen Chavez"/>
    <n v="101452"/>
    <s v="Engineering"/>
    <d v="2025-09-16T00:00:00"/>
    <x v="3"/>
    <s v="Lindsay Warner"/>
    <s v="Yes"/>
    <s v="elainehall@example.net"/>
    <s v="(583)402-9158x5423"/>
    <d v="2026-02-23T11:12:08"/>
    <m/>
  </r>
  <r>
    <s v="James Haney"/>
    <n v="100672"/>
    <s v="HR"/>
    <d v="2025-07-22T00:00:00"/>
    <x v="0"/>
    <s v="Joshua Sims"/>
    <s v="Yes"/>
    <s v="amanda96@example.com"/>
    <s v="4733446746"/>
    <d v="2026-01-29T21:17:08"/>
    <m/>
  </r>
  <r>
    <s v="James Haney"/>
    <n v="100672"/>
    <s v="HR"/>
    <d v="2025-07-22T00:00:00"/>
    <x v="1"/>
    <s v="Joshua Sims"/>
    <s v="Yes"/>
    <s v="amanda96@example.com"/>
    <s v="4733446746"/>
    <d v="2026-01-29T21:17:08"/>
    <m/>
  </r>
  <r>
    <s v="Mark Kelly"/>
    <n v="100816"/>
    <s v="Marketing"/>
    <d v="2026-04-05T00:00:00"/>
    <x v="0"/>
    <s v="Bradley Burton"/>
    <s v="Yes"/>
    <s v="joy91@example.com"/>
    <s v="370-850-2218"/>
    <d v="2026-02-25T08:17:08"/>
    <m/>
  </r>
  <r>
    <s v="Mark Kelly"/>
    <n v="100816"/>
    <s v="Marketing"/>
    <d v="2026-04-05T00:00:00"/>
    <x v="3"/>
    <s v="Bradley Burton"/>
    <s v="Yes"/>
    <s v="joy91@example.com"/>
    <s v="370-850-2218"/>
    <d v="2026-02-25T08:17:08"/>
    <m/>
  </r>
  <r>
    <s v="Mark Kelly"/>
    <n v="100816"/>
    <s v="Marketing"/>
    <d v="2026-04-05T00:00:00"/>
    <x v="1"/>
    <s v="Bradley Burton"/>
    <s v="Yes"/>
    <s v="joy91@example.com"/>
    <s v="370-850-2218"/>
    <d v="2026-02-25T08:17:08"/>
    <m/>
  </r>
  <r>
    <s v="Andrea Flowers"/>
    <n v="100395"/>
    <s v="HR"/>
    <d v="2026-04-20T00:00:00"/>
    <x v="3"/>
    <s v="Zachary Perez"/>
    <s v="Yes"/>
    <s v="mary76@example.net"/>
    <s v="4944837740"/>
    <d v="2026-02-13T19:35:08"/>
    <m/>
  </r>
  <r>
    <s v="Andrea Flowers"/>
    <n v="100395"/>
    <s v="HR"/>
    <d v="2026-04-20T00:00:00"/>
    <x v="5"/>
    <s v="Zachary Perez"/>
    <s v="Yes"/>
    <s v="mary76@example.net"/>
    <s v="4944837740"/>
    <d v="2026-02-13T19:35:08"/>
    <m/>
  </r>
  <r>
    <s v="Donna Walsh"/>
    <n v="100048"/>
    <s v="IT"/>
    <d v="2026-04-09T00:00:00"/>
    <x v="5"/>
    <s v="Dakota Villa"/>
    <s v="Yes"/>
    <s v="rogerfarrell@example.com"/>
    <s v="001-309-896-2183x6677"/>
    <d v="2026-03-02T10:45:08"/>
    <m/>
  </r>
  <r>
    <s v="Jennifer Cisneros MD"/>
    <n v="100456"/>
    <s v="IT"/>
    <d v="2025-07-13T00:00:00"/>
    <x v="0"/>
    <s v="Nicole Herman MD"/>
    <s v="No"/>
    <s v="taylormelinda@example.org"/>
    <s v="(934)899-8013"/>
    <d v="2026-02-23T14:59:08"/>
    <m/>
  </r>
  <r>
    <s v="Jennifer Cisneros MD"/>
    <n v="100456"/>
    <s v="IT"/>
    <d v="2025-07-13T00:00:00"/>
    <x v="3"/>
    <s v="Nicole Herman MD"/>
    <s v="No"/>
    <s v="taylormelinda@example.org"/>
    <s v="(934)899-8013"/>
    <d v="2026-02-23T14:59:08"/>
    <m/>
  </r>
  <r>
    <s v="Jennifer Cisneros MD"/>
    <n v="100456"/>
    <s v="IT"/>
    <d v="2025-07-13T00:00:00"/>
    <x v="5"/>
    <s v="Nicole Herman MD"/>
    <s v="No"/>
    <s v="taylormelinda@example.org"/>
    <s v="(934)899-8013"/>
    <d v="2026-02-23T14:59:08"/>
    <m/>
  </r>
  <r>
    <s v="Stephanie Freeman"/>
    <n v="101434"/>
    <s v="HR"/>
    <d v="2025-06-20T00:00:00"/>
    <x v="0"/>
    <s v="Alexis Wells"/>
    <s v="Yes"/>
    <s v="umendez@example.org"/>
    <s v="+1-344-961-4409x2335"/>
    <d v="2026-02-16T02:33:08"/>
    <m/>
  </r>
  <r>
    <s v="Stephanie Freeman"/>
    <n v="101434"/>
    <s v="HR"/>
    <d v="2025-06-20T00:00:00"/>
    <x v="5"/>
    <s v="Alexis Wells"/>
    <s v="Yes"/>
    <s v="umendez@example.org"/>
    <s v="+1-344-961-4409x2335"/>
    <d v="2026-02-16T02:33:08"/>
    <m/>
  </r>
  <r>
    <s v="James Ward"/>
    <n v="100625"/>
    <s v="IT"/>
    <d v="2025-03-31T00:00:00"/>
    <x v="3"/>
    <s v="Brenda Lamb"/>
    <s v="Yes"/>
    <s v="rodriguezpatrick@example.com"/>
    <s v="001-426-931-9956x95592"/>
    <d v="2026-02-25T17:35:08"/>
    <m/>
  </r>
  <r>
    <s v="James Ward"/>
    <n v="100625"/>
    <s v="IT"/>
    <d v="2025-03-31T00:00:00"/>
    <x v="4"/>
    <s v="Brenda Lamb"/>
    <s v="Yes"/>
    <s v="rodriguezpatrick@example.com"/>
    <s v="001-426-931-9956x95592"/>
    <d v="2026-02-25T17:35:08"/>
    <m/>
  </r>
  <r>
    <s v="Jaime Gilmore"/>
    <n v="100716"/>
    <s v="IT"/>
    <d v="2026-05-04T00:00:00"/>
    <x v="0"/>
    <s v="Elizabeth Williams"/>
    <s v="No"/>
    <s v="saranovak@example.net"/>
    <s v="402-555-1344x48672"/>
    <d v="2026-02-16T18:30:08"/>
    <m/>
  </r>
  <r>
    <s v="Jaime Gilmore"/>
    <n v="100716"/>
    <s v="IT"/>
    <d v="2026-05-04T00:00:00"/>
    <x v="1"/>
    <s v="Elizabeth Williams"/>
    <s v="No"/>
    <s v="saranovak@example.net"/>
    <s v="402-555-1344x48672"/>
    <d v="2026-02-16T18:30:08"/>
    <m/>
  </r>
  <r>
    <s v="Jaime Gilmore"/>
    <n v="100716"/>
    <s v="IT"/>
    <d v="2026-05-04T00:00:00"/>
    <x v="4"/>
    <s v="Elizabeth Williams"/>
    <s v="No"/>
    <s v="saranovak@example.net"/>
    <s v="402-555-1344x48672"/>
    <d v="2026-02-16T18:30:08"/>
    <m/>
  </r>
  <r>
    <s v="Elizabeth Fischer"/>
    <n v="100942"/>
    <s v="Operations"/>
    <d v="2026-04-10T00:00:00"/>
    <x v="0"/>
    <s v="Andrea Buckley"/>
    <s v="Yes"/>
    <s v="nicholas15@example.net"/>
    <s v="949.732.5114x9788"/>
    <d v="2026-02-08T16:49:08"/>
    <m/>
  </r>
  <r>
    <s v="Elizabeth Fischer"/>
    <n v="100942"/>
    <s v="Operations"/>
    <d v="2026-04-10T00:00:00"/>
    <x v="3"/>
    <s v="Andrea Buckley"/>
    <s v="Yes"/>
    <s v="nicholas15@example.net"/>
    <s v="949.732.5114x9788"/>
    <d v="2026-02-08T16:49:08"/>
    <m/>
  </r>
  <r>
    <s v="Elizabeth Fischer"/>
    <n v="100942"/>
    <s v="Operations"/>
    <d v="2026-04-10T00:00:00"/>
    <x v="1"/>
    <s v="Andrea Buckley"/>
    <s v="Yes"/>
    <s v="nicholas15@example.net"/>
    <s v="949.732.5114x9788"/>
    <d v="2026-02-08T16:49:08"/>
    <m/>
  </r>
  <r>
    <s v="Cesar Watts"/>
    <n v="100408"/>
    <s v="Marketing"/>
    <d v="2025-06-02T00:00:00"/>
    <x v="0"/>
    <s v="Kevin Mitchell"/>
    <s v="No"/>
    <s v="bsimpson@example.com"/>
    <s v="383-908-5800"/>
    <d v="2026-02-20T10:56:08"/>
    <m/>
  </r>
  <r>
    <s v="Cesar Watts"/>
    <n v="100408"/>
    <s v="Marketing"/>
    <d v="2025-06-02T00:00:00"/>
    <x v="3"/>
    <s v="Kevin Mitchell"/>
    <s v="No"/>
    <s v="bsimpson@example.com"/>
    <s v="383-908-5800"/>
    <d v="2026-02-20T10:56:08"/>
    <m/>
  </r>
  <r>
    <s v="Angelica Harris"/>
    <n v="100455"/>
    <s v="Operations"/>
    <d v="2025-04-17T00:00:00"/>
    <x v="0"/>
    <s v="Brandon Brown"/>
    <s v="Yes"/>
    <s v="ryannichols@example.org"/>
    <s v="+1-710-878-1871x0968"/>
    <d v="2026-02-22T22:28:08"/>
    <m/>
  </r>
  <r>
    <s v="Angelica Harris"/>
    <n v="100455"/>
    <s v="Operations"/>
    <d v="2025-04-17T00:00:00"/>
    <x v="4"/>
    <s v="Brandon Brown"/>
    <s v="Yes"/>
    <s v="ryannichols@example.org"/>
    <s v="+1-710-878-1871x0968"/>
    <d v="2026-02-22T22:28:08"/>
    <m/>
  </r>
  <r>
    <s v="Angelica Harris"/>
    <n v="100455"/>
    <s v="Operations"/>
    <d v="2025-04-17T00:00:00"/>
    <x v="5"/>
    <s v="Brandon Brown"/>
    <s v="Yes"/>
    <s v="ryannichols@example.org"/>
    <s v="+1-710-878-1871x0968"/>
    <d v="2026-02-22T22:28:08"/>
    <m/>
  </r>
  <r>
    <s v="Gary Gibson"/>
    <n v="100963"/>
    <s v="Operations"/>
    <d v="2026-02-06T00:00:00"/>
    <x v="2"/>
    <s v="Martin Pearson"/>
    <s v="Yes"/>
    <s v="thomasronald@example.net"/>
    <s v="+1-233-415-4230x60023"/>
    <d v="2026-01-31T23:02:08"/>
    <m/>
  </r>
  <r>
    <s v="Gary Gibson"/>
    <n v="100963"/>
    <s v="Operations"/>
    <d v="2026-02-06T00:00:00"/>
    <x v="4"/>
    <s v="Martin Pearson"/>
    <s v="Yes"/>
    <s v="thomasronald@example.net"/>
    <s v="+1-233-415-4230x60023"/>
    <d v="2026-01-31T23:02:08"/>
    <m/>
  </r>
  <r>
    <s v="Jessica Rogers"/>
    <n v="100079"/>
    <s v="Marketing"/>
    <d v="2025-04-01T00:00:00"/>
    <x v="3"/>
    <s v="Terri Kent"/>
    <s v="Yes"/>
    <s v="leonardruth@example.org"/>
    <s v="(941)214-2066"/>
    <d v="2026-03-04T15:32:08"/>
    <m/>
  </r>
  <r>
    <s v="Jessica Rogers"/>
    <n v="100079"/>
    <s v="Marketing"/>
    <d v="2025-04-01T00:00:00"/>
    <x v="2"/>
    <s v="Terri Kent"/>
    <s v="Yes"/>
    <s v="leonardruth@example.org"/>
    <s v="(941)214-2066"/>
    <d v="2026-03-04T15:32:08"/>
    <m/>
  </r>
  <r>
    <s v="Jessica Rogers"/>
    <n v="100079"/>
    <s v="Marketing"/>
    <d v="2025-04-01T00:00:00"/>
    <x v="5"/>
    <s v="Terri Kent"/>
    <s v="Yes"/>
    <s v="leonardruth@example.org"/>
    <s v="(941)214-2066"/>
    <d v="2026-03-04T15:32:08"/>
    <m/>
  </r>
  <r>
    <s v="Bernard Flores"/>
    <n v="100783"/>
    <s v="Operations"/>
    <d v="2025-08-08T00:00:00"/>
    <x v="4"/>
    <s v="Brenda Davis"/>
    <s v="No"/>
    <s v="pcoleman@example.org"/>
    <s v="001-482-422-2400x5392"/>
    <d v="2026-02-02T00:01:08"/>
    <m/>
  </r>
  <r>
    <s v="James Pena"/>
    <n v="100221"/>
    <s v="Engineering"/>
    <d v="2025-11-03T00:00:00"/>
    <x v="1"/>
    <s v="Matthew Austin"/>
    <s v="Yes"/>
    <s v="jeffersondaniel@example.org"/>
    <s v="884-333-9133x252"/>
    <d v="2026-03-06T06:45:08"/>
    <m/>
  </r>
  <r>
    <s v="Brooke Quinn"/>
    <n v="101476"/>
    <s v="Operations"/>
    <d v="2025-10-02T00:00:00"/>
    <x v="2"/>
    <s v="Ronnie Jenkins"/>
    <s v="Yes"/>
    <s v="mathew34@example.org"/>
    <s v="564.649.7602x49866"/>
    <d v="2026-02-10T03:38:08"/>
    <m/>
  </r>
  <r>
    <s v="Anthony Patrick"/>
    <n v="101350"/>
    <s v="IT"/>
    <d v="2026-03-31T00:00:00"/>
    <x v="5"/>
    <s v="Danielle Christensen"/>
    <s v="Yes"/>
    <s v="pweber@example.com"/>
    <s v="+1-898-752-9735x61526"/>
    <d v="2026-03-08T10:53:08"/>
    <m/>
  </r>
  <r>
    <s v="Kristine Jones"/>
    <n v="100508"/>
    <s v="HR"/>
    <d v="2025-10-23T00:00:00"/>
    <x v="0"/>
    <s v="Steven Horne MD"/>
    <s v="No"/>
    <s v="monicadixon@example.net"/>
    <s v="(964)614-7533x69524"/>
    <d v="2026-02-07T10:59:08"/>
    <m/>
  </r>
  <r>
    <s v="Kristine Jones"/>
    <n v="100508"/>
    <s v="HR"/>
    <d v="2025-10-23T00:00:00"/>
    <x v="4"/>
    <s v="Steven Horne MD"/>
    <s v="No"/>
    <s v="monicadixon@example.net"/>
    <s v="(964)614-7533x69524"/>
    <d v="2026-02-07T10:59:08"/>
    <m/>
  </r>
  <r>
    <s v="Kristine Jones"/>
    <n v="100508"/>
    <s v="HR"/>
    <d v="2025-10-23T00:00:00"/>
    <x v="5"/>
    <s v="Steven Horne MD"/>
    <s v="No"/>
    <s v="monicadixon@example.net"/>
    <s v="(964)614-7533x69524"/>
    <d v="2026-02-07T10:59:08"/>
    <m/>
  </r>
  <r>
    <s v="Jennifer Cortez"/>
    <n v="100843"/>
    <s v="IT"/>
    <d v="2026-03-17T00:00:00"/>
    <x v="1"/>
    <s v="Gina Hoffman"/>
    <s v="Yes"/>
    <s v="omartinez@example.net"/>
    <s v="+1-453-624-3679"/>
    <d v="2026-03-07T02:42:08"/>
    <m/>
  </r>
  <r>
    <s v="Jennifer Cortez"/>
    <n v="100843"/>
    <s v="IT"/>
    <d v="2026-03-17T00:00:00"/>
    <x v="4"/>
    <s v="Gina Hoffman"/>
    <s v="Yes"/>
    <s v="omartinez@example.net"/>
    <s v="+1-453-624-3679"/>
    <d v="2026-03-07T02:42:08"/>
    <m/>
  </r>
  <r>
    <s v="Jennifer Cortez"/>
    <n v="100843"/>
    <s v="IT"/>
    <d v="2026-03-17T00:00:00"/>
    <x v="5"/>
    <s v="Gina Hoffman"/>
    <s v="Yes"/>
    <s v="omartinez@example.net"/>
    <s v="+1-453-624-3679"/>
    <d v="2026-03-07T02:42:08"/>
    <m/>
  </r>
  <r>
    <s v="John Moore"/>
    <n v="100680"/>
    <s v="Engineering"/>
    <d v="2026-05-12T00:00:00"/>
    <x v="3"/>
    <s v="Matthew Villa"/>
    <s v="No"/>
    <s v="juliepayne@example.org"/>
    <s v="843-446-8586x39061"/>
    <d v="2026-02-08T01:09:08"/>
    <m/>
  </r>
  <r>
    <s v="John Moore"/>
    <n v="100680"/>
    <s v="Engineering"/>
    <d v="2026-05-12T00:00:00"/>
    <x v="4"/>
    <s v="Matthew Villa"/>
    <s v="No"/>
    <s v="juliepayne@example.org"/>
    <s v="843-446-8586x39061"/>
    <d v="2026-02-08T01:09:08"/>
    <m/>
  </r>
  <r>
    <s v="John Fowler"/>
    <n v="100367"/>
    <s v="Operations"/>
    <d v="2025-11-07T00:00:00"/>
    <x v="0"/>
    <s v="Nicole Blake"/>
    <s v="No"/>
    <s v="perrymichael@example.org"/>
    <s v="+1-981-416-8371x03073"/>
    <d v="2026-02-21T18:00:08"/>
    <m/>
  </r>
  <r>
    <s v="John Fowler"/>
    <n v="100367"/>
    <s v="Operations"/>
    <d v="2025-11-07T00:00:00"/>
    <x v="1"/>
    <s v="Nicole Blake"/>
    <s v="No"/>
    <s v="perrymichael@example.org"/>
    <s v="+1-981-416-8371x03073"/>
    <d v="2026-02-21T18:00:08"/>
    <m/>
  </r>
  <r>
    <s v="John Fowler"/>
    <n v="100367"/>
    <s v="Operations"/>
    <d v="2025-11-07T00:00:00"/>
    <x v="2"/>
    <s v="Nicole Blake"/>
    <s v="No"/>
    <s v="perrymichael@example.org"/>
    <s v="+1-981-416-8371x03073"/>
    <d v="2026-02-21T18:00:08"/>
    <m/>
  </r>
  <r>
    <s v="John Martin"/>
    <n v="100050"/>
    <s v="HR"/>
    <d v="2025-10-02T00:00:00"/>
    <x v="0"/>
    <s v="April Davis"/>
    <s v="Yes"/>
    <s v="jolsen@example.net"/>
    <s v="3826649312"/>
    <d v="2026-02-05T03:10:08"/>
    <m/>
  </r>
  <r>
    <s v="John Martin"/>
    <n v="100050"/>
    <s v="HR"/>
    <d v="2025-10-02T00:00:00"/>
    <x v="4"/>
    <s v="April Davis"/>
    <s v="Yes"/>
    <s v="jolsen@example.net"/>
    <s v="3826649312"/>
    <d v="2026-02-05T03:10:08"/>
    <m/>
  </r>
  <r>
    <s v="John Martin"/>
    <n v="100050"/>
    <s v="HR"/>
    <d v="2025-10-02T00:00:00"/>
    <x v="5"/>
    <s v="April Davis"/>
    <s v="Yes"/>
    <s v="jolsen@example.net"/>
    <s v="3826649312"/>
    <d v="2026-02-05T03:10:08"/>
    <m/>
  </r>
  <r>
    <s v="Craig Tate"/>
    <n v="100844"/>
    <s v="Operations"/>
    <d v="2025-09-28T00:00:00"/>
    <x v="3"/>
    <s v="Jessica White"/>
    <s v="No"/>
    <s v="mary92@example.com"/>
    <s v="001-645-263-3917x299"/>
    <d v="2026-01-31T16:25:08"/>
    <m/>
  </r>
  <r>
    <s v="Craig Tate"/>
    <n v="100844"/>
    <s v="Operations"/>
    <d v="2025-09-28T00:00:00"/>
    <x v="2"/>
    <s v="Jessica White"/>
    <s v="No"/>
    <s v="mary92@example.com"/>
    <s v="001-645-263-3917x299"/>
    <d v="2026-01-31T16:25:08"/>
    <m/>
  </r>
  <r>
    <s v="Craig Tate"/>
    <n v="100844"/>
    <s v="Operations"/>
    <d v="2025-09-28T00:00:00"/>
    <x v="4"/>
    <s v="Jessica White"/>
    <s v="No"/>
    <s v="mary92@example.com"/>
    <s v="001-645-263-3917x299"/>
    <d v="2026-01-31T16:25:08"/>
    <m/>
  </r>
  <r>
    <s v="Robert Baker"/>
    <n v="100362"/>
    <s v="Finance"/>
    <d v="2025-06-04T00:00:00"/>
    <x v="0"/>
    <s v="Angela Contreras"/>
    <s v="No"/>
    <s v="dawnpark@example.com"/>
    <s v="001-549-771-9670x683"/>
    <d v="2026-02-02T15:38:08"/>
    <m/>
  </r>
  <r>
    <s v="Robert Baker"/>
    <n v="100362"/>
    <s v="Finance"/>
    <d v="2025-06-04T00:00:00"/>
    <x v="3"/>
    <s v="Angela Contreras"/>
    <s v="No"/>
    <s v="dawnpark@example.com"/>
    <s v="001-549-771-9670x683"/>
    <d v="2026-02-02T15:38:08"/>
    <m/>
  </r>
  <r>
    <s v="Brian Garcia"/>
    <n v="100332"/>
    <s v="Finance"/>
    <d v="2025-11-23T00:00:00"/>
    <x v="3"/>
    <s v="Christopher Glover"/>
    <s v="No"/>
    <s v="wilsonkimberly@example.org"/>
    <s v="001-694-690-1333"/>
    <d v="2026-03-12T14:19:08"/>
    <m/>
  </r>
  <r>
    <s v="Brian Garcia"/>
    <n v="100332"/>
    <s v="Finance"/>
    <d v="2025-11-23T00:00:00"/>
    <x v="2"/>
    <s v="Christopher Glover"/>
    <s v="No"/>
    <s v="wilsonkimberly@example.org"/>
    <s v="001-694-690-1333"/>
    <d v="2026-03-12T14:19:08"/>
    <m/>
  </r>
  <r>
    <s v="Thomas Barnes"/>
    <n v="101225"/>
    <s v="IT"/>
    <d v="2026-04-12T00:00:00"/>
    <x v="0"/>
    <s v="Dr. Tyler Hill"/>
    <s v="Yes"/>
    <s v="campbellmargaret@example.net"/>
    <s v="001-341-301-6793x014"/>
    <d v="2026-02-28T10:50:08"/>
    <m/>
  </r>
  <r>
    <s v="Thomas Barnes"/>
    <n v="101225"/>
    <s v="IT"/>
    <d v="2026-04-12T00:00:00"/>
    <x v="5"/>
    <s v="Dr. Tyler Hill"/>
    <s v="Yes"/>
    <s v="campbellmargaret@example.net"/>
    <s v="001-341-301-6793x014"/>
    <d v="2026-02-28T10:50:08"/>
    <m/>
  </r>
  <r>
    <s v="William Lane"/>
    <n v="100316"/>
    <s v="IT"/>
    <d v="2025-04-07T00:00:00"/>
    <x v="0"/>
    <s v="Mary Miller"/>
    <s v="No"/>
    <s v="williamslarry@example.org"/>
    <s v="2283866168"/>
    <d v="2026-02-20T06:11:08"/>
    <m/>
  </r>
  <r>
    <s v="William Lane"/>
    <n v="100316"/>
    <s v="IT"/>
    <d v="2025-04-07T00:00:00"/>
    <x v="2"/>
    <s v="Mary Miller"/>
    <s v="No"/>
    <s v="williamslarry@example.org"/>
    <s v="2283866168"/>
    <d v="2026-02-20T06:11:08"/>
    <m/>
  </r>
  <r>
    <s v="Lindsey Wright"/>
    <n v="101223"/>
    <s v="Operations"/>
    <d v="2025-06-23T00:00:00"/>
    <x v="0"/>
    <s v="Troy Carrillo"/>
    <s v="No"/>
    <s v="wayne54@example.net"/>
    <s v="920-335-3160x791"/>
    <d v="2026-03-09T13:15:08"/>
    <m/>
  </r>
  <r>
    <s v="Lindsey Wright"/>
    <n v="101223"/>
    <s v="Operations"/>
    <d v="2025-06-23T00:00:00"/>
    <x v="2"/>
    <s v="Troy Carrillo"/>
    <s v="No"/>
    <s v="wayne54@example.net"/>
    <s v="920-335-3160x791"/>
    <d v="2026-03-09T13:15:08"/>
    <m/>
  </r>
  <r>
    <s v="Joshua Brown"/>
    <n v="100724"/>
    <s v="HR"/>
    <d v="2026-02-22T00:00:00"/>
    <x v="0"/>
    <s v="John Wyatt"/>
    <s v="Yes"/>
    <s v="gibbsdarren@example.org"/>
    <s v="001-319-640-2470x288"/>
    <d v="2026-03-10T23:11:08"/>
    <m/>
  </r>
  <r>
    <s v="Joshua Brown"/>
    <n v="100724"/>
    <s v="HR"/>
    <d v="2026-02-22T00:00:00"/>
    <x v="3"/>
    <s v="John Wyatt"/>
    <s v="Yes"/>
    <s v="gibbsdarren@example.org"/>
    <s v="001-319-640-2470x288"/>
    <d v="2026-03-10T23:11:08"/>
    <m/>
  </r>
  <r>
    <s v="Joshua Brown"/>
    <n v="100724"/>
    <s v="HR"/>
    <d v="2026-02-22T00:00:00"/>
    <x v="5"/>
    <s v="John Wyatt"/>
    <s v="Yes"/>
    <s v="gibbsdarren@example.org"/>
    <s v="001-319-640-2470x288"/>
    <d v="2026-03-10T23:11:08"/>
    <m/>
  </r>
  <r>
    <s v="Casey Ferguson"/>
    <n v="100210"/>
    <s v="Finance"/>
    <d v="2026-03-16T00:00:00"/>
    <x v="4"/>
    <s v="Elizabeth Taylor"/>
    <s v="No"/>
    <s v="epeck@example.net"/>
    <s v="567.385.7646"/>
    <d v="2026-03-06T12:05:08"/>
    <m/>
  </r>
  <r>
    <s v="Casey Ferguson"/>
    <n v="100210"/>
    <s v="Finance"/>
    <d v="2026-03-16T00:00:00"/>
    <x v="5"/>
    <s v="Elizabeth Taylor"/>
    <s v="No"/>
    <s v="epeck@example.net"/>
    <s v="567.385.7646"/>
    <d v="2026-03-06T12:05:08"/>
    <m/>
  </r>
  <r>
    <s v="Richard Miller"/>
    <n v="101234"/>
    <s v="Engineering"/>
    <d v="2026-01-20T00:00:00"/>
    <x v="4"/>
    <s v="Kathryn Mendez"/>
    <s v="No"/>
    <s v="sandovalnicholas@example.net"/>
    <s v="723-221-5401x3153"/>
    <d v="2026-03-08T23:40:08"/>
    <m/>
  </r>
  <r>
    <s v="Matthew Church"/>
    <n v="100430"/>
    <s v="Operations"/>
    <d v="2025-06-10T00:00:00"/>
    <x v="0"/>
    <s v="Austin Kelley"/>
    <s v="Yes"/>
    <s v="matthew52@example.net"/>
    <s v="641.702.5471x7989"/>
    <d v="2026-02-01T08:35:08"/>
    <m/>
  </r>
  <r>
    <s v="Larry Hunter"/>
    <n v="100732"/>
    <s v="Marketing"/>
    <d v="2025-10-27T00:00:00"/>
    <x v="0"/>
    <s v="Ms. Veronica Johnson"/>
    <s v="Yes"/>
    <s v="garzacourtney@example.net"/>
    <s v="967-456-3558x42271"/>
    <d v="2026-01-31T23:44:08"/>
    <m/>
  </r>
  <r>
    <s v="Larry Hunter"/>
    <n v="100732"/>
    <s v="Marketing"/>
    <d v="2025-10-27T00:00:00"/>
    <x v="4"/>
    <s v="Ms. Veronica Johnson"/>
    <s v="Yes"/>
    <s v="garzacourtney@example.net"/>
    <s v="967-456-3558x42271"/>
    <d v="2026-01-31T23:44:08"/>
    <m/>
  </r>
  <r>
    <s v="Casey Valdez"/>
    <n v="101263"/>
    <s v="Finance"/>
    <d v="2025-10-28T00:00:00"/>
    <x v="0"/>
    <s v="Alexander Reyes"/>
    <s v="No"/>
    <s v="alvarezelizabeth@example.org"/>
    <s v="341-230-6862x4087"/>
    <d v="2026-01-31T07:23:08"/>
    <m/>
  </r>
  <r>
    <s v="Casey Valdez"/>
    <n v="101263"/>
    <s v="Finance"/>
    <d v="2025-10-28T00:00:00"/>
    <x v="3"/>
    <s v="Alexander Reyes"/>
    <s v="No"/>
    <s v="alvarezelizabeth@example.org"/>
    <s v="341-230-6862x4087"/>
    <d v="2026-01-31T07:23:08"/>
    <m/>
  </r>
  <r>
    <s v="Casey Valdez"/>
    <n v="101263"/>
    <s v="Finance"/>
    <d v="2025-10-28T00:00:00"/>
    <x v="2"/>
    <s v="Alexander Reyes"/>
    <s v="No"/>
    <s v="alvarezelizabeth@example.org"/>
    <s v="341-230-6862x4087"/>
    <d v="2026-01-31T07:23:08"/>
    <m/>
  </r>
  <r>
    <s v="Mark Hess"/>
    <n v="100746"/>
    <s v="Operations"/>
    <d v="2025-04-11T00:00:00"/>
    <x v="0"/>
    <s v="Kyle Chambers"/>
    <s v="Yes"/>
    <s v="tuckeramanda@example.org"/>
    <s v="462.438.1152x2328"/>
    <d v="2026-03-01T05:07:08"/>
    <m/>
  </r>
  <r>
    <s v="Mark Hess"/>
    <n v="100746"/>
    <s v="Operations"/>
    <d v="2025-04-11T00:00:00"/>
    <x v="2"/>
    <s v="Kyle Chambers"/>
    <s v="Yes"/>
    <s v="tuckeramanda@example.org"/>
    <s v="462.438.1152x2328"/>
    <d v="2026-03-01T05:07:08"/>
    <m/>
  </r>
  <r>
    <s v="Mark Hess"/>
    <n v="100746"/>
    <s v="Operations"/>
    <d v="2025-04-11T00:00:00"/>
    <x v="5"/>
    <s v="Kyle Chambers"/>
    <s v="Yes"/>
    <s v="tuckeramanda@example.org"/>
    <s v="462.438.1152x2328"/>
    <d v="2026-03-01T05:07:08"/>
    <m/>
  </r>
  <r>
    <s v="Christopher Smith"/>
    <n v="100631"/>
    <s v="Finance"/>
    <d v="2025-06-26T00:00:00"/>
    <x v="2"/>
    <s v="Gabriel Moore"/>
    <s v="No"/>
    <s v="michaelobrien@example.net"/>
    <s v="300-341-0847x9135"/>
    <d v="2026-03-15T17:25:08"/>
    <m/>
  </r>
  <r>
    <s v="Hannah Johnson"/>
    <n v="100085"/>
    <s v="HR"/>
    <d v="2026-05-10T00:00:00"/>
    <x v="0"/>
    <s v="Patricia Lee"/>
    <s v="Yes"/>
    <s v="kpennington@example.net"/>
    <s v="592.206.4157x80978"/>
    <d v="2026-03-02T14:37:08"/>
    <m/>
  </r>
  <r>
    <s v="Joshua York"/>
    <n v="100261"/>
    <s v="Marketing"/>
    <d v="2026-03-21T00:00:00"/>
    <x v="2"/>
    <s v="Eric Howell"/>
    <s v="No"/>
    <s v="john19@example.com"/>
    <s v="001-428-314-4786x74280"/>
    <d v="2026-02-12T14:14:08"/>
    <m/>
  </r>
  <r>
    <s v="Megan House"/>
    <n v="100880"/>
    <s v="HR"/>
    <d v="2025-08-28T00:00:00"/>
    <x v="0"/>
    <s v="James Avila"/>
    <s v="No"/>
    <s v="jzavala@example.net"/>
    <s v="001-603-578-9121x397"/>
    <d v="2026-02-17T13:47:08"/>
    <m/>
  </r>
  <r>
    <s v="Megan House"/>
    <n v="100880"/>
    <s v="HR"/>
    <d v="2025-08-28T00:00:00"/>
    <x v="3"/>
    <s v="James Avila"/>
    <s v="No"/>
    <s v="jzavala@example.net"/>
    <s v="001-603-578-9121x397"/>
    <d v="2026-02-17T13:47:08"/>
    <m/>
  </r>
  <r>
    <s v="Megan House"/>
    <n v="100880"/>
    <s v="HR"/>
    <d v="2025-08-28T00:00:00"/>
    <x v="4"/>
    <s v="James Avila"/>
    <s v="No"/>
    <s v="jzavala@example.net"/>
    <s v="001-603-578-9121x397"/>
    <d v="2026-02-17T13:47:08"/>
    <m/>
  </r>
  <r>
    <s v="Jennifer Johnston"/>
    <n v="100303"/>
    <s v="Finance"/>
    <d v="2025-07-03T00:00:00"/>
    <x v="1"/>
    <s v="Gary Morris"/>
    <s v="No"/>
    <s v="robyn59@example.net"/>
    <s v="708-442-9069x6904"/>
    <d v="2026-03-05T17:24:08"/>
    <m/>
  </r>
  <r>
    <s v="Rebecca Patterson"/>
    <n v="101150"/>
    <s v="Operations"/>
    <d v="2026-02-13T00:00:00"/>
    <x v="2"/>
    <s v="Nicholas Price"/>
    <s v="Yes"/>
    <s v="ostevens@example.com"/>
    <s v="001-345-670-1652x76136"/>
    <d v="2026-02-15T10:24:08"/>
    <m/>
  </r>
  <r>
    <s v="Rebecca Patterson"/>
    <n v="101150"/>
    <s v="Operations"/>
    <d v="2026-02-13T00:00:00"/>
    <x v="5"/>
    <s v="Nicholas Price"/>
    <s v="Yes"/>
    <s v="ostevens@example.com"/>
    <s v="001-345-670-1652x76136"/>
    <d v="2026-02-15T10:24:08"/>
    <m/>
  </r>
  <r>
    <s v="Kristen Taylor"/>
    <n v="100073"/>
    <s v="Engineering"/>
    <d v="2026-02-15T00:00:00"/>
    <x v="0"/>
    <s v="Alex Ramirez"/>
    <s v="No"/>
    <s v="nsharp@example.net"/>
    <s v="(796)244-4772"/>
    <d v="2026-03-14T15:37:08"/>
    <m/>
  </r>
  <r>
    <s v="Kristen Taylor"/>
    <n v="100073"/>
    <s v="Engineering"/>
    <d v="2026-02-15T00:00:00"/>
    <x v="3"/>
    <s v="Alex Ramirez"/>
    <s v="No"/>
    <s v="nsharp@example.net"/>
    <s v="(796)244-4772"/>
    <d v="2026-03-14T15:37:08"/>
    <m/>
  </r>
  <r>
    <s v="Megan Allen"/>
    <m/>
    <s v="Finance"/>
    <d v="2025-10-12T00:00:00"/>
    <x v="3"/>
    <s v="David Lewis"/>
    <s v="Yes"/>
    <s v="wangjoshua@example.com"/>
    <s v="001-724-715-5369x158"/>
    <d v="2026-01-29T23:36:08"/>
    <s v="Missing Employee ID"/>
  </r>
  <r>
    <s v="Megan Allen"/>
    <m/>
    <s v="Finance"/>
    <d v="2025-10-12T00:00:00"/>
    <x v="5"/>
    <s v="David Lewis"/>
    <s v="Yes"/>
    <s v="wangjoshua@example.com"/>
    <s v="001-724-715-5369x158"/>
    <d v="2026-01-29T23:36:08"/>
    <s v="Missing Employee ID"/>
  </r>
  <r>
    <s v="Ryan Richards"/>
    <n v="101233"/>
    <s v="IT"/>
    <d v="2025-06-11T00:00:00"/>
    <x v="3"/>
    <s v="Christopher Porter"/>
    <s v="No"/>
    <s v="rsmith@example.org"/>
    <s v="(470)533-3295x945"/>
    <d v="2026-02-03T18:08:08"/>
    <m/>
  </r>
  <r>
    <s v="Ryan Richards"/>
    <n v="101233"/>
    <s v="IT"/>
    <d v="2025-06-11T00:00:00"/>
    <x v="2"/>
    <s v="Christopher Porter"/>
    <s v="No"/>
    <s v="rsmith@example.org"/>
    <s v="(470)533-3295x945"/>
    <d v="2026-02-03T18:08:08"/>
    <m/>
  </r>
  <r>
    <s v="Erica Medina"/>
    <n v="101320"/>
    <s v="Operations"/>
    <d v="2026-02-26T00:00:00"/>
    <x v="0"/>
    <s v="Kelly Perez"/>
    <s v="No"/>
    <s v="andrew29@example.com"/>
    <s v="(429)291-7217x4292"/>
    <d v="2026-02-02T01:27:08"/>
    <m/>
  </r>
  <r>
    <s v="Erica Medina"/>
    <n v="101320"/>
    <s v="Operations"/>
    <d v="2026-02-26T00:00:00"/>
    <x v="1"/>
    <s v="Kelly Perez"/>
    <s v="No"/>
    <s v="andrew29@example.com"/>
    <s v="(429)291-7217x4292"/>
    <d v="2026-02-02T01:27:08"/>
    <m/>
  </r>
  <r>
    <s v="Erica Medina"/>
    <n v="101320"/>
    <s v="Operations"/>
    <d v="2026-02-26T00:00:00"/>
    <x v="4"/>
    <s v="Kelly Perez"/>
    <s v="No"/>
    <s v="andrew29@example.com"/>
    <s v="(429)291-7217x4292"/>
    <d v="2026-02-02T01:27:08"/>
    <m/>
  </r>
  <r>
    <s v="Jason Weaver"/>
    <n v="101163"/>
    <s v="Engineering"/>
    <d v="2025-09-03T00:00:00"/>
    <x v="3"/>
    <s v="Susan Howard"/>
    <s v="No"/>
    <s v="brittanyyoder@example.com"/>
    <s v="+1-437-206-3250x313"/>
    <d v="2026-02-20T00:28:08"/>
    <m/>
  </r>
  <r>
    <s v="Richard Nicholson"/>
    <n v="100875"/>
    <s v="Finance"/>
    <d v="2025-11-28T00:00:00"/>
    <x v="0"/>
    <s v="Chris Butler"/>
    <s v="Yes"/>
    <s v="rodriguezjohn@example.org"/>
    <s v="259.237.9719"/>
    <d v="2026-02-05T13:40:08"/>
    <m/>
  </r>
  <r>
    <s v="Richard Nicholson"/>
    <n v="100875"/>
    <s v="Finance"/>
    <d v="2025-11-28T00:00:00"/>
    <x v="2"/>
    <s v="Chris Butler"/>
    <s v="Yes"/>
    <s v="rodriguezjohn@example.org"/>
    <s v="259.237.9719"/>
    <d v="2026-02-05T13:40:08"/>
    <m/>
  </r>
  <r>
    <s v="Richard Nicholson"/>
    <n v="100875"/>
    <s v="Finance"/>
    <d v="2025-11-28T00:00:00"/>
    <x v="4"/>
    <s v="Chris Butler"/>
    <s v="Yes"/>
    <s v="rodriguezjohn@example.org"/>
    <s v="259.237.9719"/>
    <d v="2026-02-05T13:40:08"/>
    <m/>
  </r>
  <r>
    <s v="Alex Erickson"/>
    <n v="100904"/>
    <s v="HR"/>
    <d v="2025-07-15T00:00:00"/>
    <x v="2"/>
    <s v="Jessica Bennett"/>
    <s v="Yes"/>
    <s v="meaganbennett@example.net"/>
    <s v="+1-547-218-5594x07992"/>
    <d v="2026-03-08T05:07:08"/>
    <m/>
  </r>
  <r>
    <s v="Alex Erickson"/>
    <n v="100904"/>
    <s v="HR"/>
    <d v="2025-07-15T00:00:00"/>
    <x v="4"/>
    <s v="Jessica Bennett"/>
    <s v="Yes"/>
    <s v="meaganbennett@example.net"/>
    <s v="+1-547-218-5594x07992"/>
    <d v="2026-03-08T05:07:08"/>
    <m/>
  </r>
  <r>
    <s v="Alex Erickson"/>
    <n v="100904"/>
    <s v="HR"/>
    <d v="2025-07-15T00:00:00"/>
    <x v="5"/>
    <s v="Jessica Bennett"/>
    <s v="Yes"/>
    <s v="meaganbennett@example.net"/>
    <s v="+1-547-218-5594x07992"/>
    <d v="2026-03-08T05:07:08"/>
    <m/>
  </r>
  <r>
    <s v="Richard Acosta"/>
    <n v="101328"/>
    <s v="IT"/>
    <d v="2025-08-14T00:00:00"/>
    <x v="4"/>
    <s v="Breanna Young"/>
    <s v="No"/>
    <s v="dcurtis@example.com"/>
    <s v="+1-914-256-4743"/>
    <d v="2026-03-02T20:00:08"/>
    <m/>
  </r>
  <r>
    <s v="Bailey Phillips"/>
    <n v="100536"/>
    <s v="Engineering"/>
    <d v="2025-07-15T00:00:00"/>
    <x v="3"/>
    <s v="Christina Mendez"/>
    <s v="Yes"/>
    <s v="moraelizabeth@example.com"/>
    <s v="(366)750-5276x12092"/>
    <d v="2026-02-27T07:04:08"/>
    <m/>
  </r>
  <r>
    <s v="Bailey Phillips"/>
    <n v="100536"/>
    <s v="Engineering"/>
    <d v="2025-07-15T00:00:00"/>
    <x v="1"/>
    <s v="Christina Mendez"/>
    <s v="Yes"/>
    <s v="moraelizabeth@example.com"/>
    <s v="(366)750-5276x12092"/>
    <d v="2026-02-27T07:04:08"/>
    <m/>
  </r>
  <r>
    <s v="Bailey Phillips"/>
    <n v="100536"/>
    <s v="Engineering"/>
    <d v="2025-07-15T00:00:00"/>
    <x v="5"/>
    <s v="Christina Mendez"/>
    <s v="Yes"/>
    <s v="moraelizabeth@example.com"/>
    <s v="(366)750-5276x12092"/>
    <d v="2026-02-27T07:04:08"/>
    <m/>
  </r>
  <r>
    <s v="Anthony Bates"/>
    <n v="100267"/>
    <s v="Engineering"/>
    <d v="2025-12-07T00:00:00"/>
    <x v="0"/>
    <s v="Lori Moore"/>
    <s v="Yes"/>
    <s v="chadwilson@example.com"/>
    <s v="+1-987-306-7635x3223"/>
    <d v="2026-03-02T06:36:08"/>
    <m/>
  </r>
  <r>
    <s v="Anthony Bates"/>
    <n v="100267"/>
    <s v="Engineering"/>
    <d v="2025-12-07T00:00:00"/>
    <x v="1"/>
    <s v="Lori Moore"/>
    <s v="Yes"/>
    <s v="chadwilson@example.com"/>
    <s v="+1-987-306-7635x3223"/>
    <d v="2026-03-02T06:36:08"/>
    <m/>
  </r>
  <r>
    <s v="Laurie Jones"/>
    <n v="100683"/>
    <s v="HR"/>
    <d v="2025-07-18T00:00:00"/>
    <x v="3"/>
    <s v="Robert Black"/>
    <s v="Yes"/>
    <s v="deborah56@example.org"/>
    <s v="711.542.9430x0037"/>
    <d v="2026-02-02T09:26:08"/>
    <m/>
  </r>
  <r>
    <s v="Kimberly Velez"/>
    <n v="100007"/>
    <s v="Finance"/>
    <d v="2026-01-21T00:00:00"/>
    <x v="3"/>
    <s v="David Terry"/>
    <s v="Yes"/>
    <s v="douglaskim@example.net"/>
    <s v="+1-986-869-3278x41783"/>
    <d v="2026-02-15T20:25:08"/>
    <m/>
  </r>
  <r>
    <s v="Kimberly Velez"/>
    <n v="100007"/>
    <s v="Finance"/>
    <d v="2026-01-21T00:00:00"/>
    <x v="1"/>
    <s v="David Terry"/>
    <s v="Yes"/>
    <s v="douglaskim@example.net"/>
    <s v="+1-986-869-3278x41783"/>
    <d v="2026-02-15T20:25:08"/>
    <m/>
  </r>
  <r>
    <s v="Benjamin Duke"/>
    <n v="100090"/>
    <m/>
    <d v="2025-04-18T00:00:00"/>
    <x v="2"/>
    <s v="Tamara Taylor"/>
    <s v="Yes"/>
    <s v="garciajoshua@example.org"/>
    <s v="(952)466-4267x3512"/>
    <d v="2026-02-04T13:05:08"/>
    <s v="Missing Department"/>
  </r>
  <r>
    <s v="Benjamin Duke"/>
    <n v="100090"/>
    <m/>
    <d v="2025-04-18T00:00:00"/>
    <x v="4"/>
    <s v="Tamara Taylor"/>
    <s v="Yes"/>
    <s v="garciajoshua@example.org"/>
    <s v="(952)466-4267x3512"/>
    <d v="2026-02-04T13:05:08"/>
    <s v="Missing Department"/>
  </r>
  <r>
    <s v="Emily Reed DVM"/>
    <n v="100566"/>
    <s v="Finance"/>
    <d v="2025-05-19T00:00:00"/>
    <x v="4"/>
    <s v="Katherine Davenport"/>
    <s v="Yes"/>
    <s v="wedwards@example.com"/>
    <s v="+1-676-648-7849x622"/>
    <d v="2026-03-01T00:35:08"/>
    <m/>
  </r>
  <r>
    <s v="Sandra Smith"/>
    <n v="101253"/>
    <s v="Engineering"/>
    <d v="2025-10-20T00:00:00"/>
    <x v="1"/>
    <s v="Charles Smith"/>
    <s v="Yes"/>
    <s v="klane@example.com"/>
    <s v="568-751-2062x76729"/>
    <d v="2026-03-01T03:26:08"/>
    <m/>
  </r>
  <r>
    <s v="Sandra Smith"/>
    <n v="101253"/>
    <s v="Engineering"/>
    <d v="2025-10-20T00:00:00"/>
    <x v="4"/>
    <s v="Charles Smith"/>
    <s v="Yes"/>
    <s v="klane@example.com"/>
    <s v="568-751-2062x76729"/>
    <d v="2026-03-01T03:26:08"/>
    <m/>
  </r>
  <r>
    <s v="Sandra Smith"/>
    <n v="101253"/>
    <s v="Engineering"/>
    <d v="2025-10-20T00:00:00"/>
    <x v="5"/>
    <s v="Charles Smith"/>
    <s v="Yes"/>
    <s v="klane@example.com"/>
    <s v="568-751-2062x76729"/>
    <d v="2026-03-01T03:26:08"/>
    <m/>
  </r>
  <r>
    <s v="Lisa Silva"/>
    <n v="101457"/>
    <s v="Marketing"/>
    <d v="2026-01-20T00:00:00"/>
    <x v="1"/>
    <s v="Michael Adams"/>
    <s v="No"/>
    <s v="charlesjohnston@example.com"/>
    <s v="(950)422-3477x80457"/>
    <d v="2026-02-08T02:36:08"/>
    <m/>
  </r>
  <r>
    <s v="Sean Carter"/>
    <n v="100104"/>
    <s v="Finance"/>
    <d v="2025-08-02T00:00:00"/>
    <x v="1"/>
    <s v="Judy Harris"/>
    <s v="No"/>
    <s v="claytonchavez@example.net"/>
    <s v="(333)872-0945"/>
    <d v="2026-02-20T12:11:08"/>
    <m/>
  </r>
  <r>
    <s v="Sean Carter"/>
    <n v="100104"/>
    <s v="Finance"/>
    <d v="2025-08-02T00:00:00"/>
    <x v="2"/>
    <s v="Judy Harris"/>
    <s v="No"/>
    <s v="claytonchavez@example.net"/>
    <s v="(333)872-0945"/>
    <d v="2026-02-20T12:11:08"/>
    <m/>
  </r>
  <r>
    <s v="Ralph Wallace MD"/>
    <n v="101355"/>
    <s v="IT"/>
    <d v="2025-10-27T00:00:00"/>
    <x v="0"/>
    <s v="Daniel Taylor"/>
    <s v="No"/>
    <s v="hgonzalez@example.org"/>
    <s v="(820)608-4842"/>
    <d v="2026-03-07T01:27:08"/>
    <m/>
  </r>
  <r>
    <s v="Ralph Wallace MD"/>
    <n v="101355"/>
    <s v="IT"/>
    <d v="2025-10-27T00:00:00"/>
    <x v="3"/>
    <s v="Daniel Taylor"/>
    <s v="No"/>
    <s v="hgonzalez@example.org"/>
    <s v="(820)608-4842"/>
    <d v="2026-03-07T01:27:08"/>
    <m/>
  </r>
  <r>
    <s v="Sheila Harris"/>
    <n v="101322"/>
    <s v="Engineering"/>
    <d v="2026-04-10T00:00:00"/>
    <x v="2"/>
    <s v="Christy Sweeney DDS"/>
    <s v="No"/>
    <s v="yjohnson@example.net"/>
    <s v="(789)667-1360"/>
    <d v="2026-02-05T23:34:08"/>
    <m/>
  </r>
  <r>
    <s v="Sheila Harris"/>
    <n v="101322"/>
    <s v="Engineering"/>
    <d v="2026-04-10T00:00:00"/>
    <x v="5"/>
    <s v="Christy Sweeney DDS"/>
    <s v="No"/>
    <s v="yjohnson@example.net"/>
    <s v="(789)667-1360"/>
    <d v="2026-02-05T23:34:08"/>
    <m/>
  </r>
  <r>
    <s v="Donna Graham"/>
    <n v="101035"/>
    <s v="Marketing"/>
    <d v="2025-12-24T00:00:00"/>
    <x v="1"/>
    <s v="Brandi Hart"/>
    <s v="No"/>
    <s v="samantha49@example.net"/>
    <s v="5137249519"/>
    <d v="2026-02-25T02:26:08"/>
    <m/>
  </r>
  <r>
    <s v="Donna Graham"/>
    <n v="101035"/>
    <s v="Marketing"/>
    <d v="2025-12-24T00:00:00"/>
    <x v="4"/>
    <s v="Brandi Hart"/>
    <s v="No"/>
    <s v="samantha49@example.net"/>
    <s v="5137249519"/>
    <d v="2026-02-25T02:26:08"/>
    <m/>
  </r>
  <r>
    <s v="Donna Graham"/>
    <n v="101035"/>
    <s v="Marketing"/>
    <d v="2025-12-24T00:00:00"/>
    <x v="5"/>
    <s v="Brandi Hart"/>
    <s v="No"/>
    <s v="samantha49@example.net"/>
    <s v="5137249519"/>
    <d v="2026-02-25T02:26:08"/>
    <m/>
  </r>
  <r>
    <s v="Matthew Wu"/>
    <n v="100540"/>
    <s v="HR"/>
    <d v="2025-09-24T00:00:00"/>
    <x v="3"/>
    <s v="Brian Rivera"/>
    <s v="No"/>
    <s v="wrodriguez@example.net"/>
    <s v="001-208-603-8890x441"/>
    <d v="2026-03-08T01:53:08"/>
    <m/>
  </r>
  <r>
    <s v="Matthew Wu"/>
    <n v="100540"/>
    <s v="HR"/>
    <d v="2025-09-24T00:00:00"/>
    <x v="2"/>
    <s v="Brian Rivera"/>
    <s v="No"/>
    <s v="wrodriguez@example.net"/>
    <s v="001-208-603-8890x441"/>
    <d v="2026-03-08T01:53:08"/>
    <m/>
  </r>
  <r>
    <s v="Matthew Wu"/>
    <n v="100540"/>
    <s v="HR"/>
    <d v="2025-09-24T00:00:00"/>
    <x v="5"/>
    <s v="Brian Rivera"/>
    <s v="No"/>
    <s v="wrodriguez@example.net"/>
    <s v="001-208-603-8890x441"/>
    <d v="2026-03-08T01:53:08"/>
    <m/>
  </r>
  <r>
    <s v="David Bailey"/>
    <n v="100416"/>
    <s v="Finance"/>
    <d v="2025-06-03T00:00:00"/>
    <x v="2"/>
    <s v="Jordan Jones"/>
    <s v="Yes"/>
    <s v="marthalee@example.net"/>
    <s v="+1-214-283-7475x5803"/>
    <d v="2026-02-12T05:08:08"/>
    <m/>
  </r>
  <r>
    <s v="Jamie Velazquez"/>
    <n v="100702"/>
    <s v="IT"/>
    <d v="2025-10-09T00:00:00"/>
    <x v="1"/>
    <s v="Jermaine Tucker"/>
    <s v="No"/>
    <s v="cdunn@example.org"/>
    <s v="+1-802-371-6988x371"/>
    <d v="2026-02-13T07:24:08"/>
    <m/>
  </r>
  <r>
    <s v="Jamie Velazquez"/>
    <n v="100702"/>
    <s v="IT"/>
    <d v="2025-10-09T00:00:00"/>
    <x v="5"/>
    <s v="Jermaine Tucker"/>
    <s v="No"/>
    <s v="cdunn@example.org"/>
    <s v="+1-802-371-6988x371"/>
    <d v="2026-02-13T07:24:08"/>
    <m/>
  </r>
  <r>
    <s v="Jose Price"/>
    <n v="100431"/>
    <s v="IT"/>
    <d v="2025-04-21T00:00:00"/>
    <x v="0"/>
    <s v="Ms. Jenny Miller"/>
    <s v="No"/>
    <s v="yserrano@example.com"/>
    <s v="(798)533-2617x050"/>
    <d v="2026-02-08T12:22:08"/>
    <m/>
  </r>
  <r>
    <s v="Jose Price"/>
    <n v="100431"/>
    <s v="IT"/>
    <d v="2025-04-21T00:00:00"/>
    <x v="2"/>
    <s v="Ms. Jenny Miller"/>
    <s v="No"/>
    <s v="yserrano@example.com"/>
    <s v="(798)533-2617x050"/>
    <d v="2026-02-08T12:22:08"/>
    <m/>
  </r>
  <r>
    <s v="David Schneider"/>
    <n v="100577"/>
    <s v="Finance"/>
    <d v="2026-04-10T00:00:00"/>
    <x v="0"/>
    <s v="Gregory Murphy"/>
    <s v="No"/>
    <s v="amywright@example.org"/>
    <s v="499.382.4266"/>
    <d v="2026-02-03T18:24:08"/>
    <m/>
  </r>
  <r>
    <s v="David Schneider"/>
    <n v="100577"/>
    <s v="Finance"/>
    <d v="2026-04-10T00:00:00"/>
    <x v="1"/>
    <s v="Gregory Murphy"/>
    <s v="No"/>
    <s v="amywright@example.org"/>
    <s v="499.382.4266"/>
    <d v="2026-02-03T18:24:08"/>
    <m/>
  </r>
  <r>
    <s v="Ricardo Olson"/>
    <n v="100557"/>
    <s v="HR"/>
    <d v="2026-03-07T00:00:00"/>
    <x v="0"/>
    <s v="Andrea Rivera"/>
    <s v="No"/>
    <s v="sarah68@example.com"/>
    <s v="+1-930-830-2853x272"/>
    <d v="2026-02-17T09:29:08"/>
    <s v="Extra Name Spaces"/>
  </r>
  <r>
    <s v="Justin Holland"/>
    <n v="101461"/>
    <s v="Finance"/>
    <d v="2025-11-15T00:00:00"/>
    <x v="1"/>
    <s v="Benjamin Watson"/>
    <s v="Yes"/>
    <s v="martindavid@example.net"/>
    <s v="(946)413-0873x089"/>
    <d v="2026-01-30T19:11:08"/>
    <m/>
  </r>
  <r>
    <s v="Sarah Fowler"/>
    <n v="101435"/>
    <s v="Marketing"/>
    <d v="2025-07-27T00:00:00"/>
    <x v="1"/>
    <s v="Courtney Grimes"/>
    <s v="Yes"/>
    <s v="stephanieleon@example.com"/>
    <s v="211.284.2527x863"/>
    <d v="2026-02-05T22:10:08"/>
    <m/>
  </r>
  <r>
    <s v="Sarah Fowler"/>
    <n v="101435"/>
    <s v="Marketing"/>
    <d v="2025-07-27T00:00:00"/>
    <x v="4"/>
    <s v="Courtney Grimes"/>
    <s v="Yes"/>
    <s v="stephanieleon@example.com"/>
    <s v="211.284.2527x863"/>
    <d v="2026-02-05T22:10:08"/>
    <m/>
  </r>
  <r>
    <s v="Sarah Fowler"/>
    <n v="101435"/>
    <s v="Marketing"/>
    <d v="2025-07-27T00:00:00"/>
    <x v="5"/>
    <s v="Courtney Grimes"/>
    <s v="Yes"/>
    <s v="stephanieleon@example.com"/>
    <s v="211.284.2527x863"/>
    <d v="2026-02-05T22:10:08"/>
    <m/>
  </r>
  <r>
    <s v="Terry Thomas"/>
    <n v="100219"/>
    <s v="Marketing"/>
    <d v="2025-03-22T00:00:00"/>
    <x v="2"/>
    <s v="Charles Mathews"/>
    <s v="No"/>
    <s v="jamesleonard@example.com"/>
    <s v="305.977.7196"/>
    <d v="2026-02-18T21:54:08"/>
    <m/>
  </r>
  <r>
    <s v="Jacob Bishop"/>
    <n v="100236"/>
    <s v="Engineering"/>
    <d v="2025-12-06T00:00:00"/>
    <x v="5"/>
    <s v="James Carrillo"/>
    <s v="Yes"/>
    <s v="mphillips@example.net"/>
    <s v="001-668-433-4400x9522"/>
    <d v="2026-02-17T09:17:08"/>
    <m/>
  </r>
  <r>
    <s v="Mrs. Michelle Gonzalez"/>
    <n v="101451"/>
    <s v="HR"/>
    <d v="2025-11-27T00:00:00"/>
    <x v="0"/>
    <s v="Curtis Neal"/>
    <s v="No"/>
    <s v="maryriley@example.com"/>
    <s v="890.270.5473"/>
    <d v="2026-03-11T14:11:08"/>
    <m/>
  </r>
  <r>
    <s v="Mrs. Michelle Gonzalez"/>
    <n v="101451"/>
    <s v="HR"/>
    <d v="2025-11-27T00:00:00"/>
    <x v="1"/>
    <s v="Curtis Neal"/>
    <s v="No"/>
    <s v="maryriley@example.com"/>
    <s v="890.270.5473"/>
    <d v="2026-03-11T14:11:08"/>
    <m/>
  </r>
  <r>
    <s v="Mrs. Michelle Gonzalez"/>
    <n v="101451"/>
    <s v="HR"/>
    <d v="2025-11-27T00:00:00"/>
    <x v="5"/>
    <s v="Curtis Neal"/>
    <s v="No"/>
    <s v="maryriley@example.com"/>
    <s v="890.270.5473"/>
    <d v="2026-03-11T14:11:08"/>
    <m/>
  </r>
  <r>
    <s v="Felicia Kramer"/>
    <n v="100275"/>
    <s v="IT"/>
    <d v="2026-04-17T00:00:00"/>
    <x v="1"/>
    <s v="Angela Duffy"/>
    <s v="Yes"/>
    <s v="mcgeecole@example.org"/>
    <s v="(626)900-8026x5893"/>
    <d v="2026-02-18T18:03:08"/>
    <m/>
  </r>
  <r>
    <s v="Felicia Kramer"/>
    <n v="100275"/>
    <s v="IT"/>
    <d v="2026-04-17T00:00:00"/>
    <x v="4"/>
    <s v="Angela Duffy"/>
    <s v="Yes"/>
    <s v="mcgeecole@example.org"/>
    <s v="(626)900-8026x5893"/>
    <d v="2026-02-18T18:03:08"/>
    <m/>
  </r>
  <r>
    <s v="Linda Boyer"/>
    <n v="100212"/>
    <s v="HR"/>
    <d v="2025-03-19T00:00:00"/>
    <x v="5"/>
    <s v="Christina Flores"/>
    <s v="Yes"/>
    <s v="michaelkline@example.net"/>
    <s v="(814)596-7914"/>
    <d v="2026-03-10T15:31:08"/>
    <m/>
  </r>
  <r>
    <s v="Michelle Glass"/>
    <n v="100613"/>
    <s v="Operations"/>
    <d v="2025-12-09T00:00:00"/>
    <x v="0"/>
    <s v="Mrs. Diane Decker"/>
    <s v="No"/>
    <s v="andrewclark@example.com"/>
    <s v="001-626-465-2824x685"/>
    <d v="2026-03-06T11:53:08"/>
    <m/>
  </r>
  <r>
    <s v="Michelle Glass"/>
    <n v="100613"/>
    <s v="Operations"/>
    <d v="2025-12-09T00:00:00"/>
    <x v="1"/>
    <s v="Mrs. Diane Decker"/>
    <s v="No"/>
    <s v="andrewclark@example.com"/>
    <s v="001-626-465-2824x685"/>
    <d v="2026-03-06T11:53:08"/>
    <m/>
  </r>
  <r>
    <s v="Kathleen Anderson MD"/>
    <n v="101135"/>
    <s v="HR"/>
    <d v="2025-06-19T00:00:00"/>
    <x v="0"/>
    <s v="Melissa Navarro"/>
    <s v="Yes"/>
    <s v="andrewmyers@example.org"/>
    <s v="746-605-1908"/>
    <d v="2026-02-12T14:09:08"/>
    <m/>
  </r>
  <r>
    <s v="Kathleen Anderson MD"/>
    <n v="101135"/>
    <s v="HR"/>
    <d v="2025-06-19T00:00:00"/>
    <x v="4"/>
    <s v="Melissa Navarro"/>
    <s v="Yes"/>
    <s v="andrewmyers@example.org"/>
    <s v="746-605-1908"/>
    <d v="2026-02-12T14:09:08"/>
    <m/>
  </r>
  <r>
    <s v="Kathleen Anderson MD"/>
    <n v="101135"/>
    <s v="HR"/>
    <d v="2025-06-19T00:00:00"/>
    <x v="5"/>
    <s v="Melissa Navarro"/>
    <s v="Yes"/>
    <s v="andrewmyers@example.org"/>
    <s v="746-605-1908"/>
    <d v="2026-02-12T14:09:08"/>
    <m/>
  </r>
  <r>
    <s v="Charles Rich"/>
    <n v="100016"/>
    <s v="Operations"/>
    <d v="2025-12-31T00:00:00"/>
    <x v="4"/>
    <s v="Matthew Blair"/>
    <s v="Yes"/>
    <s v="vanessaflores@example.com"/>
    <s v="+1-536-393-0100x0908"/>
    <d v="2026-03-13T11:40:08"/>
    <m/>
  </r>
  <r>
    <s v="Kelly Acosta"/>
    <n v="101356"/>
    <s v="Finance"/>
    <d v="2025-07-26T00:00:00"/>
    <x v="3"/>
    <s v="Emily Holloway"/>
    <s v="Yes"/>
    <s v="thompsondawn@example.org"/>
    <s v="941-858-9290x93043"/>
    <d v="2026-02-04T12:14:08"/>
    <m/>
  </r>
  <r>
    <s v="Kelly Acosta"/>
    <n v="101356"/>
    <s v="Finance"/>
    <d v="2025-07-26T00:00:00"/>
    <x v="5"/>
    <s v="Emily Holloway"/>
    <s v="Yes"/>
    <s v="thompsondawn@example.org"/>
    <s v="941-858-9290x93043"/>
    <d v="2026-02-04T12:14:08"/>
    <m/>
  </r>
  <r>
    <s v="David Butler"/>
    <n v="100619"/>
    <s v="Engineering"/>
    <d v="2025-08-13T00:00:00"/>
    <x v="5"/>
    <s v="Thomas Johnson"/>
    <s v="Yes"/>
    <s v="taylorderrick@example.net"/>
    <s v="(281)759-4747x05311"/>
    <d v="2026-02-27T15:43:08"/>
    <m/>
  </r>
  <r>
    <s v="Theresa Craig"/>
    <n v="101112"/>
    <s v="HR"/>
    <d v="2025-03-31T00:00:00"/>
    <x v="3"/>
    <s v="Alejandra Salazar"/>
    <s v="Yes"/>
    <s v="mspears@example.com"/>
    <s v="+1-584-921-8914x269"/>
    <d v="2026-03-16T15:49:08"/>
    <m/>
  </r>
  <r>
    <s v="Theresa Craig"/>
    <n v="101112"/>
    <s v="HR"/>
    <d v="2025-03-31T00:00:00"/>
    <x v="4"/>
    <s v="Alejandra Salazar"/>
    <s v="Yes"/>
    <s v="mspears@example.com"/>
    <s v="+1-584-921-8914x269"/>
    <d v="2026-03-16T15:49:08"/>
    <m/>
  </r>
  <r>
    <s v="Theresa Craig"/>
    <n v="101112"/>
    <s v="HR"/>
    <d v="2025-03-31T00:00:00"/>
    <x v="5"/>
    <s v="Alejandra Salazar"/>
    <s v="Yes"/>
    <s v="mspears@example.com"/>
    <s v="+1-584-921-8914x269"/>
    <d v="2026-03-16T15:49:08"/>
    <m/>
  </r>
  <r>
    <s v="Dr. Heather Johnson PhD"/>
    <n v="101293"/>
    <s v="Finance"/>
    <d v="2026-04-04T00:00:00"/>
    <x v="0"/>
    <s v="John Mendoza"/>
    <s v="Yes"/>
    <s v="hickstimothy@example.org"/>
    <s v="+1-988-836-3688x50162"/>
    <d v="2026-03-10T10:42:08"/>
    <m/>
  </r>
  <r>
    <s v="Christopher Coleman"/>
    <n v="101344"/>
    <s v="IT"/>
    <d v="2026-04-25T00:00:00"/>
    <x v="5"/>
    <s v="Jose Vazquez"/>
    <s v="No"/>
    <s v="hudsongwendolyn@example.com"/>
    <s v="+1-661-565-2289x8907"/>
    <d v="2026-02-13T01:45:08"/>
    <m/>
  </r>
  <r>
    <s v="Krystal Rodriguez"/>
    <n v="100583"/>
    <s v="HR"/>
    <d v="2026-01-19T00:00:00"/>
    <x v="0"/>
    <s v="Marcus Castillo"/>
    <s v="No"/>
    <s v="ryanvillegas@example.com"/>
    <s v="(340)983-8580x5014"/>
    <d v="2026-02-24T09:44:08"/>
    <m/>
  </r>
  <r>
    <s v="Krystal Rodriguez"/>
    <n v="100583"/>
    <s v="HR"/>
    <d v="2026-01-19T00:00:00"/>
    <x v="1"/>
    <s v="Marcus Castillo"/>
    <s v="No"/>
    <s v="ryanvillegas@example.com"/>
    <s v="(340)983-8580x5014"/>
    <d v="2026-02-24T09:44:08"/>
    <m/>
  </r>
  <r>
    <s v="Travis Hughes"/>
    <n v="100756"/>
    <s v="HR"/>
    <d v="2026-02-19T00:00:00"/>
    <x v="3"/>
    <s v="Mr. Kenneth Ashley"/>
    <s v="Yes"/>
    <s v="brittanyrush@example.com"/>
    <s v="(751)288-7114x8600"/>
    <d v="2026-02-22T06:38:08"/>
    <m/>
  </r>
  <r>
    <s v="Travis Hughes"/>
    <n v="100756"/>
    <s v="HR"/>
    <d v="2026-02-19T00:00:00"/>
    <x v="5"/>
    <s v="Mr. Kenneth Ashley"/>
    <s v="Yes"/>
    <s v="brittanyrush@example.com"/>
    <s v="(751)288-7114x8600"/>
    <d v="2026-02-22T06:38:08"/>
    <m/>
  </r>
  <r>
    <s v="Larry Green"/>
    <n v="100500"/>
    <s v="Marketing"/>
    <d v="2025-03-17T00:00:00"/>
    <x v="0"/>
    <s v="Margaret Mills"/>
    <s v="Yes"/>
    <s v="fhoffman@example.com"/>
    <s v="+1-270-330-2930x1125"/>
    <d v="2026-03-14T21:22:08"/>
    <m/>
  </r>
  <r>
    <s v="Larry Green"/>
    <n v="100500"/>
    <s v="Marketing"/>
    <d v="2025-03-17T00:00:00"/>
    <x v="5"/>
    <s v="Margaret Mills"/>
    <s v="Yes"/>
    <s v="fhoffman@example.com"/>
    <s v="+1-270-330-2930x1125"/>
    <d v="2026-03-14T21:22:08"/>
    <m/>
  </r>
  <r>
    <s v="Jenna Garrett"/>
    <n v="101187"/>
    <s v="Marketing"/>
    <d v="2025-12-12T00:00:00"/>
    <x v="0"/>
    <s v="Christopher Webster Jr."/>
    <s v="No"/>
    <s v="edward22@example.org"/>
    <s v="269.231.8062"/>
    <d v="2026-02-15T20:48:08"/>
    <m/>
  </r>
  <r>
    <s v="Jenna Garrett"/>
    <n v="101187"/>
    <s v="Marketing"/>
    <d v="2025-12-12T00:00:00"/>
    <x v="4"/>
    <s v="Christopher Webster Jr."/>
    <s v="No"/>
    <s v="edward22@example.org"/>
    <s v="269.231.8062"/>
    <d v="2026-02-15T20:48:08"/>
    <m/>
  </r>
  <r>
    <s v="Kathleen Gonzalez"/>
    <n v="100714"/>
    <s v="IT"/>
    <d v="2025-12-04T00:00:00"/>
    <x v="0"/>
    <s v="Robin Floyd"/>
    <s v="Yes"/>
    <s v="bcurtis@example.org"/>
    <s v="697-853-7405x714"/>
    <d v="2026-02-04T06:55:08"/>
    <m/>
  </r>
  <r>
    <s v="Kathleen Gonzalez"/>
    <n v="100714"/>
    <s v="IT"/>
    <d v="2025-12-04T00:00:00"/>
    <x v="4"/>
    <s v="Robin Floyd"/>
    <s v="Yes"/>
    <s v="bcurtis@example.org"/>
    <s v="697-853-7405x714"/>
    <d v="2026-02-04T06:55:08"/>
    <m/>
  </r>
  <r>
    <s v="Tonya Richardson"/>
    <n v="100271"/>
    <s v="Engineering"/>
    <d v="2026-02-03T00:00:00"/>
    <x v="1"/>
    <s v="Richard Crawford"/>
    <s v="No"/>
    <s v="leamy@example.com"/>
    <s v="654.845.3451"/>
    <d v="2026-03-01T21:12:08"/>
    <m/>
  </r>
  <r>
    <s v="Tonya Richardson"/>
    <n v="100271"/>
    <s v="Engineering"/>
    <d v="2026-02-03T00:00:00"/>
    <x v="2"/>
    <s v="Richard Crawford"/>
    <s v="No"/>
    <s v="leamy@example.com"/>
    <s v="654.845.3451"/>
    <d v="2026-03-01T21:12:08"/>
    <m/>
  </r>
  <r>
    <s v="Stephanie Hester"/>
    <n v="101170"/>
    <s v="IT"/>
    <d v="2025-10-06T00:00:00"/>
    <x v="3"/>
    <s v="Jennifer Pennington"/>
    <s v="No"/>
    <s v="elizabethbrennan@example.net"/>
    <s v="948.535.8626"/>
    <d v="2026-02-13T19:26:08"/>
    <m/>
  </r>
  <r>
    <s v="Stephanie Hester"/>
    <n v="101170"/>
    <s v="IT"/>
    <d v="2025-10-06T00:00:00"/>
    <x v="1"/>
    <s v="Jennifer Pennington"/>
    <s v="No"/>
    <s v="elizabethbrennan@example.net"/>
    <s v="948.535.8626"/>
    <d v="2026-02-13T19:26:08"/>
    <m/>
  </r>
  <r>
    <s v="Stephanie Hester"/>
    <n v="101170"/>
    <s v="IT"/>
    <d v="2025-10-06T00:00:00"/>
    <x v="2"/>
    <s v="Jennifer Pennington"/>
    <s v="No"/>
    <s v="elizabethbrennan@example.net"/>
    <s v="948.535.8626"/>
    <d v="2026-02-13T19:26:08"/>
    <m/>
  </r>
  <r>
    <s v="James Evans"/>
    <n v="101036"/>
    <s v="Marketing"/>
    <d v="2026-03-26T00:00:00"/>
    <x v="3"/>
    <s v="Christian Valencia"/>
    <s v="Yes"/>
    <s v="hkennedy@example.com"/>
    <s v="5896432698"/>
    <d v="2026-01-30T13:01:08"/>
    <m/>
  </r>
  <r>
    <s v="James Evans"/>
    <n v="101036"/>
    <s v="Marketing"/>
    <d v="2026-03-26T00:00:00"/>
    <x v="1"/>
    <s v="Christian Valencia"/>
    <s v="Yes"/>
    <s v="hkennedy@example.com"/>
    <s v="5896432698"/>
    <d v="2026-01-30T13:01:08"/>
    <m/>
  </r>
  <r>
    <s v="Seth Daniel"/>
    <n v="100436"/>
    <s v="IT"/>
    <d v="2026-01-02T00:00:00"/>
    <x v="3"/>
    <s v="Melissa Delacruz MD"/>
    <s v="No"/>
    <s v="hineskrystal@example.com"/>
    <s v="4502928467"/>
    <d v="2026-03-11T07:37:08"/>
    <m/>
  </r>
  <r>
    <s v="Seth Daniel"/>
    <n v="100436"/>
    <s v="IT"/>
    <d v="2026-01-02T00:00:00"/>
    <x v="2"/>
    <s v="Melissa Delacruz MD"/>
    <s v="No"/>
    <s v="hineskrystal@example.com"/>
    <s v="4502928467"/>
    <d v="2026-03-11T07:37:08"/>
    <m/>
  </r>
  <r>
    <s v="Seth Daniel"/>
    <n v="100436"/>
    <s v="IT"/>
    <d v="2026-01-02T00:00:00"/>
    <x v="4"/>
    <s v="Melissa Delacruz MD"/>
    <s v="No"/>
    <s v="hineskrystal@example.com"/>
    <s v="4502928467"/>
    <d v="2026-03-11T07:37:08"/>
    <m/>
  </r>
  <r>
    <s v="Craig Jackson"/>
    <n v="101101"/>
    <s v="IT"/>
    <d v="2025-11-10T00:00:00"/>
    <x v="5"/>
    <s v="Miss Christina Williams"/>
    <s v="Yes"/>
    <s v="vgriffin@example.com"/>
    <s v="(395)845-0380"/>
    <d v="2026-02-13T19:17:08"/>
    <m/>
  </r>
  <r>
    <s v="Justin Bell"/>
    <n v="100150"/>
    <s v="IT"/>
    <d v="2025-07-17T00:00:00"/>
    <x v="4"/>
    <s v="Michael Norris"/>
    <s v="Yes"/>
    <s v="evansmatthew@example.net"/>
    <s v="(981)643-5312"/>
    <d v="2026-02-01T18:01:08"/>
    <m/>
  </r>
  <r>
    <s v="Melissa Cohen"/>
    <n v="100204"/>
    <s v="Engineering"/>
    <d v="2025-05-09T00:00:00"/>
    <x v="0"/>
    <s v="Nicole Oliver"/>
    <s v="Yes"/>
    <s v="jacob11@example.org"/>
    <s v="959.604.2652"/>
    <d v="2026-02-24T04:49:08"/>
    <m/>
  </r>
  <r>
    <s v="Melissa Cohen"/>
    <n v="100204"/>
    <s v="Engineering"/>
    <d v="2025-05-09T00:00:00"/>
    <x v="2"/>
    <s v="Nicole Oliver"/>
    <s v="Yes"/>
    <s v="jacob11@example.org"/>
    <s v="959.604.2652"/>
    <d v="2026-02-24T04:49:08"/>
    <m/>
  </r>
  <r>
    <s v="Jeffrey Lowe"/>
    <n v="101153"/>
    <s v="Finance"/>
    <d v="2025-07-06T00:00:00"/>
    <x v="1"/>
    <s v="Renee Cooper"/>
    <s v="Yes"/>
    <s v="millstyler@example.net"/>
    <s v="285.354.5146"/>
    <d v="2026-02-09T20:17:08"/>
    <m/>
  </r>
  <r>
    <s v="Jeffrey Lowe"/>
    <n v="101153"/>
    <s v="Finance"/>
    <d v="2025-07-06T00:00:00"/>
    <x v="2"/>
    <s v="Renee Cooper"/>
    <s v="Yes"/>
    <s v="millstyler@example.net"/>
    <s v="285.354.5146"/>
    <d v="2026-02-09T20:17:08"/>
    <m/>
  </r>
  <r>
    <s v="Jeffrey Lowe"/>
    <n v="101153"/>
    <s v="Finance"/>
    <d v="2025-07-06T00:00:00"/>
    <x v="5"/>
    <s v="Renee Cooper"/>
    <s v="Yes"/>
    <s v="millstyler@example.net"/>
    <s v="285.354.5146"/>
    <d v="2026-02-09T20:17:08"/>
    <m/>
  </r>
  <r>
    <s v="Erika Miller"/>
    <n v="100938"/>
    <s v="IT"/>
    <d v="2025-05-01T00:00:00"/>
    <x v="1"/>
    <s v="Tammy Cooper"/>
    <s v="No"/>
    <s v="larry37@example.net"/>
    <s v="5625728167"/>
    <d v="2026-02-20T04:53:08"/>
    <m/>
  </r>
  <r>
    <s v="Erika Miller"/>
    <n v="100938"/>
    <s v="IT"/>
    <d v="2025-05-01T00:00:00"/>
    <x v="2"/>
    <s v="Tammy Cooper"/>
    <s v="No"/>
    <s v="larry37@example.net"/>
    <s v="5625728167"/>
    <d v="2026-02-20T04:53:08"/>
    <m/>
  </r>
  <r>
    <s v="Erika Miller"/>
    <n v="100938"/>
    <s v="IT"/>
    <d v="2025-05-01T00:00:00"/>
    <x v="4"/>
    <s v="Tammy Cooper"/>
    <s v="No"/>
    <s v="larry37@example.net"/>
    <s v="5625728167"/>
    <d v="2026-02-20T04:53:08"/>
    <m/>
  </r>
  <r>
    <s v="James Cuevas"/>
    <n v="100019"/>
    <s v="IT"/>
    <d v="2025-10-25T00:00:00"/>
    <x v="4"/>
    <s v="Brandon Stewart"/>
    <s v="No"/>
    <s v="bbrooks@example.net"/>
    <s v="001-926-841-2608x4818"/>
    <d v="2026-03-09T07:59:08"/>
    <m/>
  </r>
  <r>
    <s v="Kevin Fitzpatrick"/>
    <m/>
    <s v="Engineering"/>
    <d v="2025-05-12T00:00:00"/>
    <x v="1"/>
    <s v="David Munoz"/>
    <s v="Yes"/>
    <s v="yallen@example.org"/>
    <s v="+1-495-416-7045x059"/>
    <d v="2026-03-08T22:21:08"/>
    <s v="Missing Employee ID"/>
  </r>
  <r>
    <s v="Michele Barnes"/>
    <n v="101175"/>
    <s v="HR"/>
    <d v="2025-05-20T00:00:00"/>
    <x v="3"/>
    <s v="Robert Meza"/>
    <s v="Yes"/>
    <s v="juanperez@example.net"/>
    <s v="+1-280-448-5142"/>
    <d v="2026-02-25T15:48:08"/>
    <m/>
  </r>
  <r>
    <s v="Michele Barnes"/>
    <n v="101175"/>
    <s v="HR"/>
    <d v="2025-05-20T00:00:00"/>
    <x v="5"/>
    <s v="Robert Meza"/>
    <s v="Yes"/>
    <s v="juanperez@example.net"/>
    <s v="+1-280-448-5142"/>
    <d v="2026-02-25T15:48:08"/>
    <m/>
  </r>
  <r>
    <s v="Robert Morales"/>
    <n v="100936"/>
    <s v="IT"/>
    <d v="2025-12-15T00:00:00"/>
    <x v="5"/>
    <s v="Scott Thomas"/>
    <s v="No"/>
    <s v="kristenyoung@example.org"/>
    <s v="327-755-7672x991"/>
    <d v="2026-02-24T05:27:08"/>
    <m/>
  </r>
  <r>
    <s v="Alexander Mitchell"/>
    <n v="100614"/>
    <s v="Marketing"/>
    <d v="2025-12-07T00:00:00"/>
    <x v="0"/>
    <s v="Steven Boyd"/>
    <s v="Yes"/>
    <s v="deborahwright@example.net"/>
    <s v="(831)402-9771x150"/>
    <d v="2026-02-19T17:36:08"/>
    <m/>
  </r>
  <r>
    <s v="Alexander Mitchell"/>
    <n v="100614"/>
    <s v="Marketing"/>
    <d v="2025-12-07T00:00:00"/>
    <x v="3"/>
    <s v="Steven Boyd"/>
    <s v="Yes"/>
    <s v="deborahwright@example.net"/>
    <s v="(831)402-9771x150"/>
    <d v="2026-02-19T17:36:08"/>
    <m/>
  </r>
  <r>
    <s v="Alexander Mitchell"/>
    <n v="100614"/>
    <s v="Marketing"/>
    <d v="2025-12-07T00:00:00"/>
    <x v="4"/>
    <s v="Steven Boyd"/>
    <s v="Yes"/>
    <s v="deborahwright@example.net"/>
    <s v="(831)402-9771x150"/>
    <d v="2026-02-19T17:36:08"/>
    <m/>
  </r>
  <r>
    <s v="Ashley Nunez"/>
    <n v="100268"/>
    <s v="IT"/>
    <d v="2025-11-06T00:00:00"/>
    <x v="1"/>
    <s v="Cameron Berger"/>
    <s v="Yes"/>
    <s v="lisa73@example.org"/>
    <s v="516.829.1087x39221"/>
    <d v="2026-02-12T18:42:08"/>
    <s v="Extra Name Spaces"/>
  </r>
  <r>
    <s v="Ashley Nunez"/>
    <n v="100268"/>
    <s v="IT"/>
    <d v="2025-11-06T00:00:00"/>
    <x v="4"/>
    <s v="Cameron Berger"/>
    <s v="Yes"/>
    <s v="lisa73@example.org"/>
    <s v="516.829.1087x39221"/>
    <d v="2026-02-12T18:42:08"/>
    <s v="Extra Name Spaces"/>
  </r>
  <r>
    <s v="Angela Morris"/>
    <n v="101388"/>
    <s v="Operations"/>
    <d v="2025-05-30T00:00:00"/>
    <x v="1"/>
    <s v="Joe Strickland"/>
    <s v="No"/>
    <s v="mejiamichael@example.net"/>
    <s v="677.707.4599x15304"/>
    <d v="2026-02-25T00:46:08"/>
    <m/>
  </r>
  <r>
    <s v="Angela Morris"/>
    <n v="101388"/>
    <s v="Operations"/>
    <d v="2025-05-30T00:00:00"/>
    <x v="2"/>
    <s v="Joe Strickland"/>
    <s v="No"/>
    <s v="mejiamichael@example.net"/>
    <s v="677.707.4599x15304"/>
    <d v="2026-02-25T00:46:08"/>
    <m/>
  </r>
  <r>
    <s v="Angela Morris"/>
    <n v="101388"/>
    <s v="Operations"/>
    <d v="2025-05-30T00:00:00"/>
    <x v="4"/>
    <s v="Joe Strickland"/>
    <s v="No"/>
    <s v="mejiamichael@example.net"/>
    <s v="677.707.4599x15304"/>
    <d v="2026-02-25T00:46:08"/>
    <m/>
  </r>
  <r>
    <s v="Robert Thompson"/>
    <n v="101213"/>
    <s v="Marketing"/>
    <d v="2025-08-03T00:00:00"/>
    <x v="3"/>
    <s v="Matthew Newton"/>
    <s v="No"/>
    <s v="annpeters@example.org"/>
    <s v="945.802.9586"/>
    <d v="2026-02-26T05:03:08"/>
    <m/>
  </r>
  <r>
    <s v="Robert Thompson"/>
    <n v="101213"/>
    <s v="Marketing"/>
    <d v="2025-08-03T00:00:00"/>
    <x v="4"/>
    <s v="Matthew Newton"/>
    <s v="No"/>
    <s v="annpeters@example.org"/>
    <s v="945.802.9586"/>
    <d v="2026-02-26T05:03:08"/>
    <m/>
  </r>
  <r>
    <s v="Robert Thompson"/>
    <n v="101213"/>
    <s v="Marketing"/>
    <d v="2025-08-03T00:00:00"/>
    <x v="5"/>
    <s v="Matthew Newton"/>
    <s v="No"/>
    <s v="annpeters@example.org"/>
    <s v="945.802.9586"/>
    <d v="2026-02-26T05:03:08"/>
    <m/>
  </r>
  <r>
    <s v="Matthew Williams"/>
    <n v="100488"/>
    <s v="Engineering"/>
    <d v="2026-05-04T00:00:00"/>
    <x v="0"/>
    <s v="Richard Kramer"/>
    <s v="Yes"/>
    <s v="ricky75@example.com"/>
    <s v="+1-418-923-6881x0138"/>
    <d v="2026-01-31T16:07:08"/>
    <m/>
  </r>
  <r>
    <s v="Matthew Williams"/>
    <n v="100488"/>
    <s v="Engineering"/>
    <d v="2026-05-04T00:00:00"/>
    <x v="4"/>
    <s v="Richard Kramer"/>
    <s v="Yes"/>
    <s v="ricky75@example.com"/>
    <s v="+1-418-923-6881x0138"/>
    <d v="2026-01-31T16:07:08"/>
    <m/>
  </r>
  <r>
    <s v="Anthony Christensen"/>
    <n v="100643"/>
    <s v="Marketing"/>
    <d v="2025-11-20T00:00:00"/>
    <x v="1"/>
    <s v="David Brooks"/>
    <s v="Yes"/>
    <s v="gardnererik@example.org"/>
    <s v="538-382-5320"/>
    <d v="2026-02-09T04:31:08"/>
    <m/>
  </r>
  <r>
    <s v="Anthony Christensen"/>
    <n v="100643"/>
    <s v="Marketing"/>
    <d v="2025-11-20T00:00:00"/>
    <x v="4"/>
    <s v="David Brooks"/>
    <s v="Yes"/>
    <s v="gardnererik@example.org"/>
    <s v="538-382-5320"/>
    <d v="2026-02-09T04:31:08"/>
    <m/>
  </r>
  <r>
    <s v="Anthony Christensen"/>
    <n v="100643"/>
    <s v="Marketing"/>
    <d v="2025-11-20T00:00:00"/>
    <x v="5"/>
    <s v="David Brooks"/>
    <s v="Yes"/>
    <s v="gardnererik@example.org"/>
    <s v="538-382-5320"/>
    <d v="2026-02-09T04:31:08"/>
    <m/>
  </r>
  <r>
    <s v="Megan Mills"/>
    <n v="100418"/>
    <s v="HR"/>
    <d v="2025-10-18T00:00:00"/>
    <x v="0"/>
    <s v="Mandy Walker"/>
    <s v="No"/>
    <s v="youngannette@example.net"/>
    <s v="+1-417-236-9078x94767"/>
    <d v="2026-03-11T23:53:08"/>
    <m/>
  </r>
  <r>
    <s v="Megan Mills"/>
    <n v="100418"/>
    <s v="HR"/>
    <d v="2025-10-18T00:00:00"/>
    <x v="1"/>
    <s v="Mandy Walker"/>
    <s v="No"/>
    <s v="youngannette@example.net"/>
    <s v="+1-417-236-9078x94767"/>
    <d v="2026-03-11T23:53:08"/>
    <m/>
  </r>
  <r>
    <s v="Megan Mills"/>
    <n v="100418"/>
    <s v="HR"/>
    <d v="2025-10-18T00:00:00"/>
    <x v="5"/>
    <s v="Mandy Walker"/>
    <s v="No"/>
    <s v="youngannette@example.net"/>
    <s v="+1-417-236-9078x94767"/>
    <d v="2026-03-11T23:53:08"/>
    <m/>
  </r>
  <r>
    <s v="Hayden Miller"/>
    <n v="100534"/>
    <s v="HR"/>
    <d v="2025-08-07T00:00:00"/>
    <x v="3"/>
    <s v="Ariel Williams"/>
    <s v="Yes"/>
    <s v="dgentry@example.org"/>
    <s v="(734)385-0895x12370"/>
    <d v="2026-03-08T06:52:08"/>
    <s v="Extra Name Spaces"/>
  </r>
  <r>
    <s v="Hayden Miller"/>
    <n v="100534"/>
    <s v="HR"/>
    <d v="2025-08-07T00:00:00"/>
    <x v="4"/>
    <s v="Ariel Williams"/>
    <s v="Yes"/>
    <s v="dgentry@example.org"/>
    <s v="(734)385-0895x12370"/>
    <d v="2026-03-08T06:52:08"/>
    <s v="Extra Name Spaces"/>
  </r>
  <r>
    <s v="Hayden Miller"/>
    <n v="100534"/>
    <s v="HR"/>
    <d v="2025-08-07T00:00:00"/>
    <x v="5"/>
    <s v="Ariel Williams"/>
    <s v="Yes"/>
    <s v="dgentry@example.org"/>
    <s v="(734)385-0895x12370"/>
    <d v="2026-03-08T06:52:08"/>
    <s v="Extra Name Spaces"/>
  </r>
  <r>
    <s v="Sonia Silva"/>
    <n v="100647"/>
    <s v="IT"/>
    <d v="2026-05-02T00:00:00"/>
    <x v="0"/>
    <s v="Dennis Day"/>
    <s v="No"/>
    <s v="jordan56@example.net"/>
    <s v="329.565.5619x2767"/>
    <d v="2026-02-14T19:34:08"/>
    <m/>
  </r>
  <r>
    <s v="Nicholas Cochran"/>
    <n v="101070"/>
    <s v="Marketing"/>
    <d v="2026-01-05T00:00:00"/>
    <x v="5"/>
    <s v="Megan Mason"/>
    <s v="No"/>
    <s v="meghanallen@example.com"/>
    <s v="(912)366-7830x5573"/>
    <d v="2026-02-26T12:58:08"/>
    <m/>
  </r>
  <r>
    <s v="Ryan Warren"/>
    <n v="101157"/>
    <s v="Finance"/>
    <d v="2025-07-05T00:00:00"/>
    <x v="1"/>
    <s v="Samantha Williams"/>
    <s v="Yes"/>
    <s v="jeffrios@example.net"/>
    <s v="001-646-314-4662x76330"/>
    <d v="2026-02-01T12:52:08"/>
    <m/>
  </r>
  <r>
    <s v="Ryan Warren"/>
    <n v="101157"/>
    <s v="Finance"/>
    <d v="2025-07-05T00:00:00"/>
    <x v="2"/>
    <s v="Samantha Williams"/>
    <s v="Yes"/>
    <s v="jeffrios@example.net"/>
    <s v="001-646-314-4662x76330"/>
    <d v="2026-02-01T12:52:08"/>
    <m/>
  </r>
  <r>
    <s v="Ryan Warren"/>
    <n v="101157"/>
    <s v="Finance"/>
    <d v="2025-07-05T00:00:00"/>
    <x v="4"/>
    <s v="Samantha Williams"/>
    <s v="Yes"/>
    <s v="jeffrios@example.net"/>
    <s v="001-646-314-4662x76330"/>
    <d v="2026-02-01T12:52:08"/>
    <m/>
  </r>
  <r>
    <s v="Jim Maxwell"/>
    <n v="100858"/>
    <s v="Operations"/>
    <d v="2025-10-20T00:00:00"/>
    <x v="3"/>
    <s v="Carrie Lambert"/>
    <s v="No"/>
    <s v="jacob83@example.org"/>
    <s v="+1-868-863-6470x465"/>
    <d v="2026-02-14T11:47:08"/>
    <m/>
  </r>
  <r>
    <s v="Jim Maxwell"/>
    <n v="100858"/>
    <s v="Operations"/>
    <d v="2025-10-20T00:00:00"/>
    <x v="2"/>
    <s v="Carrie Lambert"/>
    <s v="No"/>
    <s v="jacob83@example.org"/>
    <s v="+1-868-863-6470x465"/>
    <d v="2026-02-14T11:47:08"/>
    <m/>
  </r>
  <r>
    <s v="Jim Maxwell"/>
    <n v="100858"/>
    <s v="Operations"/>
    <d v="2025-10-20T00:00:00"/>
    <x v="4"/>
    <s v="Carrie Lambert"/>
    <s v="No"/>
    <s v="jacob83@example.org"/>
    <s v="+1-868-863-6470x465"/>
    <d v="2026-02-14T11:47:08"/>
    <m/>
  </r>
  <r>
    <s v="Stephanie Mcintosh"/>
    <n v="100167"/>
    <s v="Engineering"/>
    <d v="2025-05-15T00:00:00"/>
    <x v="0"/>
    <s v="Juan Chan"/>
    <s v="Yes"/>
    <s v="aaronramirez@example.org"/>
    <s v="993.263.1592x2912"/>
    <d v="2026-02-04T04:07:08"/>
    <m/>
  </r>
  <r>
    <s v="Stephanie Mcintosh"/>
    <n v="100167"/>
    <s v="Engineering"/>
    <d v="2025-05-15T00:00:00"/>
    <x v="1"/>
    <s v="Juan Chan"/>
    <s v="Yes"/>
    <s v="aaronramirez@example.org"/>
    <s v="993.263.1592x2912"/>
    <d v="2026-02-04T04:07:08"/>
    <m/>
  </r>
  <r>
    <s v="Stephanie Mcintosh"/>
    <n v="100167"/>
    <s v="Engineering"/>
    <d v="2025-05-15T00:00:00"/>
    <x v="5"/>
    <s v="Juan Chan"/>
    <s v="Yes"/>
    <s v="aaronramirez@example.org"/>
    <s v="993.263.1592x2912"/>
    <d v="2026-02-04T04:07:08"/>
    <m/>
  </r>
  <r>
    <s v="Kyle Ramirez"/>
    <n v="100081"/>
    <m/>
    <d v="2025-04-02T00:00:00"/>
    <x v="4"/>
    <s v="Dennis Bennett"/>
    <s v="No"/>
    <s v="bethmiller@example.com"/>
    <s v="(228)324-7183"/>
    <d v="2026-02-13T07:35:08"/>
    <s v="Missing Department"/>
  </r>
  <r>
    <s v="Jill Silva"/>
    <n v="100504"/>
    <s v="IT"/>
    <d v="2025-06-12T00:00:00"/>
    <x v="0"/>
    <s v="Jennifer Brown DVM"/>
    <s v="No"/>
    <s v="erica89@example.net"/>
    <s v="001-484-497-4997x9905"/>
    <d v="2026-02-03T04:52:08"/>
    <m/>
  </r>
  <r>
    <s v="Jill Silva"/>
    <n v="100504"/>
    <s v="IT"/>
    <d v="2025-06-12T00:00:00"/>
    <x v="2"/>
    <s v="Jennifer Brown DVM"/>
    <s v="No"/>
    <s v="erica89@example.net"/>
    <s v="001-484-497-4997x9905"/>
    <d v="2026-02-03T04:52:08"/>
    <m/>
  </r>
  <r>
    <s v="Jill Silva"/>
    <n v="100504"/>
    <s v="IT"/>
    <d v="2025-06-12T00:00:00"/>
    <x v="5"/>
    <s v="Jennifer Brown DVM"/>
    <s v="No"/>
    <s v="erica89@example.net"/>
    <s v="001-484-497-4997x9905"/>
    <d v="2026-02-03T04:52:08"/>
    <m/>
  </r>
  <r>
    <s v="Caleb Ramirez"/>
    <n v="101166"/>
    <s v="Finance"/>
    <d v="2026-02-02T00:00:00"/>
    <x v="1"/>
    <s v="Rachel Travis"/>
    <s v="Yes"/>
    <s v="zachary18@example.net"/>
    <s v="+1-510-361-7356"/>
    <d v="2026-03-09T15:05:08"/>
    <m/>
  </r>
  <r>
    <s v="Caleb Ramirez"/>
    <n v="101166"/>
    <s v="Finance"/>
    <d v="2026-02-02T00:00:00"/>
    <x v="2"/>
    <s v="Rachel Travis"/>
    <s v="Yes"/>
    <s v="zachary18@example.net"/>
    <s v="+1-510-361-7356"/>
    <d v="2026-03-09T15:05:08"/>
    <m/>
  </r>
  <r>
    <s v="Caleb Ramirez"/>
    <n v="101166"/>
    <s v="Finance"/>
    <d v="2026-02-02T00:00:00"/>
    <x v="5"/>
    <s v="Rachel Travis"/>
    <s v="Yes"/>
    <s v="zachary18@example.net"/>
    <s v="+1-510-361-7356"/>
    <d v="2026-03-09T15:05:08"/>
    <m/>
  </r>
  <r>
    <s v="Christina Davis DDS"/>
    <n v="100245"/>
    <s v="Marketing"/>
    <d v="2025-11-21T00:00:00"/>
    <x v="0"/>
    <s v="Mrs. Heather Meyers"/>
    <s v="Yes"/>
    <s v="mgarcia@example.com"/>
    <s v="+1-263-878-8119x389"/>
    <d v="2026-02-06T22:21:08"/>
    <m/>
  </r>
  <r>
    <s v="Christina Davis DDS"/>
    <n v="100245"/>
    <s v="Marketing"/>
    <d v="2025-11-21T00:00:00"/>
    <x v="3"/>
    <s v="Mrs. Heather Meyers"/>
    <s v="Yes"/>
    <s v="mgarcia@example.com"/>
    <s v="+1-263-878-8119x389"/>
    <d v="2026-02-06T22:21:08"/>
    <m/>
  </r>
  <r>
    <s v="Christina Davis DDS"/>
    <n v="100245"/>
    <s v="Marketing"/>
    <d v="2025-11-21T00:00:00"/>
    <x v="4"/>
    <s v="Mrs. Heather Meyers"/>
    <s v="Yes"/>
    <s v="mgarcia@example.com"/>
    <s v="+1-263-878-8119x389"/>
    <d v="2026-02-06T22:21:08"/>
    <m/>
  </r>
  <r>
    <s v="Theresa Wolfe"/>
    <n v="100826"/>
    <s v="IT"/>
    <d v="2025-11-16T00:00:00"/>
    <x v="0"/>
    <s v="Daniel Morrow"/>
    <s v="Yes"/>
    <s v="fjones@example.com"/>
    <s v="321.963.3613"/>
    <d v="2026-02-20T01:23:08"/>
    <m/>
  </r>
  <r>
    <s v="Theresa Wolfe"/>
    <n v="100826"/>
    <s v="IT"/>
    <d v="2025-11-16T00:00:00"/>
    <x v="2"/>
    <s v="Daniel Morrow"/>
    <s v="Yes"/>
    <s v="fjones@example.com"/>
    <s v="321.963.3613"/>
    <d v="2026-02-20T01:23:08"/>
    <m/>
  </r>
  <r>
    <s v="Kelsey Adams"/>
    <n v="100481"/>
    <s v="Operations"/>
    <d v="2025-08-15T00:00:00"/>
    <x v="1"/>
    <s v="Ryan Collins"/>
    <s v="Yes"/>
    <s v="sanchezemily@example.net"/>
    <s v="(345)485-8356x399"/>
    <d v="2026-01-29T23:34:08"/>
    <s v="Extra Name Spaces"/>
  </r>
  <r>
    <s v="Kelsey Adams"/>
    <n v="100481"/>
    <s v="Operations"/>
    <d v="2025-08-15T00:00:00"/>
    <x v="2"/>
    <s v="Ryan Collins"/>
    <s v="Yes"/>
    <s v="sanchezemily@example.net"/>
    <s v="(345)485-8356x399"/>
    <d v="2026-01-29T23:34:08"/>
    <s v="Extra Name Spaces"/>
  </r>
  <r>
    <s v="Kelsey Adams"/>
    <n v="100481"/>
    <s v="Operations"/>
    <d v="2025-08-15T00:00:00"/>
    <x v="4"/>
    <s v="Ryan Collins"/>
    <s v="Yes"/>
    <s v="sanchezemily@example.net"/>
    <s v="(345)485-8356x399"/>
    <d v="2026-01-29T23:34:08"/>
    <s v="Extra Name Spaces"/>
  </r>
  <r>
    <s v="Mr. Nicholas Munoz"/>
    <n v="100139"/>
    <s v="Marketing"/>
    <d v="2025-10-09T00:00:00"/>
    <x v="3"/>
    <s v="Thomas Waters"/>
    <s v="Yes"/>
    <s v="daniel41@example.net"/>
    <s v="001-825-281-4762x123"/>
    <d v="2026-02-10T21:57:08"/>
    <m/>
  </r>
  <r>
    <s v="Mr. Nicholas Munoz"/>
    <n v="100139"/>
    <s v="Marketing"/>
    <d v="2025-10-09T00:00:00"/>
    <x v="2"/>
    <s v="Thomas Waters"/>
    <s v="Yes"/>
    <s v="daniel41@example.net"/>
    <s v="001-825-281-4762x123"/>
    <d v="2026-02-10T21:57:08"/>
    <m/>
  </r>
  <r>
    <s v="Mr. Nicholas Munoz"/>
    <n v="100139"/>
    <s v="Marketing"/>
    <d v="2025-10-09T00:00:00"/>
    <x v="5"/>
    <s v="Thomas Waters"/>
    <s v="Yes"/>
    <s v="daniel41@example.net"/>
    <s v="001-825-281-4762x123"/>
    <d v="2026-02-10T21:57:08"/>
    <m/>
  </r>
  <r>
    <s v="Joshua Hall"/>
    <n v="100140"/>
    <s v="IT"/>
    <d v="2026-03-16T00:00:00"/>
    <x v="0"/>
    <s v="Heather Davis"/>
    <s v="Yes"/>
    <s v="jenniferpeters@example.com"/>
    <s v="915.863.0930"/>
    <d v="2026-02-05T18:11:08"/>
    <m/>
  </r>
  <r>
    <s v="Joshua Hall"/>
    <n v="100140"/>
    <s v="IT"/>
    <d v="2026-03-16T00:00:00"/>
    <x v="2"/>
    <s v="Heather Davis"/>
    <s v="Yes"/>
    <s v="jenniferpeters@example.com"/>
    <s v="915.863.0930"/>
    <d v="2026-02-05T18:11:08"/>
    <m/>
  </r>
  <r>
    <s v="Joshua Hall"/>
    <n v="100140"/>
    <s v="IT"/>
    <d v="2026-03-16T00:00:00"/>
    <x v="4"/>
    <s v="Heather Davis"/>
    <s v="Yes"/>
    <s v="jenniferpeters@example.com"/>
    <s v="915.863.0930"/>
    <d v="2026-02-05T18:11:08"/>
    <m/>
  </r>
  <r>
    <s v="Nancy Rowe"/>
    <n v="100380"/>
    <s v="Marketing"/>
    <d v="2025-03-18T00:00:00"/>
    <x v="1"/>
    <s v="Marie Patterson"/>
    <s v="Yes"/>
    <s v="michael98@example.com"/>
    <s v="(940)589-9217"/>
    <d v="2026-03-07T22:17:08"/>
    <m/>
  </r>
  <r>
    <s v="Nancy Rowe"/>
    <n v="100380"/>
    <s v="Marketing"/>
    <d v="2025-03-18T00:00:00"/>
    <x v="2"/>
    <s v="Marie Patterson"/>
    <s v="Yes"/>
    <s v="michael98@example.com"/>
    <s v="(940)589-9217"/>
    <d v="2026-03-07T22:17:08"/>
    <m/>
  </r>
  <r>
    <s v="Nancy Rowe"/>
    <n v="100380"/>
    <s v="Marketing"/>
    <d v="2025-03-18T00:00:00"/>
    <x v="5"/>
    <s v="Marie Patterson"/>
    <s v="Yes"/>
    <s v="michael98@example.com"/>
    <s v="(940)589-9217"/>
    <d v="2026-03-07T22:17:08"/>
    <m/>
  </r>
  <r>
    <s v="Tracy Frost"/>
    <n v="100164"/>
    <s v="Finance"/>
    <d v="2026-02-13T00:00:00"/>
    <x v="2"/>
    <s v="Jordan Jones"/>
    <s v="No"/>
    <s v="jasonhowell@example.org"/>
    <s v="(470)672-1734x02422"/>
    <d v="2026-03-14T15:01:08"/>
    <m/>
  </r>
  <r>
    <s v="Luis Suarez"/>
    <n v="101040"/>
    <s v="Marketing"/>
    <d v="2025-11-30T00:00:00"/>
    <x v="3"/>
    <s v="Crystal Pacheco"/>
    <s v="Yes"/>
    <s v="pnunez@example.org"/>
    <s v="001-636-654-0181x4442"/>
    <d v="2026-02-16T19:27:08"/>
    <m/>
  </r>
  <r>
    <s v="Luis Suarez"/>
    <n v="101040"/>
    <s v="Marketing"/>
    <d v="2025-11-30T00:00:00"/>
    <x v="1"/>
    <s v="Crystal Pacheco"/>
    <s v="Yes"/>
    <s v="pnunez@example.org"/>
    <s v="001-636-654-0181x4442"/>
    <d v="2026-02-16T19:27:08"/>
    <m/>
  </r>
  <r>
    <s v="William Johnson"/>
    <n v="100116"/>
    <s v="Engineering"/>
    <d v="2025-07-21T00:00:00"/>
    <x v="3"/>
    <s v="Dana Copeland"/>
    <s v="No"/>
    <s v="adrian94@example.com"/>
    <s v="(351)618-6156x40994"/>
    <d v="2026-02-01T23:41:08"/>
    <m/>
  </r>
  <r>
    <s v="William Johnson"/>
    <n v="100116"/>
    <s v="Engineering"/>
    <d v="2025-07-21T00:00:00"/>
    <x v="2"/>
    <s v="Dana Copeland"/>
    <s v="No"/>
    <s v="adrian94@example.com"/>
    <s v="(351)618-6156x40994"/>
    <d v="2026-02-01T23:41:08"/>
    <m/>
  </r>
  <r>
    <s v="Corey Ryan DDS"/>
    <n v="100322"/>
    <s v="Operations"/>
    <d v="2025-05-26T00:00:00"/>
    <x v="3"/>
    <s v="Julie Flores"/>
    <s v="Yes"/>
    <s v="kevinnguyen@example.org"/>
    <s v="+1-690-482-6110x35659"/>
    <d v="2026-01-31T14:32:08"/>
    <m/>
  </r>
  <r>
    <s v="Corey Ryan DDS"/>
    <n v="100322"/>
    <s v="Operations"/>
    <d v="2025-05-26T00:00:00"/>
    <x v="1"/>
    <s v="Julie Flores"/>
    <s v="Yes"/>
    <s v="kevinnguyen@example.org"/>
    <s v="+1-690-482-6110x35659"/>
    <d v="2026-01-31T14:32:08"/>
    <m/>
  </r>
  <r>
    <s v="Corey Ryan DDS"/>
    <n v="100322"/>
    <s v="Operations"/>
    <d v="2025-05-26T00:00:00"/>
    <x v="5"/>
    <s v="Julie Flores"/>
    <s v="Yes"/>
    <s v="kevinnguyen@example.org"/>
    <s v="+1-690-482-6110x35659"/>
    <d v="2026-01-31T14:32:08"/>
    <m/>
  </r>
  <r>
    <s v="Linda Thompson"/>
    <n v="101087"/>
    <s v="Engineering"/>
    <d v="2025-07-15T00:00:00"/>
    <x v="4"/>
    <s v="Carrie Castillo"/>
    <s v="Yes"/>
    <s v="qreynolds@example.com"/>
    <s v="+1-322-395-3386x194"/>
    <d v="2026-02-25T10:34:08"/>
    <m/>
  </r>
  <r>
    <s v="Kimberly Webster"/>
    <n v="101029"/>
    <s v="Marketing"/>
    <d v="2026-01-18T00:00:00"/>
    <x v="3"/>
    <s v="Alexis Oliver"/>
    <s v="No"/>
    <s v="kristatorres@example.com"/>
    <s v="+1-624-506-6283x4633"/>
    <d v="2026-03-07T20:40:08"/>
    <m/>
  </r>
  <r>
    <s v="Kimberly Webster"/>
    <n v="101029"/>
    <s v="Marketing"/>
    <d v="2026-01-18T00:00:00"/>
    <x v="1"/>
    <s v="Alexis Oliver"/>
    <s v="No"/>
    <s v="kristatorres@example.com"/>
    <s v="+1-624-506-6283x4633"/>
    <d v="2026-03-07T20:40:08"/>
    <m/>
  </r>
  <r>
    <s v="Kimberly Webster"/>
    <n v="101029"/>
    <s v="Marketing"/>
    <d v="2026-01-18T00:00:00"/>
    <x v="4"/>
    <s v="Alexis Oliver"/>
    <s v="No"/>
    <s v="kristatorres@example.com"/>
    <s v="+1-624-506-6283x4633"/>
    <d v="2026-03-07T20:40:08"/>
    <m/>
  </r>
  <r>
    <s v="Dawn Kennedy"/>
    <n v="100976"/>
    <s v="Operations"/>
    <d v="2025-04-23T00:00:00"/>
    <x v="0"/>
    <s v="Tyler Rose"/>
    <s v="Yes"/>
    <s v="qorr@example.net"/>
    <s v="4868542438"/>
    <d v="2026-02-19T02:20:08"/>
    <m/>
  </r>
  <r>
    <s v="Dawn Kennedy"/>
    <n v="100976"/>
    <s v="Operations"/>
    <d v="2025-04-23T00:00:00"/>
    <x v="1"/>
    <s v="Tyler Rose"/>
    <s v="Yes"/>
    <s v="qorr@example.net"/>
    <s v="4868542438"/>
    <d v="2026-02-19T02:20:08"/>
    <m/>
  </r>
  <r>
    <s v="Dawn Kennedy"/>
    <n v="100976"/>
    <s v="Operations"/>
    <d v="2025-04-23T00:00:00"/>
    <x v="5"/>
    <s v="Tyler Rose"/>
    <s v="Yes"/>
    <s v="qorr@example.net"/>
    <s v="4868542438"/>
    <d v="2026-02-19T02:20:08"/>
    <m/>
  </r>
  <r>
    <s v="Theresa Spencer"/>
    <n v="101196"/>
    <s v="Engineering"/>
    <d v="2025-07-24T00:00:00"/>
    <x v="3"/>
    <s v="Jerry Harris"/>
    <s v="Yes"/>
    <s v="lanemichael@example.net"/>
    <s v="+1-689-759-4703x9696"/>
    <d v="2026-02-04T08:43:08"/>
    <m/>
  </r>
  <r>
    <s v="Theresa Spencer"/>
    <n v="101196"/>
    <s v="Engineering"/>
    <d v="2025-07-24T00:00:00"/>
    <x v="4"/>
    <s v="Jerry Harris"/>
    <s v="Yes"/>
    <s v="lanemichael@example.net"/>
    <s v="+1-689-759-4703x9696"/>
    <d v="2026-02-04T08:43:08"/>
    <m/>
  </r>
  <r>
    <s v="Theresa Spencer"/>
    <n v="101196"/>
    <s v="Engineering"/>
    <d v="2025-07-24T00:00:00"/>
    <x v="5"/>
    <s v="Jerry Harris"/>
    <s v="Yes"/>
    <s v="lanemichael@example.net"/>
    <s v="+1-689-759-4703x9696"/>
    <d v="2026-02-04T08:43:08"/>
    <m/>
  </r>
  <r>
    <s v="Kyle Franco"/>
    <n v="100102"/>
    <s v="Finance"/>
    <d v="2026-03-16T00:00:00"/>
    <x v="0"/>
    <s v="Garrett Green"/>
    <s v="Yes"/>
    <s v="langalexandra@example.org"/>
    <s v="5996542887"/>
    <d v="2026-02-18T12:40:08"/>
    <m/>
  </r>
  <r>
    <s v="Kyle Franco"/>
    <n v="100102"/>
    <s v="Finance"/>
    <d v="2026-03-16T00:00:00"/>
    <x v="3"/>
    <s v="Garrett Green"/>
    <s v="Yes"/>
    <s v="langalexandra@example.org"/>
    <s v="5996542887"/>
    <d v="2026-02-18T12:40:08"/>
    <m/>
  </r>
  <r>
    <s v="Dr. Lisa Morales"/>
    <n v="100117"/>
    <s v="HR"/>
    <d v="2026-04-23T00:00:00"/>
    <x v="2"/>
    <s v="Victor Jordan"/>
    <s v="Yes"/>
    <s v="stephen61@example.com"/>
    <s v="001-506-690-1497x110"/>
    <d v="2026-03-12T08:41:08"/>
    <m/>
  </r>
  <r>
    <s v="Dr. Lisa Morales"/>
    <n v="100117"/>
    <s v="HR"/>
    <d v="2026-04-23T00:00:00"/>
    <x v="5"/>
    <s v="Victor Jordan"/>
    <s v="Yes"/>
    <s v="stephen61@example.com"/>
    <s v="001-506-690-1497x110"/>
    <d v="2026-03-12T08:41:08"/>
    <m/>
  </r>
  <r>
    <s v="Tiffany Randolph"/>
    <n v="100642"/>
    <s v="Marketing"/>
    <d v="2025-12-13T00:00:00"/>
    <x v="0"/>
    <s v="George Castillo"/>
    <s v="No"/>
    <s v="robert50@example.net"/>
    <s v="618-586-0167x44923"/>
    <d v="2026-03-12T06:40:08"/>
    <m/>
  </r>
  <r>
    <s v="Isabel Clay"/>
    <n v="101248"/>
    <s v="Engineering"/>
    <d v="2025-09-17T00:00:00"/>
    <x v="1"/>
    <s v="Ms. Erin Andrade"/>
    <s v="Yes"/>
    <s v="mario05@example.com"/>
    <s v="(493)775-4024x28617"/>
    <d v="2026-02-27T17:34:08"/>
    <m/>
  </r>
  <r>
    <s v="Isabel Clay"/>
    <n v="101248"/>
    <s v="Engineering"/>
    <d v="2025-09-17T00:00:00"/>
    <x v="4"/>
    <s v="Ms. Erin Andrade"/>
    <s v="Yes"/>
    <s v="mario05@example.com"/>
    <s v="(493)775-4024x28617"/>
    <d v="2026-02-27T17:34:08"/>
    <m/>
  </r>
  <r>
    <s v="Belinda Haley"/>
    <n v="101110"/>
    <s v="Marketing"/>
    <d v="2025-09-25T00:00:00"/>
    <x v="5"/>
    <s v="Erin Baird"/>
    <s v="Yes"/>
    <s v="ambersavage@example.com"/>
    <s v="(226)848-1638x49368"/>
    <d v="2026-03-09T11:55:08"/>
    <m/>
  </r>
  <r>
    <s v="Jose Walker"/>
    <n v="101186"/>
    <s v="IT"/>
    <d v="2026-03-23T00:00:00"/>
    <x v="3"/>
    <s v="Angela Carrillo"/>
    <s v="Yes"/>
    <s v="scottlane@example.net"/>
    <s v="919-230-4852x77586"/>
    <d v="2026-02-11T06:00:08"/>
    <m/>
  </r>
  <r>
    <s v="Jose Walker"/>
    <n v="101186"/>
    <s v="IT"/>
    <d v="2026-03-23T00:00:00"/>
    <x v="5"/>
    <s v="Angela Carrillo"/>
    <s v="Yes"/>
    <s v="scottlane@example.net"/>
    <s v="919-230-4852x77586"/>
    <d v="2026-02-11T06:00:08"/>
    <m/>
  </r>
  <r>
    <s v="Jasmine Perry"/>
    <n v="100119"/>
    <s v="IT"/>
    <d v="2025-08-07T00:00:00"/>
    <x v="3"/>
    <s v="Cory Henderson"/>
    <s v="Yes"/>
    <s v="kevin43@example.net"/>
    <s v="+1-546-589-6331x812"/>
    <d v="2026-03-06T07:03:08"/>
    <m/>
  </r>
  <r>
    <s v="Jasmine Perry"/>
    <n v="100119"/>
    <s v="IT"/>
    <d v="2025-08-07T00:00:00"/>
    <x v="1"/>
    <s v="Cory Henderson"/>
    <s v="Yes"/>
    <s v="kevin43@example.net"/>
    <s v="+1-546-589-6331x812"/>
    <d v="2026-03-06T07:03:08"/>
    <m/>
  </r>
  <r>
    <s v="Jasmine Perry"/>
    <n v="100119"/>
    <s v="IT"/>
    <d v="2025-08-07T00:00:00"/>
    <x v="2"/>
    <s v="Cory Henderson"/>
    <s v="Yes"/>
    <s v="kevin43@example.net"/>
    <s v="+1-546-589-6331x812"/>
    <d v="2026-03-06T07:03:08"/>
    <m/>
  </r>
  <r>
    <s v="Michael Davis"/>
    <n v="100445"/>
    <s v="Operations"/>
    <d v="2025-06-16T00:00:00"/>
    <x v="0"/>
    <s v="Natalie Williams"/>
    <s v="No"/>
    <s v="maryblackwell@example.com"/>
    <s v="757-276-2626x367"/>
    <d v="2026-02-13T21:41:08"/>
    <m/>
  </r>
  <r>
    <s v="Michael Davis"/>
    <n v="100445"/>
    <s v="Operations"/>
    <d v="2025-06-16T00:00:00"/>
    <x v="3"/>
    <s v="Natalie Williams"/>
    <s v="No"/>
    <s v="maryblackwell@example.com"/>
    <s v="757-276-2626x367"/>
    <d v="2026-02-13T21:41:08"/>
    <m/>
  </r>
  <r>
    <s v="Stephanie Spencer"/>
    <n v="100607"/>
    <s v="Marketing"/>
    <d v="2025-07-26T00:00:00"/>
    <x v="0"/>
    <s v="Katherine Simpson"/>
    <s v="Yes"/>
    <s v="xburch@example.net"/>
    <s v="643-248-5295x377"/>
    <d v="2026-02-02T13:36:08"/>
    <m/>
  </r>
  <r>
    <s v="Rachel Alvarez"/>
    <n v="100388"/>
    <s v="Marketing"/>
    <d v="2025-09-25T00:00:00"/>
    <x v="0"/>
    <s v="Justin Campbell"/>
    <s v="No"/>
    <s v="monica07@example.com"/>
    <s v="951.549.7534x115"/>
    <d v="2026-01-30T09:24:08"/>
    <m/>
  </r>
  <r>
    <s v="Rachel Alvarez"/>
    <n v="100388"/>
    <s v="Marketing"/>
    <d v="2025-09-25T00:00:00"/>
    <x v="1"/>
    <s v="Justin Campbell"/>
    <s v="No"/>
    <s v="monica07@example.com"/>
    <s v="951.549.7534x115"/>
    <d v="2026-01-30T09:24:08"/>
    <m/>
  </r>
  <r>
    <s v="Rachel Alvarez"/>
    <n v="100388"/>
    <s v="Marketing"/>
    <d v="2025-09-25T00:00:00"/>
    <x v="2"/>
    <s v="Justin Campbell"/>
    <s v="No"/>
    <s v="monica07@example.com"/>
    <s v="951.549.7534x115"/>
    <d v="2026-01-30T09:24:08"/>
    <m/>
  </r>
  <r>
    <s v="Christine Howell"/>
    <n v="100317"/>
    <s v="IT"/>
    <d v="2025-10-16T00:00:00"/>
    <x v="0"/>
    <s v="Andrew Robbins"/>
    <s v="No"/>
    <s v="joanna65@example.com"/>
    <s v="(582)734-4538x565"/>
    <d v="2026-02-15T00:46:08"/>
    <m/>
  </r>
  <r>
    <s v="Christine Howell"/>
    <n v="100317"/>
    <s v="IT"/>
    <d v="2025-10-16T00:00:00"/>
    <x v="4"/>
    <s v="Andrew Robbins"/>
    <s v="No"/>
    <s v="joanna65@example.com"/>
    <s v="(582)734-4538x565"/>
    <d v="2026-02-15T00:46:08"/>
    <m/>
  </r>
  <r>
    <s v="Christine Howell"/>
    <n v="100317"/>
    <s v="IT"/>
    <d v="2025-10-16T00:00:00"/>
    <x v="5"/>
    <s v="Andrew Robbins"/>
    <s v="No"/>
    <s v="joanna65@example.com"/>
    <s v="(582)734-4538x565"/>
    <d v="2026-02-15T00:46:08"/>
    <m/>
  </r>
  <r>
    <s v="Suzanne Hancock"/>
    <n v="100996"/>
    <s v="HR"/>
    <d v="2025-08-04T00:00:00"/>
    <x v="3"/>
    <s v="Jason Riggs"/>
    <s v="No"/>
    <s v="hensleybenjamin@example.com"/>
    <s v="8913103495"/>
    <d v="2026-02-04T14:56:08"/>
    <m/>
  </r>
  <r>
    <s v="Suzanne Hancock"/>
    <n v="100996"/>
    <s v="HR"/>
    <d v="2025-08-04T00:00:00"/>
    <x v="4"/>
    <s v="Jason Riggs"/>
    <s v="No"/>
    <s v="hensleybenjamin@example.com"/>
    <s v="8913103495"/>
    <d v="2026-02-04T14:56:08"/>
    <m/>
  </r>
  <r>
    <s v="Michael Harper"/>
    <n v="101138"/>
    <s v="HR"/>
    <d v="2025-10-10T00:00:00"/>
    <x v="0"/>
    <s v="Nancy Bass"/>
    <s v="Yes"/>
    <s v="millercristian@example.com"/>
    <s v="837.946.6144x77618"/>
    <d v="2026-03-01T14:43:08"/>
    <m/>
  </r>
  <r>
    <s v="Michael Harper"/>
    <n v="101138"/>
    <s v="HR"/>
    <d v="2025-10-10T00:00:00"/>
    <x v="2"/>
    <s v="Nancy Bass"/>
    <s v="Yes"/>
    <s v="millercristian@example.com"/>
    <s v="837.946.6144x77618"/>
    <d v="2026-03-01T14:43:08"/>
    <m/>
  </r>
  <r>
    <s v="Diana Murray"/>
    <m/>
    <s v="Marketing"/>
    <d v="2026-01-04T00:00:00"/>
    <x v="2"/>
    <s v="Jennifer Curtis"/>
    <s v="No"/>
    <s v="jkelley@example.net"/>
    <s v="+1-305-625-6599x508"/>
    <d v="2026-02-09T01:05:08"/>
    <s v="Missing Employee ID"/>
  </r>
  <r>
    <s v="Meredith Holt"/>
    <n v="100584"/>
    <s v="Engineering"/>
    <d v="2025-10-19T00:00:00"/>
    <x v="3"/>
    <s v="Christopher Bush"/>
    <s v="No"/>
    <s v="shenderson@example.org"/>
    <s v="547-339-8622x14051"/>
    <d v="2026-02-11T18:31:08"/>
    <m/>
  </r>
  <r>
    <s v="Meredith Holt"/>
    <n v="100584"/>
    <s v="Engineering"/>
    <d v="2025-10-19T00:00:00"/>
    <x v="4"/>
    <s v="Christopher Bush"/>
    <s v="No"/>
    <s v="shenderson@example.org"/>
    <s v="547-339-8622x14051"/>
    <d v="2026-02-11T18:31:08"/>
    <m/>
  </r>
  <r>
    <s v="Meredith Holt"/>
    <n v="100584"/>
    <s v="Engineering"/>
    <d v="2025-10-19T00:00:00"/>
    <x v="5"/>
    <s v="Christopher Bush"/>
    <s v="No"/>
    <s v="shenderson@example.org"/>
    <s v="547-339-8622x14051"/>
    <d v="2026-02-11T18:31:08"/>
    <m/>
  </r>
  <r>
    <s v="Jamie Parker"/>
    <n v="100931"/>
    <s v="IT"/>
    <d v="2026-03-08T00:00:00"/>
    <x v="5"/>
    <s v="Sean Lewis"/>
    <s v="Yes"/>
    <s v="kingjessica@example.net"/>
    <s v="224-474-4203x59441"/>
    <d v="2026-02-05T11:25:08"/>
    <m/>
  </r>
  <r>
    <s v="Courtney Wagner"/>
    <n v="100543"/>
    <s v="Engineering"/>
    <d v="2026-03-16T00:00:00"/>
    <x v="0"/>
    <s v="Sara Gay"/>
    <s v="No"/>
    <s v="fgutierrez@example.com"/>
    <s v="713-513-5183x0258"/>
    <d v="2026-02-28T19:20:08"/>
    <m/>
  </r>
  <r>
    <s v="Courtney Wagner"/>
    <n v="100543"/>
    <s v="Engineering"/>
    <d v="2026-03-16T00:00:00"/>
    <x v="3"/>
    <s v="Sara Gay"/>
    <s v="No"/>
    <s v="fgutierrez@example.com"/>
    <s v="713-513-5183x0258"/>
    <d v="2026-02-28T19:20:08"/>
    <m/>
  </r>
  <r>
    <s v="Tony Barnes"/>
    <n v="100799"/>
    <s v="IT"/>
    <d v="2026-03-01T00:00:00"/>
    <x v="3"/>
    <s v="Robert Bailey"/>
    <s v="Yes"/>
    <s v="dana17@example.net"/>
    <s v="+1-855-799-0984x128"/>
    <d v="2026-02-01T00:02:08"/>
    <m/>
  </r>
  <r>
    <s v="Tony Barnes"/>
    <n v="100799"/>
    <s v="IT"/>
    <d v="2026-03-01T00:00:00"/>
    <x v="2"/>
    <s v="Robert Bailey"/>
    <s v="Yes"/>
    <s v="dana17@example.net"/>
    <s v="+1-855-799-0984x128"/>
    <d v="2026-02-01T00:02:08"/>
    <m/>
  </r>
  <r>
    <s v="Tony Barnes"/>
    <n v="100799"/>
    <s v="IT"/>
    <d v="2026-03-01T00:00:00"/>
    <x v="5"/>
    <s v="Robert Bailey"/>
    <s v="Yes"/>
    <s v="dana17@example.net"/>
    <s v="+1-855-799-0984x128"/>
    <d v="2026-02-01T00:02:08"/>
    <m/>
  </r>
  <r>
    <s v="Joseph Eaton"/>
    <n v="100004"/>
    <s v="Finance"/>
    <d v="2025-06-13T00:00:00"/>
    <x v="1"/>
    <s v="Jamie Reed"/>
    <s v="Yes"/>
    <s v="jasonharris@example.org"/>
    <s v="001-534-389-1800"/>
    <d v="2026-02-12T05:51:08"/>
    <m/>
  </r>
  <r>
    <s v="Sharon Lopez"/>
    <n v="100776"/>
    <s v="Engineering"/>
    <d v="2025-10-18T00:00:00"/>
    <x v="4"/>
    <s v="Lawrence Velasquez"/>
    <s v="No"/>
    <s v="robin19@example.com"/>
    <s v="001-773-409-1218"/>
    <d v="2026-03-09T06:22:08"/>
    <m/>
  </r>
  <r>
    <s v="Sharon Lopez"/>
    <n v="100776"/>
    <s v="Engineering"/>
    <d v="2025-10-18T00:00:00"/>
    <x v="5"/>
    <s v="Lawrence Velasquez"/>
    <s v="No"/>
    <s v="robin19@example.com"/>
    <s v="001-773-409-1218"/>
    <d v="2026-03-09T06:22:08"/>
    <m/>
  </r>
  <r>
    <s v="Corey Davis"/>
    <n v="100337"/>
    <s v="Finance"/>
    <d v="2026-05-15T00:00:00"/>
    <x v="3"/>
    <s v="Nathaniel Davis"/>
    <s v="No"/>
    <s v="christopherandrade@example.com"/>
    <s v="(930)915-3030x440"/>
    <d v="2026-02-26T08:52:08"/>
    <m/>
  </r>
  <r>
    <s v="Corey Davis"/>
    <n v="100337"/>
    <s v="Finance"/>
    <d v="2026-05-15T00:00:00"/>
    <x v="1"/>
    <s v="Nathaniel Davis"/>
    <s v="No"/>
    <s v="christopherandrade@example.com"/>
    <s v="(930)915-3030x440"/>
    <d v="2026-02-26T08:52:08"/>
    <m/>
  </r>
  <r>
    <s v="Corey Davis"/>
    <n v="100337"/>
    <s v="Finance"/>
    <d v="2026-05-15T00:00:00"/>
    <x v="2"/>
    <s v="Nathaniel Davis"/>
    <s v="No"/>
    <s v="christopherandrade@example.com"/>
    <s v="(930)915-3030x440"/>
    <d v="2026-02-26T08:52:08"/>
    <m/>
  </r>
  <r>
    <s v="Megan Garcia"/>
    <n v="101277"/>
    <s v="Finance"/>
    <d v="2025-03-17T00:00:00"/>
    <x v="0"/>
    <s v="Zachary Yang"/>
    <s v="Yes"/>
    <s v="christina45@example.com"/>
    <s v="366.434.5418x299"/>
    <d v="2026-02-24T19:58:08"/>
    <m/>
  </r>
  <r>
    <s v="Megan Garcia"/>
    <n v="101277"/>
    <s v="Finance"/>
    <d v="2025-03-17T00:00:00"/>
    <x v="3"/>
    <s v="Zachary Yang"/>
    <s v="Yes"/>
    <s v="christina45@example.com"/>
    <s v="366.434.5418x299"/>
    <d v="2026-02-24T19:58:08"/>
    <m/>
  </r>
  <r>
    <s v="Megan Garcia"/>
    <n v="101277"/>
    <s v="Finance"/>
    <d v="2025-03-17T00:00:00"/>
    <x v="5"/>
    <s v="Zachary Yang"/>
    <s v="Yes"/>
    <s v="christina45@example.com"/>
    <s v="366.434.5418x299"/>
    <d v="2026-02-24T19:58:08"/>
    <m/>
  </r>
  <r>
    <s v="Louis Stein"/>
    <n v="101397"/>
    <s v="IT"/>
    <d v="2026-05-12T00:00:00"/>
    <x v="5"/>
    <s v="Christian Butler"/>
    <s v="No"/>
    <s v="donovansamantha@example.org"/>
    <s v="4614669100"/>
    <d v="2026-03-13T05:46:08"/>
    <m/>
  </r>
  <r>
    <s v="Brandi Singh"/>
    <n v="100437"/>
    <s v="Engineering"/>
    <d v="2026-01-25T00:00:00"/>
    <x v="0"/>
    <s v="Charles Holloway"/>
    <s v="No"/>
    <s v="edwinmiller@example.com"/>
    <s v="(962)369-9620x834"/>
    <d v="2026-03-10T17:44:08"/>
    <m/>
  </r>
  <r>
    <s v="Brandi Singh"/>
    <n v="100437"/>
    <s v="Engineering"/>
    <d v="2026-01-25T00:00:00"/>
    <x v="1"/>
    <s v="Charles Holloway"/>
    <s v="No"/>
    <s v="edwinmiller@example.com"/>
    <s v="(962)369-9620x834"/>
    <d v="2026-03-10T17:44:08"/>
    <m/>
  </r>
  <r>
    <s v="Alexandra Carroll"/>
    <n v="100985"/>
    <s v="HR"/>
    <d v="2026-03-20T00:00:00"/>
    <x v="5"/>
    <s v="Robert Schultz"/>
    <s v="No"/>
    <s v="travis28@example.net"/>
    <s v="903.422.0074x859"/>
    <d v="2026-03-16T14:27:08"/>
    <m/>
  </r>
  <r>
    <s v="Corey Ford"/>
    <n v="101268"/>
    <s v="Operations"/>
    <d v="2025-11-22T00:00:00"/>
    <x v="2"/>
    <s v="Leonard Davis"/>
    <s v="Yes"/>
    <s v="jacob05@example.net"/>
    <s v="202.886.0604x80224"/>
    <d v="2026-02-18T13:41:08"/>
    <m/>
  </r>
  <r>
    <s v="Sarah Tanner"/>
    <n v="100832"/>
    <s v="IT"/>
    <d v="2025-03-19T00:00:00"/>
    <x v="0"/>
    <s v="Troy Ross"/>
    <s v="No"/>
    <s v="bobby90@example.com"/>
    <s v="289-385-6643"/>
    <d v="2026-03-02T01:51:08"/>
    <m/>
  </r>
  <r>
    <s v="Erin Randall"/>
    <n v="100340"/>
    <s v="Operations"/>
    <d v="2025-09-23T00:00:00"/>
    <x v="1"/>
    <s v="Chad Robertson"/>
    <s v="Yes"/>
    <s v="gschmidt@example.com"/>
    <s v="001-465-269-9313x6062"/>
    <d v="2026-02-10T08:43:08"/>
    <m/>
  </r>
  <r>
    <s v="Erin Randall"/>
    <n v="100340"/>
    <s v="Operations"/>
    <d v="2025-09-23T00:00:00"/>
    <x v="5"/>
    <s v="Chad Robertson"/>
    <s v="Yes"/>
    <s v="gschmidt@example.com"/>
    <s v="001-465-269-9313x6062"/>
    <d v="2026-02-10T08:43:08"/>
    <m/>
  </r>
  <r>
    <s v="Wendy Lloyd"/>
    <n v="100484"/>
    <s v="Marketing"/>
    <d v="2025-10-26T00:00:00"/>
    <x v="3"/>
    <s v="Kristi Smith"/>
    <s v="No"/>
    <s v="timothy94@example.net"/>
    <s v="001-771-599-0380x35148"/>
    <d v="2026-02-17T17:43:08"/>
    <m/>
  </r>
  <r>
    <s v="Wendy Lloyd"/>
    <n v="100484"/>
    <s v="Marketing"/>
    <d v="2025-10-26T00:00:00"/>
    <x v="4"/>
    <s v="Kristi Smith"/>
    <s v="No"/>
    <s v="timothy94@example.net"/>
    <s v="001-771-599-0380x35148"/>
    <d v="2026-02-17T17:43:08"/>
    <m/>
  </r>
  <r>
    <s v="Wendy Lloyd"/>
    <n v="100484"/>
    <s v="Marketing"/>
    <d v="2025-10-26T00:00:00"/>
    <x v="5"/>
    <s v="Kristi Smith"/>
    <s v="No"/>
    <s v="timothy94@example.net"/>
    <s v="001-771-599-0380x35148"/>
    <d v="2026-02-17T17:43:08"/>
    <m/>
  </r>
  <r>
    <s v="Tiffany Hudson"/>
    <n v="101484"/>
    <m/>
    <d v="2026-03-14T00:00:00"/>
    <x v="2"/>
    <s v="Kevin Molina"/>
    <s v="Yes"/>
    <s v="steve90@example.com"/>
    <s v="847.928.3951"/>
    <d v="2026-02-26T16:32:08"/>
    <s v="Missing Department"/>
  </r>
  <r>
    <s v="Anthony Elliott"/>
    <n v="100030"/>
    <s v="Marketing"/>
    <d v="2025-10-04T00:00:00"/>
    <x v="0"/>
    <s v="Beth Cross"/>
    <s v="Yes"/>
    <s v="jsmith@example.com"/>
    <s v="486.286.5629x25822"/>
    <d v="2026-03-05T19:10:08"/>
    <m/>
  </r>
  <r>
    <s v="Anthony Elliott"/>
    <n v="100030"/>
    <s v="Marketing"/>
    <d v="2025-10-04T00:00:00"/>
    <x v="1"/>
    <s v="Beth Cross"/>
    <s v="Yes"/>
    <s v="jsmith@example.com"/>
    <s v="486.286.5629x25822"/>
    <d v="2026-03-05T19:10:08"/>
    <m/>
  </r>
  <r>
    <s v="Ashley Robinson"/>
    <n v="101107"/>
    <s v="Finance"/>
    <d v="2025-11-16T00:00:00"/>
    <x v="1"/>
    <s v="Daniel Kim"/>
    <s v="No"/>
    <s v="ronald46@example.com"/>
    <s v="(778)909-6458x37449"/>
    <d v="2026-02-09T01:00:08"/>
    <m/>
  </r>
  <r>
    <s v="Ashley Robinson"/>
    <n v="101107"/>
    <s v="Finance"/>
    <d v="2025-11-16T00:00:00"/>
    <x v="2"/>
    <s v="Daniel Kim"/>
    <s v="No"/>
    <s v="ronald46@example.com"/>
    <s v="(778)909-6458x37449"/>
    <d v="2026-02-09T01:00:08"/>
    <m/>
  </r>
  <r>
    <s v="Ashley Robinson"/>
    <n v="101107"/>
    <s v="Finance"/>
    <d v="2025-11-16T00:00:00"/>
    <x v="5"/>
    <s v="Daniel Kim"/>
    <s v="No"/>
    <s v="ronald46@example.com"/>
    <s v="(778)909-6458x37449"/>
    <d v="2026-02-09T01:00:08"/>
    <m/>
  </r>
  <r>
    <s v="Bobby Howard"/>
    <n v="100103"/>
    <s v="Marketing"/>
    <d v="2025-08-29T00:00:00"/>
    <x v="3"/>
    <s v="Timothy Morris"/>
    <s v="Yes"/>
    <s v="gabriela59@example.net"/>
    <s v="(389)674-8741"/>
    <d v="2026-03-09T14:14:08"/>
    <m/>
  </r>
  <r>
    <s v="Bobby Howard"/>
    <n v="100103"/>
    <s v="Marketing"/>
    <d v="2025-08-29T00:00:00"/>
    <x v="5"/>
    <s v="Timothy Morris"/>
    <s v="Yes"/>
    <s v="gabriela59@example.net"/>
    <s v="(389)674-8741"/>
    <d v="2026-03-09T14:14:08"/>
    <m/>
  </r>
  <r>
    <s v="Janice Clay"/>
    <n v="100200"/>
    <s v="Engineering"/>
    <d v="2025-05-19T00:00:00"/>
    <x v="1"/>
    <s v="Jessica Morris"/>
    <s v="Yes"/>
    <s v="combsdenise@example.net"/>
    <s v="+1-776-845-3496x551"/>
    <d v="2026-02-01T09:50:08"/>
    <m/>
  </r>
  <r>
    <s v="Brian Powell"/>
    <n v="101127"/>
    <s v="Engineering"/>
    <d v="2026-02-26T00:00:00"/>
    <x v="3"/>
    <s v="Jessica Mcconnell"/>
    <s v="Yes"/>
    <s v="mcintyrebrendan@example.org"/>
    <s v="(482)401-6301x597"/>
    <d v="2026-02-17T01:31:08"/>
    <m/>
  </r>
  <r>
    <s v="Brian Powell"/>
    <n v="101127"/>
    <s v="Engineering"/>
    <d v="2026-02-26T00:00:00"/>
    <x v="5"/>
    <s v="Jessica Mcconnell"/>
    <s v="Yes"/>
    <s v="mcintyrebrendan@example.org"/>
    <s v="(482)401-6301x597"/>
    <d v="2026-02-17T01:31:08"/>
    <m/>
  </r>
  <r>
    <s v="Brianna Warren"/>
    <n v="100907"/>
    <s v="HR"/>
    <d v="2025-08-07T00:00:00"/>
    <x v="2"/>
    <s v="Rebecca Lewis"/>
    <s v="Yes"/>
    <s v="timothyortiz@example.org"/>
    <s v="001-284-560-1804"/>
    <d v="2026-02-05T12:42:08"/>
    <m/>
  </r>
  <r>
    <s v="Brianna Warren"/>
    <n v="100907"/>
    <s v="HR"/>
    <d v="2025-08-07T00:00:00"/>
    <x v="5"/>
    <s v="Rebecca Lewis"/>
    <s v="Yes"/>
    <s v="timothyortiz@example.org"/>
    <s v="001-284-560-1804"/>
    <d v="2026-02-05T12:42:08"/>
    <m/>
  </r>
  <r>
    <s v="Elijah Smith"/>
    <n v="100154"/>
    <s v="IT"/>
    <d v="2025-06-19T00:00:00"/>
    <x v="1"/>
    <s v="Felicia Robinson"/>
    <s v="Yes"/>
    <s v="nicholasibarra@example.com"/>
    <s v="(871)255-4460x5392"/>
    <d v="2026-02-27T17:59:08"/>
    <m/>
  </r>
  <r>
    <s v="Jessica Foley"/>
    <n v="100511"/>
    <s v="Finance"/>
    <d v="2026-02-20T00:00:00"/>
    <x v="4"/>
    <s v="Samantha Powell"/>
    <s v="Yes"/>
    <s v="tylerwilliams@example.com"/>
    <s v="001-936-449-9119x2856"/>
    <d v="2026-01-31T00:46:08"/>
    <m/>
  </r>
  <r>
    <s v="Jessica Foley"/>
    <n v="100511"/>
    <s v="Finance"/>
    <d v="2026-02-20T00:00:00"/>
    <x v="5"/>
    <s v="Samantha Powell"/>
    <s v="Yes"/>
    <s v="tylerwilliams@example.com"/>
    <s v="001-936-449-9119x2856"/>
    <d v="2026-01-31T00:46:08"/>
    <m/>
  </r>
  <r>
    <s v="Holly Williams"/>
    <n v="100947"/>
    <s v="IT"/>
    <d v="2025-06-16T00:00:00"/>
    <x v="3"/>
    <s v="Dr. Tiffany Booker"/>
    <s v="Yes"/>
    <s v="angelavalencia@example.net"/>
    <s v="775.858.2126x2643"/>
    <d v="2026-03-02T13:48:08"/>
    <m/>
  </r>
  <r>
    <s v="Jose Roberts"/>
    <n v="101269"/>
    <s v="Marketing"/>
    <d v="2025-10-07T00:00:00"/>
    <x v="1"/>
    <s v="Jeremy Lynch"/>
    <s v="Yes"/>
    <s v="guerramaria@example.org"/>
    <s v="+1-699-619-8177x55129"/>
    <d v="2026-03-07T03:21:08"/>
    <m/>
  </r>
  <r>
    <s v="Eric Norman"/>
    <n v="100375"/>
    <s v="Engineering"/>
    <d v="2026-01-25T00:00:00"/>
    <x v="2"/>
    <s v="Michael Jordan"/>
    <s v="Yes"/>
    <s v="christine28@example.net"/>
    <s v="001-238-959-7477x65659"/>
    <d v="2026-02-20T04:00:08"/>
    <m/>
  </r>
  <r>
    <s v="Gabriel Swanson"/>
    <n v="101363"/>
    <s v="IT"/>
    <d v="2025-08-19T00:00:00"/>
    <x v="0"/>
    <s v="Riley Clark"/>
    <s v="No"/>
    <s v="jeffrey68@example.com"/>
    <s v="+1-871-556-9220x94907"/>
    <d v="2026-02-17T01:33:08"/>
    <m/>
  </r>
  <r>
    <s v="Gabriel Swanson"/>
    <n v="101363"/>
    <s v="IT"/>
    <d v="2025-08-19T00:00:00"/>
    <x v="3"/>
    <s v="Riley Clark"/>
    <s v="No"/>
    <s v="jeffrey68@example.com"/>
    <s v="+1-871-556-9220x94907"/>
    <d v="2026-02-17T01:33:08"/>
    <m/>
  </r>
  <r>
    <s v="Gabriel Swanson"/>
    <n v="101363"/>
    <s v="IT"/>
    <d v="2025-08-19T00:00:00"/>
    <x v="4"/>
    <s v="Riley Clark"/>
    <s v="No"/>
    <s v="jeffrey68@example.com"/>
    <s v="+1-871-556-9220x94907"/>
    <d v="2026-02-17T01:33:08"/>
    <m/>
  </r>
  <r>
    <s v="Brian Clark"/>
    <n v="100287"/>
    <s v="Engineering"/>
    <d v="2025-12-02T00:00:00"/>
    <x v="0"/>
    <s v="Julie Mcknight"/>
    <s v="No"/>
    <s v="rodriguezstephanie@example.net"/>
    <s v="477-434-9431x487"/>
    <d v="2026-03-09T08:43:08"/>
    <m/>
  </r>
  <r>
    <s v="Brian Clark"/>
    <n v="100287"/>
    <s v="Engineering"/>
    <d v="2025-12-02T00:00:00"/>
    <x v="2"/>
    <s v="Julie Mcknight"/>
    <s v="No"/>
    <s v="rodriguezstephanie@example.net"/>
    <s v="477-434-9431x487"/>
    <d v="2026-03-09T08:43:08"/>
    <m/>
  </r>
  <r>
    <s v="Jacob Hayden"/>
    <n v="100918"/>
    <s v="HR"/>
    <d v="2025-08-06T00:00:00"/>
    <x v="0"/>
    <s v="David Walker"/>
    <s v="Yes"/>
    <s v="deborah74@example.org"/>
    <s v="(785)757-3952x3285"/>
    <d v="2026-02-24T16:17:08"/>
    <m/>
  </r>
  <r>
    <s v="Jacob Hayden"/>
    <n v="100918"/>
    <s v="HR"/>
    <d v="2025-08-06T00:00:00"/>
    <x v="5"/>
    <s v="David Walker"/>
    <s v="Yes"/>
    <s v="deborah74@example.org"/>
    <s v="(785)757-3952x3285"/>
    <d v="2026-02-24T16:17:08"/>
    <m/>
  </r>
  <r>
    <s v="Sandra Craig"/>
    <n v="101448"/>
    <s v="Marketing"/>
    <d v="2025-04-05T00:00:00"/>
    <x v="2"/>
    <s v="Tracy Cooper"/>
    <s v="No"/>
    <s v="marissa58@example.org"/>
    <s v="+1-666-902-8413x6233"/>
    <d v="2026-03-03T08:10:08"/>
    <m/>
  </r>
  <r>
    <s v="Albert Garcia"/>
    <n v="101258"/>
    <s v="IT"/>
    <d v="2025-08-06T00:00:00"/>
    <x v="2"/>
    <s v="Kevin Daugherty"/>
    <s v="No"/>
    <s v="scotttiffany@example.net"/>
    <s v="001-773-241-8559"/>
    <d v="2026-02-13T05:30:08"/>
    <m/>
  </r>
  <r>
    <s v="Albert Garcia"/>
    <n v="101258"/>
    <s v="IT"/>
    <d v="2025-08-06T00:00:00"/>
    <x v="4"/>
    <s v="Kevin Daugherty"/>
    <s v="No"/>
    <s v="scotttiffany@example.net"/>
    <s v="001-773-241-8559"/>
    <d v="2026-02-13T05:30:08"/>
    <m/>
  </r>
  <r>
    <s v="Albert Garcia"/>
    <n v="101258"/>
    <s v="IT"/>
    <d v="2025-08-06T00:00:00"/>
    <x v="5"/>
    <s v="Kevin Daugherty"/>
    <s v="No"/>
    <s v="scotttiffany@example.net"/>
    <s v="001-773-241-8559"/>
    <d v="2026-02-13T05:30:08"/>
    <m/>
  </r>
  <r>
    <s v="Claire Mcmillan"/>
    <n v="100392"/>
    <s v="HR"/>
    <d v="2025-08-18T00:00:00"/>
    <x v="2"/>
    <s v="Randall Johnson"/>
    <s v="Yes"/>
    <s v="mjohnson@example.com"/>
    <s v="901-275-9001"/>
    <d v="2026-01-31T23:04:08"/>
    <m/>
  </r>
  <r>
    <s v="Julia Gibbs"/>
    <n v="100509"/>
    <s v="Marketing"/>
    <d v="2025-09-01T00:00:00"/>
    <x v="0"/>
    <s v="Andrew Daniels"/>
    <s v="No"/>
    <s v="sherryedwards@example.net"/>
    <s v="862-915-9389"/>
    <d v="2026-02-28T19:43:08"/>
    <m/>
  </r>
  <r>
    <s v="Julia Gibbs"/>
    <n v="100509"/>
    <s v="Marketing"/>
    <d v="2025-09-01T00:00:00"/>
    <x v="1"/>
    <s v="Andrew Daniels"/>
    <s v="No"/>
    <s v="sherryedwards@example.net"/>
    <s v="862-915-9389"/>
    <d v="2026-02-28T19:43:08"/>
    <m/>
  </r>
  <r>
    <s v="David Bolton"/>
    <n v="100223"/>
    <s v="Finance"/>
    <d v="2025-07-01T00:00:00"/>
    <x v="3"/>
    <s v="Katelyn Allen"/>
    <s v="Yes"/>
    <s v="jacqueline96@example.org"/>
    <s v="307.522.8834x1335"/>
    <d v="2026-02-03T21:22:08"/>
    <m/>
  </r>
  <r>
    <s v="David Bolton"/>
    <n v="100223"/>
    <s v="Finance"/>
    <d v="2025-07-01T00:00:00"/>
    <x v="2"/>
    <s v="Katelyn Allen"/>
    <s v="Yes"/>
    <s v="jacqueline96@example.org"/>
    <s v="307.522.8834x1335"/>
    <d v="2026-02-03T21:22:08"/>
    <m/>
  </r>
  <r>
    <s v="David Bolton"/>
    <n v="100223"/>
    <s v="Finance"/>
    <d v="2025-07-01T00:00:00"/>
    <x v="5"/>
    <s v="Katelyn Allen"/>
    <s v="Yes"/>
    <s v="jacqueline96@example.org"/>
    <s v="307.522.8834x1335"/>
    <d v="2026-02-03T21:22:08"/>
    <m/>
  </r>
  <r>
    <s v="Angela Lopez"/>
    <n v="100694"/>
    <s v="Marketing"/>
    <d v="2025-04-06T00:00:00"/>
    <x v="0"/>
    <s v="Susan Collins"/>
    <s v="No"/>
    <s v="nreid@example.org"/>
    <s v="(263)957-9671x48030"/>
    <d v="2026-03-10T15:21:08"/>
    <m/>
  </r>
  <r>
    <s v="Angela Lopez"/>
    <n v="100694"/>
    <s v="Marketing"/>
    <d v="2025-04-06T00:00:00"/>
    <x v="3"/>
    <s v="Susan Collins"/>
    <s v="No"/>
    <s v="nreid@example.org"/>
    <s v="(263)957-9671x48030"/>
    <d v="2026-03-10T15:21:08"/>
    <m/>
  </r>
  <r>
    <s v="Angela Lopez"/>
    <n v="100694"/>
    <s v="Marketing"/>
    <d v="2025-04-06T00:00:00"/>
    <x v="4"/>
    <s v="Susan Collins"/>
    <s v="No"/>
    <s v="nreid@example.org"/>
    <s v="(263)957-9671x48030"/>
    <d v="2026-03-10T15:21:08"/>
    <m/>
  </r>
  <r>
    <s v="Crystal Diaz"/>
    <n v="100824"/>
    <m/>
    <d v="2026-01-26T00:00:00"/>
    <x v="1"/>
    <s v="Sarah Castro"/>
    <s v="Yes"/>
    <s v="peterjohnson@example.org"/>
    <s v="326-337-9412x88669"/>
    <d v="2026-02-10T12:40:08"/>
    <s v="Missing Department"/>
  </r>
  <r>
    <s v="Crystal Diaz"/>
    <n v="100824"/>
    <m/>
    <d v="2026-01-26T00:00:00"/>
    <x v="5"/>
    <s v="Sarah Castro"/>
    <s v="Yes"/>
    <s v="peterjohnson@example.org"/>
    <s v="326-337-9412x88669"/>
    <d v="2026-02-10T12:40:08"/>
    <s v="Missing Department"/>
  </r>
  <r>
    <s v="Megan Krueger"/>
    <n v="100124"/>
    <s v="Engineering"/>
    <d v="2025-05-20T00:00:00"/>
    <x v="5"/>
    <s v="Carol Baker"/>
    <s v="No"/>
    <s v="marcomoore@example.com"/>
    <s v="619-878-9259"/>
    <d v="2026-02-09T06:03:08"/>
    <m/>
  </r>
  <r>
    <s v="Olivia Hayes"/>
    <n v="100201"/>
    <s v="HR"/>
    <d v="2025-10-31T00:00:00"/>
    <x v="0"/>
    <s v="Mark Gray"/>
    <s v="Yes"/>
    <s v="isabel25@example.net"/>
    <s v="244-711-8185x13673"/>
    <d v="2026-02-14T03:36:08"/>
    <m/>
  </r>
  <r>
    <s v="Olivia Hayes"/>
    <n v="100201"/>
    <s v="HR"/>
    <d v="2025-10-31T00:00:00"/>
    <x v="2"/>
    <s v="Mark Gray"/>
    <s v="Yes"/>
    <s v="isabel25@example.net"/>
    <s v="244-711-8185x13673"/>
    <d v="2026-02-14T03:36:08"/>
    <m/>
  </r>
  <r>
    <s v="Olivia Hayes"/>
    <n v="100201"/>
    <s v="HR"/>
    <d v="2025-10-31T00:00:00"/>
    <x v="5"/>
    <s v="Mark Gray"/>
    <s v="Yes"/>
    <s v="isabel25@example.net"/>
    <s v="244-711-8185x13673"/>
    <d v="2026-02-14T03:36:08"/>
    <m/>
  </r>
  <r>
    <s v="Daniel Petersen"/>
    <n v="100110"/>
    <s v="IT"/>
    <d v="2025-11-28T00:00:00"/>
    <x v="4"/>
    <s v="Ariel Watkins"/>
    <s v="No"/>
    <s v="umonroe@example.com"/>
    <s v="541.584.7146x22014"/>
    <d v="2026-01-31T13:30:08"/>
    <m/>
  </r>
  <r>
    <s v="Derek Brown"/>
    <n v="100956"/>
    <s v="HR"/>
    <d v="2025-04-08T00:00:00"/>
    <x v="2"/>
    <s v="Cody Jackson"/>
    <s v="No"/>
    <s v="rhondasmith@example.org"/>
    <s v="576.947.7090x67618"/>
    <d v="2026-01-31T23:44:08"/>
    <m/>
  </r>
  <r>
    <s v="Derek Brown"/>
    <n v="100956"/>
    <s v="HR"/>
    <d v="2025-04-08T00:00:00"/>
    <x v="4"/>
    <s v="Cody Jackson"/>
    <s v="No"/>
    <s v="rhondasmith@example.org"/>
    <s v="576.947.7090x67618"/>
    <d v="2026-01-31T23:44:08"/>
    <m/>
  </r>
  <r>
    <s v="Derek Brown"/>
    <n v="100956"/>
    <s v="HR"/>
    <d v="2025-04-08T00:00:00"/>
    <x v="5"/>
    <s v="Cody Jackson"/>
    <s v="No"/>
    <s v="rhondasmith@example.org"/>
    <s v="576.947.7090x67618"/>
    <d v="2026-01-31T23:44:08"/>
    <m/>
  </r>
  <r>
    <s v="Patrick Brooks"/>
    <n v="100841"/>
    <s v="IT"/>
    <d v="2025-04-23T00:00:00"/>
    <x v="5"/>
    <s v="Mr. Michael Jones"/>
    <s v="No"/>
    <s v="glopez@example.com"/>
    <s v="(604)388-8680"/>
    <d v="2026-02-09T04:35:08"/>
    <m/>
  </r>
  <r>
    <s v="Robin Walker"/>
    <n v="100867"/>
    <s v="Operations"/>
    <d v="2026-01-20T00:00:00"/>
    <x v="0"/>
    <s v="Ronald Martin"/>
    <s v="Yes"/>
    <s v="destiny64@example.net"/>
    <s v="(674)219-9160x53906"/>
    <d v="2026-03-05T22:23:08"/>
    <m/>
  </r>
  <r>
    <s v="Robin Walker"/>
    <n v="100867"/>
    <s v="Operations"/>
    <d v="2026-01-20T00:00:00"/>
    <x v="4"/>
    <s v="Ronald Martin"/>
    <s v="Yes"/>
    <s v="destiny64@example.net"/>
    <s v="(674)219-9160x53906"/>
    <d v="2026-03-05T22:23:08"/>
    <m/>
  </r>
  <r>
    <s v="Michelle Christensen"/>
    <n v="100725"/>
    <s v="Finance"/>
    <d v="2026-01-13T00:00:00"/>
    <x v="3"/>
    <s v="Crystal Anderson"/>
    <s v="No"/>
    <s v="thorntoncaitlyn@example.net"/>
    <s v="8184158913"/>
    <d v="2026-02-25T10:23:08"/>
    <m/>
  </r>
  <r>
    <s v="Michelle Christensen"/>
    <n v="100725"/>
    <s v="Finance"/>
    <d v="2026-01-13T00:00:00"/>
    <x v="2"/>
    <s v="Crystal Anderson"/>
    <s v="No"/>
    <s v="thorntoncaitlyn@example.net"/>
    <s v="8184158913"/>
    <d v="2026-02-25T10:23:08"/>
    <m/>
  </r>
  <r>
    <s v="Michelle Christensen"/>
    <n v="100725"/>
    <s v="Finance"/>
    <d v="2026-01-13T00:00:00"/>
    <x v="5"/>
    <s v="Crystal Anderson"/>
    <s v="No"/>
    <s v="thorntoncaitlyn@example.net"/>
    <s v="8184158913"/>
    <d v="2026-02-25T10:23:08"/>
    <m/>
  </r>
  <r>
    <s v="Julie Smith"/>
    <n v="100882"/>
    <s v="HR"/>
    <d v="2026-03-13T00:00:00"/>
    <x v="3"/>
    <s v="Bruce Rivera"/>
    <s v="Yes"/>
    <s v="carlwright@example.com"/>
    <s v="001-925-726-0221x6908"/>
    <d v="2026-03-02T16:21:08"/>
    <m/>
  </r>
  <r>
    <s v="Julie Smith"/>
    <n v="100882"/>
    <s v="HR"/>
    <d v="2026-03-13T00:00:00"/>
    <x v="2"/>
    <s v="Bruce Rivera"/>
    <s v="Yes"/>
    <s v="carlwright@example.com"/>
    <s v="001-925-726-0221x6908"/>
    <d v="2026-03-02T16:21:08"/>
    <m/>
  </r>
  <r>
    <s v="Kayla Thomas"/>
    <n v="101455"/>
    <s v="IT"/>
    <d v="2025-07-15T00:00:00"/>
    <x v="2"/>
    <s v="Lindsey Gonzalez"/>
    <s v="No"/>
    <s v="amy84@example.org"/>
    <s v="+1-891-506-5735x17454"/>
    <d v="2026-03-08T08:41:08"/>
    <m/>
  </r>
  <r>
    <s v="Kayla Thomas"/>
    <n v="101455"/>
    <s v="IT"/>
    <d v="2025-07-15T00:00:00"/>
    <x v="4"/>
    <s v="Lindsey Gonzalez"/>
    <s v="No"/>
    <s v="amy84@example.org"/>
    <s v="+1-891-506-5735x17454"/>
    <d v="2026-03-08T08:41:08"/>
    <m/>
  </r>
  <r>
    <s v="Michelle Martinez"/>
    <n v="100193"/>
    <s v="Engineering"/>
    <d v="2026-02-07T00:00:00"/>
    <x v="4"/>
    <s v="Morgan Torres"/>
    <s v="Yes"/>
    <s v="hernandezamy@example.org"/>
    <s v="295-558-9799"/>
    <d v="2026-03-15T19:46:08"/>
    <m/>
  </r>
  <r>
    <s v="Peter Morrison"/>
    <n v="100389"/>
    <s v="HR"/>
    <d v="2026-02-02T00:00:00"/>
    <x v="0"/>
    <s v="Timothy Miller"/>
    <s v="No"/>
    <s v="mlyons@example.org"/>
    <s v="(768)370-9412x460"/>
    <d v="2026-03-08T03:58:08"/>
    <m/>
  </r>
  <r>
    <s v="Peter Morrison"/>
    <n v="100389"/>
    <s v="HR"/>
    <d v="2026-02-02T00:00:00"/>
    <x v="1"/>
    <s v="Timothy Miller"/>
    <s v="No"/>
    <s v="mlyons@example.org"/>
    <s v="(768)370-9412x460"/>
    <d v="2026-03-08T03:58:08"/>
    <m/>
  </r>
  <r>
    <s v="Peter Morrison"/>
    <n v="100389"/>
    <s v="HR"/>
    <d v="2026-02-02T00:00:00"/>
    <x v="2"/>
    <s v="Timothy Miller"/>
    <s v="No"/>
    <s v="mlyons@example.org"/>
    <s v="(768)370-9412x460"/>
    <d v="2026-03-08T03:58:08"/>
    <m/>
  </r>
  <r>
    <s v="Dawn Lamb"/>
    <n v="100833"/>
    <s v="IT"/>
    <d v="2025-08-13T00:00:00"/>
    <x v="0"/>
    <s v="Lynn Garza"/>
    <s v="No"/>
    <s v="johncruz@example.com"/>
    <s v="887-667-7600"/>
    <d v="2026-03-02T08:22:08"/>
    <m/>
  </r>
  <r>
    <s v="Dawn Lamb"/>
    <n v="100833"/>
    <s v="IT"/>
    <d v="2025-08-13T00:00:00"/>
    <x v="2"/>
    <s v="Lynn Garza"/>
    <s v="No"/>
    <s v="johncruz@example.com"/>
    <s v="887-667-7600"/>
    <d v="2026-03-02T08:22:08"/>
    <m/>
  </r>
  <r>
    <s v="Frederick Finley"/>
    <n v="101262"/>
    <s v="Marketing"/>
    <d v="2025-07-25T00:00:00"/>
    <x v="3"/>
    <s v="Tara Lloyd"/>
    <s v="Yes"/>
    <s v="qrhodes@example.org"/>
    <s v="873-903-3249"/>
    <d v="2026-01-31T04:52:08"/>
    <m/>
  </r>
  <r>
    <s v="Paul Porter"/>
    <n v="100497"/>
    <s v="Finance"/>
    <d v="2026-01-30T00:00:00"/>
    <x v="0"/>
    <s v="Wendy Peterson"/>
    <s v="No"/>
    <s v="turnerjuan@example.net"/>
    <s v="8942731815"/>
    <d v="2026-03-02T06:50:08"/>
    <m/>
  </r>
  <r>
    <s v="Paul Porter"/>
    <n v="100497"/>
    <s v="Finance"/>
    <d v="2026-01-30T00:00:00"/>
    <x v="3"/>
    <s v="Wendy Peterson"/>
    <s v="No"/>
    <s v="turnerjuan@example.net"/>
    <s v="8942731815"/>
    <d v="2026-03-02T06:50:08"/>
    <m/>
  </r>
  <r>
    <s v="Paul Porter"/>
    <n v="100497"/>
    <s v="Finance"/>
    <d v="2026-01-30T00:00:00"/>
    <x v="4"/>
    <s v="Wendy Peterson"/>
    <s v="No"/>
    <s v="turnerjuan@example.net"/>
    <s v="8942731815"/>
    <d v="2026-03-02T06:50:08"/>
    <m/>
  </r>
  <r>
    <s v="Sarah Martin"/>
    <n v="100968"/>
    <s v="Finance"/>
    <d v="2025-06-28T00:00:00"/>
    <x v="0"/>
    <s v="Kristopher Allison"/>
    <s v="No"/>
    <s v="lisa47@example.com"/>
    <s v="911-707-9764"/>
    <d v="2026-03-02T03:06:08"/>
    <m/>
  </r>
  <r>
    <s v="Sarah Martin"/>
    <n v="100968"/>
    <s v="Finance"/>
    <d v="2025-06-28T00:00:00"/>
    <x v="4"/>
    <s v="Kristopher Allison"/>
    <s v="No"/>
    <s v="lisa47@example.com"/>
    <s v="911-707-9764"/>
    <d v="2026-03-02T03:06:08"/>
    <m/>
  </r>
  <r>
    <s v="Sarah Martin"/>
    <n v="100968"/>
    <s v="Finance"/>
    <d v="2025-06-28T00:00:00"/>
    <x v="5"/>
    <s v="Kristopher Allison"/>
    <s v="No"/>
    <s v="lisa47@example.com"/>
    <s v="911-707-9764"/>
    <d v="2026-03-02T03:06:08"/>
    <m/>
  </r>
  <r>
    <s v="Patrick Barnes"/>
    <n v="101180"/>
    <s v="HR"/>
    <d v="2025-05-30T00:00:00"/>
    <x v="2"/>
    <s v="Jorge Tyler"/>
    <s v="Yes"/>
    <s v="garrettvega@example.org"/>
    <s v="785-840-3909x8468"/>
    <d v="2026-02-15T11:36:08"/>
    <m/>
  </r>
  <r>
    <s v="Patrick Barnes"/>
    <n v="101180"/>
    <s v="HR"/>
    <d v="2025-05-30T00:00:00"/>
    <x v="5"/>
    <s v="Jorge Tyler"/>
    <s v="Yes"/>
    <s v="garrettvega@example.org"/>
    <s v="785-840-3909x8468"/>
    <d v="2026-02-15T11:36:08"/>
    <m/>
  </r>
  <r>
    <s v="Jeffrey Cummings"/>
    <n v="101169"/>
    <s v="Marketing"/>
    <d v="2025-06-20T00:00:00"/>
    <x v="1"/>
    <s v="Catherine Glenn"/>
    <s v="Yes"/>
    <s v="hjones@example.org"/>
    <s v="(887)409-7777x95703"/>
    <d v="2026-02-25T12:21:08"/>
    <m/>
  </r>
  <r>
    <s v="Jeffrey Cummings"/>
    <n v="101169"/>
    <s v="Marketing"/>
    <d v="2025-06-20T00:00:00"/>
    <x v="4"/>
    <s v="Catherine Glenn"/>
    <s v="Yes"/>
    <s v="hjones@example.org"/>
    <s v="(887)409-7777x95703"/>
    <d v="2026-02-25T12:21:08"/>
    <m/>
  </r>
  <r>
    <s v="Jeffrey Cummings"/>
    <n v="101169"/>
    <s v="Marketing"/>
    <d v="2025-06-20T00:00:00"/>
    <x v="5"/>
    <s v="Catherine Glenn"/>
    <s v="Yes"/>
    <s v="hjones@example.org"/>
    <s v="(887)409-7777x95703"/>
    <d v="2026-02-25T12:21:08"/>
    <m/>
  </r>
  <r>
    <s v="Jonathan Lawrence"/>
    <n v="100270"/>
    <s v="Marketing"/>
    <d v="2026-05-08T00:00:00"/>
    <x v="0"/>
    <s v="Rhonda Livingston"/>
    <s v="Yes"/>
    <s v="santiagochristopher@example.com"/>
    <s v="001-635-512-8962x20682"/>
    <d v="2026-03-12T13:01:08"/>
    <m/>
  </r>
  <r>
    <s v="Jonathan Lawrence"/>
    <n v="100270"/>
    <s v="Marketing"/>
    <d v="2026-05-08T00:00:00"/>
    <x v="3"/>
    <s v="Rhonda Livingston"/>
    <s v="Yes"/>
    <s v="santiagochristopher@example.com"/>
    <s v="001-635-512-8962x20682"/>
    <d v="2026-03-12T13:01:08"/>
    <m/>
  </r>
  <r>
    <s v="Corey David"/>
    <n v="101298"/>
    <s v="Engineering"/>
    <d v="2025-10-20T00:00:00"/>
    <x v="5"/>
    <s v="Richard Lewis"/>
    <s v="No"/>
    <s v="johnnygray@example.com"/>
    <s v="001-706-994-3069x523"/>
    <d v="2026-03-09T23:56:08"/>
    <m/>
  </r>
  <r>
    <s v="Jenna Osborne"/>
    <n v="100438"/>
    <s v="Marketing"/>
    <d v="2026-03-23T00:00:00"/>
    <x v="3"/>
    <s v="Ann Wagner"/>
    <s v="Yes"/>
    <s v="timothydavenport@example.org"/>
    <s v="(244)688-5487x5311"/>
    <d v="2026-02-20T04:48:08"/>
    <m/>
  </r>
  <r>
    <s v="Gregory Collins"/>
    <n v="100994"/>
    <s v="Engineering"/>
    <d v="2025-05-11T00:00:00"/>
    <x v="0"/>
    <s v="Robert Nguyen"/>
    <s v="Yes"/>
    <s v="tortiz@example.org"/>
    <s v="(450)278-6887x860"/>
    <d v="2026-03-08T09:26:08"/>
    <m/>
  </r>
  <r>
    <s v="Kevin Anderson"/>
    <n v="100570"/>
    <s v="Engineering"/>
    <d v="2025-07-31T00:00:00"/>
    <x v="0"/>
    <s v="Stephen Stark"/>
    <s v="Yes"/>
    <s v="winterschristopher@example.net"/>
    <s v="986-563-9928x79872"/>
    <d v="2026-03-16T14:17:08"/>
    <m/>
  </r>
  <r>
    <s v="Melissa King"/>
    <n v="100487"/>
    <s v="IT"/>
    <d v="2026-03-27T00:00:00"/>
    <x v="0"/>
    <s v="Eric Cox"/>
    <s v="Yes"/>
    <s v="hthompson@example.com"/>
    <s v="+1-296-944-1603x32888"/>
    <d v="2026-03-08T01:31:08"/>
    <m/>
  </r>
  <r>
    <s v="Melissa King"/>
    <n v="100487"/>
    <s v="IT"/>
    <d v="2026-03-27T00:00:00"/>
    <x v="2"/>
    <s v="Eric Cox"/>
    <s v="Yes"/>
    <s v="hthompson@example.com"/>
    <s v="+1-296-944-1603x32888"/>
    <d v="2026-03-08T01:31:08"/>
    <m/>
  </r>
  <r>
    <s v="Fred Miles"/>
    <n v="101052"/>
    <s v="IT"/>
    <d v="2025-10-29T00:00:00"/>
    <x v="1"/>
    <s v="John Morgan"/>
    <s v="No"/>
    <s v="hernandezandrew@example.net"/>
    <s v="(801)675-4541"/>
    <d v="2026-02-14T12:38:08"/>
    <m/>
  </r>
  <r>
    <s v="Lisa Barrett"/>
    <n v="101278"/>
    <s v="Finance"/>
    <d v="2025-04-13T00:00:00"/>
    <x v="0"/>
    <s v="Amy Barron"/>
    <s v="Yes"/>
    <s v="dperry@example.com"/>
    <s v="+1-801-252-6974x4203"/>
    <d v="2026-03-14T14:24:08"/>
    <m/>
  </r>
  <r>
    <s v="Lisa Barrett"/>
    <n v="101278"/>
    <s v="Finance"/>
    <d v="2025-04-13T00:00:00"/>
    <x v="1"/>
    <s v="Amy Barron"/>
    <s v="Yes"/>
    <s v="dperry@example.com"/>
    <s v="+1-801-252-6974x4203"/>
    <d v="2026-03-14T14:24:08"/>
    <m/>
  </r>
  <r>
    <s v="Lisa Barrett"/>
    <n v="101278"/>
    <s v="Finance"/>
    <d v="2025-04-13T00:00:00"/>
    <x v="2"/>
    <s v="Amy Barron"/>
    <s v="Yes"/>
    <s v="dperry@example.com"/>
    <s v="+1-801-252-6974x4203"/>
    <d v="2026-03-14T14:24:08"/>
    <m/>
  </r>
  <r>
    <s v="Dr. Glenn Moss"/>
    <n v="100676"/>
    <s v="IT"/>
    <d v="2025-08-14T00:00:00"/>
    <x v="3"/>
    <s v="Renee Harris"/>
    <s v="No"/>
    <s v="william72@example.org"/>
    <s v="001-483-568-0601x457"/>
    <d v="2026-03-07T17:52:08"/>
    <m/>
  </r>
  <r>
    <s v="John Adams"/>
    <n v="100064"/>
    <s v="Finance"/>
    <d v="2025-03-28T00:00:00"/>
    <x v="5"/>
    <s v="Gloria Padilla"/>
    <s v="No"/>
    <s v="xsmith@example.org"/>
    <s v="001-419-267-9720x9251"/>
    <d v="2026-03-07T05:51:08"/>
    <m/>
  </r>
  <r>
    <s v="Justin Dunn"/>
    <n v="100138"/>
    <s v="HR"/>
    <d v="2025-07-09T00:00:00"/>
    <x v="0"/>
    <s v="Beth Perez"/>
    <s v="Yes"/>
    <s v="taracole@example.org"/>
    <s v="793-779-5829x158"/>
    <d v="2026-03-09T10:15:08"/>
    <m/>
  </r>
  <r>
    <s v="Justin Dunn"/>
    <n v="100138"/>
    <s v="HR"/>
    <d v="2025-07-09T00:00:00"/>
    <x v="2"/>
    <s v="Beth Perez"/>
    <s v="Yes"/>
    <s v="taracole@example.org"/>
    <s v="793-779-5829x158"/>
    <d v="2026-03-09T10:15:08"/>
    <m/>
  </r>
  <r>
    <s v="Justin Dunn"/>
    <n v="100138"/>
    <s v="HR"/>
    <d v="2025-07-09T00:00:00"/>
    <x v="5"/>
    <s v="Beth Perez"/>
    <s v="Yes"/>
    <s v="taracole@example.org"/>
    <s v="793-779-5829x158"/>
    <d v="2026-03-09T10:15:08"/>
    <m/>
  </r>
  <r>
    <s v="Angela Kirby"/>
    <n v="100468"/>
    <s v="Marketing"/>
    <d v="2025-08-07T00:00:00"/>
    <x v="3"/>
    <s v="Maria Miller"/>
    <s v="No"/>
    <s v="teresamckee@example.com"/>
    <s v="474-714-2487x39626"/>
    <d v="2026-03-09T05:36:08"/>
    <m/>
  </r>
  <r>
    <s v="Angela Kirby"/>
    <n v="100468"/>
    <s v="Marketing"/>
    <d v="2025-08-07T00:00:00"/>
    <x v="2"/>
    <s v="Maria Miller"/>
    <s v="No"/>
    <s v="teresamckee@example.com"/>
    <s v="474-714-2487x39626"/>
    <d v="2026-03-09T05:36:08"/>
    <m/>
  </r>
  <r>
    <s v="Kelly Gardner"/>
    <n v="100120"/>
    <s v="Engineering"/>
    <d v="2025-04-07T00:00:00"/>
    <x v="0"/>
    <s v="Cassandra Delgado"/>
    <s v="No"/>
    <s v="pluna@example.net"/>
    <s v="(977)424-4343x54978"/>
    <d v="2026-02-06T11:43:08"/>
    <m/>
  </r>
  <r>
    <s v="Kelly Gardner"/>
    <n v="100120"/>
    <s v="Engineering"/>
    <d v="2025-04-07T00:00:00"/>
    <x v="4"/>
    <s v="Cassandra Delgado"/>
    <s v="No"/>
    <s v="pluna@example.net"/>
    <s v="(977)424-4343x54978"/>
    <d v="2026-02-06T11:43:08"/>
    <m/>
  </r>
  <r>
    <s v="Kelly Gardner"/>
    <n v="100120"/>
    <s v="Engineering"/>
    <d v="2025-04-07T00:00:00"/>
    <x v="5"/>
    <s v="Cassandra Delgado"/>
    <s v="No"/>
    <s v="pluna@example.net"/>
    <s v="(977)424-4343x54978"/>
    <d v="2026-02-06T11:43:08"/>
    <m/>
  </r>
  <r>
    <s v="Sharon Cox"/>
    <n v="100145"/>
    <m/>
    <d v="2025-05-31T00:00:00"/>
    <x v="0"/>
    <s v="Stuart Goodwin"/>
    <s v="No"/>
    <s v="jeffrey80@example.org"/>
    <s v="+1-890-234-8042x479"/>
    <d v="2026-03-10T08:39:08"/>
    <s v="Missing Department"/>
  </r>
  <r>
    <s v="Sharon Cox"/>
    <n v="100145"/>
    <m/>
    <d v="2025-05-31T00:00:00"/>
    <x v="3"/>
    <s v="Stuart Goodwin"/>
    <s v="No"/>
    <s v="jeffrey80@example.org"/>
    <s v="+1-890-234-8042x479"/>
    <d v="2026-03-10T08:39:08"/>
    <s v="Missing Department"/>
  </r>
  <r>
    <s v="Sharon Cox"/>
    <n v="100145"/>
    <m/>
    <d v="2025-05-31T00:00:00"/>
    <x v="1"/>
    <s v="Stuart Goodwin"/>
    <s v="No"/>
    <s v="jeffrey80@example.org"/>
    <s v="+1-890-234-8042x479"/>
    <d v="2026-03-10T08:39:08"/>
    <s v="Missing Department"/>
  </r>
  <r>
    <s v="Michelle Bradley"/>
    <n v="100014"/>
    <s v="IT"/>
    <d v="2026-02-17T00:00:00"/>
    <x v="1"/>
    <s v="Austin Hale"/>
    <s v="Yes"/>
    <s v="aperez@example.org"/>
    <s v="526-262-2549x2036"/>
    <d v="2026-03-06T19:31:08"/>
    <m/>
  </r>
  <r>
    <s v="Michelle Bradley"/>
    <n v="100014"/>
    <s v="IT"/>
    <d v="2026-02-17T00:00:00"/>
    <x v="2"/>
    <s v="Austin Hale"/>
    <s v="Yes"/>
    <s v="aperez@example.org"/>
    <s v="526-262-2549x2036"/>
    <d v="2026-03-06T19:31:08"/>
    <m/>
  </r>
  <r>
    <s v="Angela Bernard"/>
    <n v="101471"/>
    <s v="Marketing"/>
    <d v="2025-08-26T00:00:00"/>
    <x v="5"/>
    <s v="Lori Brown"/>
    <s v="No"/>
    <s v="sheltoneddie@example.org"/>
    <s v="917-722-6414"/>
    <d v="2026-02-14T15:37:08"/>
    <m/>
  </r>
  <r>
    <s v="Wayne Smith"/>
    <n v="101205"/>
    <s v="Marketing"/>
    <d v="2026-01-05T00:00:00"/>
    <x v="0"/>
    <s v="Austin Adams"/>
    <s v="Yes"/>
    <s v="jeffrivera@example.net"/>
    <s v="001-947-942-2983x5966"/>
    <d v="2026-03-11T06:53:08"/>
    <m/>
  </r>
  <r>
    <s v="Wayne Smith"/>
    <n v="101205"/>
    <s v="Marketing"/>
    <d v="2026-01-05T00:00:00"/>
    <x v="1"/>
    <s v="Austin Adams"/>
    <s v="Yes"/>
    <s v="jeffrivera@example.net"/>
    <s v="001-947-942-2983x5966"/>
    <d v="2026-03-11T06:53:08"/>
    <m/>
  </r>
  <r>
    <s v="Angela Gomez"/>
    <n v="100471"/>
    <s v="Marketing"/>
    <d v="2025-06-17T00:00:00"/>
    <x v="0"/>
    <s v="Alicia Jackson"/>
    <s v="No"/>
    <s v="khammond@example.net"/>
    <s v="273-265-0032x9909"/>
    <d v="2026-02-17T01:29:08"/>
    <m/>
  </r>
  <r>
    <s v="Angela Gomez"/>
    <n v="100471"/>
    <s v="Marketing"/>
    <d v="2025-06-17T00:00:00"/>
    <x v="1"/>
    <s v="Alicia Jackson"/>
    <s v="No"/>
    <s v="khammond@example.net"/>
    <s v="273-265-0032x9909"/>
    <d v="2026-02-17T01:29:08"/>
    <m/>
  </r>
  <r>
    <s v="Ryan Russell"/>
    <n v="101134"/>
    <s v="Operations"/>
    <d v="2026-01-18T00:00:00"/>
    <x v="3"/>
    <s v="Maria Turner"/>
    <s v="No"/>
    <s v="pgordon@example.net"/>
    <s v="001-455-240-4231x697"/>
    <d v="2026-02-17T23:09:08"/>
    <m/>
  </r>
  <r>
    <s v="Ryan Russell"/>
    <n v="101134"/>
    <s v="Operations"/>
    <d v="2026-01-18T00:00:00"/>
    <x v="1"/>
    <s v="Maria Turner"/>
    <s v="No"/>
    <s v="pgordon@example.net"/>
    <s v="001-455-240-4231x697"/>
    <d v="2026-02-17T23:09:08"/>
    <m/>
  </r>
  <r>
    <s v="Ryan Russell"/>
    <n v="101134"/>
    <s v="Operations"/>
    <d v="2026-01-18T00:00:00"/>
    <x v="4"/>
    <s v="Maria Turner"/>
    <s v="No"/>
    <s v="pgordon@example.net"/>
    <s v="001-455-240-4231x697"/>
    <d v="2026-02-17T23:09:08"/>
    <m/>
  </r>
  <r>
    <s v="Jessica Cox"/>
    <n v="101204"/>
    <s v="IT"/>
    <d v="2025-12-16T00:00:00"/>
    <x v="3"/>
    <s v="Theresa Walker"/>
    <s v="No"/>
    <s v="kevinhall@example.net"/>
    <s v="(590)745-3925x2878"/>
    <d v="2026-03-10T22:05:08"/>
    <m/>
  </r>
  <r>
    <s v="Jessica Cox"/>
    <n v="101204"/>
    <s v="IT"/>
    <d v="2025-12-16T00:00:00"/>
    <x v="4"/>
    <s v="Theresa Walker"/>
    <s v="No"/>
    <s v="kevinhall@example.net"/>
    <s v="(590)745-3925x2878"/>
    <d v="2026-03-10T22:05:08"/>
    <m/>
  </r>
  <r>
    <s v="Jessica Cox"/>
    <n v="101204"/>
    <s v="IT"/>
    <d v="2025-12-16T00:00:00"/>
    <x v="5"/>
    <s v="Theresa Walker"/>
    <s v="No"/>
    <s v="kevinhall@example.net"/>
    <s v="(590)745-3925x2878"/>
    <d v="2026-03-10T22:05:08"/>
    <m/>
  </r>
  <r>
    <s v="David Yates"/>
    <n v="100043"/>
    <s v="Operations"/>
    <d v="2025-12-10T00:00:00"/>
    <x v="0"/>
    <s v="Stephanie Sanchez"/>
    <s v="Yes"/>
    <s v="vhall@example.org"/>
    <s v="+1-230-723-6412x2474"/>
    <d v="2026-02-21T17:49:08"/>
    <m/>
  </r>
  <r>
    <s v="David Yates"/>
    <n v="100043"/>
    <s v="Operations"/>
    <d v="2025-12-10T00:00:00"/>
    <x v="2"/>
    <s v="Stephanie Sanchez"/>
    <s v="Yes"/>
    <s v="vhall@example.org"/>
    <s v="+1-230-723-6412x2474"/>
    <d v="2026-02-21T17:49:08"/>
    <m/>
  </r>
  <r>
    <s v="David Yates"/>
    <n v="100043"/>
    <s v="Operations"/>
    <d v="2025-12-10T00:00:00"/>
    <x v="4"/>
    <s v="Stephanie Sanchez"/>
    <s v="Yes"/>
    <s v="vhall@example.org"/>
    <s v="+1-230-723-6412x2474"/>
    <d v="2026-02-21T17:49:08"/>
    <m/>
  </r>
  <r>
    <s v="Robert Moore"/>
    <n v="100692"/>
    <s v="Finance"/>
    <d v="2025-03-24T00:00:00"/>
    <x v="3"/>
    <s v="Gregory Nguyen"/>
    <s v="Yes"/>
    <s v="rossdavid@example.org"/>
    <s v="610-471-5558x70940"/>
    <d v="2026-03-09T15:52:08"/>
    <m/>
  </r>
  <r>
    <s v="Robert Moore"/>
    <n v="100692"/>
    <s v="Finance"/>
    <d v="2025-03-24T00:00:00"/>
    <x v="5"/>
    <s v="Gregory Nguyen"/>
    <s v="Yes"/>
    <s v="rossdavid@example.org"/>
    <s v="610-471-5558x70940"/>
    <d v="2026-03-09T15:52:08"/>
    <m/>
  </r>
  <r>
    <s v="Matthew Mcdaniel"/>
    <n v="100131"/>
    <s v="HR"/>
    <d v="2025-09-16T00:00:00"/>
    <x v="1"/>
    <s v="Glen Torres"/>
    <s v="No"/>
    <s v="wheelereric@example.com"/>
    <s v="325-538-0781"/>
    <d v="2026-03-06T23:05:08"/>
    <m/>
  </r>
  <r>
    <s v="Morgan Blackwell"/>
    <n v="100460"/>
    <s v="Operations"/>
    <d v="2025-07-18T00:00:00"/>
    <x v="4"/>
    <s v="Hannah Paul"/>
    <s v="Yes"/>
    <s v="cheryl41@example.net"/>
    <s v="001-471-457-5571x663"/>
    <d v="2026-03-08T13:54:08"/>
    <m/>
  </r>
  <r>
    <s v="Mrs. Alicia Bowers"/>
    <n v="100507"/>
    <s v="Marketing"/>
    <d v="2025-09-25T00:00:00"/>
    <x v="1"/>
    <s v="Jason Bruce"/>
    <s v="Yes"/>
    <s v="powersmonique@example.net"/>
    <s v="(663)452-0076x150"/>
    <d v="2026-01-31T14:17:08"/>
    <m/>
  </r>
  <r>
    <s v="Mrs. Alicia Bowers"/>
    <n v="100507"/>
    <s v="Marketing"/>
    <d v="2025-09-25T00:00:00"/>
    <x v="2"/>
    <s v="Jason Bruce"/>
    <s v="Yes"/>
    <s v="powersmonique@example.net"/>
    <s v="(663)452-0076x150"/>
    <d v="2026-01-31T14:17:08"/>
    <m/>
  </r>
  <r>
    <s v="Mrs. Alicia Bowers"/>
    <n v="100507"/>
    <s v="Marketing"/>
    <d v="2025-09-25T00:00:00"/>
    <x v="5"/>
    <s v="Jason Bruce"/>
    <s v="Yes"/>
    <s v="powersmonique@example.net"/>
    <s v="(663)452-0076x150"/>
    <d v="2026-01-31T14:17:08"/>
    <m/>
  </r>
  <r>
    <s v="Lawrence Keller"/>
    <n v="100247"/>
    <s v="IT"/>
    <d v="2025-04-22T00:00:00"/>
    <x v="3"/>
    <s v="Heather Pearson"/>
    <s v="Yes"/>
    <s v="emurray@example.com"/>
    <s v="236.308.0901"/>
    <d v="2026-03-07T05:26:08"/>
    <m/>
  </r>
  <r>
    <s v="Lawrence Keller"/>
    <n v="100247"/>
    <s v="IT"/>
    <d v="2025-04-22T00:00:00"/>
    <x v="4"/>
    <s v="Heather Pearson"/>
    <s v="Yes"/>
    <s v="emurray@example.com"/>
    <s v="236.308.0901"/>
    <d v="2026-03-07T05:26:08"/>
    <m/>
  </r>
  <r>
    <s v="Pamela Butler"/>
    <n v="100924"/>
    <s v="Marketing"/>
    <d v="2025-04-25T00:00:00"/>
    <x v="2"/>
    <s v="Anthony Robinson"/>
    <s v="Yes"/>
    <s v="toddpalmer@example.net"/>
    <s v="+1-818-593-0461"/>
    <d v="2026-02-08T03:42:08"/>
    <m/>
  </r>
  <r>
    <s v="Ashley Rasmussen"/>
    <n v="101059"/>
    <s v="Marketing"/>
    <d v="2026-04-11T00:00:00"/>
    <x v="5"/>
    <s v="Joseph Gomez"/>
    <s v="Yes"/>
    <s v="sarah90@example.com"/>
    <s v="+1-209-265-6882x6728"/>
    <d v="2026-02-10T18:04:08"/>
    <m/>
  </r>
  <r>
    <s v="Christopher Freeman"/>
    <n v="100897"/>
    <s v="HR"/>
    <d v="2025-11-11T00:00:00"/>
    <x v="0"/>
    <s v="Misty Lucero"/>
    <s v="No"/>
    <s v="nunezsherry@example.com"/>
    <s v="223.573.5640x783"/>
    <d v="2026-02-02T18:11:08"/>
    <m/>
  </r>
  <r>
    <s v="Christopher Freeman"/>
    <n v="100897"/>
    <s v="HR"/>
    <d v="2025-11-11T00:00:00"/>
    <x v="1"/>
    <s v="Misty Lucero"/>
    <s v="No"/>
    <s v="nunezsherry@example.com"/>
    <s v="223.573.5640x783"/>
    <d v="2026-02-02T18:11:08"/>
    <m/>
  </r>
  <r>
    <s v="James Ramos"/>
    <n v="100764"/>
    <s v="Engineering"/>
    <d v="2025-08-09T00:00:00"/>
    <x v="4"/>
    <s v="Paige Silva"/>
    <s v="Yes"/>
    <s v="dakota45@example.com"/>
    <s v="+1-883-867-1467x490"/>
    <d v="2026-02-03T16:49:08"/>
    <m/>
  </r>
  <r>
    <s v="Miranda Cole"/>
    <n v="101375"/>
    <s v="IT"/>
    <d v="2026-04-04T00:00:00"/>
    <x v="3"/>
    <s v="Justin Hines"/>
    <s v="Yes"/>
    <s v="millerkevin@example.com"/>
    <s v="2599563431"/>
    <d v="2026-03-16T04:23:08"/>
    <m/>
  </r>
  <r>
    <s v="Timothy Smith"/>
    <n v="100638"/>
    <s v="Operations"/>
    <d v="2026-02-27T00:00:00"/>
    <x v="3"/>
    <s v="Gregory Davenport"/>
    <s v="No"/>
    <s v="roy33@example.com"/>
    <s v="001-477-830-3167x871"/>
    <d v="2026-01-30T10:09:08"/>
    <m/>
  </r>
  <r>
    <s v="Timothy Smith"/>
    <n v="100638"/>
    <s v="Operations"/>
    <d v="2026-02-27T00:00:00"/>
    <x v="1"/>
    <s v="Gregory Davenport"/>
    <s v="No"/>
    <s v="roy33@example.com"/>
    <s v="001-477-830-3167x871"/>
    <d v="2026-01-30T10:09:08"/>
    <m/>
  </r>
  <r>
    <s v="Douglas Castillo"/>
    <n v="101008"/>
    <s v="Operations"/>
    <d v="2025-06-04T00:00:00"/>
    <x v="3"/>
    <s v="Samuel Thomas"/>
    <s v="No"/>
    <s v="taylornicholas@example.com"/>
    <s v="950-805-4908x09983"/>
    <d v="2026-03-08T10:41:08"/>
    <s v="Duplicate Employee ID"/>
  </r>
  <r>
    <s v="Douglas Castillo"/>
    <n v="101008"/>
    <s v="Operations"/>
    <d v="2025-06-04T00:00:00"/>
    <x v="2"/>
    <s v="Samuel Thomas"/>
    <s v="No"/>
    <s v="taylornicholas@example.com"/>
    <s v="950-805-4908x09983"/>
    <d v="2026-03-08T10:41:08"/>
    <s v="Duplicate Employee ID"/>
  </r>
  <r>
    <s v="Cynthia Hicks"/>
    <m/>
    <s v="Operations"/>
    <d v="2026-01-26T00:00:00"/>
    <x v="4"/>
    <s v="James Myers"/>
    <s v="No"/>
    <s v="harrislaura@example.com"/>
    <s v="583.700.0914"/>
    <d v="2026-03-04T22:49:08"/>
    <s v="Missing Employee ID"/>
  </r>
  <r>
    <s v="Eric Giles"/>
    <n v="100433"/>
    <s v="IT"/>
    <d v="2025-04-24T00:00:00"/>
    <x v="0"/>
    <s v="Mrs. Valerie Ramirez"/>
    <s v="No"/>
    <s v="kfrey@example.net"/>
    <s v="(854)466-2897x35189"/>
    <d v="2026-02-20T12:17:08"/>
    <m/>
  </r>
  <r>
    <s v="Eric Giles"/>
    <n v="100433"/>
    <s v="IT"/>
    <d v="2025-04-24T00:00:00"/>
    <x v="1"/>
    <s v="Mrs. Valerie Ramirez"/>
    <s v="No"/>
    <s v="kfrey@example.net"/>
    <s v="(854)466-2897x35189"/>
    <d v="2026-02-20T12:17:08"/>
    <m/>
  </r>
  <r>
    <s v="Eric Giles"/>
    <n v="100433"/>
    <s v="IT"/>
    <d v="2025-04-24T00:00:00"/>
    <x v="5"/>
    <s v="Mrs. Valerie Ramirez"/>
    <s v="No"/>
    <s v="kfrey@example.net"/>
    <s v="(854)466-2897x35189"/>
    <d v="2026-02-20T12:17:08"/>
    <m/>
  </r>
  <r>
    <s v="Christopher Strickland"/>
    <n v="100866"/>
    <s v="Engineering"/>
    <d v="2026-05-01T00:00:00"/>
    <x v="0"/>
    <s v="Amy Martin"/>
    <s v="Yes"/>
    <s v="benjaminwalker@example.com"/>
    <s v="7562771251"/>
    <d v="2026-02-27T14:12:08"/>
    <m/>
  </r>
  <r>
    <s v="Christopher Strickland"/>
    <n v="100866"/>
    <s v="Engineering"/>
    <d v="2026-05-01T00:00:00"/>
    <x v="5"/>
    <s v="Amy Martin"/>
    <s v="Yes"/>
    <s v="benjaminwalker@example.com"/>
    <s v="7562771251"/>
    <d v="2026-02-27T14:12:08"/>
    <m/>
  </r>
  <r>
    <s v="Ashley Black"/>
    <n v="101242"/>
    <s v="Marketing"/>
    <d v="2025-04-24T00:00:00"/>
    <x v="3"/>
    <s v="Patricia Hunter"/>
    <s v="Yes"/>
    <s v="rogersrobert@example.com"/>
    <s v="6816239278"/>
    <d v="2026-03-01T08:17:08"/>
    <m/>
  </r>
  <r>
    <s v="Ashley Black"/>
    <n v="101242"/>
    <s v="Marketing"/>
    <d v="2025-04-24T00:00:00"/>
    <x v="1"/>
    <s v="Patricia Hunter"/>
    <s v="Yes"/>
    <s v="rogersrobert@example.com"/>
    <s v="6816239278"/>
    <d v="2026-03-01T08:17:08"/>
    <m/>
  </r>
  <r>
    <s v="Mr. Kevin James"/>
    <n v="101080"/>
    <s v="Marketing"/>
    <d v="2025-12-18T00:00:00"/>
    <x v="2"/>
    <s v="Bradley Taylor"/>
    <s v="Yes"/>
    <s v="jcarr@example.com"/>
    <s v="542-302-2482x4886"/>
    <d v="2026-02-06T17:32:08"/>
    <m/>
  </r>
  <r>
    <s v="Joel Murray"/>
    <n v="101384"/>
    <s v="HR"/>
    <d v="2025-06-20T00:00:00"/>
    <x v="0"/>
    <s v="Andrew Hahn"/>
    <s v="No"/>
    <s v="gentryanthony@example.org"/>
    <s v="(269)614-1939x6061"/>
    <d v="2026-03-10T22:27:08"/>
    <m/>
  </r>
  <r>
    <s v="Joel Murray"/>
    <n v="101384"/>
    <s v="HR"/>
    <d v="2025-06-20T00:00:00"/>
    <x v="2"/>
    <s v="Andrew Hahn"/>
    <s v="No"/>
    <s v="gentryanthony@example.org"/>
    <s v="(269)614-1939x6061"/>
    <d v="2026-03-10T22:27:08"/>
    <m/>
  </r>
  <r>
    <s v="Joel Murray"/>
    <n v="101384"/>
    <s v="HR"/>
    <d v="2025-06-20T00:00:00"/>
    <x v="4"/>
    <s v="Andrew Hahn"/>
    <s v="No"/>
    <s v="gentryanthony@example.org"/>
    <s v="(269)614-1939x6061"/>
    <d v="2026-03-10T22:27:08"/>
    <m/>
  </r>
  <r>
    <s v="Richard Davis"/>
    <n v="100338"/>
    <s v="IT"/>
    <d v="2025-04-07T00:00:00"/>
    <x v="3"/>
    <s v="Sandra Martinez"/>
    <s v="No"/>
    <s v="olsenlinda@example.net"/>
    <s v="(556)692-4768"/>
    <d v="2026-03-11T07:22:08"/>
    <m/>
  </r>
  <r>
    <s v="Richard Davis"/>
    <n v="100338"/>
    <s v="IT"/>
    <d v="2025-04-07T00:00:00"/>
    <x v="2"/>
    <s v="Sandra Martinez"/>
    <s v="No"/>
    <s v="olsenlinda@example.net"/>
    <s v="(556)692-4768"/>
    <d v="2026-03-11T07:22:08"/>
    <m/>
  </r>
  <r>
    <s v="Richard Davis"/>
    <n v="100338"/>
    <s v="IT"/>
    <d v="2025-04-07T00:00:00"/>
    <x v="5"/>
    <s v="Sandra Martinez"/>
    <s v="No"/>
    <s v="olsenlinda@example.net"/>
    <s v="(556)692-4768"/>
    <d v="2026-03-11T07:22:08"/>
    <m/>
  </r>
  <r>
    <s v="Andrew Green"/>
    <n v="101125"/>
    <s v="Engineering"/>
    <d v="2025-09-14T00:00:00"/>
    <x v="3"/>
    <s v="Craig Jones"/>
    <s v="Yes"/>
    <s v="rodriguezmichaela@example.net"/>
    <s v="+1-614-605-1325x1790"/>
    <d v="2026-02-24T04:34:08"/>
    <m/>
  </r>
  <r>
    <s v="Andrew Green"/>
    <n v="101125"/>
    <s v="Engineering"/>
    <d v="2025-09-14T00:00:00"/>
    <x v="5"/>
    <s v="Craig Jones"/>
    <s v="Yes"/>
    <s v="rodriguezmichaela@example.net"/>
    <s v="+1-614-605-1325x1790"/>
    <d v="2026-02-24T04:34:08"/>
    <m/>
  </r>
  <r>
    <s v="Jonathan Gutierrez"/>
    <n v="100973"/>
    <s v="HR"/>
    <d v="2025-05-21T00:00:00"/>
    <x v="0"/>
    <s v="Denise Williams"/>
    <s v="No"/>
    <s v="schavez@example.net"/>
    <s v="478.431.0314x56457"/>
    <d v="2026-02-12T14:28:08"/>
    <m/>
  </r>
  <r>
    <s v="Jonathan Gutierrez"/>
    <n v="100973"/>
    <s v="HR"/>
    <d v="2025-05-21T00:00:00"/>
    <x v="1"/>
    <s v="Denise Williams"/>
    <s v="No"/>
    <s v="schavez@example.net"/>
    <s v="478.431.0314x56457"/>
    <d v="2026-02-12T14:28:08"/>
    <m/>
  </r>
  <r>
    <s v="Jonathan Gutierrez"/>
    <n v="100973"/>
    <s v="HR"/>
    <d v="2025-05-21T00:00:00"/>
    <x v="2"/>
    <s v="Denise Williams"/>
    <s v="No"/>
    <s v="schavez@example.net"/>
    <s v="478.431.0314x56457"/>
    <d v="2026-02-12T14:28:08"/>
    <m/>
  </r>
  <r>
    <s v="Matthew Kennedy"/>
    <n v="100262"/>
    <s v="IT"/>
    <d v="2026-05-03T00:00:00"/>
    <x v="2"/>
    <s v="Anthony Swanson"/>
    <s v="No"/>
    <s v="walkermichaela@example.com"/>
    <s v="349-599-8709x339"/>
    <d v="2026-02-13T21:54:08"/>
    <m/>
  </r>
  <r>
    <s v="Wayne Mendez"/>
    <n v="100257"/>
    <s v="Engineering"/>
    <d v="2025-08-11T00:00:00"/>
    <x v="4"/>
    <s v="Robert Sullivan"/>
    <s v="No"/>
    <s v="chad60@example.org"/>
    <s v="(967)853-1805"/>
    <d v="2026-03-10T20:33:08"/>
    <m/>
  </r>
  <r>
    <s v="Michael Johnson"/>
    <n v="101090"/>
    <s v="Engineering"/>
    <d v="2026-03-18T00:00:00"/>
    <x v="4"/>
    <s v="Joseph Sullivan"/>
    <s v="Yes"/>
    <s v="kenneth12@example.com"/>
    <s v="660.864.0047"/>
    <d v="2026-01-30T12:25:08"/>
    <m/>
  </r>
  <r>
    <s v="Eric Hoffman"/>
    <n v="100141"/>
    <s v="IT"/>
    <d v="2025-12-05T00:00:00"/>
    <x v="0"/>
    <s v="Makayla Velasquez"/>
    <s v="No"/>
    <s v="william81@example.com"/>
    <s v="3369100770"/>
    <d v="2026-03-08T06:20:08"/>
    <m/>
  </r>
  <r>
    <s v="Eric Hoffman"/>
    <n v="100141"/>
    <s v="IT"/>
    <d v="2025-12-05T00:00:00"/>
    <x v="3"/>
    <s v="Makayla Velasquez"/>
    <s v="No"/>
    <s v="william81@example.com"/>
    <s v="3369100770"/>
    <d v="2026-03-08T06:20:08"/>
    <m/>
  </r>
  <r>
    <s v="Eric Hoffman"/>
    <n v="100141"/>
    <s v="IT"/>
    <d v="2025-12-05T00:00:00"/>
    <x v="1"/>
    <s v="Makayla Velasquez"/>
    <s v="No"/>
    <s v="william81@example.com"/>
    <s v="3369100770"/>
    <d v="2026-03-08T06:20:08"/>
    <m/>
  </r>
  <r>
    <s v="Dr. Scott Valdez"/>
    <n v="100995"/>
    <s v="HR"/>
    <d v="2025-09-16T00:00:00"/>
    <x v="0"/>
    <s v="Terry Larson"/>
    <s v="Yes"/>
    <s v="lisavilla@example.com"/>
    <s v="311.617.1960x04902"/>
    <d v="2026-03-02T21:04:08"/>
    <m/>
  </r>
  <r>
    <s v="Dr. Scott Valdez"/>
    <n v="100995"/>
    <s v="HR"/>
    <d v="2025-09-16T00:00:00"/>
    <x v="2"/>
    <s v="Terry Larson"/>
    <s v="Yes"/>
    <s v="lisavilla@example.com"/>
    <s v="311.617.1960x04902"/>
    <d v="2026-03-02T21:04:08"/>
    <m/>
  </r>
  <r>
    <s v="Dr. Scott Valdez"/>
    <n v="100995"/>
    <s v="HR"/>
    <d v="2025-09-16T00:00:00"/>
    <x v="5"/>
    <s v="Terry Larson"/>
    <s v="Yes"/>
    <s v="lisavilla@example.com"/>
    <s v="311.617.1960x04902"/>
    <d v="2026-03-02T21:04:08"/>
    <m/>
  </r>
  <r>
    <s v="Brandon Bonilla"/>
    <n v="100175"/>
    <s v="IT"/>
    <d v="2025-04-23T00:00:00"/>
    <x v="3"/>
    <s v="Samuel Henderson"/>
    <s v="No"/>
    <s v="jeremy38@example.com"/>
    <s v="+1-596-255-2391x70335"/>
    <d v="2026-03-10T17:24:08"/>
    <m/>
  </r>
  <r>
    <s v="Nicole Collins"/>
    <n v="101445"/>
    <s v="Marketing"/>
    <d v="2026-04-12T00:00:00"/>
    <x v="3"/>
    <s v="Laurie White"/>
    <s v="No"/>
    <s v="nwhitney@example.net"/>
    <s v="(619)977-3173x9462"/>
    <d v="2026-03-10T02:23:08"/>
    <m/>
  </r>
  <r>
    <s v="Nicole Collins"/>
    <n v="101445"/>
    <s v="Marketing"/>
    <d v="2026-04-12T00:00:00"/>
    <x v="2"/>
    <s v="Laurie White"/>
    <s v="No"/>
    <s v="nwhitney@example.net"/>
    <s v="(619)977-3173x9462"/>
    <d v="2026-03-10T02:23:08"/>
    <m/>
  </r>
  <r>
    <s v="Brittany Hull"/>
    <n v="101393"/>
    <s v="HR"/>
    <d v="2025-06-10T00:00:00"/>
    <x v="2"/>
    <s v="Robin Carson"/>
    <s v="No"/>
    <s v="qhodge@example.org"/>
    <s v="+1-527-368-7141x349"/>
    <d v="2026-02-08T05:30:08"/>
    <m/>
  </r>
  <r>
    <s v="Brittany Hull"/>
    <n v="101393"/>
    <s v="HR"/>
    <d v="2025-06-10T00:00:00"/>
    <x v="4"/>
    <s v="Robin Carson"/>
    <s v="No"/>
    <s v="qhodge@example.org"/>
    <s v="+1-527-368-7141x349"/>
    <d v="2026-02-08T05:30:08"/>
    <m/>
  </r>
  <r>
    <s v="Karen Lynch"/>
    <n v="100493"/>
    <s v="HR"/>
    <d v="2025-04-30T00:00:00"/>
    <x v="4"/>
    <s v="Andrew Smith"/>
    <s v="No"/>
    <s v="anita17@example.org"/>
    <s v="579-721-1625x06989"/>
    <d v="2026-02-28T01:45:08"/>
    <m/>
  </r>
  <r>
    <s v="Jennifer Morales"/>
    <n v="100118"/>
    <s v="Finance"/>
    <d v="2026-04-10T00:00:00"/>
    <x v="0"/>
    <s v="Kimberly Carlson"/>
    <s v="Yes"/>
    <s v="garciakenneth@example.net"/>
    <s v="+1-855-870-3934x2718"/>
    <d v="2026-02-08T01:15:08"/>
    <m/>
  </r>
  <r>
    <s v="Jennifer Morales"/>
    <n v="100118"/>
    <s v="Finance"/>
    <d v="2026-04-10T00:00:00"/>
    <x v="4"/>
    <s v="Kimberly Carlson"/>
    <s v="Yes"/>
    <s v="garciakenneth@example.net"/>
    <s v="+1-855-870-3934x2718"/>
    <d v="2026-02-08T01:15:08"/>
    <m/>
  </r>
  <r>
    <s v="Lauren Hernandez"/>
    <n v="100490"/>
    <s v="Engineering"/>
    <d v="2025-09-18T00:00:00"/>
    <x v="0"/>
    <s v="Larry Phelps"/>
    <s v="Yes"/>
    <s v="murphychristine@example.org"/>
    <s v="(900)501-1015x6161"/>
    <d v="2026-02-16T05:23:08"/>
    <m/>
  </r>
  <r>
    <s v="Lauren Hernandez"/>
    <n v="100490"/>
    <s v="Engineering"/>
    <d v="2025-09-18T00:00:00"/>
    <x v="5"/>
    <s v="Larry Phelps"/>
    <s v="Yes"/>
    <s v="murphychristine@example.org"/>
    <s v="(900)501-1015x6161"/>
    <d v="2026-02-16T05:23:08"/>
    <m/>
  </r>
  <r>
    <s v="Rachel Faulkner"/>
    <n v="100629"/>
    <s v="IT"/>
    <d v="2026-01-29T00:00:00"/>
    <x v="1"/>
    <s v="Lori Miller"/>
    <s v="No"/>
    <s v="foleyaaron@example.net"/>
    <s v="001-988-423-8469x9086"/>
    <d v="2026-02-12T02:33:08"/>
    <m/>
  </r>
  <r>
    <s v="Rachel Faulkner"/>
    <n v="100629"/>
    <s v="IT"/>
    <d v="2026-01-29T00:00:00"/>
    <x v="2"/>
    <s v="Lori Miller"/>
    <s v="No"/>
    <s v="foleyaaron@example.net"/>
    <s v="001-988-423-8469x9086"/>
    <d v="2026-02-12T02:33:08"/>
    <m/>
  </r>
  <r>
    <s v="Timothy Jones"/>
    <n v="100743"/>
    <s v="Finance"/>
    <d v="2026-02-28T00:00:00"/>
    <x v="3"/>
    <s v="Dennis Martinez"/>
    <s v="Yes"/>
    <s v="pfry@example.net"/>
    <s v="(855)561-9221x88220"/>
    <d v="2026-02-28T18:01:08"/>
    <m/>
  </r>
  <r>
    <s v="Kelsey Riggs"/>
    <n v="100229"/>
    <s v="IT"/>
    <d v="2025-03-20T00:00:00"/>
    <x v="2"/>
    <s v="Barbara Cruz"/>
    <s v="No"/>
    <s v="mariamoore@example.com"/>
    <s v="816-993-6835x991"/>
    <d v="2026-02-20T12:30:08"/>
    <m/>
  </r>
  <r>
    <s v="Adrian Sanchez"/>
    <n v="100039"/>
    <s v="IT"/>
    <d v="2025-10-06T00:00:00"/>
    <x v="4"/>
    <s v="Kenneth Jones"/>
    <s v="No"/>
    <s v="donnamadden@example.org"/>
    <s v="+1-926-671-2693"/>
    <d v="2026-02-14T19:04:08"/>
    <m/>
  </r>
  <r>
    <s v="Lori Flores"/>
    <n v="101000"/>
    <s v="Engineering"/>
    <d v="2025-09-10T00:00:00"/>
    <x v="3"/>
    <s v="Taylor Edwards"/>
    <s v="No"/>
    <s v="qgill@example.com"/>
    <s v="+1-284-836-8681x11433"/>
    <d v="2026-03-10T14:59:08"/>
    <m/>
  </r>
  <r>
    <s v="Lori Flores"/>
    <n v="101000"/>
    <s v="Engineering"/>
    <d v="2025-09-10T00:00:00"/>
    <x v="5"/>
    <s v="Taylor Edwards"/>
    <s v="No"/>
    <s v="qgill@example.com"/>
    <s v="+1-284-836-8681x11433"/>
    <d v="2026-03-10T14:59:08"/>
    <m/>
  </r>
  <r>
    <s v="Larry Stone"/>
    <n v="100663"/>
    <s v="Marketing"/>
    <d v="2026-03-25T00:00:00"/>
    <x v="5"/>
    <s v="Jonathan Miller"/>
    <s v="No"/>
    <s v="logan59@example.net"/>
    <s v="+1-206-627-8790x25912"/>
    <d v="2026-03-04T04:12:08"/>
    <m/>
  </r>
  <r>
    <s v="Tiffany Mcdonald"/>
    <n v="101226"/>
    <s v="HR"/>
    <d v="2025-04-18T00:00:00"/>
    <x v="3"/>
    <s v="Christopher Ramsey"/>
    <s v="No"/>
    <s v="bfoster@example.org"/>
    <s v="(735)784-1802"/>
    <d v="2026-03-02T17:56:08"/>
    <m/>
  </r>
  <r>
    <s v="Tiffany Mcdonald"/>
    <n v="101226"/>
    <s v="HR"/>
    <d v="2025-04-18T00:00:00"/>
    <x v="1"/>
    <s v="Christopher Ramsey"/>
    <s v="No"/>
    <s v="bfoster@example.org"/>
    <s v="(735)784-1802"/>
    <d v="2026-03-02T17:56:08"/>
    <m/>
  </r>
  <r>
    <s v="Leah Bean"/>
    <n v="100001"/>
    <s v="IT"/>
    <d v="2025-05-13T00:00:00"/>
    <x v="2"/>
    <s v="Darren Gibson"/>
    <s v="Yes"/>
    <s v="carolynhoward@example.com"/>
    <s v="001-355-319-2474"/>
    <d v="2026-02-14T12:56:08"/>
    <m/>
  </r>
  <r>
    <s v="Leah Bean"/>
    <n v="100001"/>
    <s v="IT"/>
    <d v="2025-05-13T00:00:00"/>
    <x v="5"/>
    <s v="Darren Gibson"/>
    <s v="Yes"/>
    <s v="carolynhoward@example.com"/>
    <s v="001-355-319-2474"/>
    <d v="2026-02-14T12:56:08"/>
    <m/>
  </r>
  <r>
    <s v="Michael Huerta"/>
    <n v="101086"/>
    <s v="Finance"/>
    <d v="2025-08-26T00:00:00"/>
    <x v="3"/>
    <s v="Joy Robinson"/>
    <s v="Yes"/>
    <s v="whernandez@example.com"/>
    <s v="+1-276-211-2584x2330"/>
    <d v="2026-02-21T03:14:08"/>
    <m/>
  </r>
  <r>
    <s v="Michael Huerta"/>
    <n v="101086"/>
    <s v="Finance"/>
    <d v="2025-08-26T00:00:00"/>
    <x v="2"/>
    <s v="Joy Robinson"/>
    <s v="Yes"/>
    <s v="whernandez@example.com"/>
    <s v="+1-276-211-2584x2330"/>
    <d v="2026-02-21T03:14:08"/>
    <m/>
  </r>
  <r>
    <s v="Michael Huerta"/>
    <n v="101086"/>
    <s v="Finance"/>
    <d v="2025-08-26T00:00:00"/>
    <x v="5"/>
    <s v="Joy Robinson"/>
    <s v="Yes"/>
    <s v="whernandez@example.com"/>
    <s v="+1-276-211-2584x2330"/>
    <d v="2026-02-21T03:14:08"/>
    <m/>
  </r>
  <r>
    <s v="Tyler Johnson"/>
    <n v="101104"/>
    <s v="IT"/>
    <d v="2025-07-03T00:00:00"/>
    <x v="4"/>
    <s v="Melissa Lane"/>
    <s v="Yes"/>
    <s v="courtneygamble@example.net"/>
    <s v="(587)332-1078"/>
    <d v="2026-02-01T03:28:08"/>
    <m/>
  </r>
  <r>
    <s v="Jeremy Moran"/>
    <n v="100330"/>
    <s v="Finance"/>
    <d v="2025-07-23T00:00:00"/>
    <x v="0"/>
    <s v="Dr. Donna Bailey"/>
    <s v="Yes"/>
    <s v="aaronanderson@example.org"/>
    <s v="+1-970-884-2874x162"/>
    <d v="2026-02-27T04:05:08"/>
    <m/>
  </r>
  <r>
    <s v="Jeremy Moran"/>
    <n v="100330"/>
    <s v="Finance"/>
    <d v="2025-07-23T00:00:00"/>
    <x v="2"/>
    <s v="Dr. Donna Bailey"/>
    <s v="Yes"/>
    <s v="aaronanderson@example.org"/>
    <s v="+1-970-884-2874x162"/>
    <d v="2026-02-27T04:05:08"/>
    <m/>
  </r>
  <r>
    <s v="Jeremy Moran"/>
    <n v="100330"/>
    <s v="Finance"/>
    <d v="2025-07-23T00:00:00"/>
    <x v="4"/>
    <s v="Dr. Donna Bailey"/>
    <s v="Yes"/>
    <s v="aaronanderson@example.org"/>
    <s v="+1-970-884-2874x162"/>
    <d v="2026-02-27T04:05:08"/>
    <m/>
  </r>
  <r>
    <s v="Christine Foster"/>
    <n v="100765"/>
    <s v="Engineering"/>
    <d v="2025-08-15T00:00:00"/>
    <x v="0"/>
    <s v="Mario Cross"/>
    <s v="No"/>
    <s v="martin00@example.com"/>
    <s v="408-819-4842"/>
    <d v="2026-03-05T16:04:08"/>
    <m/>
  </r>
  <r>
    <s v="Christine Foster"/>
    <n v="100765"/>
    <s v="Engineering"/>
    <d v="2025-08-15T00:00:00"/>
    <x v="4"/>
    <s v="Mario Cross"/>
    <s v="No"/>
    <s v="martin00@example.com"/>
    <s v="408-819-4842"/>
    <d v="2026-03-05T16:04:08"/>
    <m/>
  </r>
  <r>
    <s v="Christine Foster"/>
    <n v="100765"/>
    <s v="Engineering"/>
    <d v="2025-08-15T00:00:00"/>
    <x v="5"/>
    <s v="Mario Cross"/>
    <s v="No"/>
    <s v="martin00@example.com"/>
    <s v="408-819-4842"/>
    <d v="2026-03-05T16:04:08"/>
    <m/>
  </r>
  <r>
    <s v="Christine Williams"/>
    <n v="101366"/>
    <s v="Engineering"/>
    <d v="2025-10-21T00:00:00"/>
    <x v="1"/>
    <s v="Adam Hayes"/>
    <s v="Yes"/>
    <s v="johnjohnson@example.net"/>
    <s v="+1-383-803-4243x7539"/>
    <d v="2026-02-22T03:36:08"/>
    <m/>
  </r>
  <r>
    <s v="Christine Williams"/>
    <n v="101366"/>
    <s v="Engineering"/>
    <d v="2025-10-21T00:00:00"/>
    <x v="4"/>
    <s v="Adam Hayes"/>
    <s v="Yes"/>
    <s v="johnjohnson@example.net"/>
    <s v="+1-383-803-4243x7539"/>
    <d v="2026-02-22T03:36:08"/>
    <m/>
  </r>
  <r>
    <s v="Brenda Frye"/>
    <n v="101477"/>
    <s v="IT"/>
    <d v="2025-11-14T00:00:00"/>
    <x v="0"/>
    <s v="Larry Pitts"/>
    <s v="No"/>
    <s v="bwalker@example.com"/>
    <s v="+1-668-374-0330x454"/>
    <d v="2026-01-30T22:26:08"/>
    <m/>
  </r>
  <r>
    <s v="Brenda Frye"/>
    <n v="101477"/>
    <s v="IT"/>
    <d v="2025-11-14T00:00:00"/>
    <x v="4"/>
    <s v="Larry Pitts"/>
    <s v="No"/>
    <s v="bwalker@example.com"/>
    <s v="+1-668-374-0330x454"/>
    <d v="2026-01-30T22:26:08"/>
    <m/>
  </r>
  <r>
    <s v="Brenda Frye"/>
    <n v="101477"/>
    <s v="IT"/>
    <d v="2025-11-14T00:00:00"/>
    <x v="5"/>
    <s v="Larry Pitts"/>
    <s v="No"/>
    <s v="bwalker@example.com"/>
    <s v="+1-668-374-0330x454"/>
    <d v="2026-01-30T22:26:08"/>
    <m/>
  </r>
  <r>
    <s v="Jean Graham"/>
    <n v="101415"/>
    <s v="Operations"/>
    <d v="2026-05-11T00:00:00"/>
    <x v="3"/>
    <s v="John Johnson"/>
    <s v="Yes"/>
    <s v="kelly58@example.org"/>
    <s v="451-276-4296"/>
    <d v="2026-03-11T19:07:08"/>
    <m/>
  </r>
  <r>
    <s v="Elizabeth Wilson"/>
    <n v="101338"/>
    <s v="IT"/>
    <d v="2026-01-25T00:00:00"/>
    <x v="1"/>
    <s v="Robert Pena"/>
    <s v="No"/>
    <s v="tgilbert@example.com"/>
    <s v="431-452-5523"/>
    <d v="2026-03-16T12:46:08"/>
    <m/>
  </r>
  <r>
    <s v="Veronica Walls"/>
    <n v="101308"/>
    <s v="Operations"/>
    <d v="2025-05-30T00:00:00"/>
    <x v="1"/>
    <s v="Ryan Lee"/>
    <s v="No"/>
    <s v="owong@example.com"/>
    <s v="554.704.7625"/>
    <d v="2026-02-28T00:08:08"/>
    <m/>
  </r>
  <r>
    <s v="Veronica Walls"/>
    <n v="101308"/>
    <s v="Operations"/>
    <d v="2025-05-30T00:00:00"/>
    <x v="2"/>
    <s v="Ryan Lee"/>
    <s v="No"/>
    <s v="owong@example.com"/>
    <s v="554.704.7625"/>
    <d v="2026-02-28T00:08:08"/>
    <m/>
  </r>
  <r>
    <s v="Brian Wilson"/>
    <n v="100611"/>
    <s v="Engineering"/>
    <d v="2025-11-01T00:00:00"/>
    <x v="0"/>
    <s v="Christopher Nguyen"/>
    <s v="No"/>
    <s v="ddavenport@example.com"/>
    <s v="001-288-582-6031x748"/>
    <d v="2026-02-03T22:10:08"/>
    <m/>
  </r>
  <r>
    <s v="Terry Howard"/>
    <n v="101280"/>
    <s v="Marketing"/>
    <d v="2025-04-03T00:00:00"/>
    <x v="0"/>
    <s v="Stephanie Romero"/>
    <s v="Yes"/>
    <s v="iwilson@example.com"/>
    <s v="742-429-3554"/>
    <d v="2026-02-17T18:08:08"/>
    <m/>
  </r>
  <r>
    <s v="Noah Gomez"/>
    <n v="100217"/>
    <s v="IT"/>
    <d v="2026-04-16T00:00:00"/>
    <x v="3"/>
    <s v="Frank Crawford"/>
    <s v="No"/>
    <s v="rodriguezjacob@example.com"/>
    <s v="001-983-604-5762"/>
    <d v="2026-03-03T06:02:08"/>
    <m/>
  </r>
  <r>
    <s v="Sean Garcia"/>
    <n v="101039"/>
    <s v="Finance"/>
    <d v="2025-06-21T00:00:00"/>
    <x v="3"/>
    <s v="April Hudson DVM"/>
    <s v="No"/>
    <s v="tammy97@example.org"/>
    <s v="001-515-622-1336x89600"/>
    <d v="2026-03-15T07:36:08"/>
    <m/>
  </r>
  <r>
    <s v="Sean Garcia"/>
    <n v="101039"/>
    <s v="Finance"/>
    <d v="2025-06-21T00:00:00"/>
    <x v="1"/>
    <s v="April Hudson DVM"/>
    <s v="No"/>
    <s v="tammy97@example.org"/>
    <s v="001-515-622-1336x89600"/>
    <d v="2026-03-15T07:36:08"/>
    <m/>
  </r>
  <r>
    <s v="Sean Garcia"/>
    <n v="101039"/>
    <s v="Finance"/>
    <d v="2025-06-21T00:00:00"/>
    <x v="2"/>
    <s v="April Hudson DVM"/>
    <s v="No"/>
    <s v="tammy97@example.org"/>
    <s v="001-515-622-1336x89600"/>
    <d v="2026-03-15T07:36:08"/>
    <m/>
  </r>
  <r>
    <s v="Michael Jones"/>
    <n v="100365"/>
    <s v="HR"/>
    <d v="2025-11-28T00:00:00"/>
    <x v="0"/>
    <s v="Madison Beasley"/>
    <s v="No"/>
    <s v="adrianmcneil@example.com"/>
    <s v="361-713-9979x927"/>
    <d v="2026-02-03T02:21:08"/>
    <m/>
  </r>
  <r>
    <s v="Taylor Gaines"/>
    <n v="101025"/>
    <s v="Operations"/>
    <d v="2025-10-12T00:00:00"/>
    <x v="3"/>
    <s v="Connie Meyer"/>
    <s v="No"/>
    <s v="hgoodman@example.net"/>
    <s v="(528)958-9868x184"/>
    <d v="2026-02-11T06:27:08"/>
    <m/>
  </r>
  <r>
    <s v="Taylor Gaines"/>
    <n v="101025"/>
    <s v="Operations"/>
    <d v="2025-10-12T00:00:00"/>
    <x v="1"/>
    <s v="Connie Meyer"/>
    <s v="No"/>
    <s v="hgoodman@example.net"/>
    <s v="(528)958-9868x184"/>
    <d v="2026-02-11T06:27:08"/>
    <m/>
  </r>
  <r>
    <s v="David Joseph"/>
    <n v="100539"/>
    <s v="Marketing"/>
    <d v="2025-06-14T00:00:00"/>
    <x v="1"/>
    <s v="Alexa Smith"/>
    <s v="Yes"/>
    <s v="tylermitchell@example.net"/>
    <s v="+1-444-857-4441x076"/>
    <d v="2026-02-08T21:36:08"/>
    <m/>
  </r>
  <r>
    <s v="David Joseph"/>
    <n v="100539"/>
    <s v="Marketing"/>
    <d v="2025-06-14T00:00:00"/>
    <x v="5"/>
    <s v="Alexa Smith"/>
    <s v="Yes"/>
    <s v="tylermitchell@example.net"/>
    <s v="+1-444-857-4441x076"/>
    <d v="2026-02-08T21:36:08"/>
    <m/>
  </r>
  <r>
    <s v="Mark Howe"/>
    <n v="100006"/>
    <s v="Marketing"/>
    <d v="2025-12-18T00:00:00"/>
    <x v="1"/>
    <s v="David Mack"/>
    <s v="No"/>
    <s v="victoria16@example.org"/>
    <s v="001-843-759-8398x5907"/>
    <d v="2026-02-04T08:14:08"/>
    <m/>
  </r>
  <r>
    <s v="Mark Howe"/>
    <n v="100006"/>
    <s v="Marketing"/>
    <d v="2025-12-18T00:00:00"/>
    <x v="5"/>
    <s v="David Mack"/>
    <s v="No"/>
    <s v="victoria16@example.org"/>
    <s v="001-843-759-8398x5907"/>
    <d v="2026-02-04T08:14:08"/>
    <m/>
  </r>
  <r>
    <s v="Emily Romero"/>
    <n v="100929"/>
    <s v="IT"/>
    <d v="2025-05-05T00:00:00"/>
    <x v="2"/>
    <s v="Michael Rivera"/>
    <s v="Yes"/>
    <s v="grayalicia@example.org"/>
    <s v="207-230-7177x6135"/>
    <d v="2026-02-03T17:21:08"/>
    <m/>
  </r>
  <r>
    <s v="Joseph Hughes Jr."/>
    <n v="100323"/>
    <s v="IT"/>
    <d v="2025-10-12T00:00:00"/>
    <x v="5"/>
    <s v="Mike Mason"/>
    <s v="Yes"/>
    <s v="alexander36@example.net"/>
    <s v="001-395-428-5023"/>
    <d v="2026-02-04T02:45:08"/>
    <m/>
  </r>
  <r>
    <s v="Melinda Long"/>
    <n v="100890"/>
    <s v="IT"/>
    <d v="2026-01-07T00:00:00"/>
    <x v="0"/>
    <s v="Jimmy Edwards"/>
    <s v="No"/>
    <s v="lisa49@example.com"/>
    <s v="(949)903-2234"/>
    <d v="2026-02-18T10:41:08"/>
    <m/>
  </r>
  <r>
    <s v="Jeff Salazar"/>
    <n v="100601"/>
    <s v="Finance"/>
    <d v="2026-04-17T00:00:00"/>
    <x v="3"/>
    <s v="Lauren Page"/>
    <s v="Yes"/>
    <s v="micheal70@example.org"/>
    <s v="6066174136"/>
    <d v="2026-03-04T01:53:08"/>
    <m/>
  </r>
  <r>
    <s v="Jeff Salazar"/>
    <n v="100601"/>
    <s v="Finance"/>
    <d v="2026-04-17T00:00:00"/>
    <x v="5"/>
    <s v="Lauren Page"/>
    <s v="Yes"/>
    <s v="micheal70@example.org"/>
    <s v="6066174136"/>
    <d v="2026-03-04T01:53:08"/>
    <m/>
  </r>
  <r>
    <s v="Rebecca Elliott"/>
    <n v="101498"/>
    <s v="Marketing"/>
    <d v="2025-09-11T00:00:00"/>
    <x v="0"/>
    <s v="Rebecca Rodriguez"/>
    <s v="Yes"/>
    <s v="danielelliott@example.net"/>
    <s v="+1-412-470-6507x612"/>
    <d v="2026-02-21T10:16:08"/>
    <m/>
  </r>
  <r>
    <s v="Rebecca Elliott"/>
    <n v="101498"/>
    <s v="Marketing"/>
    <d v="2025-09-11T00:00:00"/>
    <x v="5"/>
    <s v="Rebecca Rodriguez"/>
    <s v="Yes"/>
    <s v="danielelliott@example.net"/>
    <s v="+1-412-470-6507x612"/>
    <d v="2026-02-21T10:16:08"/>
    <m/>
  </r>
  <r>
    <s v="Kimberly Young"/>
    <n v="101171"/>
    <s v="IT"/>
    <d v="2025-08-08T00:00:00"/>
    <x v="0"/>
    <s v="Allison Hughes"/>
    <s v="No"/>
    <s v="robert53@example.net"/>
    <s v="4458555950"/>
    <d v="2026-02-17T18:56:08"/>
    <s v="Duplicate Employee ID"/>
  </r>
  <r>
    <s v="Kimberly Young"/>
    <n v="101171"/>
    <s v="IT"/>
    <d v="2025-08-08T00:00:00"/>
    <x v="1"/>
    <s v="Allison Hughes"/>
    <s v="No"/>
    <s v="robert53@example.net"/>
    <s v="4458555950"/>
    <d v="2026-02-17T18:56:08"/>
    <s v="Duplicate Employee ID"/>
  </r>
  <r>
    <s v="Gary Smith"/>
    <n v="101312"/>
    <s v="Finance"/>
    <d v="2025-03-18T00:00:00"/>
    <x v="0"/>
    <s v="Dr. Larry Chambers DVM"/>
    <s v="Yes"/>
    <s v="jessetaylor@example.com"/>
    <s v="499.504.6008"/>
    <d v="2026-03-07T05:08:08"/>
    <m/>
  </r>
  <r>
    <s v="Gary Smith"/>
    <n v="101312"/>
    <s v="Finance"/>
    <d v="2025-03-18T00:00:00"/>
    <x v="2"/>
    <s v="Dr. Larry Chambers DVM"/>
    <s v="Yes"/>
    <s v="jessetaylor@example.com"/>
    <s v="499.504.6008"/>
    <d v="2026-03-07T05:08:08"/>
    <m/>
  </r>
  <r>
    <s v="James Guerrero"/>
    <n v="101419"/>
    <s v="IT"/>
    <d v="2026-05-09T00:00:00"/>
    <x v="0"/>
    <s v="Brenda Choi"/>
    <s v="Yes"/>
    <s v="whitegina@example.org"/>
    <s v="2978550617"/>
    <d v="2026-02-08T03:14:08"/>
    <m/>
  </r>
  <r>
    <s v="James Guerrero"/>
    <n v="101419"/>
    <s v="IT"/>
    <d v="2026-05-09T00:00:00"/>
    <x v="3"/>
    <s v="Brenda Choi"/>
    <s v="Yes"/>
    <s v="whitegina@example.org"/>
    <s v="2978550617"/>
    <d v="2026-02-08T03:14:08"/>
    <m/>
  </r>
  <r>
    <s v="James Guerrero"/>
    <n v="101419"/>
    <s v="IT"/>
    <d v="2026-05-09T00:00:00"/>
    <x v="1"/>
    <s v="Brenda Choi"/>
    <s v="Yes"/>
    <s v="whitegina@example.org"/>
    <s v="2978550617"/>
    <d v="2026-02-08T03:14:08"/>
    <m/>
  </r>
  <r>
    <s v="Sydney Johnson"/>
    <n v="101099"/>
    <s v="Finance"/>
    <d v="2025-12-25T00:00:00"/>
    <x v="3"/>
    <s v="Tina Gregory"/>
    <s v="No"/>
    <s v="benjaminclark@example.org"/>
    <s v="349-507-6972x162"/>
    <d v="2026-03-12T22:11:08"/>
    <m/>
  </r>
  <r>
    <s v="Sydney Johnson"/>
    <n v="101099"/>
    <s v="Finance"/>
    <d v="2025-12-25T00:00:00"/>
    <x v="4"/>
    <s v="Tina Gregory"/>
    <s v="No"/>
    <s v="benjaminclark@example.org"/>
    <s v="349-507-6972x162"/>
    <d v="2026-03-12T22:11:08"/>
    <m/>
  </r>
  <r>
    <s v="Nicole Meyers"/>
    <n v="100234"/>
    <s v="Operations"/>
    <d v="2025-05-20T00:00:00"/>
    <x v="0"/>
    <s v="Madison Combs"/>
    <s v="No"/>
    <s v="beckygray@example.net"/>
    <s v="+1-221-205-3071x226"/>
    <d v="2026-02-11T12:30:08"/>
    <m/>
  </r>
  <r>
    <s v="Nicole Meyers"/>
    <n v="100234"/>
    <s v="Operations"/>
    <d v="2025-05-20T00:00:00"/>
    <x v="4"/>
    <s v="Madison Combs"/>
    <s v="No"/>
    <s v="beckygray@example.net"/>
    <s v="+1-221-205-3071x226"/>
    <d v="2026-02-11T12:30:08"/>
    <m/>
  </r>
  <r>
    <s v="Nicole Meyers"/>
    <n v="100234"/>
    <s v="Operations"/>
    <d v="2025-05-20T00:00:00"/>
    <x v="5"/>
    <s v="Madison Combs"/>
    <s v="No"/>
    <s v="beckygray@example.net"/>
    <s v="+1-221-205-3071x226"/>
    <d v="2026-02-11T12:30:08"/>
    <m/>
  </r>
  <r>
    <s v="Beth Thomas"/>
    <n v="100023"/>
    <s v="Operations"/>
    <d v="2025-07-12T00:00:00"/>
    <x v="0"/>
    <s v="Joel Goodman"/>
    <s v="Yes"/>
    <s v="shawnbrown@example.com"/>
    <s v="+1-585-478-8728x206"/>
    <d v="2026-02-12T13:52:08"/>
    <m/>
  </r>
  <r>
    <s v="Matthew Rivas"/>
    <n v="101133"/>
    <s v="IT"/>
    <d v="2026-04-21T00:00:00"/>
    <x v="0"/>
    <s v="Allison Miller"/>
    <s v="Yes"/>
    <s v="robertray@example.org"/>
    <s v="846-265-8952x4760"/>
    <d v="2026-02-24T10:57:08"/>
    <m/>
  </r>
  <r>
    <s v="Matthew Rivas"/>
    <n v="101133"/>
    <s v="IT"/>
    <d v="2026-04-21T00:00:00"/>
    <x v="1"/>
    <s v="Allison Miller"/>
    <s v="Yes"/>
    <s v="robertray@example.org"/>
    <s v="846-265-8952x4760"/>
    <d v="2026-02-24T10:57:08"/>
    <m/>
  </r>
  <r>
    <s v="Stacey Tapia"/>
    <n v="100514"/>
    <s v="Engineering"/>
    <d v="2025-05-02T00:00:00"/>
    <x v="5"/>
    <s v="Michael Scott"/>
    <s v="Yes"/>
    <s v="gregory73@example.com"/>
    <s v="+1-974-277-8840"/>
    <d v="2026-02-03T21:39:08"/>
    <m/>
  </r>
  <r>
    <s v="Melissa Nelson"/>
    <n v="101083"/>
    <s v="Marketing"/>
    <d v="2025-03-30T00:00:00"/>
    <x v="0"/>
    <s v="John Rowe"/>
    <s v="No"/>
    <s v="mcknightchristopher@example.net"/>
    <s v="489.872.8426x80928"/>
    <d v="2026-03-15T13:27:08"/>
    <m/>
  </r>
  <r>
    <s v="Melissa Nelson"/>
    <n v="101083"/>
    <s v="Marketing"/>
    <d v="2025-03-30T00:00:00"/>
    <x v="3"/>
    <s v="John Rowe"/>
    <s v="No"/>
    <s v="mcknightchristopher@example.net"/>
    <s v="489.872.8426x80928"/>
    <d v="2026-03-15T13:27:08"/>
    <m/>
  </r>
  <r>
    <s v="Melissa Nelson"/>
    <n v="101083"/>
    <s v="Marketing"/>
    <d v="2025-03-30T00:00:00"/>
    <x v="2"/>
    <s v="John Rowe"/>
    <s v="No"/>
    <s v="mcknightchristopher@example.net"/>
    <s v="489.872.8426x80928"/>
    <d v="2026-03-15T13:27:08"/>
    <m/>
  </r>
  <r>
    <s v="Andrea Schneider"/>
    <n v="100958"/>
    <s v="Operations"/>
    <d v="2026-02-03T00:00:00"/>
    <x v="3"/>
    <s v="Bryan Johnson"/>
    <s v="Yes"/>
    <s v="james71@example.net"/>
    <s v="960.756.6880x31664"/>
    <d v="2026-02-25T11:18:08"/>
    <m/>
  </r>
  <r>
    <s v="Andrea Schneider"/>
    <n v="100958"/>
    <s v="Operations"/>
    <d v="2026-02-03T00:00:00"/>
    <x v="1"/>
    <s v="Bryan Johnson"/>
    <s v="Yes"/>
    <s v="james71@example.net"/>
    <s v="960.756.6880x31664"/>
    <d v="2026-02-25T11:18:08"/>
    <m/>
  </r>
  <r>
    <s v="Andrea Schneider"/>
    <n v="100958"/>
    <s v="Operations"/>
    <d v="2026-02-03T00:00:00"/>
    <x v="4"/>
    <s v="Bryan Johnson"/>
    <s v="Yes"/>
    <s v="james71@example.net"/>
    <s v="960.756.6880x31664"/>
    <d v="2026-02-25T11:18:08"/>
    <m/>
  </r>
  <r>
    <s v="Brianna Aguilar"/>
    <n v="101220"/>
    <s v="IT"/>
    <d v="2025-07-19T00:00:00"/>
    <x v="1"/>
    <s v="Bryce Thompson"/>
    <s v="No"/>
    <s v="dennis53@example.com"/>
    <s v="+1-941-260-1991x98480"/>
    <d v="2026-03-11T13:00:08"/>
    <m/>
  </r>
  <r>
    <s v="Brianna Aguilar"/>
    <n v="101220"/>
    <s v="IT"/>
    <d v="2025-07-19T00:00:00"/>
    <x v="2"/>
    <s v="Bryce Thompson"/>
    <s v="No"/>
    <s v="dennis53@example.com"/>
    <s v="+1-941-260-1991x98480"/>
    <d v="2026-03-11T13:00:08"/>
    <m/>
  </r>
  <r>
    <s v="Brianna Aguilar"/>
    <n v="101220"/>
    <s v="IT"/>
    <d v="2025-07-19T00:00:00"/>
    <x v="5"/>
    <s v="Bryce Thompson"/>
    <s v="No"/>
    <s v="dennis53@example.com"/>
    <s v="+1-941-260-1991x98480"/>
    <d v="2026-03-11T13:00:08"/>
    <m/>
  </r>
  <r>
    <s v="Bailey Smith"/>
    <n v="100781"/>
    <s v="Engineering"/>
    <d v="2026-02-05T00:00:00"/>
    <x v="0"/>
    <s v="Misty Morales"/>
    <s v="Yes"/>
    <s v="richardsonbenjamin@example.com"/>
    <s v="+1-910-874-0433x6895"/>
    <d v="2026-03-10T13:04:08"/>
    <m/>
  </r>
  <r>
    <s v="Bailey Smith"/>
    <n v="100781"/>
    <s v="Engineering"/>
    <d v="2026-02-05T00:00:00"/>
    <x v="2"/>
    <s v="Misty Morales"/>
    <s v="Yes"/>
    <s v="richardsonbenjamin@example.com"/>
    <s v="+1-910-874-0433x6895"/>
    <d v="2026-03-10T13:04:08"/>
    <m/>
  </r>
  <r>
    <s v="Bailey Smith"/>
    <n v="100781"/>
    <s v="Engineering"/>
    <d v="2026-02-05T00:00:00"/>
    <x v="5"/>
    <s v="Misty Morales"/>
    <s v="Yes"/>
    <s v="richardsonbenjamin@example.com"/>
    <s v="+1-910-874-0433x6895"/>
    <d v="2026-03-10T13:04:08"/>
    <m/>
  </r>
  <r>
    <s v="Christian Barr"/>
    <n v="100788"/>
    <s v="HR"/>
    <d v="2025-07-28T00:00:00"/>
    <x v="2"/>
    <s v="Michael Murphy"/>
    <s v="Yes"/>
    <s v="davissara@example.net"/>
    <s v="4072017850"/>
    <d v="2026-02-13T05:34:08"/>
    <m/>
  </r>
  <r>
    <s v="Charles Ortega"/>
    <n v="100130"/>
    <s v="Finance"/>
    <d v="2025-10-02T00:00:00"/>
    <x v="5"/>
    <s v="Carla Farmer"/>
    <s v="Yes"/>
    <s v="jacquelinewilliamson@example.org"/>
    <s v="602-997-5997"/>
    <d v="2026-02-18T15:24:08"/>
    <m/>
  </r>
  <r>
    <s v="Martha Dalton"/>
    <n v="101221"/>
    <s v="IT"/>
    <d v="2026-01-30T00:00:00"/>
    <x v="4"/>
    <s v="David Greene"/>
    <s v="No"/>
    <s v="brooke74@example.com"/>
    <s v="001-725-526-9420x41641"/>
    <d v="2026-02-20T07:12:08"/>
    <m/>
  </r>
  <r>
    <s v="Andrew Leon"/>
    <n v="101487"/>
    <s v="Operations"/>
    <d v="2026-05-03T00:00:00"/>
    <x v="4"/>
    <s v="Holly Lester"/>
    <s v="No"/>
    <s v="johnpineda@example.net"/>
    <s v="001-737-766-9976x81608"/>
    <d v="2026-03-16T11:49:08"/>
    <m/>
  </r>
  <r>
    <s v="Brandon Flynn MD"/>
    <n v="100327"/>
    <s v="IT"/>
    <d v="2026-02-02T00:00:00"/>
    <x v="0"/>
    <s v="Rebecca Meyer"/>
    <s v="No"/>
    <s v="fblack@example.com"/>
    <s v="299-708-0358x624"/>
    <d v="2026-02-13T20:57:08"/>
    <m/>
  </r>
  <r>
    <s v="Brandon Flynn MD"/>
    <n v="100327"/>
    <s v="IT"/>
    <d v="2026-02-02T00:00:00"/>
    <x v="1"/>
    <s v="Rebecca Meyer"/>
    <s v="No"/>
    <s v="fblack@example.com"/>
    <s v="299-708-0358x624"/>
    <d v="2026-02-13T20:57:08"/>
    <m/>
  </r>
  <r>
    <s v="Brandon Flynn MD"/>
    <n v="100327"/>
    <s v="IT"/>
    <d v="2026-02-02T00:00:00"/>
    <x v="2"/>
    <s v="Rebecca Meyer"/>
    <s v="No"/>
    <s v="fblack@example.com"/>
    <s v="299-708-0358x624"/>
    <d v="2026-02-13T20:57:08"/>
    <m/>
  </r>
  <r>
    <s v="Derek Johnson"/>
    <n v="101285"/>
    <s v="IT"/>
    <d v="2025-12-20T00:00:00"/>
    <x v="4"/>
    <s v="Kristin Clark"/>
    <s v="No"/>
    <s v="nathaniel35@example.org"/>
    <s v="891.811.1085x184"/>
    <d v="2026-03-09T11:20:08"/>
    <m/>
  </r>
  <r>
    <s v="Lisa Barnett"/>
    <n v="100313"/>
    <s v="IT"/>
    <d v="2025-03-31T00:00:00"/>
    <x v="3"/>
    <s v="Linda Cardenas"/>
    <s v="Yes"/>
    <s v="sanchezmargaret@example.com"/>
    <s v="283-407-3480"/>
    <d v="2026-02-21T13:59:08"/>
    <m/>
  </r>
  <r>
    <s v="Lisa Barnett"/>
    <n v="100313"/>
    <s v="IT"/>
    <d v="2025-03-31T00:00:00"/>
    <x v="2"/>
    <s v="Linda Cardenas"/>
    <s v="Yes"/>
    <s v="sanchezmargaret@example.com"/>
    <s v="283-407-3480"/>
    <d v="2026-02-21T13:59:08"/>
    <m/>
  </r>
  <r>
    <s v="Lisa Barnett"/>
    <n v="100313"/>
    <s v="IT"/>
    <d v="2025-03-31T00:00:00"/>
    <x v="4"/>
    <s v="Linda Cardenas"/>
    <s v="Yes"/>
    <s v="sanchezmargaret@example.com"/>
    <s v="283-407-3480"/>
    <d v="2026-02-21T13:59:08"/>
    <m/>
  </r>
  <r>
    <s v="Scott Baker"/>
    <n v="100224"/>
    <s v="Finance"/>
    <d v="2025-03-31T00:00:00"/>
    <x v="0"/>
    <s v="Walter Simpson"/>
    <s v="Yes"/>
    <s v="alanyork@example.com"/>
    <s v="+1-329-687-8192"/>
    <d v="2026-01-31T13:35:08"/>
    <m/>
  </r>
  <r>
    <s v="Scott Baker"/>
    <n v="100224"/>
    <s v="Finance"/>
    <d v="2025-03-31T00:00:00"/>
    <x v="4"/>
    <s v="Walter Simpson"/>
    <s v="Yes"/>
    <s v="alanyork@example.com"/>
    <s v="+1-329-687-8192"/>
    <d v="2026-01-31T13:35:08"/>
    <m/>
  </r>
  <r>
    <s v="Michael Lynch"/>
    <n v="100096"/>
    <s v="Finance"/>
    <d v="2025-08-03T00:00:00"/>
    <x v="2"/>
    <s v="Jillian Hughes"/>
    <s v="No"/>
    <s v="greg37@example.org"/>
    <s v="284.672.1461x7275"/>
    <d v="2026-01-29T23:05:08"/>
    <m/>
  </r>
  <r>
    <s v="Michael Lynch"/>
    <n v="100096"/>
    <s v="Finance"/>
    <d v="2025-08-03T00:00:00"/>
    <x v="4"/>
    <s v="Jillian Hughes"/>
    <s v="No"/>
    <s v="greg37@example.org"/>
    <s v="284.672.1461x7275"/>
    <d v="2026-01-29T23:05:08"/>
    <m/>
  </r>
  <r>
    <s v="Charles Collier"/>
    <n v="100186"/>
    <s v="HR"/>
    <d v="2025-11-10T00:00:00"/>
    <x v="0"/>
    <s v="Jeremy Bender"/>
    <s v="Yes"/>
    <s v="gharvey@example.net"/>
    <s v="+1-697-998-8775x4458"/>
    <d v="2026-02-28T12:00:08"/>
    <m/>
  </r>
  <r>
    <s v="Charles Collier"/>
    <n v="100186"/>
    <s v="HR"/>
    <d v="2025-11-10T00:00:00"/>
    <x v="3"/>
    <s v="Jeremy Bender"/>
    <s v="Yes"/>
    <s v="gharvey@example.net"/>
    <s v="+1-697-998-8775x4458"/>
    <d v="2026-02-28T12:00:08"/>
    <m/>
  </r>
  <r>
    <s v="Charles Collier"/>
    <n v="100186"/>
    <s v="HR"/>
    <d v="2025-11-10T00:00:00"/>
    <x v="5"/>
    <s v="Jeremy Bender"/>
    <s v="Yes"/>
    <s v="gharvey@example.net"/>
    <s v="+1-697-998-8775x4458"/>
    <d v="2026-02-28T12:00:08"/>
    <m/>
  </r>
  <r>
    <s v="Tracy Young"/>
    <n v="101010"/>
    <s v="Finance"/>
    <d v="2026-03-02T00:00:00"/>
    <x v="1"/>
    <s v="Thomas Howe"/>
    <s v="No"/>
    <s v="jenniferperkins@example.net"/>
    <s v="360.559.6275"/>
    <d v="2026-03-06T10:53:08"/>
    <m/>
  </r>
  <r>
    <s v="Tracy Young"/>
    <n v="101010"/>
    <s v="Finance"/>
    <d v="2026-03-02T00:00:00"/>
    <x v="2"/>
    <s v="Thomas Howe"/>
    <s v="No"/>
    <s v="jenniferperkins@example.net"/>
    <s v="360.559.6275"/>
    <d v="2026-03-06T10:53:08"/>
    <m/>
  </r>
  <r>
    <s v="Tracy Young"/>
    <n v="101010"/>
    <s v="Finance"/>
    <d v="2026-03-02T00:00:00"/>
    <x v="5"/>
    <s v="Thomas Howe"/>
    <s v="No"/>
    <s v="jenniferperkins@example.net"/>
    <s v="360.559.6275"/>
    <d v="2026-03-06T10:53:08"/>
    <m/>
  </r>
  <r>
    <s v="Steven Black"/>
    <n v="101043"/>
    <s v="IT"/>
    <d v="2025-10-23T00:00:00"/>
    <x v="3"/>
    <s v="Christian Ramirez"/>
    <s v="No"/>
    <s v="kristin79@example.org"/>
    <s v="(256)811-5686x22307"/>
    <d v="2026-02-23T20:39:08"/>
    <m/>
  </r>
  <r>
    <s v="Steven Black"/>
    <n v="101043"/>
    <s v="IT"/>
    <d v="2025-10-23T00:00:00"/>
    <x v="5"/>
    <s v="Christian Ramirez"/>
    <s v="No"/>
    <s v="kristin79@example.org"/>
    <s v="(256)811-5686x22307"/>
    <d v="2026-02-23T20:39:08"/>
    <m/>
  </r>
  <r>
    <s v="David Johnson"/>
    <n v="100283"/>
    <s v="Marketing"/>
    <d v="2026-01-20T00:00:00"/>
    <x v="4"/>
    <s v="David Gray"/>
    <s v="No"/>
    <s v="jasminecole@example.com"/>
    <s v="830.437.2718"/>
    <d v="2026-02-20T20:19:08"/>
    <m/>
  </r>
  <r>
    <s v="David Johnson"/>
    <n v="100283"/>
    <s v="Marketing"/>
    <d v="2026-01-20T00:00:00"/>
    <x v="5"/>
    <s v="David Gray"/>
    <s v="No"/>
    <s v="jasminecole@example.com"/>
    <s v="830.437.2718"/>
    <d v="2026-02-20T20:19:08"/>
    <m/>
  </r>
  <r>
    <s v="Jesus Sawyer"/>
    <n v="101404"/>
    <s v="Engineering"/>
    <d v="2025-11-01T00:00:00"/>
    <x v="2"/>
    <s v="Scott Marsh"/>
    <s v="No"/>
    <s v="andersoncharles@example.net"/>
    <s v="001-707-682-8780x661"/>
    <d v="2026-02-07T03:55:08"/>
    <m/>
  </r>
  <r>
    <s v="Scott Rivera"/>
    <n v="100741"/>
    <s v="HR"/>
    <d v="2026-01-19T00:00:00"/>
    <x v="3"/>
    <s v="David Hamilton"/>
    <s v="Yes"/>
    <s v="christopher02@example.net"/>
    <s v="+1-882-852-1288"/>
    <d v="2026-03-09T11:46:08"/>
    <m/>
  </r>
  <r>
    <s v="Scott Rivera"/>
    <n v="100741"/>
    <s v="HR"/>
    <d v="2026-01-19T00:00:00"/>
    <x v="1"/>
    <s v="David Hamilton"/>
    <s v="Yes"/>
    <s v="christopher02@example.net"/>
    <s v="+1-882-852-1288"/>
    <d v="2026-03-09T11:46:08"/>
    <m/>
  </r>
  <r>
    <s v="Scott Rivera"/>
    <n v="100741"/>
    <s v="HR"/>
    <d v="2026-01-19T00:00:00"/>
    <x v="5"/>
    <s v="David Hamilton"/>
    <s v="Yes"/>
    <s v="christopher02@example.net"/>
    <s v="+1-882-852-1288"/>
    <d v="2026-03-09T11:46:08"/>
    <m/>
  </r>
  <r>
    <s v="Susan Stewart"/>
    <n v="100817"/>
    <m/>
    <d v="2025-10-21T00:00:00"/>
    <x v="1"/>
    <s v="Denise Lawrence"/>
    <s v="Yes"/>
    <s v="gregory82@example.net"/>
    <s v="+1-547-405-2031"/>
    <d v="2026-03-12T10:34:08"/>
    <s v="Missing Department"/>
  </r>
  <r>
    <s v="Kimberly Camacho"/>
    <n v="101195"/>
    <s v="HR"/>
    <d v="2025-09-22T00:00:00"/>
    <x v="1"/>
    <s v="Ricky Fischer"/>
    <s v="Yes"/>
    <s v="jasonmoore@example.org"/>
    <s v="866.486.4277"/>
    <d v="2026-03-16T07:02:08"/>
    <m/>
  </r>
  <r>
    <s v="Joshua Alvarado"/>
    <n v="100877"/>
    <s v="Engineering"/>
    <d v="2026-03-18T00:00:00"/>
    <x v="4"/>
    <s v="John Rice"/>
    <s v="No"/>
    <s v="ujarvis@example.org"/>
    <s v="(308)277-8347"/>
    <d v="2026-03-01T22:44:08"/>
    <m/>
  </r>
  <r>
    <s v="Joshua Alvarado"/>
    <n v="100877"/>
    <s v="Engineering"/>
    <d v="2026-03-18T00:00:00"/>
    <x v="5"/>
    <s v="John Rice"/>
    <s v="No"/>
    <s v="ujarvis@example.org"/>
    <s v="(308)277-8347"/>
    <d v="2026-03-01T22:44:08"/>
    <m/>
  </r>
  <r>
    <s v="Maxwell Perez"/>
    <n v="101197"/>
    <s v="Engineering"/>
    <d v="2025-09-29T00:00:00"/>
    <x v="3"/>
    <s v="Mark Reed"/>
    <s v="Yes"/>
    <s v="timothy56@example.org"/>
    <s v="727.770.0453"/>
    <d v="2026-03-09T22:46:08"/>
    <m/>
  </r>
  <r>
    <s v="Maxwell Perez"/>
    <n v="101197"/>
    <s v="Engineering"/>
    <d v="2025-09-29T00:00:00"/>
    <x v="4"/>
    <s v="Mark Reed"/>
    <s v="Yes"/>
    <s v="timothy56@example.org"/>
    <s v="727.770.0453"/>
    <d v="2026-03-09T22:46:08"/>
    <m/>
  </r>
  <r>
    <s v="Julie Brown"/>
    <n v="100538"/>
    <s v="Finance"/>
    <d v="2026-03-17T00:00:00"/>
    <x v="0"/>
    <s v="Joel Mcgee"/>
    <s v="No"/>
    <s v="georgecooper@example.com"/>
    <s v="6428402555"/>
    <d v="2026-02-24T06:59:08"/>
    <m/>
  </r>
  <r>
    <s v="Julie Brown"/>
    <n v="100538"/>
    <s v="Finance"/>
    <d v="2026-03-17T00:00:00"/>
    <x v="2"/>
    <s v="Joel Mcgee"/>
    <s v="No"/>
    <s v="georgecooper@example.com"/>
    <s v="6428402555"/>
    <d v="2026-02-24T06:59:08"/>
    <m/>
  </r>
  <r>
    <s v="Julie Brown"/>
    <n v="100538"/>
    <s v="Finance"/>
    <d v="2026-03-17T00:00:00"/>
    <x v="5"/>
    <s v="Joel Mcgee"/>
    <s v="No"/>
    <s v="georgecooper@example.com"/>
    <s v="6428402555"/>
    <d v="2026-02-24T06:59:08"/>
    <m/>
  </r>
  <r>
    <s v="Molly Graves"/>
    <n v="101103"/>
    <s v="Finance"/>
    <d v="2025-06-24T00:00:00"/>
    <x v="5"/>
    <s v="Kent Cole"/>
    <s v="No"/>
    <s v="sbanks@example.org"/>
    <s v="667-888-1596"/>
    <d v="2026-03-14T08:32:08"/>
    <m/>
  </r>
  <r>
    <s v="Julia Rose"/>
    <n v="101478"/>
    <s v="Operations"/>
    <d v="2025-05-16T00:00:00"/>
    <x v="5"/>
    <s v="Victoria Cooper"/>
    <s v="Yes"/>
    <s v="phillipstammy@example.net"/>
    <s v="+1-746-773-3229x12489"/>
    <d v="2026-02-06T06:45:08"/>
    <m/>
  </r>
  <r>
    <s v="Tamara Kim"/>
    <n v="100505"/>
    <s v="IT"/>
    <d v="2025-09-28T00:00:00"/>
    <x v="3"/>
    <s v="Samuel Vance"/>
    <s v="Yes"/>
    <s v="ericagreen@example.com"/>
    <s v="001-294-726-4076"/>
    <d v="2026-02-26T17:18:08"/>
    <m/>
  </r>
  <r>
    <s v="Bradley Raymond"/>
    <n v="101493"/>
    <s v="IT"/>
    <d v="2025-03-18T00:00:00"/>
    <x v="1"/>
    <s v="Scott Sanchez"/>
    <s v="No"/>
    <s v="bensonjohn@example.net"/>
    <s v="316.228.3356x8905"/>
    <d v="2026-03-13T23:42:08"/>
    <m/>
  </r>
  <r>
    <s v="Bradley Raymond"/>
    <n v="101493"/>
    <s v="IT"/>
    <d v="2025-03-18T00:00:00"/>
    <x v="4"/>
    <s v="Scott Sanchez"/>
    <s v="No"/>
    <s v="bensonjohn@example.net"/>
    <s v="316.228.3356x8905"/>
    <d v="2026-03-13T23:42:08"/>
    <m/>
  </r>
  <r>
    <s v="Alice Wilson"/>
    <n v="100542"/>
    <s v="IT"/>
    <d v="2025-04-05T00:00:00"/>
    <x v="0"/>
    <s v="Christine Ramirez"/>
    <s v="Yes"/>
    <s v="markellis@example.org"/>
    <s v="+1-777-928-7156x5969"/>
    <d v="2026-02-14T14:40:09"/>
    <m/>
  </r>
  <r>
    <s v="Alice Wilson"/>
    <n v="100542"/>
    <s v="IT"/>
    <d v="2025-04-05T00:00:00"/>
    <x v="2"/>
    <s v="Christine Ramirez"/>
    <s v="Yes"/>
    <s v="markellis@example.org"/>
    <s v="+1-777-928-7156x5969"/>
    <d v="2026-02-14T14:40:09"/>
    <m/>
  </r>
  <r>
    <s v="Lauren Hurst"/>
    <n v="100292"/>
    <s v="Operations"/>
    <d v="2026-03-21T00:00:00"/>
    <x v="0"/>
    <s v="Johnny Carroll"/>
    <s v="No"/>
    <s v="theresa05@example.com"/>
    <s v="+1-536-729-1714x8541"/>
    <d v="2026-02-19T15:11:09"/>
    <m/>
  </r>
  <r>
    <s v="Lauren Hurst"/>
    <n v="100292"/>
    <s v="Operations"/>
    <d v="2026-03-21T00:00:00"/>
    <x v="1"/>
    <s v="Johnny Carroll"/>
    <s v="No"/>
    <s v="theresa05@example.com"/>
    <s v="+1-536-729-1714x8541"/>
    <d v="2026-02-19T15:11:09"/>
    <m/>
  </r>
  <r>
    <s v="Melissa Anderson"/>
    <n v="100939"/>
    <s v="IT"/>
    <d v="2026-04-16T00:00:00"/>
    <x v="3"/>
    <s v="Stephanie Thomas"/>
    <s v="Yes"/>
    <s v="dunlappatricia@example.net"/>
    <s v="+1-982-616-5119x2145"/>
    <d v="2026-02-19T07:43:09"/>
    <m/>
  </r>
  <r>
    <s v="Melissa Anderson"/>
    <n v="100939"/>
    <s v="IT"/>
    <d v="2026-04-16T00:00:00"/>
    <x v="5"/>
    <s v="Stephanie Thomas"/>
    <s v="Yes"/>
    <s v="dunlappatricia@example.net"/>
    <s v="+1-982-616-5119x2145"/>
    <d v="2026-02-19T07:43:09"/>
    <m/>
  </r>
  <r>
    <s v="Emma Brown"/>
    <n v="101316"/>
    <s v="Operations"/>
    <d v="2025-11-23T00:00:00"/>
    <x v="0"/>
    <s v="Richard Ortega"/>
    <s v="Yes"/>
    <s v="wmccoy@example.net"/>
    <s v="473-308-8240x353"/>
    <d v="2026-03-02T16:17:09"/>
    <m/>
  </r>
  <r>
    <s v="Emma Brown"/>
    <n v="101316"/>
    <s v="Operations"/>
    <d v="2025-11-23T00:00:00"/>
    <x v="1"/>
    <s v="Richard Ortega"/>
    <s v="Yes"/>
    <s v="wmccoy@example.net"/>
    <s v="473-308-8240x353"/>
    <d v="2026-03-02T16:17:09"/>
    <m/>
  </r>
  <r>
    <s v="Emma Brown"/>
    <n v="101316"/>
    <s v="Operations"/>
    <d v="2025-11-23T00:00:00"/>
    <x v="2"/>
    <s v="Richard Ortega"/>
    <s v="Yes"/>
    <s v="wmccoy@example.net"/>
    <s v="473-308-8240x353"/>
    <d v="2026-03-02T16:17:09"/>
    <m/>
  </r>
  <r>
    <s v="Nancy Mitchell"/>
    <n v="100810"/>
    <s v="Engineering"/>
    <d v="2025-05-26T00:00:00"/>
    <x v="1"/>
    <s v="Alexandra Park DDS"/>
    <s v="No"/>
    <s v="phall@example.org"/>
    <s v="001-741-921-8052"/>
    <d v="2026-03-02T12:06:09"/>
    <m/>
  </r>
  <r>
    <s v="Lauren Brown"/>
    <n v="101022"/>
    <s v="Engineering"/>
    <d v="2025-06-21T00:00:00"/>
    <x v="3"/>
    <s v="Timothy Mendoza"/>
    <s v="Yes"/>
    <s v="christopher32@example.com"/>
    <s v="760-918-9113x4348"/>
    <d v="2026-02-28T16:26:09"/>
    <m/>
  </r>
  <r>
    <s v="Lauren Brown"/>
    <n v="101022"/>
    <s v="Engineering"/>
    <d v="2025-06-21T00:00:00"/>
    <x v="1"/>
    <s v="Timothy Mendoza"/>
    <s v="Yes"/>
    <s v="christopher32@example.com"/>
    <s v="760-918-9113x4348"/>
    <d v="2026-02-28T16:26:09"/>
    <m/>
  </r>
  <r>
    <s v="Lauren Brown"/>
    <n v="101022"/>
    <s v="Engineering"/>
    <d v="2025-06-21T00:00:00"/>
    <x v="2"/>
    <s v="Timothy Mendoza"/>
    <s v="Yes"/>
    <s v="christopher32@example.com"/>
    <s v="760-918-9113x4348"/>
    <d v="2026-02-28T16:26:09"/>
    <m/>
  </r>
  <r>
    <s v="Daniel Wang"/>
    <n v="101342"/>
    <s v="Marketing"/>
    <d v="2025-04-09T00:00:00"/>
    <x v="1"/>
    <s v="Melissa Stafford"/>
    <s v="No"/>
    <s v="fpayne@example.org"/>
    <s v="334.521.1202x9138"/>
    <d v="2026-01-30T21:00:09"/>
    <m/>
  </r>
  <r>
    <s v="Daniel Wang"/>
    <n v="101342"/>
    <s v="Marketing"/>
    <d v="2025-04-09T00:00:00"/>
    <x v="2"/>
    <s v="Melissa Stafford"/>
    <s v="No"/>
    <s v="fpayne@example.org"/>
    <s v="334.521.1202x9138"/>
    <d v="2026-01-30T21:00:09"/>
    <m/>
  </r>
  <r>
    <s v="Dylan Villarreal"/>
    <n v="100435"/>
    <s v="Operations"/>
    <d v="2025-08-01T00:00:00"/>
    <x v="0"/>
    <s v="Carla Fox"/>
    <s v="Yes"/>
    <s v="hawkinsdeanna@example.net"/>
    <s v="396-264-5231"/>
    <d v="2026-03-08T07:01:09"/>
    <s v="Extra Name Spaces"/>
  </r>
  <r>
    <s v="Dylan Villarreal"/>
    <n v="100435"/>
    <s v="Operations"/>
    <d v="2025-08-01T00:00:00"/>
    <x v="4"/>
    <s v="Carla Fox"/>
    <s v="Yes"/>
    <s v="hawkinsdeanna@example.net"/>
    <s v="396-264-5231"/>
    <d v="2026-03-08T07:01:09"/>
    <s v="Extra Name Spaces"/>
  </r>
  <r>
    <s v="Dylan Villarreal"/>
    <n v="100435"/>
    <s v="Operations"/>
    <d v="2025-08-01T00:00:00"/>
    <x v="5"/>
    <s v="Carla Fox"/>
    <s v="Yes"/>
    <s v="hawkinsdeanna@example.net"/>
    <s v="396-264-5231"/>
    <d v="2026-03-08T07:01:09"/>
    <s v="Extra Name Spaces"/>
  </r>
  <r>
    <s v="Andrea Robinson"/>
    <n v="100644"/>
    <s v="Marketing"/>
    <d v="2026-04-05T00:00:00"/>
    <x v="0"/>
    <s v="Victor Acosta"/>
    <s v="Yes"/>
    <s v="clintonhaley@example.org"/>
    <s v="001-366-970-4171x03891"/>
    <d v="2026-02-08T01:36:09"/>
    <m/>
  </r>
  <r>
    <s v="Andrea Robinson"/>
    <n v="100644"/>
    <s v="Marketing"/>
    <d v="2026-04-05T00:00:00"/>
    <x v="2"/>
    <s v="Victor Acosta"/>
    <s v="Yes"/>
    <s v="clintonhaley@example.org"/>
    <s v="001-366-970-4171x03891"/>
    <d v="2026-02-08T01:36:09"/>
    <m/>
  </r>
  <r>
    <s v="Andrea Robinson"/>
    <n v="100644"/>
    <s v="Marketing"/>
    <d v="2026-04-05T00:00:00"/>
    <x v="5"/>
    <s v="Victor Acosta"/>
    <s v="Yes"/>
    <s v="clintonhaley@example.org"/>
    <s v="001-366-970-4171x03891"/>
    <d v="2026-02-08T01:36:09"/>
    <m/>
  </r>
  <r>
    <s v="Frank Delacruz"/>
    <n v="101161"/>
    <s v="IT"/>
    <d v="2025-08-06T00:00:00"/>
    <x v="0"/>
    <s v="Nathan Harrington"/>
    <s v="Yes"/>
    <s v="hinesvalerie@example.com"/>
    <s v="295-960-7148x765"/>
    <d v="2026-03-11T08:54:09"/>
    <m/>
  </r>
  <r>
    <s v="Frank Delacruz"/>
    <n v="101161"/>
    <s v="IT"/>
    <d v="2025-08-06T00:00:00"/>
    <x v="5"/>
    <s v="Nathan Harrington"/>
    <s v="Yes"/>
    <s v="hinesvalerie@example.com"/>
    <s v="295-960-7148x765"/>
    <d v="2026-03-11T08:54:09"/>
    <m/>
  </r>
  <r>
    <s v="Paul Hernandez"/>
    <n v="100432"/>
    <s v="HR"/>
    <d v="2026-03-15T00:00:00"/>
    <x v="1"/>
    <s v="Marissa Hernandez"/>
    <s v="Yes"/>
    <s v="petersenkatelyn@example.org"/>
    <s v="760-937-8110"/>
    <d v="2026-02-01T19:49:09"/>
    <m/>
  </r>
  <r>
    <s v="Tricia Finley"/>
    <n v="100135"/>
    <s v="Finance"/>
    <d v="2026-03-06T00:00:00"/>
    <x v="2"/>
    <s v="Laura Gray"/>
    <s v="No"/>
    <s v="bruceross@example.com"/>
    <s v="8055994696"/>
    <d v="2026-03-13T10:39:09"/>
    <m/>
  </r>
  <r>
    <s v="Breanna Cannon"/>
    <n v="100548"/>
    <s v="Engineering"/>
    <d v="2026-02-22T00:00:00"/>
    <x v="5"/>
    <s v="Joel Johnson"/>
    <s v="No"/>
    <s v="harmonlucas@example.org"/>
    <s v="5974140863"/>
    <d v="2026-03-04T01:16:09"/>
    <m/>
  </r>
  <r>
    <s v="Daniel Johnson"/>
    <n v="100821"/>
    <s v="Marketing"/>
    <d v="2025-09-06T00:00:00"/>
    <x v="3"/>
    <s v="Gail Nichols"/>
    <s v="No"/>
    <s v="scarter@example.net"/>
    <s v="001-988-439-2375x909"/>
    <d v="2026-02-25T02:25:09"/>
    <m/>
  </r>
  <r>
    <s v="Samuel Nguyen"/>
    <n v="100646"/>
    <s v="Marketing"/>
    <d v="2025-11-29T00:00:00"/>
    <x v="4"/>
    <s v="Melissa Jennings"/>
    <s v="Yes"/>
    <s v="julia55@example.org"/>
    <s v="491.596.0348"/>
    <d v="2026-02-21T04:45:09"/>
    <m/>
  </r>
  <r>
    <s v="Joshua Stout"/>
    <n v="101486"/>
    <s v="Operations"/>
    <d v="2026-01-27T00:00:00"/>
    <x v="0"/>
    <s v="Katherine Sanders"/>
    <s v="Yes"/>
    <s v="dustinallen@example.org"/>
    <s v="8438647584"/>
    <d v="2026-02-27T03:28:09"/>
    <m/>
  </r>
  <r>
    <s v="Joshua Stout"/>
    <n v="101486"/>
    <s v="Operations"/>
    <d v="2026-01-27T00:00:00"/>
    <x v="4"/>
    <s v="Katherine Sanders"/>
    <s v="Yes"/>
    <s v="dustinallen@example.org"/>
    <s v="8438647584"/>
    <d v="2026-02-27T03:28:09"/>
    <m/>
  </r>
  <r>
    <s v="Joshua Stout"/>
    <n v="101486"/>
    <s v="Operations"/>
    <d v="2026-01-27T00:00:00"/>
    <x v="5"/>
    <s v="Katherine Sanders"/>
    <s v="Yes"/>
    <s v="dustinallen@example.org"/>
    <s v="8438647584"/>
    <d v="2026-02-27T03:28:09"/>
    <m/>
  </r>
  <r>
    <s v="Denise Jordan"/>
    <n v="100469"/>
    <s v="Marketing"/>
    <d v="2026-03-02T00:00:00"/>
    <x v="3"/>
    <s v="Michael Garcia"/>
    <s v="Yes"/>
    <s v="travisdavis@example.org"/>
    <s v="(631)775-5297x7601"/>
    <d v="2026-02-15T14:15:09"/>
    <m/>
  </r>
  <r>
    <s v="Denise Jordan"/>
    <n v="100469"/>
    <s v="Marketing"/>
    <d v="2026-03-02T00:00:00"/>
    <x v="2"/>
    <s v="Michael Garcia"/>
    <s v="Yes"/>
    <s v="travisdavis@example.org"/>
    <s v="(631)775-5297x7601"/>
    <d v="2026-02-15T14:15:09"/>
    <m/>
  </r>
  <r>
    <s v="Abigail Garcia"/>
    <n v="100114"/>
    <s v="Marketing"/>
    <d v="2025-07-17T00:00:00"/>
    <x v="5"/>
    <s v="Debra Lloyd"/>
    <s v="Yes"/>
    <s v="scott81@example.net"/>
    <s v="536-811-6861x1460"/>
    <d v="2026-02-27T16:56:09"/>
    <m/>
  </r>
  <r>
    <s v="Jose Jackson"/>
    <n v="100664"/>
    <s v="IT"/>
    <d v="2026-02-17T00:00:00"/>
    <x v="3"/>
    <s v="Alison Cook"/>
    <s v="Yes"/>
    <s v="jenna46@example.com"/>
    <s v="626-283-6843x771"/>
    <d v="2026-02-09T15:02:09"/>
    <m/>
  </r>
  <r>
    <s v="Jose Jackson"/>
    <n v="100664"/>
    <s v="IT"/>
    <d v="2026-02-17T00:00:00"/>
    <x v="1"/>
    <s v="Alison Cook"/>
    <s v="Yes"/>
    <s v="jenna46@example.com"/>
    <s v="626-283-6843x771"/>
    <d v="2026-02-09T15:02:09"/>
    <m/>
  </r>
  <r>
    <s v="Jose Jackson"/>
    <n v="100664"/>
    <s v="IT"/>
    <d v="2026-02-17T00:00:00"/>
    <x v="5"/>
    <s v="Alison Cook"/>
    <s v="Yes"/>
    <s v="jenna46@example.com"/>
    <s v="626-283-6843x771"/>
    <d v="2026-02-09T15:02:09"/>
    <m/>
  </r>
  <r>
    <s v="Shawn Rhodes"/>
    <n v="101402"/>
    <s v="HR"/>
    <d v="2025-10-22T00:00:00"/>
    <x v="4"/>
    <s v="Emily Braun"/>
    <s v="No"/>
    <s v="emily60@example.org"/>
    <s v="401.519.6227"/>
    <d v="2026-02-12T03:12:09"/>
    <m/>
  </r>
  <r>
    <s v="Jamie Matthews"/>
    <n v="100449"/>
    <s v="IT"/>
    <d v="2025-09-02T00:00:00"/>
    <x v="5"/>
    <s v="Melissa Vaughn"/>
    <s v="No"/>
    <s v="zmanning@example.org"/>
    <s v="(283)385-0957x0934"/>
    <d v="2026-02-21T14:34:09"/>
    <m/>
  </r>
  <r>
    <s v="Thomas Ward"/>
    <n v="101140"/>
    <s v="Engineering"/>
    <d v="2026-02-11T00:00:00"/>
    <x v="0"/>
    <s v="Andrea Jenkins"/>
    <s v="Yes"/>
    <s v="melissa03@example.com"/>
    <s v="748.343.7700x62795"/>
    <d v="2026-02-26T11:27:09"/>
    <m/>
  </r>
  <r>
    <s v="Thomas Ward"/>
    <n v="101140"/>
    <s v="Engineering"/>
    <d v="2026-02-11T00:00:00"/>
    <x v="5"/>
    <s v="Andrea Jenkins"/>
    <s v="Yes"/>
    <s v="melissa03@example.com"/>
    <s v="748.343.7700x62795"/>
    <d v="2026-02-26T11:27:09"/>
    <m/>
  </r>
  <r>
    <s v="Christopher Blevins"/>
    <n v="101310"/>
    <s v="Operations"/>
    <d v="2025-06-14T00:00:00"/>
    <x v="3"/>
    <s v="Louis Hughes"/>
    <s v="No"/>
    <s v="kelly17@example.net"/>
    <s v="001-356-927-5280x016"/>
    <d v="2026-03-09T18:39:09"/>
    <m/>
  </r>
  <r>
    <s v="Christopher Blevins"/>
    <n v="101310"/>
    <s v="Operations"/>
    <d v="2025-06-14T00:00:00"/>
    <x v="1"/>
    <s v="Louis Hughes"/>
    <s v="No"/>
    <s v="kelly17@example.net"/>
    <s v="001-356-927-5280x016"/>
    <d v="2026-03-09T18:39:09"/>
    <m/>
  </r>
  <r>
    <s v="Christopher Blevins"/>
    <n v="101310"/>
    <s v="Operations"/>
    <d v="2025-06-14T00:00:00"/>
    <x v="5"/>
    <s v="Louis Hughes"/>
    <s v="No"/>
    <s v="kelly17@example.net"/>
    <s v="001-356-927-5280x016"/>
    <d v="2026-03-09T18:39:09"/>
    <m/>
  </r>
  <r>
    <s v="Eric Carpenter"/>
    <n v="100552"/>
    <s v="Engineering"/>
    <d v="2026-02-09T00:00:00"/>
    <x v="2"/>
    <s v="Melissa Flores"/>
    <s v="Yes"/>
    <s v="jimcraig@example.com"/>
    <s v="001-238-332-6489x710"/>
    <d v="2026-03-09T16:06:09"/>
    <m/>
  </r>
  <r>
    <s v="John Church"/>
    <n v="100777"/>
    <s v="Engineering"/>
    <d v="2026-01-04T00:00:00"/>
    <x v="2"/>
    <s v="Michael Dean"/>
    <s v="Yes"/>
    <s v="shane13@example.org"/>
    <s v="594-584-1423x552"/>
    <d v="2026-02-27T10:11:09"/>
    <s v="Extra Name Spaces"/>
  </r>
  <r>
    <s v="John Church"/>
    <n v="100777"/>
    <s v="Engineering"/>
    <d v="2026-01-04T00:00:00"/>
    <x v="4"/>
    <s v="Michael Dean"/>
    <s v="Yes"/>
    <s v="shane13@example.org"/>
    <s v="594-584-1423x552"/>
    <d v="2026-02-27T10:11:09"/>
    <s v="Extra Name Spaces"/>
  </r>
  <r>
    <s v="Mr. Robert Marquez"/>
    <n v="100946"/>
    <s v="IT"/>
    <d v="2026-03-09T00:00:00"/>
    <x v="0"/>
    <s v="Mary Berry"/>
    <s v="Yes"/>
    <s v="kellerbrandon@example.org"/>
    <s v="(956)247-7115x88218"/>
    <d v="2026-03-01T18:18:09"/>
    <m/>
  </r>
  <r>
    <s v="Mr. Robert Marquez"/>
    <n v="100946"/>
    <s v="IT"/>
    <d v="2026-03-09T00:00:00"/>
    <x v="3"/>
    <s v="Mary Berry"/>
    <s v="Yes"/>
    <s v="kellerbrandon@example.org"/>
    <s v="(956)247-7115x88218"/>
    <d v="2026-03-01T18:18:09"/>
    <m/>
  </r>
  <r>
    <s v="Mr. Robert Marquez"/>
    <n v="100946"/>
    <s v="IT"/>
    <d v="2026-03-09T00:00:00"/>
    <x v="5"/>
    <s v="Mary Berry"/>
    <s v="Yes"/>
    <s v="kellerbrandon@example.org"/>
    <s v="(956)247-7115x88218"/>
    <d v="2026-03-01T18:18:09"/>
    <m/>
  </r>
  <r>
    <s v="Kelly Wheeler"/>
    <m/>
    <s v="Finance"/>
    <d v="2025-11-24T00:00:00"/>
    <x v="4"/>
    <s v="Nathan Smith"/>
    <s v="Yes"/>
    <s v="wilsonrobert@example.org"/>
    <s v="764-646-1198x3097"/>
    <d v="2026-02-21T20:10:09"/>
    <s v="Missing Employee ID"/>
  </r>
  <r>
    <s v="Randall Marks"/>
    <n v="101495"/>
    <s v="HR"/>
    <d v="2026-03-12T00:00:00"/>
    <x v="3"/>
    <s v="Tyler Li DDS"/>
    <s v="Yes"/>
    <s v="tara23@example.com"/>
    <s v="001-774-587-7007x8812"/>
    <d v="2026-02-11T18:00:09"/>
    <m/>
  </r>
  <r>
    <s v="Randall Marks"/>
    <n v="101495"/>
    <s v="HR"/>
    <d v="2026-03-12T00:00:00"/>
    <x v="1"/>
    <s v="Tyler Li DDS"/>
    <s v="Yes"/>
    <s v="tara23@example.com"/>
    <s v="001-774-587-7007x8812"/>
    <d v="2026-02-11T18:00:09"/>
    <m/>
  </r>
  <r>
    <s v="Randall Marks"/>
    <n v="101495"/>
    <s v="HR"/>
    <d v="2026-03-12T00:00:00"/>
    <x v="2"/>
    <s v="Tyler Li DDS"/>
    <s v="Yes"/>
    <s v="tara23@example.com"/>
    <s v="001-774-587-7007x8812"/>
    <d v="2026-02-11T18:00:09"/>
    <m/>
  </r>
  <r>
    <s v="Timothy Moore"/>
    <n v="101093"/>
    <s v="IT"/>
    <d v="2025-11-15T00:00:00"/>
    <x v="3"/>
    <s v="Monica Peters"/>
    <s v="No"/>
    <s v="piercefrank@example.org"/>
    <s v="(779)590-9666x0286"/>
    <d v="2026-02-01T15:32:09"/>
    <m/>
  </r>
  <r>
    <s v="Timothy Moore"/>
    <n v="101093"/>
    <s v="IT"/>
    <d v="2025-11-15T00:00:00"/>
    <x v="1"/>
    <s v="Monica Peters"/>
    <s v="No"/>
    <s v="piercefrank@example.org"/>
    <s v="(779)590-9666x0286"/>
    <d v="2026-02-01T15:32:09"/>
    <m/>
  </r>
  <r>
    <s v="Timothy Moore"/>
    <n v="101093"/>
    <s v="IT"/>
    <d v="2025-11-15T00:00:00"/>
    <x v="4"/>
    <s v="Monica Peters"/>
    <s v="No"/>
    <s v="piercefrank@example.org"/>
    <s v="(779)590-9666x0286"/>
    <d v="2026-02-01T15:32:09"/>
    <m/>
  </r>
  <r>
    <s v="Cindy Duncan"/>
    <n v="100350"/>
    <s v="Marketing"/>
    <d v="2025-06-19T00:00:00"/>
    <x v="4"/>
    <s v="Julia Ortiz MD"/>
    <s v="Yes"/>
    <s v="theresamack@example.org"/>
    <s v="9372090703"/>
    <d v="2026-02-02T01:43:09"/>
    <m/>
  </r>
  <r>
    <s v="Cindy Duncan"/>
    <n v="100350"/>
    <s v="Marketing"/>
    <d v="2025-06-19T00:00:00"/>
    <x v="5"/>
    <s v="Julia Ortiz MD"/>
    <s v="Yes"/>
    <s v="theresamack@example.org"/>
    <s v="9372090703"/>
    <d v="2026-02-02T01:43:09"/>
    <m/>
  </r>
  <r>
    <s v="Kayla Quinn"/>
    <n v="101300"/>
    <s v="Operations"/>
    <d v="2025-09-03T00:00:00"/>
    <x v="4"/>
    <s v="Michele Hamilton"/>
    <s v="No"/>
    <s v="frankjimenez@example.net"/>
    <s v="8989348492"/>
    <d v="2026-03-12T12:05:09"/>
    <m/>
  </r>
  <r>
    <s v="Kimberly Grimes"/>
    <n v="101247"/>
    <s v="Engineering"/>
    <d v="2026-01-14T00:00:00"/>
    <x v="3"/>
    <s v="Casey Ortiz"/>
    <s v="Yes"/>
    <s v="phelpslauren@example.net"/>
    <s v="456-357-2676x541"/>
    <d v="2026-02-13T09:28:09"/>
    <m/>
  </r>
  <r>
    <s v="Kimberly Grimes"/>
    <n v="101247"/>
    <s v="Engineering"/>
    <d v="2026-01-14T00:00:00"/>
    <x v="5"/>
    <s v="Casey Ortiz"/>
    <s v="Yes"/>
    <s v="phelpslauren@example.net"/>
    <s v="456-357-2676x541"/>
    <d v="2026-02-13T09:28:09"/>
    <m/>
  </r>
  <r>
    <s v="Kevin Jimenez"/>
    <n v="100146"/>
    <s v="IT"/>
    <d v="2025-05-11T00:00:00"/>
    <x v="2"/>
    <s v="April Calhoun"/>
    <s v="No"/>
    <s v="leematthew@example.org"/>
    <s v="001-720-426-2693x03264"/>
    <d v="2026-03-01T23:59:09"/>
    <m/>
  </r>
  <r>
    <s v="Jacqueline Ramos"/>
    <n v="101327"/>
    <s v="IT"/>
    <d v="2025-06-09T00:00:00"/>
    <x v="2"/>
    <s v="Logan Baldwin"/>
    <s v="Yes"/>
    <s v="duartesteven@example.com"/>
    <s v="001-906-735-1685x22476"/>
    <d v="2026-02-25T06:27:09"/>
    <m/>
  </r>
  <r>
    <s v="Grant Grant"/>
    <n v="101399"/>
    <s v="Operations"/>
    <d v="2025-11-22T00:00:00"/>
    <x v="0"/>
    <s v="Mr. Kevin Johnson"/>
    <s v="No"/>
    <s v="mary36@example.net"/>
    <s v="001-769-833-2763x34228"/>
    <d v="2026-02-28T05:28:09"/>
    <m/>
  </r>
  <r>
    <s v="Grant Grant"/>
    <n v="101399"/>
    <s v="Operations"/>
    <d v="2025-11-22T00:00:00"/>
    <x v="3"/>
    <s v="Mr. Kevin Johnson"/>
    <s v="No"/>
    <s v="mary36@example.net"/>
    <s v="001-769-833-2763x34228"/>
    <d v="2026-02-28T05:28:09"/>
    <m/>
  </r>
  <r>
    <s v="Grant Grant"/>
    <n v="101399"/>
    <s v="Operations"/>
    <d v="2025-11-22T00:00:00"/>
    <x v="1"/>
    <s v="Mr. Kevin Johnson"/>
    <s v="No"/>
    <s v="mary36@example.net"/>
    <s v="001-769-833-2763x34228"/>
    <d v="2026-02-28T05:28:09"/>
    <m/>
  </r>
  <r>
    <s v="Travis Stone"/>
    <n v="100546"/>
    <s v="Operations"/>
    <d v="2025-03-22T00:00:00"/>
    <x v="0"/>
    <s v="Steven Wall"/>
    <s v="No"/>
    <s v="tylerthompson@example.com"/>
    <s v="001-593-610-3370x08942"/>
    <d v="2026-03-09T08:42:09"/>
    <m/>
  </r>
  <r>
    <s v="Travis Stone"/>
    <n v="100546"/>
    <s v="Operations"/>
    <d v="2025-03-22T00:00:00"/>
    <x v="1"/>
    <s v="Steven Wall"/>
    <s v="No"/>
    <s v="tylerthompson@example.com"/>
    <s v="001-593-610-3370x08942"/>
    <d v="2026-03-09T08:42:09"/>
    <m/>
  </r>
  <r>
    <s v="Amanda Paul"/>
    <m/>
    <s v="IT"/>
    <d v="2026-03-23T00:00:00"/>
    <x v="2"/>
    <s v="Craig Hall"/>
    <s v="Yes"/>
    <s v="feliciachen@example.net"/>
    <s v="538.945.6125x78047"/>
    <d v="2026-02-02T13:04:09"/>
    <s v="Missing Employee ID"/>
  </r>
  <r>
    <s v="Amanda Paul"/>
    <m/>
    <s v="IT"/>
    <d v="2026-03-23T00:00:00"/>
    <x v="4"/>
    <s v="Craig Hall"/>
    <s v="Yes"/>
    <s v="feliciachen@example.net"/>
    <s v="538.945.6125x78047"/>
    <d v="2026-02-02T13:04:09"/>
    <s v="Missing Employee ID"/>
  </r>
  <r>
    <s v="Amanda Paul"/>
    <m/>
    <s v="IT"/>
    <d v="2026-03-23T00:00:00"/>
    <x v="5"/>
    <s v="Craig Hall"/>
    <s v="Yes"/>
    <s v="feliciachen@example.net"/>
    <s v="538.945.6125x78047"/>
    <d v="2026-02-02T13:04:09"/>
    <s v="Missing Employee ID"/>
  </r>
  <r>
    <s v="Joseph Page"/>
    <n v="100429"/>
    <s v="HR"/>
    <d v="2025-11-25T00:00:00"/>
    <x v="4"/>
    <s v="Nicole Mcdaniel"/>
    <s v="No"/>
    <s v="woodsrobert@example.net"/>
    <s v="(580)964-5544x2157"/>
    <d v="2026-02-21T10:52:09"/>
    <m/>
  </r>
  <r>
    <s v="Brooke Roberts"/>
    <n v="100727"/>
    <s v="Engineering"/>
    <d v="2025-06-23T00:00:00"/>
    <x v="0"/>
    <s v="Micheal Soto"/>
    <s v="No"/>
    <s v="mgonzalez@example.com"/>
    <s v="985.993.4288x39039"/>
    <d v="2026-02-03T18:44:09"/>
    <m/>
  </r>
  <r>
    <s v="Brooke Roberts"/>
    <n v="100727"/>
    <s v="Engineering"/>
    <d v="2025-06-23T00:00:00"/>
    <x v="2"/>
    <s v="Micheal Soto"/>
    <s v="No"/>
    <s v="mgonzalez@example.com"/>
    <s v="985.993.4288x39039"/>
    <d v="2026-02-03T18:44:09"/>
    <m/>
  </r>
  <r>
    <s v="Megan Holmes"/>
    <n v="100758"/>
    <s v="IT"/>
    <d v="2025-11-01T00:00:00"/>
    <x v="3"/>
    <s v="Daniel Steele"/>
    <s v="No"/>
    <s v="youngcody@example.net"/>
    <s v="(896)855-1025x066"/>
    <d v="2026-02-18T21:48:09"/>
    <m/>
  </r>
  <r>
    <s v="Megan Holmes"/>
    <n v="100758"/>
    <s v="IT"/>
    <d v="2025-11-01T00:00:00"/>
    <x v="1"/>
    <s v="Daniel Steele"/>
    <s v="No"/>
    <s v="youngcody@example.net"/>
    <s v="(896)855-1025x066"/>
    <d v="2026-02-18T21:48:09"/>
    <m/>
  </r>
  <r>
    <s v="Megan Holmes"/>
    <n v="100758"/>
    <s v="IT"/>
    <d v="2025-11-01T00:00:00"/>
    <x v="4"/>
    <s v="Daniel Steele"/>
    <s v="No"/>
    <s v="youngcody@example.net"/>
    <s v="(896)855-1025x066"/>
    <d v="2026-02-18T21:48:09"/>
    <m/>
  </r>
  <r>
    <s v="Pamela Powell"/>
    <n v="100333"/>
    <s v="Operations"/>
    <d v="2025-08-04T00:00:00"/>
    <x v="2"/>
    <s v="William Snyder"/>
    <s v="No"/>
    <s v="tdavis@example.net"/>
    <s v="001-386-232-8959"/>
    <d v="2026-02-05T13:43:09"/>
    <m/>
  </r>
  <r>
    <s v="Pamela Powell"/>
    <n v="100333"/>
    <s v="Operations"/>
    <d v="2025-08-04T00:00:00"/>
    <x v="4"/>
    <s v="William Snyder"/>
    <s v="No"/>
    <s v="tdavis@example.net"/>
    <s v="001-386-232-8959"/>
    <d v="2026-02-05T13:43:09"/>
    <m/>
  </r>
  <r>
    <s v="George Collins"/>
    <n v="100747"/>
    <m/>
    <d v="2026-04-27T00:00:00"/>
    <x v="3"/>
    <s v="Jane Hernandez"/>
    <s v="No"/>
    <s v="michael63@example.net"/>
    <s v="643.296.3994x959"/>
    <d v="2026-03-09T17:37:09"/>
    <s v="Missing Department"/>
  </r>
  <r>
    <s v="George Collins"/>
    <n v="100747"/>
    <m/>
    <d v="2026-04-27T00:00:00"/>
    <x v="1"/>
    <s v="Jane Hernandez"/>
    <s v="No"/>
    <s v="michael63@example.net"/>
    <s v="643.296.3994x959"/>
    <d v="2026-03-09T17:37:09"/>
    <s v="Missing Department"/>
  </r>
  <r>
    <s v="Justin Flores"/>
    <n v="101301"/>
    <s v="IT"/>
    <d v="2026-03-01T00:00:00"/>
    <x v="5"/>
    <s v="Jennifer Graham"/>
    <s v="Yes"/>
    <s v="james70@example.net"/>
    <s v="430.702.1027x3663"/>
    <d v="2026-02-11T08:01:09"/>
    <m/>
  </r>
  <r>
    <s v="Mary Murray"/>
    <n v="100928"/>
    <s v="IT"/>
    <d v="2025-12-26T00:00:00"/>
    <x v="1"/>
    <s v="Samantha Jackson"/>
    <s v="No"/>
    <s v="justinwagner@example.com"/>
    <s v="001-339-216-6019"/>
    <d v="2026-03-12T07:51:09"/>
    <m/>
  </r>
  <r>
    <s v="Mary Murray"/>
    <n v="100928"/>
    <s v="IT"/>
    <d v="2025-12-26T00:00:00"/>
    <x v="4"/>
    <s v="Samantha Jackson"/>
    <s v="No"/>
    <s v="justinwagner@example.com"/>
    <s v="001-339-216-6019"/>
    <d v="2026-03-12T07:51:09"/>
    <m/>
  </r>
  <r>
    <s v="Mary Murray"/>
    <n v="100928"/>
    <s v="IT"/>
    <d v="2025-12-26T00:00:00"/>
    <x v="5"/>
    <s v="Samantha Jackson"/>
    <s v="No"/>
    <s v="justinwagner@example.com"/>
    <s v="001-339-216-6019"/>
    <d v="2026-03-12T07:51:09"/>
    <m/>
  </r>
  <r>
    <s v="Elizabeth Stone"/>
    <n v="101462"/>
    <s v="Engineering"/>
    <d v="2025-11-03T00:00:00"/>
    <x v="4"/>
    <s v="Wayne Johnson"/>
    <s v="No"/>
    <s v="vclark@example.org"/>
    <s v="(944)878-9378x59541"/>
    <d v="2026-02-07T13:42:09"/>
    <m/>
  </r>
  <r>
    <s v="Rachel Jensen"/>
    <n v="101456"/>
    <s v="Engineering"/>
    <d v="2025-11-21T00:00:00"/>
    <x v="2"/>
    <s v="Craig Davis"/>
    <s v="No"/>
    <s v="xcarter@example.net"/>
    <s v="+1-658-910-4573x46694"/>
    <d v="2026-02-02T17:53:09"/>
    <s v="Extra Name Spaces"/>
  </r>
  <r>
    <s v="Rachel Jensen"/>
    <n v="101456"/>
    <s v="Engineering"/>
    <d v="2025-11-21T00:00:00"/>
    <x v="5"/>
    <s v="Craig Davis"/>
    <s v="No"/>
    <s v="xcarter@example.net"/>
    <s v="+1-658-910-4573x46694"/>
    <d v="2026-02-02T17:53:09"/>
    <s v="Extra Name Spaces"/>
  </r>
  <r>
    <s v="Melissa Schmitt"/>
    <n v="100206"/>
    <m/>
    <d v="2025-07-22T00:00:00"/>
    <x v="1"/>
    <s v="Patricia Khan"/>
    <s v="No"/>
    <s v="david90@example.net"/>
    <s v="566-951-8378x47719"/>
    <d v="2026-02-11T19:12:09"/>
    <s v="Missing Department"/>
  </r>
  <r>
    <s v="Robert Kelly"/>
    <n v="101482"/>
    <s v="IT"/>
    <d v="2025-06-03T00:00:00"/>
    <x v="0"/>
    <s v="Jennifer Flores"/>
    <s v="No"/>
    <s v="wesleyfoster@example.net"/>
    <s v="502-630-8996x46924"/>
    <d v="2026-03-07T11:12:09"/>
    <m/>
  </r>
  <r>
    <s v="Crystal King"/>
    <n v="100163"/>
    <s v="Operations"/>
    <d v="2026-01-09T00:00:00"/>
    <x v="1"/>
    <s v="Gary Barajas"/>
    <s v="Yes"/>
    <s v="loriparks@example.com"/>
    <s v="5387710880"/>
    <d v="2026-03-14T01:45:09"/>
    <m/>
  </r>
  <r>
    <s v="Jennifer Roberts"/>
    <n v="100592"/>
    <s v="HR"/>
    <d v="2025-07-21T00:00:00"/>
    <x v="0"/>
    <s v="Tanner Matthews"/>
    <s v="No"/>
    <s v="lewisrichard@example.com"/>
    <s v="276-591-1612x215"/>
    <d v="2026-03-10T08:59:09"/>
    <m/>
  </r>
  <r>
    <s v="Jennifer Roberts"/>
    <n v="100592"/>
    <s v="HR"/>
    <d v="2025-07-21T00:00:00"/>
    <x v="3"/>
    <s v="Tanner Matthews"/>
    <s v="No"/>
    <s v="lewisrichard@example.com"/>
    <s v="276-591-1612x215"/>
    <d v="2026-03-10T08:59:09"/>
    <m/>
  </r>
  <r>
    <s v="Jennifer Roberts"/>
    <n v="100592"/>
    <s v="HR"/>
    <d v="2025-07-21T00:00:00"/>
    <x v="5"/>
    <s v="Tanner Matthews"/>
    <s v="No"/>
    <s v="lewisrichard@example.com"/>
    <s v="276-591-1612x215"/>
    <d v="2026-03-10T08:59:09"/>
    <m/>
  </r>
  <r>
    <s v="Rose Sullivan"/>
    <n v="100466"/>
    <s v="HR"/>
    <d v="2026-01-15T00:00:00"/>
    <x v="3"/>
    <s v="Gregory Kramer"/>
    <s v="No"/>
    <s v="littlerebecca@example.org"/>
    <s v="7414589333"/>
    <d v="2026-02-01T06:54:09"/>
    <m/>
  </r>
  <r>
    <s v="Rose Sullivan"/>
    <n v="100466"/>
    <s v="HR"/>
    <d v="2026-01-15T00:00:00"/>
    <x v="4"/>
    <s v="Gregory Kramer"/>
    <s v="No"/>
    <s v="littlerebecca@example.org"/>
    <s v="7414589333"/>
    <d v="2026-02-01T06:54:09"/>
    <m/>
  </r>
  <r>
    <s v="Jennifer Espinoza"/>
    <n v="101354"/>
    <s v="IT"/>
    <d v="2025-05-26T00:00:00"/>
    <x v="0"/>
    <s v="Brian Walker"/>
    <s v="No"/>
    <s v="leslie00@example.org"/>
    <s v="001-457-638-0101"/>
    <d v="2026-02-09T11:06:09"/>
    <m/>
  </r>
  <r>
    <s v="Jennifer Espinoza"/>
    <n v="101354"/>
    <s v="IT"/>
    <d v="2025-05-26T00:00:00"/>
    <x v="1"/>
    <s v="Brian Walker"/>
    <s v="No"/>
    <s v="leslie00@example.org"/>
    <s v="001-457-638-0101"/>
    <d v="2026-02-09T11:06:09"/>
    <m/>
  </r>
  <r>
    <s v="Jennifer Espinoza"/>
    <n v="101354"/>
    <s v="IT"/>
    <d v="2025-05-26T00:00:00"/>
    <x v="4"/>
    <s v="Brian Walker"/>
    <s v="No"/>
    <s v="leslie00@example.org"/>
    <s v="001-457-638-0101"/>
    <d v="2026-02-09T11:06:09"/>
    <m/>
  </r>
  <r>
    <s v="Savannah Davis"/>
    <m/>
    <s v="HR"/>
    <d v="2025-08-19T00:00:00"/>
    <x v="1"/>
    <s v="Susan Hansen"/>
    <s v="No"/>
    <s v="padkins@example.org"/>
    <s v="+1-349-399-1365x055"/>
    <d v="2026-02-10T11:39:09"/>
    <s v="Missing Employee ID"/>
  </r>
  <r>
    <s v="Nancy Watkins"/>
    <n v="100142"/>
    <s v="Operations"/>
    <d v="2026-04-20T00:00:00"/>
    <x v="2"/>
    <s v="Laura Patel"/>
    <s v="No"/>
    <s v="shawlaura@example.com"/>
    <s v="570-480-4929"/>
    <d v="2026-01-31T07:13:09"/>
    <m/>
  </r>
  <r>
    <s v="Nancy Watkins"/>
    <n v="100142"/>
    <s v="Operations"/>
    <d v="2026-04-20T00:00:00"/>
    <x v="4"/>
    <s v="Laura Patel"/>
    <s v="No"/>
    <s v="shawlaura@example.com"/>
    <s v="570-480-4929"/>
    <d v="2026-01-31T07:13:09"/>
    <m/>
  </r>
  <r>
    <s v="Theresa Atkinson"/>
    <n v="100393"/>
    <s v="IT"/>
    <d v="2026-03-01T00:00:00"/>
    <x v="0"/>
    <s v="Tiffany Abbott"/>
    <s v="No"/>
    <s v="andre19@example.com"/>
    <s v="729-433-2134"/>
    <d v="2026-02-15T03:33:09"/>
    <m/>
  </r>
  <r>
    <s v="Theresa Atkinson"/>
    <n v="100393"/>
    <s v="IT"/>
    <d v="2026-03-01T00:00:00"/>
    <x v="1"/>
    <s v="Tiffany Abbott"/>
    <s v="No"/>
    <s v="andre19@example.com"/>
    <s v="729-433-2134"/>
    <d v="2026-02-15T03:33:09"/>
    <m/>
  </r>
  <r>
    <s v="Theresa Atkinson"/>
    <n v="100393"/>
    <s v="IT"/>
    <d v="2026-03-01T00:00:00"/>
    <x v="5"/>
    <s v="Tiffany Abbott"/>
    <s v="No"/>
    <s v="andre19@example.com"/>
    <s v="729-433-2134"/>
    <d v="2026-02-15T03:33:09"/>
    <m/>
  </r>
  <r>
    <s v="Amanda Savage"/>
    <n v="101182"/>
    <s v="Operations"/>
    <d v="2025-11-07T00:00:00"/>
    <x v="3"/>
    <s v="Rhonda Williams"/>
    <s v="Yes"/>
    <s v="acevedomargaret@example.com"/>
    <s v="+1-817-875-8856x27480"/>
    <d v="2026-02-18T14:53:09"/>
    <m/>
  </r>
  <r>
    <s v="Michael Kemp"/>
    <n v="100740"/>
    <s v="Marketing"/>
    <d v="2026-01-24T00:00:00"/>
    <x v="3"/>
    <s v="Dr. Rachel Yang"/>
    <s v="No"/>
    <s v="santossabrina@example.com"/>
    <s v="001-351-865-7121"/>
    <d v="2026-03-07T20:43:09"/>
    <m/>
  </r>
  <r>
    <s v="Michael Kemp"/>
    <n v="100740"/>
    <s v="Marketing"/>
    <d v="2026-01-24T00:00:00"/>
    <x v="4"/>
    <s v="Dr. Rachel Yang"/>
    <s v="No"/>
    <s v="santossabrina@example.com"/>
    <s v="001-351-865-7121"/>
    <d v="2026-03-07T20:43:09"/>
    <m/>
  </r>
  <r>
    <s v="Mason Weaver"/>
    <n v="101266"/>
    <s v="IT"/>
    <d v="2025-12-30T00:00:00"/>
    <x v="2"/>
    <s v="Mary Anderson"/>
    <s v="Yes"/>
    <s v="nancymendez@example.net"/>
    <s v="430.225.5987"/>
    <d v="2026-02-18T19:02:09"/>
    <m/>
  </r>
  <r>
    <s v="Mason Weaver"/>
    <n v="101266"/>
    <s v="IT"/>
    <d v="2025-12-30T00:00:00"/>
    <x v="5"/>
    <s v="Mary Anderson"/>
    <s v="Yes"/>
    <s v="nancymendez@example.net"/>
    <s v="430.225.5987"/>
    <d v="2026-02-18T19:02:09"/>
    <m/>
  </r>
  <r>
    <s v="Chris Wilson"/>
    <n v="101287"/>
    <s v="Engineering"/>
    <d v="2025-11-07T00:00:00"/>
    <x v="3"/>
    <s v="Matthew Greene"/>
    <s v="Yes"/>
    <s v="singletonnicole@example.net"/>
    <s v="(419)268-0450x5211"/>
    <d v="2026-02-26T19:44:09"/>
    <m/>
  </r>
  <r>
    <s v="Chris Wilson"/>
    <n v="101287"/>
    <s v="Engineering"/>
    <d v="2025-11-07T00:00:00"/>
    <x v="2"/>
    <s v="Matthew Greene"/>
    <s v="Yes"/>
    <s v="singletonnicole@example.net"/>
    <s v="(419)268-0450x5211"/>
    <d v="2026-02-26T19:44:09"/>
    <m/>
  </r>
  <r>
    <s v="Chris Wilson"/>
    <n v="101287"/>
    <s v="Engineering"/>
    <d v="2025-11-07T00:00:00"/>
    <x v="5"/>
    <s v="Matthew Greene"/>
    <s v="Yes"/>
    <s v="singletonnicole@example.net"/>
    <s v="(419)268-0450x5211"/>
    <d v="2026-02-26T19:44:09"/>
    <m/>
  </r>
  <r>
    <s v="Rebecca Smith"/>
    <n v="100600"/>
    <s v="Marketing"/>
    <d v="2025-09-02T00:00:00"/>
    <x v="1"/>
    <s v="Richard Parsons"/>
    <s v="No"/>
    <s v="kingjulie@example.com"/>
    <s v="5816971408"/>
    <d v="2026-03-13T13:46:09"/>
    <m/>
  </r>
  <r>
    <s v="Rebecca Smith"/>
    <n v="100600"/>
    <s v="Marketing"/>
    <d v="2025-09-02T00:00:00"/>
    <x v="2"/>
    <s v="Richard Parsons"/>
    <s v="No"/>
    <s v="kingjulie@example.com"/>
    <s v="5816971408"/>
    <d v="2026-03-13T13:46:09"/>
    <m/>
  </r>
  <r>
    <s v="Rebecca Smith"/>
    <n v="100600"/>
    <s v="Marketing"/>
    <d v="2025-09-02T00:00:00"/>
    <x v="5"/>
    <s v="Richard Parsons"/>
    <s v="No"/>
    <s v="kingjulie@example.com"/>
    <s v="5816971408"/>
    <d v="2026-03-13T13:46:09"/>
    <m/>
  </r>
  <r>
    <s v="Gabriel Ramirez"/>
    <n v="101130"/>
    <s v="IT"/>
    <d v="2026-02-24T00:00:00"/>
    <x v="0"/>
    <s v="Amanda Powell"/>
    <s v="Yes"/>
    <s v="maria80@example.com"/>
    <s v="(774)256-6983"/>
    <d v="2026-02-09T01:00:09"/>
    <m/>
  </r>
  <r>
    <s v="Gabriel Ramirez"/>
    <n v="101130"/>
    <s v="IT"/>
    <d v="2026-02-24T00:00:00"/>
    <x v="2"/>
    <s v="Amanda Powell"/>
    <s v="Yes"/>
    <s v="maria80@example.com"/>
    <s v="(774)256-6983"/>
    <d v="2026-02-09T01:00:09"/>
    <m/>
  </r>
  <r>
    <s v="Gabriel Ramirez"/>
    <n v="101130"/>
    <s v="IT"/>
    <d v="2026-02-24T00:00:00"/>
    <x v="4"/>
    <s v="Amanda Powell"/>
    <s v="Yes"/>
    <s v="maria80@example.com"/>
    <s v="(774)256-6983"/>
    <d v="2026-02-09T01:00:09"/>
    <m/>
  </r>
  <r>
    <s v="Mr. William Miller"/>
    <n v="100161"/>
    <s v="Marketing"/>
    <d v="2025-07-08T00:00:00"/>
    <x v="0"/>
    <s v="Luke Smith"/>
    <s v="No"/>
    <s v="shawn76@example.org"/>
    <s v="838-647-6691x95301"/>
    <d v="2026-03-16T01:21:09"/>
    <m/>
  </r>
  <r>
    <s v="Mr. William Miller"/>
    <n v="100161"/>
    <s v="Marketing"/>
    <d v="2025-07-08T00:00:00"/>
    <x v="1"/>
    <s v="Luke Smith"/>
    <s v="No"/>
    <s v="shawn76@example.org"/>
    <s v="838-647-6691x95301"/>
    <d v="2026-03-16T01:21:09"/>
    <m/>
  </r>
  <r>
    <s v="Mr. William Miller"/>
    <n v="100161"/>
    <s v="Marketing"/>
    <d v="2025-07-08T00:00:00"/>
    <x v="4"/>
    <s v="Luke Smith"/>
    <s v="No"/>
    <s v="shawn76@example.org"/>
    <s v="838-647-6691x95301"/>
    <d v="2026-03-16T01:21:09"/>
    <m/>
  </r>
  <r>
    <s v="Joseph Mccoy Jr."/>
    <n v="100775"/>
    <s v="IT"/>
    <d v="2026-03-03T00:00:00"/>
    <x v="2"/>
    <s v="Megan Bennett DDS"/>
    <s v="Yes"/>
    <s v="taylorkimberly@example.net"/>
    <s v="(229)576-1166x2866"/>
    <d v="2026-03-16T12:41:09"/>
    <m/>
  </r>
  <r>
    <s v="Joseph Nelson"/>
    <n v="100255"/>
    <s v="IT"/>
    <d v="2025-05-16T00:00:00"/>
    <x v="3"/>
    <s v="Sherri Wheeler"/>
    <s v="Yes"/>
    <s v="cwebb@example.org"/>
    <s v="(556)327-7402x1572"/>
    <d v="2026-02-14T17:04:09"/>
    <m/>
  </r>
  <r>
    <s v="Joseph Nelson"/>
    <n v="100255"/>
    <s v="IT"/>
    <d v="2025-05-16T00:00:00"/>
    <x v="2"/>
    <s v="Sherri Wheeler"/>
    <s v="Yes"/>
    <s v="cwebb@example.org"/>
    <s v="(556)327-7402x1572"/>
    <d v="2026-02-14T17:04:09"/>
    <m/>
  </r>
  <r>
    <s v="Joseph Nelson"/>
    <n v="100255"/>
    <s v="IT"/>
    <d v="2025-05-16T00:00:00"/>
    <x v="4"/>
    <s v="Sherri Wheeler"/>
    <s v="Yes"/>
    <s v="cwebb@example.org"/>
    <s v="(556)327-7402x1572"/>
    <d v="2026-02-14T17:04:09"/>
    <m/>
  </r>
  <r>
    <s v="Brittany Hernandez"/>
    <n v="101098"/>
    <s v="IT"/>
    <d v="2025-10-29T00:00:00"/>
    <x v="0"/>
    <s v="Dale Hernandez"/>
    <s v="No"/>
    <s v="aguerra@example.net"/>
    <s v="289-749-6172x15052"/>
    <d v="2026-02-19T01:24:09"/>
    <m/>
  </r>
  <r>
    <s v="Brittany Hernandez"/>
    <n v="101098"/>
    <s v="IT"/>
    <d v="2025-10-29T00:00:00"/>
    <x v="2"/>
    <s v="Dale Hernandez"/>
    <s v="No"/>
    <s v="aguerra@example.net"/>
    <s v="289-749-6172x15052"/>
    <d v="2026-02-19T01:24:09"/>
    <m/>
  </r>
  <r>
    <s v="Stephanie Rivera"/>
    <n v="100940"/>
    <s v="Marketing"/>
    <d v="2026-05-09T00:00:00"/>
    <x v="3"/>
    <s v="Chelsea Wilson"/>
    <s v="No"/>
    <s v="nathan60@example.com"/>
    <s v="+1-493-642-3221x091"/>
    <d v="2026-02-04T18:39:09"/>
    <m/>
  </r>
  <r>
    <s v="Stacy Perez"/>
    <n v="100088"/>
    <s v="Operations"/>
    <d v="2026-02-15T00:00:00"/>
    <x v="2"/>
    <s v="Robert Stout"/>
    <s v="Yes"/>
    <s v="campbellanthony@example.net"/>
    <s v="383.343.7798x2402"/>
    <d v="2026-03-05T13:04:09"/>
    <m/>
  </r>
  <r>
    <s v="Stacy Perez"/>
    <n v="100088"/>
    <s v="Operations"/>
    <d v="2026-02-15T00:00:00"/>
    <x v="4"/>
    <s v="Robert Stout"/>
    <s v="Yes"/>
    <s v="campbellanthony@example.net"/>
    <s v="383.343.7798x2402"/>
    <d v="2026-03-05T13:04:09"/>
    <m/>
  </r>
  <r>
    <s v="Stacy Perez"/>
    <n v="100088"/>
    <s v="Operations"/>
    <d v="2026-02-15T00:00:00"/>
    <x v="5"/>
    <s v="Robert Stout"/>
    <s v="Yes"/>
    <s v="campbellanthony@example.net"/>
    <s v="383.343.7798x2402"/>
    <d v="2026-03-05T13:04:09"/>
    <m/>
  </r>
  <r>
    <s v="Joseph Perez"/>
    <n v="100541"/>
    <s v="Finance"/>
    <d v="2025-06-11T00:00:00"/>
    <x v="0"/>
    <s v="Marcus Knight"/>
    <s v="No"/>
    <s v="shawdenise@example.org"/>
    <s v="+1-796-924-2657x89635"/>
    <d v="2026-02-14T08:01:09"/>
    <m/>
  </r>
  <r>
    <s v="Joseph Perez"/>
    <n v="100541"/>
    <s v="Finance"/>
    <d v="2025-06-11T00:00:00"/>
    <x v="3"/>
    <s v="Marcus Knight"/>
    <s v="No"/>
    <s v="shawdenise@example.org"/>
    <s v="+1-796-924-2657x89635"/>
    <d v="2026-02-14T08:01:09"/>
    <m/>
  </r>
  <r>
    <s v="Joseph Perez"/>
    <n v="100541"/>
    <s v="Finance"/>
    <d v="2025-06-11T00:00:00"/>
    <x v="4"/>
    <s v="Marcus Knight"/>
    <s v="No"/>
    <s v="shawdenise@example.org"/>
    <s v="+1-796-924-2657x89635"/>
    <d v="2026-02-14T08:01:09"/>
    <m/>
  </r>
  <r>
    <s v="Douglas Raymond"/>
    <n v="101236"/>
    <s v="HR"/>
    <d v="2026-02-20T00:00:00"/>
    <x v="3"/>
    <s v="Cameron Lewis"/>
    <s v="No"/>
    <s v="wayne82@example.org"/>
    <s v="001-972-454-4225x3511"/>
    <d v="2026-02-20T19:07:09"/>
    <m/>
  </r>
  <r>
    <s v="Erin Mercer"/>
    <n v="100704"/>
    <s v="Finance"/>
    <d v="2025-10-02T00:00:00"/>
    <x v="0"/>
    <s v="Jacob Spencer"/>
    <s v="No"/>
    <s v="williamruiz@example.org"/>
    <s v="976-676-6608x288"/>
    <d v="2026-02-18T03:24:09"/>
    <m/>
  </r>
  <r>
    <s v="Erin Mercer"/>
    <n v="100704"/>
    <s v="Finance"/>
    <d v="2025-10-02T00:00:00"/>
    <x v="2"/>
    <s v="Jacob Spencer"/>
    <s v="No"/>
    <s v="williamruiz@example.org"/>
    <s v="976-676-6608x288"/>
    <d v="2026-02-18T03:24:09"/>
    <m/>
  </r>
  <r>
    <s v="Michael Mason"/>
    <n v="100735"/>
    <s v="Marketing"/>
    <d v="2025-03-30T00:00:00"/>
    <x v="2"/>
    <s v="Maurice Brown"/>
    <s v="No"/>
    <s v="eedwards@example.net"/>
    <s v="868.459.3152"/>
    <d v="2026-03-15T22:06:09"/>
    <m/>
  </r>
  <r>
    <s v="Michael Mason"/>
    <n v="100735"/>
    <s v="Marketing"/>
    <d v="2025-03-30T00:00:00"/>
    <x v="5"/>
    <s v="Maurice Brown"/>
    <s v="No"/>
    <s v="eedwards@example.net"/>
    <s v="868.459.3152"/>
    <d v="2026-03-15T22:06:09"/>
    <m/>
  </r>
  <r>
    <s v="Matthew Castillo"/>
    <n v="100198"/>
    <s v="HR"/>
    <d v="2025-04-02T00:00:00"/>
    <x v="0"/>
    <s v="Steven Miller"/>
    <s v="Yes"/>
    <s v="jeffrey10@example.com"/>
    <s v="744-952-9964"/>
    <d v="2026-02-22T13:09:09"/>
    <m/>
  </r>
  <r>
    <s v="Matthew Castillo"/>
    <n v="100198"/>
    <s v="HR"/>
    <d v="2025-04-02T00:00:00"/>
    <x v="3"/>
    <s v="Steven Miller"/>
    <s v="Yes"/>
    <s v="jeffrey10@example.com"/>
    <s v="744-952-9964"/>
    <d v="2026-02-22T13:09:09"/>
    <m/>
  </r>
  <r>
    <s v="Matthew Castillo"/>
    <n v="100198"/>
    <s v="HR"/>
    <d v="2025-04-02T00:00:00"/>
    <x v="5"/>
    <s v="Steven Miller"/>
    <s v="Yes"/>
    <s v="jeffrey10@example.com"/>
    <s v="744-952-9964"/>
    <d v="2026-02-22T13:09:09"/>
    <m/>
  </r>
  <r>
    <s v="Timothy Lewis"/>
    <n v="100778"/>
    <s v="Operations"/>
    <d v="2026-03-21T00:00:00"/>
    <x v="1"/>
    <s v="Lisa Mendoza"/>
    <s v="Yes"/>
    <s v="suttonmichael@example.org"/>
    <s v="249.372.9697"/>
    <d v="2026-02-22T00:49:09"/>
    <m/>
  </r>
  <r>
    <s v="Timothy Lewis"/>
    <n v="100778"/>
    <s v="Operations"/>
    <d v="2026-03-21T00:00:00"/>
    <x v="2"/>
    <s v="Lisa Mendoza"/>
    <s v="Yes"/>
    <s v="suttonmichael@example.org"/>
    <s v="249.372.9697"/>
    <d v="2026-02-22T00:49:09"/>
    <m/>
  </r>
  <r>
    <s v="Angel Harris"/>
    <n v="100189"/>
    <s v="IT"/>
    <d v="2025-07-01T00:00:00"/>
    <x v="0"/>
    <s v="Courtney Turner"/>
    <s v="No"/>
    <s v="tdiaz@example.net"/>
    <s v="001-258-461-8881x786"/>
    <d v="2026-02-12T15:46:09"/>
    <m/>
  </r>
  <r>
    <s v="Angel Harris"/>
    <n v="100189"/>
    <s v="IT"/>
    <d v="2025-07-01T00:00:00"/>
    <x v="3"/>
    <s v="Courtney Turner"/>
    <s v="No"/>
    <s v="tdiaz@example.net"/>
    <s v="001-258-461-8881x786"/>
    <d v="2026-02-12T15:46:09"/>
    <m/>
  </r>
  <r>
    <s v="Kenneth Hernandez"/>
    <n v="101492"/>
    <s v="Marketing"/>
    <d v="2026-02-14T00:00:00"/>
    <x v="1"/>
    <s v="Claudia Kim"/>
    <s v="No"/>
    <s v="zacharyhenry@example.com"/>
    <s v="001-703-631-2223"/>
    <d v="2026-02-15T13:08:09"/>
    <m/>
  </r>
  <r>
    <s v="Tanya Gonzales"/>
    <n v="100689"/>
    <s v="Finance"/>
    <d v="2026-04-21T00:00:00"/>
    <x v="1"/>
    <s v="Daniel Wilson"/>
    <s v="No"/>
    <s v="jessica83@example.com"/>
    <s v="+1-274-577-7407"/>
    <d v="2026-02-20T01:48:09"/>
    <m/>
  </r>
  <r>
    <s v="Tanya Gonzales"/>
    <n v="100689"/>
    <s v="Finance"/>
    <d v="2026-04-21T00:00:00"/>
    <x v="2"/>
    <s v="Daniel Wilson"/>
    <s v="No"/>
    <s v="jessica83@example.com"/>
    <s v="+1-274-577-7407"/>
    <d v="2026-02-20T01:48:09"/>
    <m/>
  </r>
  <r>
    <s v="Tanya Gonzales"/>
    <n v="100689"/>
    <s v="Finance"/>
    <d v="2026-04-21T00:00:00"/>
    <x v="5"/>
    <s v="Daniel Wilson"/>
    <s v="No"/>
    <s v="jessica83@example.com"/>
    <s v="+1-274-577-7407"/>
    <d v="2026-02-20T01:48:09"/>
    <m/>
  </r>
  <r>
    <s v="Jason Bolton"/>
    <n v="100440"/>
    <s v="IT"/>
    <d v="2026-02-16T00:00:00"/>
    <x v="3"/>
    <s v="Jennifer Smith"/>
    <s v="No"/>
    <s v="tgray@example.org"/>
    <s v="(582)812-8219"/>
    <d v="2026-03-07T18:05:09"/>
    <m/>
  </r>
  <r>
    <s v="Kimberly Castillo"/>
    <n v="100318"/>
    <s v="HR"/>
    <d v="2026-01-11T00:00:00"/>
    <x v="3"/>
    <s v="Pamela Anderson"/>
    <s v="Yes"/>
    <s v="jeanette39@example.org"/>
    <s v="804.859.6920"/>
    <d v="2026-03-14T16:54:09"/>
    <m/>
  </r>
  <r>
    <s v="Kimberly Castillo"/>
    <n v="100318"/>
    <s v="HR"/>
    <d v="2026-01-11T00:00:00"/>
    <x v="1"/>
    <s v="Pamela Anderson"/>
    <s v="Yes"/>
    <s v="jeanette39@example.org"/>
    <s v="804.859.6920"/>
    <d v="2026-03-14T16:54:09"/>
    <m/>
  </r>
  <r>
    <s v="Kimberly Castillo"/>
    <n v="100318"/>
    <s v="HR"/>
    <d v="2026-01-11T00:00:00"/>
    <x v="5"/>
    <s v="Pamela Anderson"/>
    <s v="Yes"/>
    <s v="jeanette39@example.org"/>
    <s v="804.859.6920"/>
    <d v="2026-03-14T16:54:09"/>
    <m/>
  </r>
  <r>
    <s v="Jennifer Clay"/>
    <n v="101468"/>
    <s v="Marketing"/>
    <d v="2025-07-12T00:00:00"/>
    <x v="0"/>
    <s v="Virginia Davis"/>
    <s v="Yes"/>
    <s v="johnnysloan@example.org"/>
    <s v="484-398-1184x65124"/>
    <d v="2026-02-12T18:43:09"/>
    <m/>
  </r>
  <r>
    <s v="James Young"/>
    <n v="100696"/>
    <s v="IT"/>
    <d v="2025-08-28T00:00:00"/>
    <x v="0"/>
    <s v="Anita Sherman"/>
    <s v="Yes"/>
    <s v="parkerjennifer@example.org"/>
    <s v="(648)411-6595x5859"/>
    <d v="2026-03-10T11:58:09"/>
    <m/>
  </r>
  <r>
    <s v="David Berry"/>
    <n v="100865"/>
    <s v="Operations"/>
    <d v="2026-04-06T00:00:00"/>
    <x v="0"/>
    <s v="Brian Hines"/>
    <s v="No"/>
    <s v="slee@example.com"/>
    <s v="597-727-6768x77759"/>
    <d v="2026-03-09T16:38:09"/>
    <m/>
  </r>
  <r>
    <s v="David Berry"/>
    <n v="100865"/>
    <s v="Operations"/>
    <d v="2026-04-06T00:00:00"/>
    <x v="2"/>
    <s v="Brian Hines"/>
    <s v="No"/>
    <s v="slee@example.com"/>
    <s v="597-727-6768x77759"/>
    <d v="2026-03-09T16:38:09"/>
    <m/>
  </r>
  <r>
    <s v="Jessica Clark"/>
    <n v="101429"/>
    <s v="Engineering"/>
    <d v="2025-10-28T00:00:00"/>
    <x v="3"/>
    <s v="Ann Scott"/>
    <s v="Yes"/>
    <s v="richardsjeffrey@example.net"/>
    <s v="5882426723"/>
    <d v="2026-02-24T14:14:09"/>
    <m/>
  </r>
  <r>
    <s v="Jessica Clark"/>
    <n v="101429"/>
    <s v="Engineering"/>
    <d v="2025-10-28T00:00:00"/>
    <x v="2"/>
    <s v="Ann Scott"/>
    <s v="Yes"/>
    <s v="richardsjeffrey@example.net"/>
    <s v="5882426723"/>
    <d v="2026-02-24T14:14:09"/>
    <m/>
  </r>
  <r>
    <s v="Katherine Sullivan"/>
    <n v="100326"/>
    <s v="Operations"/>
    <d v="2025-09-25T00:00:00"/>
    <x v="0"/>
    <s v="Alexander Davis"/>
    <s v="Yes"/>
    <s v="walkerdaniel@example.com"/>
    <s v="204.342.3647x92149"/>
    <d v="2026-03-04T09:17:09"/>
    <m/>
  </r>
  <r>
    <s v="Nicholas Sampson"/>
    <n v="100013"/>
    <s v="IT"/>
    <d v="2025-10-26T00:00:00"/>
    <x v="3"/>
    <s v="Timothy Waters"/>
    <s v="Yes"/>
    <s v="margaret90@example.com"/>
    <s v="+1-899-915-7380x6799"/>
    <d v="2026-02-16T23:52:09"/>
    <m/>
  </r>
  <r>
    <s v="Nicholas Sampson"/>
    <n v="100013"/>
    <s v="IT"/>
    <d v="2025-10-26T00:00:00"/>
    <x v="1"/>
    <s v="Timothy Waters"/>
    <s v="Yes"/>
    <s v="margaret90@example.com"/>
    <s v="+1-899-915-7380x6799"/>
    <d v="2026-02-16T23:52:09"/>
    <m/>
  </r>
  <r>
    <s v="Nicholas Sampson"/>
    <n v="100013"/>
    <s v="IT"/>
    <d v="2025-10-26T00:00:00"/>
    <x v="4"/>
    <s v="Timothy Waters"/>
    <s v="Yes"/>
    <s v="margaret90@example.com"/>
    <s v="+1-899-915-7380x6799"/>
    <d v="2026-02-16T23:52:09"/>
    <m/>
  </r>
  <r>
    <s v="Jasmine White"/>
    <n v="100569"/>
    <s v="Finance"/>
    <d v="2025-04-29T00:00:00"/>
    <x v="0"/>
    <s v="Michael Wilson"/>
    <s v="Yes"/>
    <s v="kathleenellis@example.com"/>
    <s v="932-305-8699x7245"/>
    <d v="2026-03-08T17:44:09"/>
    <m/>
  </r>
  <r>
    <s v="Jasmine White"/>
    <n v="100569"/>
    <s v="Finance"/>
    <d v="2025-04-29T00:00:00"/>
    <x v="2"/>
    <s v="Michael Wilson"/>
    <s v="Yes"/>
    <s v="kathleenellis@example.com"/>
    <s v="932-305-8699x7245"/>
    <d v="2026-03-08T17:44:09"/>
    <m/>
  </r>
  <r>
    <s v="Jasmine White"/>
    <n v="100569"/>
    <s v="Finance"/>
    <d v="2025-04-29T00:00:00"/>
    <x v="4"/>
    <s v="Michael Wilson"/>
    <s v="Yes"/>
    <s v="kathleenellis@example.com"/>
    <s v="932-305-8699x7245"/>
    <d v="2026-03-08T17:44:09"/>
    <m/>
  </r>
  <r>
    <s v="Nicole Cox"/>
    <n v="101206"/>
    <s v="HR"/>
    <d v="2026-04-16T00:00:00"/>
    <x v="0"/>
    <s v="Jill Gonzalez"/>
    <s v="Yes"/>
    <s v="howens@example.org"/>
    <s v="+1-754-891-7732x60968"/>
    <d v="2026-02-23T11:35:09"/>
    <m/>
  </r>
  <r>
    <s v="Nicole Cox"/>
    <n v="101206"/>
    <s v="HR"/>
    <d v="2026-04-16T00:00:00"/>
    <x v="3"/>
    <s v="Jill Gonzalez"/>
    <s v="Yes"/>
    <s v="howens@example.org"/>
    <s v="+1-754-891-7732x60968"/>
    <d v="2026-02-23T11:35:09"/>
    <m/>
  </r>
  <r>
    <s v="Melissa Dillon"/>
    <n v="100919"/>
    <s v="IT"/>
    <d v="2025-11-25T00:00:00"/>
    <x v="4"/>
    <s v="Jennifer Brown"/>
    <s v="No"/>
    <s v="emily73@example.com"/>
    <s v="567.494.3364x47026"/>
    <d v="2026-02-12T05:53:09"/>
    <m/>
  </r>
  <r>
    <s v="Ryan Barrett PhD"/>
    <n v="100451"/>
    <s v="HR"/>
    <d v="2026-01-26T00:00:00"/>
    <x v="2"/>
    <s v="Heather Long"/>
    <s v="No"/>
    <s v="jill87@example.net"/>
    <s v="001-966-694-9471x5534"/>
    <d v="2026-02-04T05:04:09"/>
    <m/>
  </r>
  <r>
    <s v="Ryan Barrett PhD"/>
    <n v="100451"/>
    <s v="HR"/>
    <d v="2026-01-26T00:00:00"/>
    <x v="4"/>
    <s v="Heather Long"/>
    <s v="No"/>
    <s v="jill87@example.net"/>
    <s v="001-966-694-9471x5534"/>
    <d v="2026-02-04T05:04:09"/>
    <m/>
  </r>
  <r>
    <s v="Ryan Barrett PhD"/>
    <n v="100451"/>
    <s v="HR"/>
    <d v="2026-01-26T00:00:00"/>
    <x v="5"/>
    <s v="Heather Long"/>
    <s v="No"/>
    <s v="jill87@example.net"/>
    <s v="001-966-694-9471x5534"/>
    <d v="2026-02-04T05:04:09"/>
    <m/>
  </r>
  <r>
    <s v="Maria Love"/>
    <n v="100859"/>
    <s v="Engineering"/>
    <d v="2026-01-01T00:00:00"/>
    <x v="4"/>
    <s v="Alexander Diaz"/>
    <s v="No"/>
    <s v="msimpson@example.net"/>
    <s v="6847896539"/>
    <d v="2026-03-10T13:53:09"/>
    <m/>
  </r>
  <r>
    <s v="Cynthia Ballard"/>
    <n v="101490"/>
    <s v="IT"/>
    <d v="2025-07-12T00:00:00"/>
    <x v="3"/>
    <s v="Julian Mcmahon"/>
    <s v="No"/>
    <s v="xwarren@example.org"/>
    <s v="+1-333-585-6932"/>
    <d v="2026-03-15T10:16:09"/>
    <m/>
  </r>
  <r>
    <s v="James Cherry"/>
    <n v="101436"/>
    <s v="HR"/>
    <d v="2026-05-14T00:00:00"/>
    <x v="1"/>
    <s v="Melissa Hill"/>
    <s v="Yes"/>
    <s v="wellsstephen@example.org"/>
    <s v="415-806-3240x510"/>
    <d v="2026-03-06T08:05:09"/>
    <m/>
  </r>
  <r>
    <s v="James Cherry"/>
    <n v="101436"/>
    <s v="HR"/>
    <d v="2026-05-14T00:00:00"/>
    <x v="5"/>
    <s v="Melissa Hill"/>
    <s v="Yes"/>
    <s v="wellsstephen@example.org"/>
    <s v="415-806-3240x510"/>
    <d v="2026-03-06T08:05:09"/>
    <m/>
  </r>
  <r>
    <s v="David Patel"/>
    <n v="101330"/>
    <s v="Engineering"/>
    <d v="2025-12-14T00:00:00"/>
    <x v="3"/>
    <s v="Jessica Harris"/>
    <s v="No"/>
    <s v="sandra74@example.net"/>
    <s v="(346)760-3327x39974"/>
    <d v="2026-02-05T15:58:09"/>
    <m/>
  </r>
  <r>
    <s v="David Patel"/>
    <n v="101330"/>
    <s v="Engineering"/>
    <d v="2025-12-14T00:00:00"/>
    <x v="1"/>
    <s v="Jessica Harris"/>
    <s v="No"/>
    <s v="sandra74@example.net"/>
    <s v="(346)760-3327x39974"/>
    <d v="2026-02-05T15:58:09"/>
    <m/>
  </r>
  <r>
    <s v="David Patel"/>
    <n v="101330"/>
    <s v="Engineering"/>
    <d v="2025-12-14T00:00:00"/>
    <x v="4"/>
    <s v="Jessica Harris"/>
    <s v="No"/>
    <s v="sandra74@example.net"/>
    <s v="(346)760-3327x39974"/>
    <d v="2026-02-05T15:58:09"/>
    <m/>
  </r>
  <r>
    <s v="Rachel Erickson"/>
    <n v="101466"/>
    <s v="IT"/>
    <d v="2026-03-08T00:00:00"/>
    <x v="3"/>
    <s v="Diane Cabrera"/>
    <s v="No"/>
    <s v="wileyandrew@example.net"/>
    <s v="960.978.1951x6484"/>
    <d v="2026-02-27T19:37:09"/>
    <m/>
  </r>
  <r>
    <s v="Julie Holmes"/>
    <n v="100407"/>
    <s v="Engineering"/>
    <d v="2025-04-01T00:00:00"/>
    <x v="1"/>
    <s v="Sharon Johnson MD"/>
    <s v="Yes"/>
    <s v="jason57@example.net"/>
    <s v="(447)989-3505x260"/>
    <d v="2026-02-23T15:53:09"/>
    <m/>
  </r>
  <r>
    <s v="Julie Holmes"/>
    <n v="100407"/>
    <s v="Engineering"/>
    <d v="2025-04-01T00:00:00"/>
    <x v="5"/>
    <s v="Sharon Johnson MD"/>
    <s v="Yes"/>
    <s v="jason57@example.net"/>
    <s v="(447)989-3505x260"/>
    <d v="2026-02-23T15:53:09"/>
    <m/>
  </r>
  <r>
    <s v="Jamie Rose"/>
    <n v="101149"/>
    <s v="Marketing"/>
    <d v="2025-06-28T00:00:00"/>
    <x v="0"/>
    <s v="Peter Brown"/>
    <s v="Yes"/>
    <s v="fieldsrobin@example.net"/>
    <s v="+1-912-692-3613x91237"/>
    <d v="2026-02-13T15:25:09"/>
    <m/>
  </r>
  <r>
    <s v="Jamie Rose"/>
    <n v="101149"/>
    <s v="Marketing"/>
    <d v="2025-06-28T00:00:00"/>
    <x v="1"/>
    <s v="Peter Brown"/>
    <s v="Yes"/>
    <s v="fieldsrobin@example.net"/>
    <s v="+1-912-692-3613x91237"/>
    <d v="2026-02-13T15:25:09"/>
    <m/>
  </r>
  <r>
    <s v="Jamie Rose"/>
    <n v="101149"/>
    <s v="Marketing"/>
    <d v="2025-06-28T00:00:00"/>
    <x v="2"/>
    <s v="Peter Brown"/>
    <s v="Yes"/>
    <s v="fieldsrobin@example.net"/>
    <s v="+1-912-692-3613x91237"/>
    <d v="2026-02-13T15:25:09"/>
    <m/>
  </r>
  <r>
    <s v="Matthew Meyer"/>
    <n v="100054"/>
    <s v="IT"/>
    <d v="2026-01-22T00:00:00"/>
    <x v="0"/>
    <s v="Michael Graves"/>
    <s v="No"/>
    <s v="reginawright@example.com"/>
    <s v="870.658.0791x06510"/>
    <d v="2026-02-05T21:00:09"/>
    <m/>
  </r>
  <r>
    <s v="Matthew Meyer"/>
    <n v="100054"/>
    <s v="IT"/>
    <d v="2026-01-22T00:00:00"/>
    <x v="1"/>
    <s v="Michael Graves"/>
    <s v="No"/>
    <s v="reginawright@example.com"/>
    <s v="870.658.0791x06510"/>
    <d v="2026-02-05T21:00:09"/>
    <m/>
  </r>
  <r>
    <s v="Matthew Meyer"/>
    <n v="100054"/>
    <s v="IT"/>
    <d v="2026-01-22T00:00:00"/>
    <x v="2"/>
    <s v="Michael Graves"/>
    <s v="No"/>
    <s v="reginawright@example.com"/>
    <s v="870.658.0791x06510"/>
    <d v="2026-02-05T21:00:09"/>
    <m/>
  </r>
  <r>
    <s v="Andrew Gibson"/>
    <n v="101232"/>
    <s v="Engineering"/>
    <d v="2025-12-23T00:00:00"/>
    <x v="1"/>
    <s v="Joshua Brewer"/>
    <s v="Yes"/>
    <s v="rschmidt@example.net"/>
    <s v="703.648.5736"/>
    <d v="2026-03-10T16:42:09"/>
    <m/>
  </r>
  <r>
    <s v="Andrew Gibson"/>
    <n v="101232"/>
    <s v="Engineering"/>
    <d v="2025-12-23T00:00:00"/>
    <x v="4"/>
    <s v="Joshua Brewer"/>
    <s v="Yes"/>
    <s v="rschmidt@example.net"/>
    <s v="703.648.5736"/>
    <d v="2026-03-10T16:42:09"/>
    <m/>
  </r>
  <r>
    <s v="Adrienne Carter"/>
    <n v="101034"/>
    <s v="IT"/>
    <d v="2025-11-30T00:00:00"/>
    <x v="0"/>
    <s v="Carl Lopez"/>
    <s v="No"/>
    <s v="mendezjaime@example.com"/>
    <s v="+1-783-664-3167"/>
    <d v="2026-02-17T01:36:09"/>
    <m/>
  </r>
  <r>
    <s v="Wendy Oneal"/>
    <n v="100476"/>
    <s v="HR"/>
    <d v="2026-04-20T00:00:00"/>
    <x v="2"/>
    <s v="Mary Santana"/>
    <s v="Yes"/>
    <s v="andrewforbes@example.net"/>
    <s v="2753605269"/>
    <d v="2026-03-15T11:13:09"/>
    <m/>
  </r>
  <r>
    <s v="Caitlin Whitaker"/>
    <n v="100447"/>
    <s v="IT"/>
    <d v="2026-01-21T00:00:00"/>
    <x v="0"/>
    <s v="Stephanie Lawson"/>
    <s v="No"/>
    <s v="ojames@example.org"/>
    <s v="+1-323-756-5403x079"/>
    <d v="2026-03-13T04:42:09"/>
    <m/>
  </r>
  <r>
    <s v="Caitlin Whitaker"/>
    <n v="100447"/>
    <s v="IT"/>
    <d v="2026-01-21T00:00:00"/>
    <x v="2"/>
    <s v="Stephanie Lawson"/>
    <s v="No"/>
    <s v="ojames@example.org"/>
    <s v="+1-323-756-5403x079"/>
    <d v="2026-03-13T04:42:09"/>
    <m/>
  </r>
  <r>
    <s v="Robert Brown"/>
    <n v="100191"/>
    <s v="Operations"/>
    <d v="2026-03-07T00:00:00"/>
    <x v="5"/>
    <s v="Joel Glass"/>
    <s v="No"/>
    <s v="wilsonmichelle@example.net"/>
    <s v="+1-453-218-5004x231"/>
    <d v="2026-02-09T13:12:09"/>
    <m/>
  </r>
  <r>
    <s v="Melissa Cruz"/>
    <n v="100061"/>
    <s v="Marketing"/>
    <d v="2025-10-26T00:00:00"/>
    <x v="3"/>
    <s v="Rhonda Brown"/>
    <s v="No"/>
    <s v="caseyantonio@example.org"/>
    <s v="9549847385"/>
    <d v="2026-02-22T11:18:09"/>
    <m/>
  </r>
  <r>
    <s v="Stacey Matthews"/>
    <n v="100065"/>
    <s v="HR"/>
    <d v="2025-10-25T00:00:00"/>
    <x v="4"/>
    <s v="Nicole Nelson"/>
    <s v="Yes"/>
    <s v="danielle53@example.net"/>
    <s v="451-882-7238"/>
    <d v="2026-03-10T21:49:09"/>
    <m/>
  </r>
  <r>
    <s v="Sarah Matthews"/>
    <n v="100864"/>
    <s v="Engineering"/>
    <d v="2025-07-10T00:00:00"/>
    <x v="0"/>
    <s v="Annette Cooper"/>
    <s v="Yes"/>
    <s v="michael76@example.net"/>
    <s v="615.659.0308x19695"/>
    <d v="2026-03-16T09:23:09"/>
    <m/>
  </r>
  <r>
    <s v="Sarah Matthews"/>
    <n v="100864"/>
    <s v="Engineering"/>
    <d v="2025-07-10T00:00:00"/>
    <x v="3"/>
    <s v="Annette Cooper"/>
    <s v="Yes"/>
    <s v="michael76@example.net"/>
    <s v="615.659.0308x19695"/>
    <d v="2026-03-16T09:23:09"/>
    <m/>
  </r>
  <r>
    <s v="Jody Garcia"/>
    <n v="101209"/>
    <s v="Engineering"/>
    <d v="2025-04-24T00:00:00"/>
    <x v="4"/>
    <s v="Alexis Erickson"/>
    <s v="No"/>
    <s v="william49@example.net"/>
    <s v="650-289-2446"/>
    <d v="2026-03-05T08:16:09"/>
    <m/>
  </r>
  <r>
    <s v="Gary Wallace"/>
    <n v="100178"/>
    <s v="Engineering"/>
    <d v="2025-08-23T00:00:00"/>
    <x v="3"/>
    <s v="Linda Ward"/>
    <s v="No"/>
    <s v="carolyn35@example.com"/>
    <s v="981.608.2277x54777"/>
    <d v="2026-03-07T21:13:09"/>
    <m/>
  </r>
  <r>
    <s v="Gary Wallace"/>
    <n v="100178"/>
    <s v="Engineering"/>
    <d v="2025-08-23T00:00:00"/>
    <x v="4"/>
    <s v="Linda Ward"/>
    <s v="No"/>
    <s v="carolyn35@example.com"/>
    <s v="981.608.2277x54777"/>
    <d v="2026-03-07T21:13:09"/>
    <m/>
  </r>
  <r>
    <s v="Shane Wood"/>
    <n v="101116"/>
    <s v="Operations"/>
    <d v="2025-11-16T00:00:00"/>
    <x v="0"/>
    <s v="Autumn Robinson"/>
    <s v="No"/>
    <s v="shernandez@example.net"/>
    <s v="001-237-697-9007"/>
    <d v="2026-02-10T10:53:09"/>
    <m/>
  </r>
  <r>
    <s v="Shane Wood"/>
    <n v="101116"/>
    <s v="Operations"/>
    <d v="2025-11-16T00:00:00"/>
    <x v="3"/>
    <s v="Autumn Robinson"/>
    <s v="No"/>
    <s v="shernandez@example.net"/>
    <s v="001-237-697-9007"/>
    <d v="2026-02-10T10:53:09"/>
    <m/>
  </r>
  <r>
    <s v="Shane Wood"/>
    <n v="101116"/>
    <s v="Operations"/>
    <d v="2025-11-16T00:00:00"/>
    <x v="2"/>
    <s v="Autumn Robinson"/>
    <s v="No"/>
    <s v="shernandez@example.net"/>
    <s v="001-237-697-9007"/>
    <d v="2026-02-10T10:53:09"/>
    <m/>
  </r>
  <r>
    <s v="Stephanie Greene"/>
    <n v="101385"/>
    <s v="IT"/>
    <d v="2026-03-12T00:00:00"/>
    <x v="1"/>
    <s v="Ronnie Carroll"/>
    <s v="No"/>
    <s v="qmurray@example.net"/>
    <s v="366-423-9567"/>
    <d v="2026-02-20T23:05:09"/>
    <m/>
  </r>
  <r>
    <s v="Stephanie Greene"/>
    <n v="101385"/>
    <s v="IT"/>
    <d v="2026-03-12T00:00:00"/>
    <x v="4"/>
    <s v="Ronnie Carroll"/>
    <s v="No"/>
    <s v="qmurray@example.net"/>
    <s v="366-423-9567"/>
    <d v="2026-02-20T23:05:09"/>
    <m/>
  </r>
  <r>
    <s v="Stephanie Greene"/>
    <n v="101385"/>
    <s v="IT"/>
    <d v="2026-03-12T00:00:00"/>
    <x v="5"/>
    <s v="Ronnie Carroll"/>
    <s v="No"/>
    <s v="qmurray@example.net"/>
    <s v="366-423-9567"/>
    <d v="2026-02-20T23:05:09"/>
    <m/>
  </r>
  <r>
    <s v="Kevin Cooper"/>
    <n v="100209"/>
    <s v="HR"/>
    <d v="2026-02-13T00:00:00"/>
    <x v="3"/>
    <s v="Christopher Cole"/>
    <s v="No"/>
    <s v="ubaker@example.org"/>
    <s v="(741)322-7276x5314"/>
    <d v="2026-02-23T18:05:09"/>
    <m/>
  </r>
  <r>
    <s v="Christina Garcia"/>
    <n v="100285"/>
    <s v="IT"/>
    <d v="2025-11-28T00:00:00"/>
    <x v="2"/>
    <s v="Mallory Williams"/>
    <s v="No"/>
    <s v="justin55@example.net"/>
    <s v="345.859.5562"/>
    <d v="2026-02-17T20:41:09"/>
    <m/>
  </r>
  <r>
    <s v="Tina Alvarado MD"/>
    <n v="100457"/>
    <s v="IT"/>
    <d v="2025-08-06T00:00:00"/>
    <x v="4"/>
    <s v="Tanya Webb"/>
    <s v="Yes"/>
    <s v="dperry@example.net"/>
    <s v="+1-350-949-1086x043"/>
    <d v="2026-02-11T10:02:09"/>
    <m/>
  </r>
  <r>
    <s v="Thomas Becker"/>
    <n v="100501"/>
    <s v="HR"/>
    <d v="2026-03-30T00:00:00"/>
    <x v="1"/>
    <s v="Pamela Davis"/>
    <s v="Yes"/>
    <s v="oaguilar@example.com"/>
    <s v="+1-760-293-1608"/>
    <d v="2026-03-14T09:53:09"/>
    <m/>
  </r>
  <r>
    <s v="Thomas Becker"/>
    <n v="100501"/>
    <s v="HR"/>
    <d v="2026-03-30T00:00:00"/>
    <x v="2"/>
    <s v="Pamela Davis"/>
    <s v="Yes"/>
    <s v="oaguilar@example.com"/>
    <s v="+1-760-293-1608"/>
    <d v="2026-03-14T09:53:09"/>
    <m/>
  </r>
  <r>
    <s v="Thomas Becker"/>
    <n v="100501"/>
    <s v="HR"/>
    <d v="2026-03-30T00:00:00"/>
    <x v="4"/>
    <s v="Pamela Davis"/>
    <s v="Yes"/>
    <s v="oaguilar@example.com"/>
    <s v="+1-760-293-1608"/>
    <d v="2026-03-14T09:53:09"/>
    <m/>
  </r>
  <r>
    <s v="Amanda Watson"/>
    <n v="100563"/>
    <s v="Operations"/>
    <d v="2026-02-11T00:00:00"/>
    <x v="0"/>
    <s v="Christina Miller"/>
    <s v="No"/>
    <s v="woodjames@example.org"/>
    <s v="(864)500-9333"/>
    <d v="2026-03-14T08:41:09"/>
    <m/>
  </r>
  <r>
    <s v="Amanda Watson"/>
    <n v="100563"/>
    <s v="Operations"/>
    <d v="2026-02-11T00:00:00"/>
    <x v="2"/>
    <s v="Christina Miller"/>
    <s v="No"/>
    <s v="woodjames@example.org"/>
    <s v="(864)500-9333"/>
    <d v="2026-03-14T08:41:09"/>
    <m/>
  </r>
  <r>
    <s v="Mr. Theodore Wade PhD"/>
    <n v="100051"/>
    <s v="Finance"/>
    <d v="2026-01-11T00:00:00"/>
    <x v="1"/>
    <s v="Makayla Stone"/>
    <s v="Yes"/>
    <s v="hansenchristina@example.net"/>
    <s v="547-681-6766x3420"/>
    <d v="2026-02-26T21:06:09"/>
    <m/>
  </r>
  <r>
    <s v="Mr. Theodore Wade PhD"/>
    <n v="100051"/>
    <s v="Finance"/>
    <d v="2026-01-11T00:00:00"/>
    <x v="2"/>
    <s v="Makayla Stone"/>
    <s v="Yes"/>
    <s v="hansenchristina@example.net"/>
    <s v="547-681-6766x3420"/>
    <d v="2026-02-26T21:06:09"/>
    <m/>
  </r>
  <r>
    <s v="Anna Carter"/>
    <n v="100228"/>
    <s v="Operations"/>
    <d v="2025-11-24T00:00:00"/>
    <x v="5"/>
    <s v="Jennifer Carter"/>
    <s v="No"/>
    <s v="eduardo64@example.com"/>
    <s v="8475832796"/>
    <d v="2026-02-16T16:24:09"/>
    <m/>
  </r>
  <r>
    <s v="Richard Murphy"/>
    <n v="101309"/>
    <s v="Finance"/>
    <d v="2025-06-29T00:00:00"/>
    <x v="4"/>
    <s v="Michael Wells"/>
    <s v="Yes"/>
    <s v="joseph92@example.com"/>
    <s v="(387)714-4693x9953"/>
    <d v="2026-02-02T07:30:09"/>
    <m/>
  </r>
  <r>
    <s v="Richard Murphy"/>
    <n v="101309"/>
    <s v="Finance"/>
    <d v="2025-06-29T00:00:00"/>
    <x v="5"/>
    <s v="Michael Wells"/>
    <s v="Yes"/>
    <s v="joseph92@example.com"/>
    <s v="(387)714-4693x9953"/>
    <d v="2026-02-02T07:30:09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75C9ABD-0BEB-4657-8E3D-FD94F7F4432F}" name="Employees by Department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5">
  <location ref="A5:B13" firstHeaderRow="1" firstDataRow="1" firstDataCol="1"/>
  <pivotFields count="11">
    <pivotField showAll="0"/>
    <pivotField dataField="1" showAll="0"/>
    <pivotField axis="axisRow" showAll="0">
      <items count="8">
        <item x="0"/>
        <item x="2"/>
        <item x="4"/>
        <item x="1"/>
        <item x="3"/>
        <item x="5"/>
        <item x="6"/>
        <item t="default"/>
      </items>
    </pivotField>
    <pivotField numFmtId="14" showAll="0"/>
    <pivotField showAll="0"/>
    <pivotField showAll="0"/>
    <pivotField showAll="0"/>
    <pivotField showAll="0"/>
    <pivotField showAll="0"/>
    <pivotField numFmtId="22" showAll="0"/>
    <pivotField showAll="0"/>
  </pivotFields>
  <rowFields count="1">
    <field x="2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Count of Employee ID" fld="1" subtotal="count" baseField="2" baseItem="0"/>
  </dataFields>
  <chartFormats count="1">
    <chartFormat chart="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CDB64C5-251E-42A1-9745-2A43ADE75327}" name="Equipment Requests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2">
  <location ref="A15:B22" firstHeaderRow="1" firstDataRow="1" firstDataCol="1"/>
  <pivotFields count="11">
    <pivotField showAll="0"/>
    <pivotField dataField="1" showAll="0"/>
    <pivotField showAll="0"/>
    <pivotField numFmtId="14" showAll="0"/>
    <pivotField axis="axisRow" showAll="0">
      <items count="7">
        <item x="0"/>
        <item x="3"/>
        <item x="1"/>
        <item x="2"/>
        <item x="4"/>
        <item x="5"/>
        <item t="default"/>
      </items>
    </pivotField>
    <pivotField showAll="0"/>
    <pivotField showAll="0"/>
    <pivotField showAll="0"/>
    <pivotField showAll="0"/>
    <pivotField numFmtId="22" showAll="0"/>
    <pivotField showAll="0"/>
  </pivotFields>
  <rowFields count="1">
    <field x="4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Count of Employee ID" fld="1" subtotal="count" baseField="4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954D7D2-B05B-4F80-A6AC-842BB8CA6892}" name="Training Requirement Distribution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8">
  <location ref="E5:F8" firstHeaderRow="1" firstDataRow="1" firstDataCol="1"/>
  <pivotFields count="11">
    <pivotField showAll="0"/>
    <pivotField dataField="1" showAll="0"/>
    <pivotField showAll="0">
      <items count="8">
        <item x="0"/>
        <item x="2"/>
        <item x="4"/>
        <item x="1"/>
        <item x="3"/>
        <item x="5"/>
        <item x="6"/>
        <item t="default"/>
      </items>
    </pivotField>
    <pivotField numFmtId="14" showAll="0"/>
    <pivotField showAll="0"/>
    <pivotField showAll="0"/>
    <pivotField axis="axisRow" showAll="0">
      <items count="3">
        <item x="1"/>
        <item x="0"/>
        <item t="default"/>
      </items>
    </pivotField>
    <pivotField showAll="0"/>
    <pivotField showAll="0"/>
    <pivotField numFmtId="22" showAll="0"/>
    <pivotField showAll="0"/>
  </pivotFields>
  <rowFields count="1">
    <field x="6"/>
  </rowFields>
  <rowItems count="3">
    <i>
      <x/>
    </i>
    <i>
      <x v="1"/>
    </i>
    <i t="grand">
      <x/>
    </i>
  </rowItems>
  <colItems count="1">
    <i/>
  </colItems>
  <dataFields count="1">
    <dataField name="Sum of Employee ID" fld="1" baseField="0" baseItem="0"/>
  </dataFields>
  <chartFormats count="3">
    <chartFormat chart="17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7" format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17" format="2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5" xr16:uid="{AE2F3F18-BB29-4295-9D07-E4067CBB69FD}" autoFormatId="16" applyNumberFormats="0" applyBorderFormats="0" applyFontFormats="0" applyPatternFormats="0" applyAlignmentFormats="0" applyWidthHeightFormats="0">
  <queryTableRefresh nextId="12">
    <queryTableFields count="11">
      <queryTableField id="1" name="Employee Name" tableColumnId="1"/>
      <queryTableField id="2" name="Employee ID" tableColumnId="2"/>
      <queryTableField id="3" name="Department" tableColumnId="3"/>
      <queryTableField id="4" name="Start Date" tableColumnId="4"/>
      <queryTableField id="5" name="Equipment" tableColumnId="5"/>
      <queryTableField id="6" name="Manager Name" tableColumnId="6"/>
      <queryTableField id="7" name="Training Required" tableColumnId="7"/>
      <queryTableField id="8" name="Email" tableColumnId="8"/>
      <queryTableField id="9" name="Phone" tableColumnId="9"/>
      <queryTableField id="10" name="Submission Timestamp" tableColumnId="10"/>
      <queryTableField id="11" name="Data Issue Flag" tableColumnId="11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1" xr16:uid="{2B95DB81-DD32-4EE4-A873-863C96CC80AA}" autoFormatId="16" applyNumberFormats="0" applyBorderFormats="0" applyFontFormats="0" applyPatternFormats="0" applyAlignmentFormats="0" applyWidthHeightFormats="0">
  <queryTableRefresh nextId="12">
    <queryTableFields count="11">
      <queryTableField id="1" name="Employee Name" tableColumnId="1"/>
      <queryTableField id="2" name="Employee ID" tableColumnId="2"/>
      <queryTableField id="3" name="Department" tableColumnId="3"/>
      <queryTableField id="4" name="Start Date" tableColumnId="4"/>
      <queryTableField id="5" name="Equipment Required" tableColumnId="5"/>
      <queryTableField id="6" name="Manager Name" tableColumnId="6"/>
      <queryTableField id="7" name="Training Required" tableColumnId="7"/>
      <queryTableField id="8" name="Email" tableColumnId="8"/>
      <queryTableField id="9" name="Phone" tableColumnId="9"/>
      <queryTableField id="10" name="Submission Timestamp" tableColumnId="10"/>
      <queryTableField id="11" name="Data Issue Flag" tableColumnId="11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1" xr16:uid="{C89AE76B-9992-4DB8-BD7F-0C3FCAE4D2EE}" autoFormatId="16" applyNumberFormats="0" applyBorderFormats="0" applyFontFormats="0" applyPatternFormats="0" applyAlignmentFormats="0" applyWidthHeightFormats="0">
  <queryTableRefresh nextId="10">
    <queryTableFields count="7">
      <queryTableField id="1" name="Employee Name" tableColumnId="1"/>
      <queryTableField id="2" name="Manager Name" tableColumnId="2"/>
      <queryTableField id="3" name="Employee Email" tableColumnId="3"/>
      <queryTableField id="4" name="Department" tableColumnId="4"/>
      <queryTableField id="5" name="Employee ID" tableColumnId="5"/>
      <queryTableField id="8" name="Missing Field" tableColumnId="8"/>
      <queryTableField id="7" name="Is Resolved" tableColumnId="7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8" xr16:uid="{43B6EA21-CB88-4369-BEF3-1871C0634CC7}" autoFormatId="16" applyNumberFormats="0" applyBorderFormats="0" applyFontFormats="0" applyPatternFormats="0" applyAlignmentFormats="0" applyWidthHeightFormats="0">
  <queryTableRefresh nextId="9" unboundColumnsRight="4">
    <queryTableFields count="8">
      <queryTableField id="1" name="Employee Name" tableColumnId="1"/>
      <queryTableField id="2" name="Manager Name" tableColumnId="2"/>
      <queryTableField id="3" name="Employee Email" tableColumnId="3"/>
      <queryTableField id="4" name="Missing Information" tableColumnId="4"/>
      <queryTableField id="5" dataBound="0" tableColumnId="5"/>
      <queryTableField id="6" dataBound="0" tableColumnId="6"/>
      <queryTableField id="7" dataBound="0" tableColumnId="7"/>
      <queryTableField id="8" dataBound="0" tableColumnId="8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7" xr16:uid="{20E87939-7FBE-4983-AD02-B32BE1311C69}" autoFormatId="16" applyNumberFormats="0" applyBorderFormats="0" applyFontFormats="0" applyPatternFormats="0" applyAlignmentFormats="0" applyWidthHeightFormats="0">
  <queryTableRefresh nextId="5">
    <queryTableFields count="4">
      <queryTableField id="1" name="Employee Name" tableColumnId="1"/>
      <queryTableField id="2" name="Manager Name" tableColumnId="2"/>
      <queryTableField id="3" name="Employee Email" tableColumnId="3"/>
      <queryTableField id="4" name="Missing Information" tableColumnId="4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0" xr16:uid="{57BFEC0E-22A7-40A2-8603-23EC9CAD3A55}" autoFormatId="16" applyNumberFormats="0" applyBorderFormats="0" applyFontFormats="0" applyPatternFormats="0" applyAlignmentFormats="0" applyWidthHeightFormats="0">
  <queryTableRefresh nextId="10">
    <queryTableFields count="9">
      <queryTableField id="1" name="Response ID" tableColumnId="1"/>
      <queryTableField id="2" name="Submission Timestamp" tableColumnId="2"/>
      <queryTableField id="3" name="Action Type" tableColumnId="3"/>
      <queryTableField id="4" name="Employee Email" tableColumnId="4"/>
      <queryTableField id="5" name="Employee Name" tableColumnId="5"/>
      <queryTableField id="6" name="Target Field" tableColumnId="6"/>
      <queryTableField id="7" name="Corrected Value" tableColumnId="7"/>
      <queryTableField id="8" name="Submitted by" tableColumnId="8"/>
      <queryTableField id="9" name="Resolution Status" tableColumnId="9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4" xr16:uid="{DD326B5D-D90A-46CC-AFFE-9E20CB3ABFE3}" autoFormatId="16" applyNumberFormats="0" applyBorderFormats="0" applyFontFormats="0" applyPatternFormats="0" applyAlignmentFormats="0" applyWidthHeightFormats="0">
  <queryTableRefresh nextId="3">
    <queryTableFields count="2">
      <queryTableField id="1" name="Employee Email" tableColumnId="1"/>
      <queryTableField id="2" name="Employee ID Correction" tableColumnId="2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3" xr16:uid="{9251ED83-041A-43D3-9745-B0204096908A}" autoFormatId="16" applyNumberFormats="0" applyBorderFormats="0" applyFontFormats="0" applyPatternFormats="0" applyAlignmentFormats="0" applyWidthHeightFormats="0">
  <queryTableRefresh nextId="3">
    <queryTableFields count="2">
      <queryTableField id="1" name="Employee Email" tableColumnId="1"/>
      <queryTableField id="2" name="Department Correction" tableColumnId="2"/>
    </queryTableFields>
  </queryTableRefresh>
</queryTable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8CA808C1-762A-4C51-9B69-18526587C90A}" autoFormatId="16" applyNumberFormats="0" applyBorderFormats="0" applyFontFormats="0" applyPatternFormats="0" applyAlignmentFormats="0" applyWidthHeightFormats="0">
  <queryTableRefresh nextId="4">
    <queryTableFields count="3">
      <queryTableField id="1" name="Employee Email" tableColumnId="1"/>
      <queryTableField id="2" name="Target Field" tableColumnId="2"/>
      <queryTableField id="3" name="Corrected Value" tableColumnId="3"/>
    </queryTableFields>
  </queryTableRefresh>
</queryTable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6" xr16:uid="{E910F904-AEEF-4321-AEC2-4B220685C236}" autoFormatId="16" applyNumberFormats="0" applyBorderFormats="0" applyFontFormats="0" applyPatternFormats="0" applyAlignmentFormats="0" applyWidthHeightFormats="0">
  <queryTableRefresh nextId="21">
    <queryTableFields count="11">
      <queryTableField id="1" name="Employee Name" tableColumnId="1"/>
      <queryTableField id="4" name="Start Date" tableColumnId="4"/>
      <queryTableField id="5" name="Equipment Required" tableColumnId="5"/>
      <queryTableField id="6" name="Manager Name" tableColumnId="6"/>
      <queryTableField id="7" name="Training Required" tableColumnId="7"/>
      <queryTableField id="8" name="Email" tableColumnId="8"/>
      <queryTableField id="9" name="Phone" tableColumnId="9"/>
      <queryTableField id="10" name="Submission Timestamp" tableColumnId="10"/>
      <queryTableField id="11" name="Data Issue Flag" tableColumnId="11"/>
      <queryTableField id="3" name="Department" tableColumnId="3"/>
      <queryTableField id="2" name="Employee ID" tableColumnId="2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99ADFD3-D19C-4FE1-BF34-52E8EA1753CC}" name="tbl_raw_hr" displayName="tbl_raw_hr" ref="A1:K1501" totalsRowShown="0">
  <autoFilter ref="A1:K1501" xr:uid="{799ADFD3-D19C-4FE1-BF34-52E8EA1753CC}"/>
  <tableColumns count="11">
    <tableColumn id="1" xr3:uid="{B4BBB676-C402-4A33-8643-76E7B0DC0FA2}" name="Employee Name"/>
    <tableColumn id="2" xr3:uid="{711250EC-F6CC-4DB9-9F85-6852F857ED87}" name="Employee ID"/>
    <tableColumn id="3" xr3:uid="{9242DE9D-ECDF-4B5A-B9D4-6D6E948DF16D}" name="Department"/>
    <tableColumn id="4" xr3:uid="{73171D9D-30F5-4D77-BEE4-12EEB7E89E47}" name="Start Date" dataDxfId="67"/>
    <tableColumn id="5" xr3:uid="{BF7CFE3C-C915-43E5-806C-C3EFEF69C6E9}" name="Equipment Required"/>
    <tableColumn id="6" xr3:uid="{CC181377-15AE-4462-828C-FBF380D1C318}" name="Manager Name"/>
    <tableColumn id="7" xr3:uid="{52F98F86-16CE-4504-AFC4-63DB766A4BA4}" name="Training Required"/>
    <tableColumn id="8" xr3:uid="{CD904DD7-1ACC-4EA2-B4F1-2E38CBDCA1D5}" name="Email"/>
    <tableColumn id="9" xr3:uid="{C07928E3-C4F3-47A4-B3CC-5CFEEC39CBB5}" name="Phone"/>
    <tableColumn id="10" xr3:uid="{976E13A5-1A45-48DF-B225-0E21E035EB8B}" name="Submission Timestamp" dataDxfId="66"/>
    <tableColumn id="11" xr3:uid="{6D1B1A59-D6CF-4141-90E2-1A80FFF63D94}" name="Data Issue Flag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25FB867-210F-4FB5-ABCD-25E6AAE1ED2B}" name="tbl_equipment" displayName="tbl_equipment" ref="A1:K2978" tableType="queryTable" totalsRowShown="0">
  <autoFilter ref="A1:K2978" xr:uid="{125FB867-210F-4FB5-ABCD-25E6AAE1ED2B}"/>
  <tableColumns count="11">
    <tableColumn id="1" xr3:uid="{4143399B-38DD-4FB6-923A-AC48DC5829A6}" uniqueName="1" name="Employee Name" queryTableFieldId="1" dataDxfId="41"/>
    <tableColumn id="2" xr3:uid="{3D4C2F36-0BCD-4B6A-AC55-A757E0FD77FE}" uniqueName="2" name="Employee ID" queryTableFieldId="2"/>
    <tableColumn id="3" xr3:uid="{65975640-1C51-434E-BC0F-95063CA265FE}" uniqueName="3" name="Department" queryTableFieldId="3" dataDxfId="40"/>
    <tableColumn id="4" xr3:uid="{05456007-98CF-456A-BF87-823A84984D6C}" uniqueName="4" name="Start Date" queryTableFieldId="4" dataDxfId="39"/>
    <tableColumn id="5" xr3:uid="{E99FE05E-9750-43B1-8F43-C4DEE64B5E63}" uniqueName="5" name="Equipment" queryTableFieldId="5" dataDxfId="38"/>
    <tableColumn id="6" xr3:uid="{63E7B841-758F-4387-8012-322958D5A741}" uniqueName="6" name="Manager Name" queryTableFieldId="6" dataDxfId="37"/>
    <tableColumn id="7" xr3:uid="{7648A2DE-6798-4C2C-80F3-92C00EF410A1}" uniqueName="7" name="Training Required" queryTableFieldId="7" dataDxfId="36"/>
    <tableColumn id="8" xr3:uid="{6FE3D9DF-79F9-4C5D-83A3-DB1F811B69C1}" uniqueName="8" name="Email" queryTableFieldId="8" dataDxfId="35"/>
    <tableColumn id="9" xr3:uid="{F47C52F3-0F0D-4D97-BC1B-91972973E072}" uniqueName="9" name="Phone" queryTableFieldId="9" dataDxfId="34"/>
    <tableColumn id="10" xr3:uid="{174279B1-2D39-44E2-9ADC-CBD907CBB152}" uniqueName="10" name="Submission Timestamp" queryTableFieldId="10" dataDxfId="33"/>
    <tableColumn id="11" xr3:uid="{7694C6DA-C7AB-4B49-978B-C997F2EDF403}" uniqueName="11" name="Data Issue Flag" queryTableFieldId="11" dataDxfId="32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315F184-F422-4296-B1D3-29F87EA89EDB}" name="tbl_clean_hr" displayName="tbl_clean_hr" ref="A1:K1501" tableType="queryTable" totalsRowShown="0">
  <autoFilter ref="A1:K1501" xr:uid="{E315F184-F422-4296-B1D3-29F87EA89EDB}"/>
  <tableColumns count="11">
    <tableColumn id="1" xr3:uid="{CFB1F930-F82C-4CD2-B563-8CD6EE1B2F5F}" uniqueName="1" name="Employee Name" queryTableFieldId="1" dataDxfId="51"/>
    <tableColumn id="2" xr3:uid="{E85FAE74-402B-4D5C-8B8D-71EAA295A095}" uniqueName="2" name="Employee ID" queryTableFieldId="2"/>
    <tableColumn id="3" xr3:uid="{6DC8A524-5A49-486F-92BE-6BFF1DA8C631}" uniqueName="3" name="Department" queryTableFieldId="3" dataDxfId="50"/>
    <tableColumn id="4" xr3:uid="{F9607AEF-90C3-4320-8E61-AE51ADD380F1}" uniqueName="4" name="Start Date" queryTableFieldId="4" dataDxfId="49"/>
    <tableColumn id="5" xr3:uid="{DF570C6B-C4DB-43B7-B243-0AB7EA706DF7}" uniqueName="5" name="Equipment Required" queryTableFieldId="5" dataDxfId="48"/>
    <tableColumn id="6" xr3:uid="{4BDB0496-CD5F-49A0-8A73-E9C8FE9583C0}" uniqueName="6" name="Manager Name" queryTableFieldId="6" dataDxfId="47"/>
    <tableColumn id="7" xr3:uid="{179883EC-AD43-40E0-AB27-788D61430319}" uniqueName="7" name="Training Required" queryTableFieldId="7" dataDxfId="46"/>
    <tableColumn id="8" xr3:uid="{86E73111-4877-4008-A7A1-77CA267F9EB4}" uniqueName="8" name="Email" queryTableFieldId="8" dataDxfId="45"/>
    <tableColumn id="9" xr3:uid="{8635E175-B456-47D2-A3CE-CD2070F723D8}" uniqueName="9" name="Phone" queryTableFieldId="9" dataDxfId="44"/>
    <tableColumn id="10" xr3:uid="{9CFE06AA-002A-4B28-9239-D3A082846291}" uniqueName="10" name="Submission Timestamp" queryTableFieldId="10" dataDxfId="43"/>
    <tableColumn id="11" xr3:uid="{FEBCF1C3-0022-4C1E-8EC1-22CD8BC9B53D}" uniqueName="11" name="Data Issue Flag" queryTableFieldId="11" dataDxfId="42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E18F100-305B-430D-8883-B2F58157522B}" name="tbl_missing_action_source" displayName="tbl_missing_action_source" ref="A1:G44" tableType="queryTable" totalsRowShown="0">
  <autoFilter ref="A1:G44" xr:uid="{1E18F100-305B-430D-8883-B2F58157522B}"/>
  <tableColumns count="7">
    <tableColumn id="1" xr3:uid="{A5CCC034-C40B-4178-8C2B-35D2A9F27790}" uniqueName="1" name="Employee Name" queryTableFieldId="1" dataDxfId="23"/>
    <tableColumn id="2" xr3:uid="{3C67EFA5-91E0-4642-B16E-9CF625028E4D}" uniqueName="2" name="Manager Name" queryTableFieldId="2" dataDxfId="22"/>
    <tableColumn id="3" xr3:uid="{DE622C24-C2FB-4BB1-8F67-E997F33727BE}" uniqueName="3" name="Employee Email" queryTableFieldId="3" dataDxfId="21"/>
    <tableColumn id="4" xr3:uid="{2AC1D276-B5EF-4E99-969A-1FF792B11C8A}" uniqueName="4" name="Department" queryTableFieldId="4" dataDxfId="20"/>
    <tableColumn id="5" xr3:uid="{1583B8EA-7008-4A76-B1C4-1B8EA00A655A}" uniqueName="5" name="Employee ID" queryTableFieldId="5"/>
    <tableColumn id="8" xr3:uid="{7B93EB67-D03A-48C4-9B78-14279D46F77A}" uniqueName="8" name="Missing Field" queryTableFieldId="8"/>
    <tableColumn id="7" xr3:uid="{AFF479BF-9BA5-4DBC-BB53-34D8A7BB875E}" uniqueName="7" name="Is Resolved" queryTableFieldId="7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B8ADBAE1-93DD-4E1E-A27C-F64F356D31F7}" name="tbl_missing_action" displayName="tbl_missing_action" ref="A1:H92" tableType="queryTable" totalsRowShown="0">
  <autoFilter ref="A1:H92" xr:uid="{B8ADBAE1-93DD-4E1E-A27C-F64F356D31F7}"/>
  <tableColumns count="8">
    <tableColumn id="1" xr3:uid="{CFBCF438-B7A7-4BF8-843D-E6C5B3702FE2}" uniqueName="1" name="Employee Name" queryTableFieldId="1" dataDxfId="31"/>
    <tableColumn id="2" xr3:uid="{FCB5BFE6-5916-448F-8BEE-377072274C45}" uniqueName="2" name="Manager Name" queryTableFieldId="2" dataDxfId="30"/>
    <tableColumn id="3" xr3:uid="{5F8C09AE-2E52-4BDD-9479-D6D94B11E9E4}" uniqueName="3" name="Employee Email" queryTableFieldId="3" dataDxfId="29"/>
    <tableColumn id="4" xr3:uid="{E0DF2E9A-2759-4CC5-AD77-34098377535E}" uniqueName="4" name="Missing Information" queryTableFieldId="4" dataDxfId="28"/>
    <tableColumn id="5" xr3:uid="{CDED669E-8FF8-40D1-9E2B-98CD9F3AD41A}" uniqueName="5" name="Draft Email" queryTableFieldId="5" dataDxfId="27"/>
    <tableColumn id="6" xr3:uid="{8DCBBCE6-04A3-41EC-87E5-BC9A21E5138C}" uniqueName="6" name="Issue Status" queryTableFieldId="6" dataDxfId="26"/>
    <tableColumn id="7" xr3:uid="{6CEDC41F-0D77-4C1A-94AC-308FD1C6F1DE}" uniqueName="7" name="Date Contacted" queryTableFieldId="7" dataDxfId="25"/>
    <tableColumn id="8" xr3:uid="{8BA57CB1-D889-4BEA-B844-666CB5BF515E}" uniqueName="8" name="Resolved" queryTableFieldId="8" dataDxfId="24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228A8AC1-9C4C-4300-896C-95E381C1EF4F}" name="tbl_missing_action_current" displayName="tbl_missing_action_current" ref="A1:D64" tableType="queryTable" totalsRowShown="0">
  <autoFilter ref="A1:D64" xr:uid="{228A8AC1-9C4C-4300-896C-95E381C1EF4F}"/>
  <tableColumns count="4">
    <tableColumn id="1" xr3:uid="{569F1AE3-D809-4921-9BC6-C4E731C3A630}" uniqueName="1" name="Employee Name" queryTableFieldId="1" dataDxfId="65"/>
    <tableColumn id="2" xr3:uid="{1F709923-6078-4430-9E0E-6E01EFC02F11}" uniqueName="2" name="Manager Name" queryTableFieldId="2" dataDxfId="64"/>
    <tableColumn id="3" xr3:uid="{8A76CD9E-A6C9-4799-AE5A-19A58333D746}" uniqueName="3" name="Employee Email" queryTableFieldId="3" dataDxfId="63"/>
    <tableColumn id="4" xr3:uid="{25000F23-3E4E-40F7-8D09-46795B8FDA27}" uniqueName="4" name="Missing Information" queryTableFieldId="4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74E10CB0-C241-4031-964B-395EB61246BD}" name="tbl_corrections_form_responses_1" displayName="tbl_corrections_form_responses_1" ref="A1:I2" tableType="queryTable" totalsRowShown="0">
  <autoFilter ref="A1:I2" xr:uid="{74E10CB0-C241-4031-964B-395EB61246BD}"/>
  <tableColumns count="9">
    <tableColumn id="1" xr3:uid="{E05062B2-1DAA-498D-9473-EC1FCB96EF95}" uniqueName="1" name="Response ID" queryTableFieldId="1"/>
    <tableColumn id="2" xr3:uid="{0EEA6313-13FB-4995-9E02-E26E8D8294D1}" uniqueName="2" name="Submission Timestamp" queryTableFieldId="2"/>
    <tableColumn id="3" xr3:uid="{CD1AD9C1-AE39-405D-B765-1C2175F34A7B}" uniqueName="3" name="Action Type" queryTableFieldId="3"/>
    <tableColumn id="4" xr3:uid="{63D8F010-5A91-423F-9FF8-9A1E93D49954}" uniqueName="4" name="Employee Email" queryTableFieldId="4"/>
    <tableColumn id="5" xr3:uid="{11D29EE3-F757-40DE-8536-8B083D1B6475}" uniqueName="5" name="Employee Name" queryTableFieldId="5"/>
    <tableColumn id="6" xr3:uid="{32EAADED-FBCC-47E4-92F5-074AD0CFCF59}" uniqueName="6" name="Target Field" queryTableFieldId="6"/>
    <tableColumn id="7" xr3:uid="{34F27FED-EC4F-4BF6-A1E5-3A32F6B7CF2F}" uniqueName="7" name="Corrected Value" queryTableFieldId="7"/>
    <tableColumn id="8" xr3:uid="{A1E9701F-8279-4EEE-93AB-096EB4079039}" uniqueName="8" name="Submitted by" queryTableFieldId="8"/>
    <tableColumn id="9" xr3:uid="{A9B261C5-3CAC-480A-AED9-A598F2264166}" uniqueName="9" name="Resolution Status" queryTableFieldId="9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FBC62BE-A1F6-41B0-BB5C-8EFFCC84C10F}" name="tbl_corrections_form_responses" displayName="tbl_corrections_form_responses" ref="A1:I3" totalsRowShown="0">
  <autoFilter ref="A1:I3" xr:uid="{8FBC62BE-A1F6-41B0-BB5C-8EFFCC84C10F}"/>
  <tableColumns count="9">
    <tableColumn id="1" xr3:uid="{A2F823DD-D373-4CA1-9DD2-FACAF1676FF0}" name="Response ID"/>
    <tableColumn id="2" xr3:uid="{C3CF1CC5-A504-45B5-8150-2A46BAD245BD}" name="Submission Timestamp"/>
    <tableColumn id="9" xr3:uid="{5300708B-EF94-447A-A264-95D75CB2A208}" name="Action Type"/>
    <tableColumn id="3" xr3:uid="{542A2A2C-EDD9-4C0E-8D69-DF81B19FC3E3}" name="Employee Email"/>
    <tableColumn id="4" xr3:uid="{FBC2E82F-CAE0-43F5-839C-000C0FB239BF}" name="Employee Name"/>
    <tableColumn id="5" xr3:uid="{3E7694D3-2EF1-4834-8E9B-FA8D622FE422}" name="Target Field"/>
    <tableColumn id="6" xr3:uid="{ADAEA683-8B14-4BFE-A107-5249F5F03C51}" name="Corrected Value"/>
    <tableColumn id="7" xr3:uid="{AD62F3F9-A6F7-4030-BEEC-55A9C73BC7A6}" name="Submitted by"/>
    <tableColumn id="8" xr3:uid="{8CE0CDCE-9B42-47ED-855F-94F9BFD65B2C}" name="Resolution Status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5BAA394-60CA-440B-9BCD-96C699D561FC}" name="EmployeeID_Corrections_Query" displayName="EmployeeID_Corrections_Query" ref="A1:B2" tableType="queryTable" totalsRowShown="0">
  <autoFilter ref="A1:B2" xr:uid="{05BAA394-60CA-440B-9BCD-96C699D561FC}"/>
  <tableColumns count="2">
    <tableColumn id="1" xr3:uid="{BA89EBDD-42B7-43EC-A80E-F70D0BB1AD0D}" uniqueName="1" name="Employee Email" queryTableFieldId="1" dataDxfId="19"/>
    <tableColumn id="2" xr3:uid="{ACED5D27-7F0B-4E23-92F9-872CCDA1C55D}" uniqueName="2" name="Employee ID Correction" queryTableFieldId="2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F0027F25-E8AE-4911-8C93-DCEE014A03BD}" name="Department_Corrections_Query" displayName="Department_Corrections_Query" ref="A1:B2" tableType="queryTable" totalsRowShown="0">
  <autoFilter ref="A1:B2" xr:uid="{F0027F25-E8AE-4911-8C93-DCEE014A03BD}"/>
  <tableColumns count="2">
    <tableColumn id="1" xr3:uid="{57FB205A-57E8-47EA-87AC-C2FB8900CD1F}" uniqueName="1" name="Employee Email" queryTableFieldId="1" dataDxfId="18"/>
    <tableColumn id="2" xr3:uid="{A5D700C4-9AD5-45AF-B73F-E43B308CECAA}" uniqueName="2" name="Department Correction" queryTableFieldId="2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AA26FD06-8798-42C7-B8EC-8644CAAC061D}" name="Corrections_Log_Query" displayName="Corrections_Log_Query" ref="A1:C3" tableType="queryTable" totalsRowShown="0">
  <autoFilter ref="A1:C3" xr:uid="{AA26FD06-8798-42C7-B8EC-8644CAAC061D}"/>
  <tableColumns count="3">
    <tableColumn id="1" xr3:uid="{290DB436-84D3-40A6-90E5-8B601BFAF069}" uniqueName="1" name="Employee Email" queryTableFieldId="1" dataDxfId="17"/>
    <tableColumn id="2" xr3:uid="{2DEA445C-9095-42AE-96A5-B2B5E236F3C9}" uniqueName="2" name="Target Field" queryTableFieldId="2" dataDxfId="16"/>
    <tableColumn id="3" xr3:uid="{30A53E57-F85C-4EF3-8AC2-0C21A405642F}" uniqueName="3" name="Corrected Value" queryTableFieldId="3"/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9EAC49DB-4514-4AD8-93EF-CB40D7038864}" name="tbl_final_resolved_data" displayName="tbl_final_resolved_data" ref="A1:K1501" tableType="queryTable" totalsRowShown="0">
  <autoFilter ref="A1:K1501" xr:uid="{9EAC49DB-4514-4AD8-93EF-CB40D7038864}"/>
  <tableColumns count="11">
    <tableColumn id="1" xr3:uid="{74E24C5D-7867-4D86-B293-FE4CC3A8349E}" uniqueName="1" name="Employee Name" queryTableFieldId="1" dataDxfId="62"/>
    <tableColumn id="4" xr3:uid="{8C417F79-1286-48CC-A33E-D1E3AD16A4D3}" uniqueName="4" name="Start Date" queryTableFieldId="4" dataDxfId="61"/>
    <tableColumn id="5" xr3:uid="{CC55186E-2F7A-4313-B182-58EB92856131}" uniqueName="5" name="Equipment Required" queryTableFieldId="5" dataDxfId="60"/>
    <tableColumn id="6" xr3:uid="{9D4E83AD-192F-409E-9F4E-1E448E2F5FB7}" uniqueName="6" name="Manager Name" queryTableFieldId="6" dataDxfId="59"/>
    <tableColumn id="7" xr3:uid="{7E02832C-1EBC-458E-8692-752F4D1464BA}" uniqueName="7" name="Training Required" queryTableFieldId="7" dataDxfId="58"/>
    <tableColumn id="8" xr3:uid="{BBDBC918-4A57-4887-B70C-F5503E9714CE}" uniqueName="8" name="Email" queryTableFieldId="8" dataDxfId="57"/>
    <tableColumn id="9" xr3:uid="{C226EDDC-A792-4EBF-9437-5CCD41072EA7}" uniqueName="9" name="Phone" queryTableFieldId="9" dataDxfId="56"/>
    <tableColumn id="10" xr3:uid="{86D5EBB4-3A0A-4962-A008-65C98CABA83B}" uniqueName="10" name="Submission Timestamp" queryTableFieldId="10" dataDxfId="55"/>
    <tableColumn id="11" xr3:uid="{5C93016E-F773-473C-9E02-D2A5CDE208D9}" uniqueName="11" name="Data Issue Flag" queryTableFieldId="11" dataDxfId="54"/>
    <tableColumn id="3" xr3:uid="{4FB99BF2-B95E-4BC1-A1F2-39C34C4F89D4}" uniqueName="3" name="Department" queryTableFieldId="3" dataDxfId="53"/>
    <tableColumn id="2" xr3:uid="{7722B9CA-4AE1-4FA1-9439-0F3BBA8695C2}" uniqueName="2" name="Employee ID" queryTableFieldId="2" dataDxfId="52"/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365EC7C-B4A1-404C-A6CB-825572E1B58A}" name="Table6" displayName="Table6" ref="A2:B9" totalsRowShown="0" headerRowBorderDxfId="15" tableBorderDxfId="14" totalsRowBorderDxfId="13">
  <autoFilter ref="A2:B9" xr:uid="{0365EC7C-B4A1-404C-A6CB-825572E1B58A}"/>
  <tableColumns count="2">
    <tableColumn id="1" xr3:uid="{29E882E1-C6FE-4DC9-9CAF-A8F3DD060B42}" name="Metrics" dataDxfId="12"/>
    <tableColumn id="2" xr3:uid="{4AE70B40-5EEF-4AF8-BD0D-B602A92F6F2B}" name="Value" dataDxfId="11"/>
  </tableColumns>
  <tableStyleInfo name="TableStyleMedium1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table" Target="../tables/table5.xml"/><Relationship Id="rId4" Type="http://schemas.openxmlformats.org/officeDocument/2006/relationships/ctrlProp" Target="../ctrlProps/ctrlProp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printerSettings" Target="../printerSettings/printerSettings2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233748-BD02-412C-8ADB-F603B14610E8}">
  <sheetPr>
    <tabColor theme="3"/>
  </sheetPr>
  <dimension ref="A1:K38"/>
  <sheetViews>
    <sheetView tabSelected="1" zoomScale="80" zoomScaleNormal="151" workbookViewId="0">
      <selection activeCell="F20" sqref="F20"/>
    </sheetView>
  </sheetViews>
  <sheetFormatPr defaultRowHeight="14.4" x14ac:dyDescent="0.55000000000000004"/>
  <cols>
    <col min="1" max="1" width="2.5234375" customWidth="1"/>
    <col min="2" max="2" width="3" customWidth="1"/>
    <col min="3" max="3" width="3.20703125" customWidth="1"/>
    <col min="4" max="4" width="3.1015625" style="21" customWidth="1"/>
    <col min="5" max="5" width="24.5234375" customWidth="1"/>
    <col min="6" max="6" width="46.26171875" customWidth="1"/>
    <col min="7" max="7" width="41.89453125" customWidth="1"/>
    <col min="8" max="8" width="8.83984375" customWidth="1"/>
  </cols>
  <sheetData>
    <row r="1" spans="1:11" ht="33.6" customHeight="1" x14ac:dyDescent="0.55000000000000004">
      <c r="A1" s="28"/>
      <c r="B1" s="28"/>
      <c r="C1" s="28"/>
      <c r="D1" s="29" t="s">
        <v>6094</v>
      </c>
      <c r="E1" s="29"/>
      <c r="F1" s="29"/>
      <c r="G1" s="28"/>
      <c r="H1" s="28"/>
      <c r="I1" s="26"/>
      <c r="J1" s="26"/>
      <c r="K1" s="26"/>
    </row>
    <row r="2" spans="1:11" x14ac:dyDescent="0.55000000000000004">
      <c r="A2" s="30"/>
      <c r="B2" s="30"/>
      <c r="C2" s="30"/>
      <c r="D2" s="31" t="s">
        <v>6095</v>
      </c>
      <c r="E2" s="30" t="s">
        <v>6096</v>
      </c>
      <c r="F2" s="30" t="s">
        <v>6097</v>
      </c>
      <c r="G2" s="30"/>
      <c r="H2" s="30"/>
      <c r="I2" s="26"/>
      <c r="J2" s="26"/>
      <c r="K2" s="26"/>
    </row>
    <row r="3" spans="1:11" x14ac:dyDescent="0.55000000000000004">
      <c r="A3" s="32"/>
      <c r="B3" s="32"/>
      <c r="C3" s="32"/>
      <c r="D3" s="32"/>
      <c r="E3" s="32"/>
      <c r="F3" s="32"/>
      <c r="G3" s="32"/>
      <c r="H3" s="32"/>
      <c r="I3" s="26"/>
      <c r="J3" s="26"/>
      <c r="K3" s="26"/>
    </row>
    <row r="4" spans="1:11" ht="25.2" x14ac:dyDescent="0.55000000000000004">
      <c r="A4" s="32"/>
      <c r="B4" s="32"/>
      <c r="C4" s="32"/>
      <c r="D4" s="32">
        <v>1</v>
      </c>
      <c r="E4" s="32" t="s">
        <v>6098</v>
      </c>
      <c r="F4" s="32" t="s">
        <v>6101</v>
      </c>
      <c r="G4" s="32"/>
      <c r="H4" s="32"/>
      <c r="I4" s="26"/>
      <c r="J4" s="26"/>
      <c r="K4" s="26"/>
    </row>
    <row r="5" spans="1:11" ht="25.2" x14ac:dyDescent="0.55000000000000004">
      <c r="A5" s="32"/>
      <c r="B5" s="32"/>
      <c r="C5" s="32"/>
      <c r="D5" s="32">
        <v>2</v>
      </c>
      <c r="E5" s="32" t="s">
        <v>6099</v>
      </c>
      <c r="F5" s="32" t="s">
        <v>6100</v>
      </c>
      <c r="G5" s="32"/>
      <c r="H5" s="32"/>
      <c r="I5" s="26"/>
      <c r="J5" s="26"/>
      <c r="K5" s="26"/>
    </row>
    <row r="6" spans="1:11" ht="25.2" x14ac:dyDescent="0.55000000000000004">
      <c r="A6" s="32"/>
      <c r="B6" s="32"/>
      <c r="C6" s="32"/>
      <c r="D6" s="32">
        <v>3</v>
      </c>
      <c r="E6" s="32" t="s">
        <v>6102</v>
      </c>
      <c r="F6" s="32" t="s">
        <v>6103</v>
      </c>
      <c r="G6" s="32" t="s">
        <v>6112</v>
      </c>
      <c r="H6" s="32"/>
      <c r="I6" s="26"/>
      <c r="J6" s="26"/>
      <c r="K6" s="26"/>
    </row>
    <row r="7" spans="1:11" ht="25.2" x14ac:dyDescent="0.55000000000000004">
      <c r="A7" s="32"/>
      <c r="B7" s="32"/>
      <c r="C7" s="32"/>
      <c r="D7" s="32">
        <v>4</v>
      </c>
      <c r="E7" s="32" t="s">
        <v>6104</v>
      </c>
      <c r="F7" s="32" t="s">
        <v>6105</v>
      </c>
      <c r="G7" s="32" t="s">
        <v>6106</v>
      </c>
      <c r="H7" s="32"/>
      <c r="I7" s="26"/>
      <c r="J7" s="26"/>
      <c r="K7" s="26"/>
    </row>
    <row r="8" spans="1:11" ht="63" x14ac:dyDescent="0.55000000000000004">
      <c r="A8" s="32"/>
      <c r="B8" s="32"/>
      <c r="C8" s="32"/>
      <c r="D8" s="32">
        <v>5</v>
      </c>
      <c r="E8" s="32" t="s">
        <v>6107</v>
      </c>
      <c r="F8" s="32" t="s">
        <v>6108</v>
      </c>
      <c r="G8" s="32" t="s">
        <v>6109</v>
      </c>
      <c r="H8" s="32"/>
      <c r="I8" s="26"/>
      <c r="J8" s="26"/>
      <c r="K8" s="26"/>
    </row>
    <row r="9" spans="1:11" ht="37.799999999999997" x14ac:dyDescent="0.55000000000000004">
      <c r="A9" s="32"/>
      <c r="B9" s="32"/>
      <c r="C9" s="32"/>
      <c r="D9" s="32">
        <v>6</v>
      </c>
      <c r="E9" s="32" t="s">
        <v>6110</v>
      </c>
      <c r="F9" s="32" t="s">
        <v>6111</v>
      </c>
      <c r="G9" s="32" t="s">
        <v>6113</v>
      </c>
      <c r="H9" s="32"/>
      <c r="I9" s="26"/>
      <c r="J9" s="26"/>
      <c r="K9" s="26"/>
    </row>
    <row r="10" spans="1:11" ht="25.2" x14ac:dyDescent="0.55000000000000004">
      <c r="A10" s="32"/>
      <c r="B10" s="32"/>
      <c r="C10" s="32"/>
      <c r="D10" s="32">
        <v>7</v>
      </c>
      <c r="E10" s="32" t="s">
        <v>6114</v>
      </c>
      <c r="F10" s="32" t="s">
        <v>6115</v>
      </c>
      <c r="G10" s="32"/>
      <c r="H10" s="32"/>
      <c r="I10" s="26"/>
      <c r="J10" s="26"/>
      <c r="K10" s="26"/>
    </row>
    <row r="11" spans="1:11" ht="50.4" x14ac:dyDescent="0.55000000000000004">
      <c r="A11" s="32"/>
      <c r="B11" s="32"/>
      <c r="C11" s="32"/>
      <c r="D11" s="32">
        <v>8</v>
      </c>
      <c r="E11" s="32" t="s">
        <v>6116</v>
      </c>
      <c r="F11" s="32" t="s">
        <v>6117</v>
      </c>
      <c r="G11" s="32" t="s">
        <v>6118</v>
      </c>
      <c r="H11" s="32"/>
      <c r="I11" s="26"/>
      <c r="J11" s="26"/>
      <c r="K11" s="26"/>
    </row>
    <row r="12" spans="1:11" ht="37.799999999999997" x14ac:dyDescent="0.55000000000000004">
      <c r="A12" s="32"/>
      <c r="B12" s="32"/>
      <c r="C12" s="32"/>
      <c r="D12" s="32">
        <v>9</v>
      </c>
      <c r="E12" s="32" t="s">
        <v>6119</v>
      </c>
      <c r="F12" s="32" t="s">
        <v>6120</v>
      </c>
      <c r="G12" s="32" t="s">
        <v>6121</v>
      </c>
      <c r="H12" s="32"/>
      <c r="I12" s="26"/>
      <c r="J12" s="26"/>
      <c r="K12" s="26"/>
    </row>
    <row r="13" spans="1:11" ht="25.2" x14ac:dyDescent="0.55000000000000004">
      <c r="A13" s="32"/>
      <c r="B13" s="32"/>
      <c r="C13" s="32"/>
      <c r="D13" s="32">
        <v>10</v>
      </c>
      <c r="E13" s="32" t="s">
        <v>6122</v>
      </c>
      <c r="F13" s="32" t="s">
        <v>6123</v>
      </c>
      <c r="G13" s="32" t="s">
        <v>6124</v>
      </c>
      <c r="H13" s="32"/>
      <c r="I13" s="26"/>
      <c r="J13" s="26"/>
      <c r="K13" s="26"/>
    </row>
    <row r="14" spans="1:11" ht="50.4" x14ac:dyDescent="0.55000000000000004">
      <c r="A14" s="32"/>
      <c r="B14" s="32"/>
      <c r="C14" s="32"/>
      <c r="D14" s="32">
        <v>11</v>
      </c>
      <c r="E14" s="32" t="s">
        <v>6125</v>
      </c>
      <c r="F14" s="32" t="s">
        <v>6126</v>
      </c>
      <c r="G14" s="32" t="s">
        <v>6127</v>
      </c>
      <c r="H14" s="32"/>
      <c r="I14" s="26"/>
      <c r="J14" s="26"/>
      <c r="K14" s="26"/>
    </row>
    <row r="15" spans="1:11" ht="37.799999999999997" x14ac:dyDescent="0.55000000000000004">
      <c r="A15" s="32"/>
      <c r="B15" s="32"/>
      <c r="C15" s="32"/>
      <c r="D15" s="32">
        <v>12</v>
      </c>
      <c r="E15" s="32" t="s">
        <v>6128</v>
      </c>
      <c r="F15" s="32" t="s">
        <v>6129</v>
      </c>
      <c r="G15" s="32" t="s">
        <v>6130</v>
      </c>
      <c r="H15" s="32"/>
      <c r="I15" s="26"/>
      <c r="J15" s="26"/>
      <c r="K15" s="26"/>
    </row>
    <row r="16" spans="1:11" ht="37.799999999999997" x14ac:dyDescent="0.55000000000000004">
      <c r="A16" s="32"/>
      <c r="B16" s="32"/>
      <c r="C16" s="32"/>
      <c r="D16" s="32">
        <v>13</v>
      </c>
      <c r="E16" s="32" t="s">
        <v>6131</v>
      </c>
      <c r="F16" s="32" t="s">
        <v>6132</v>
      </c>
      <c r="G16" s="32"/>
      <c r="H16" s="32"/>
      <c r="I16" s="26"/>
      <c r="J16" s="26"/>
      <c r="K16" s="26"/>
    </row>
    <row r="17" spans="1:11" ht="50.4" x14ac:dyDescent="0.55000000000000004">
      <c r="A17" s="32"/>
      <c r="B17" s="32"/>
      <c r="C17" s="32"/>
      <c r="D17" s="32">
        <v>14</v>
      </c>
      <c r="E17" s="32" t="s">
        <v>6133</v>
      </c>
      <c r="F17" s="32" t="s">
        <v>6134</v>
      </c>
      <c r="G17" s="32" t="s">
        <v>6135</v>
      </c>
      <c r="H17" s="32"/>
      <c r="I17" s="26"/>
      <c r="J17" s="26"/>
      <c r="K17" s="26"/>
    </row>
    <row r="18" spans="1:11" ht="63" x14ac:dyDescent="0.55000000000000004">
      <c r="A18" s="32"/>
      <c r="B18" s="32"/>
      <c r="C18" s="32"/>
      <c r="D18" s="32">
        <v>15</v>
      </c>
      <c r="E18" s="32" t="s">
        <v>6136</v>
      </c>
      <c r="F18" s="32" t="s">
        <v>6137</v>
      </c>
      <c r="G18" s="32" t="s">
        <v>6138</v>
      </c>
      <c r="H18" s="32"/>
      <c r="I18" s="26"/>
      <c r="J18" s="26"/>
      <c r="K18" s="26"/>
    </row>
    <row r="19" spans="1:11" ht="25.2" x14ac:dyDescent="0.55000000000000004">
      <c r="A19" s="32"/>
      <c r="B19" s="32"/>
      <c r="C19" s="32"/>
      <c r="D19" s="32">
        <v>16</v>
      </c>
      <c r="E19" s="32" t="s">
        <v>6139</v>
      </c>
      <c r="F19" s="32" t="s">
        <v>6140</v>
      </c>
      <c r="G19" s="32" t="s">
        <v>6141</v>
      </c>
      <c r="H19" s="32"/>
      <c r="I19" s="26"/>
      <c r="J19" s="26"/>
      <c r="K19" s="26"/>
    </row>
    <row r="20" spans="1:11" x14ac:dyDescent="0.55000000000000004">
      <c r="A20" s="32"/>
      <c r="B20" s="32"/>
      <c r="C20" s="32"/>
      <c r="D20" s="32"/>
      <c r="E20" s="32"/>
      <c r="F20" s="32"/>
      <c r="G20" s="32"/>
      <c r="H20" s="32"/>
      <c r="I20" s="26"/>
      <c r="J20" s="26"/>
      <c r="K20" s="26"/>
    </row>
    <row r="21" spans="1:11" x14ac:dyDescent="0.55000000000000004">
      <c r="A21" s="32"/>
      <c r="B21" s="32"/>
      <c r="C21" s="32"/>
      <c r="D21" s="32"/>
      <c r="E21" s="32"/>
      <c r="F21" s="32"/>
      <c r="G21" s="32"/>
      <c r="H21" s="32"/>
      <c r="I21" s="26"/>
      <c r="J21" s="26"/>
      <c r="K21" s="26"/>
    </row>
    <row r="22" spans="1:11" x14ac:dyDescent="0.55000000000000004">
      <c r="A22" s="32"/>
      <c r="B22" s="32"/>
      <c r="C22" s="32"/>
      <c r="D22" s="32"/>
      <c r="E22" s="32"/>
      <c r="F22" s="32"/>
      <c r="G22" s="32"/>
      <c r="H22" s="32"/>
      <c r="I22" s="26"/>
      <c r="J22" s="26"/>
      <c r="K22" s="26"/>
    </row>
    <row r="23" spans="1:11" x14ac:dyDescent="0.55000000000000004">
      <c r="A23" s="32"/>
      <c r="B23" s="32"/>
      <c r="C23" s="32"/>
      <c r="D23" s="32"/>
      <c r="E23" s="32"/>
      <c r="F23" s="32"/>
      <c r="G23" s="32"/>
      <c r="H23" s="32"/>
      <c r="I23" s="26"/>
      <c r="J23" s="26"/>
      <c r="K23" s="26"/>
    </row>
    <row r="24" spans="1:11" x14ac:dyDescent="0.55000000000000004">
      <c r="A24" s="27"/>
      <c r="B24" s="27"/>
      <c r="C24" s="27"/>
      <c r="D24" s="27"/>
      <c r="E24" s="27"/>
      <c r="F24" s="27"/>
      <c r="G24" s="27"/>
      <c r="H24" s="27"/>
      <c r="I24" s="26"/>
      <c r="J24" s="26"/>
      <c r="K24" s="26"/>
    </row>
    <row r="25" spans="1:11" x14ac:dyDescent="0.55000000000000004">
      <c r="A25" s="27"/>
      <c r="B25" s="27"/>
      <c r="C25" s="27"/>
      <c r="D25" s="27"/>
      <c r="E25" s="27"/>
      <c r="F25" s="27"/>
      <c r="G25" s="27"/>
      <c r="H25" s="27"/>
      <c r="I25" s="26"/>
      <c r="J25" s="26"/>
      <c r="K25" s="26"/>
    </row>
    <row r="26" spans="1:11" x14ac:dyDescent="0.55000000000000004">
      <c r="A26" s="27"/>
      <c r="B26" s="27"/>
      <c r="C26" s="27"/>
      <c r="D26" s="27"/>
      <c r="E26" s="27"/>
      <c r="F26" s="27"/>
      <c r="G26" s="27"/>
      <c r="H26" s="27"/>
      <c r="I26" s="26"/>
      <c r="J26" s="26"/>
      <c r="K26" s="26"/>
    </row>
    <row r="27" spans="1:11" x14ac:dyDescent="0.55000000000000004">
      <c r="A27" s="27"/>
      <c r="B27" s="27"/>
      <c r="C27" s="27"/>
      <c r="D27" s="27"/>
      <c r="E27" s="27"/>
      <c r="F27" s="27"/>
      <c r="G27" s="27"/>
      <c r="H27" s="27"/>
      <c r="I27" s="26"/>
      <c r="J27" s="26"/>
      <c r="K27" s="26"/>
    </row>
    <row r="28" spans="1:11" x14ac:dyDescent="0.55000000000000004">
      <c r="A28" s="27"/>
      <c r="B28" s="27"/>
      <c r="C28" s="27"/>
      <c r="D28" s="27"/>
      <c r="E28" s="27"/>
      <c r="F28" s="27"/>
      <c r="G28" s="27"/>
      <c r="H28" s="27"/>
      <c r="I28" s="26"/>
      <c r="J28" s="26"/>
      <c r="K28" s="26"/>
    </row>
    <row r="29" spans="1:11" x14ac:dyDescent="0.55000000000000004">
      <c r="A29" s="24"/>
      <c r="B29" s="24"/>
      <c r="C29" s="24"/>
      <c r="D29" s="25"/>
      <c r="E29" s="24"/>
      <c r="F29" s="24"/>
      <c r="G29" s="24"/>
      <c r="H29" s="24"/>
      <c r="I29" s="26"/>
      <c r="J29" s="26"/>
      <c r="K29" s="26"/>
    </row>
    <row r="30" spans="1:11" x14ac:dyDescent="0.55000000000000004">
      <c r="A30" s="24"/>
      <c r="B30" s="24"/>
      <c r="C30" s="24"/>
      <c r="D30" s="25"/>
      <c r="E30" s="24"/>
      <c r="F30" s="24"/>
      <c r="G30" s="24"/>
      <c r="H30" s="24"/>
      <c r="I30" s="26"/>
      <c r="J30" s="26"/>
      <c r="K30" s="26"/>
    </row>
    <row r="31" spans="1:11" x14ac:dyDescent="0.55000000000000004">
      <c r="A31" s="24"/>
      <c r="B31" s="24"/>
      <c r="C31" s="24"/>
      <c r="D31" s="25"/>
      <c r="E31" s="24"/>
      <c r="F31" s="24"/>
      <c r="G31" s="24"/>
      <c r="H31" s="24"/>
      <c r="I31" s="26"/>
      <c r="J31" s="26"/>
      <c r="K31" s="26"/>
    </row>
    <row r="32" spans="1:11" x14ac:dyDescent="0.55000000000000004">
      <c r="A32" s="24"/>
      <c r="B32" s="24"/>
      <c r="C32" s="24"/>
      <c r="D32" s="25"/>
      <c r="E32" s="24"/>
      <c r="F32" s="24"/>
      <c r="G32" s="24"/>
      <c r="H32" s="24"/>
      <c r="I32" s="26"/>
      <c r="J32" s="26"/>
      <c r="K32" s="26"/>
    </row>
    <row r="33" spans="1:11" x14ac:dyDescent="0.55000000000000004">
      <c r="A33" s="24"/>
      <c r="B33" s="24"/>
      <c r="C33" s="24"/>
      <c r="D33" s="25"/>
      <c r="E33" s="24"/>
      <c r="F33" s="24"/>
      <c r="G33" s="24"/>
      <c r="H33" s="24"/>
      <c r="I33" s="26"/>
      <c r="J33" s="26"/>
      <c r="K33" s="26"/>
    </row>
    <row r="34" spans="1:11" x14ac:dyDescent="0.55000000000000004">
      <c r="A34" s="24"/>
      <c r="B34" s="24"/>
      <c r="C34" s="24"/>
      <c r="D34" s="25"/>
      <c r="E34" s="24"/>
      <c r="F34" s="24"/>
      <c r="G34" s="24"/>
      <c r="H34" s="24"/>
      <c r="I34" s="26"/>
      <c r="J34" s="26"/>
      <c r="K34" s="26"/>
    </row>
    <row r="35" spans="1:11" x14ac:dyDescent="0.55000000000000004">
      <c r="A35" s="22"/>
      <c r="B35" s="22"/>
      <c r="C35" s="22"/>
      <c r="D35" s="23"/>
      <c r="E35" s="22"/>
      <c r="F35" s="22"/>
      <c r="G35" s="22"/>
      <c r="H35" s="22"/>
    </row>
    <row r="36" spans="1:11" x14ac:dyDescent="0.55000000000000004">
      <c r="A36" s="22"/>
      <c r="B36" s="22"/>
      <c r="C36" s="22"/>
      <c r="D36" s="23"/>
      <c r="E36" s="22"/>
      <c r="F36" s="22"/>
      <c r="G36" s="22"/>
      <c r="H36" s="22"/>
    </row>
    <row r="37" spans="1:11" x14ac:dyDescent="0.55000000000000004">
      <c r="A37" s="22"/>
      <c r="B37" s="22"/>
      <c r="C37" s="22"/>
      <c r="D37" s="23"/>
      <c r="E37" s="22"/>
      <c r="F37" s="22"/>
      <c r="G37" s="22"/>
      <c r="H37" s="22"/>
    </row>
    <row r="38" spans="1:11" x14ac:dyDescent="0.55000000000000004">
      <c r="A38" s="22"/>
      <c r="B38" s="22"/>
      <c r="C38" s="22"/>
      <c r="D38" s="23"/>
      <c r="E38" s="22"/>
      <c r="F38" s="22"/>
      <c r="G38" s="22"/>
      <c r="H38" s="22"/>
    </row>
  </sheetData>
  <mergeCells count="1">
    <mergeCell ref="D1:F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9529E2-6CB1-430A-8C37-C3FFD14CC1E9}">
  <sheetPr codeName="Sheet1">
    <tabColor theme="3"/>
  </sheetPr>
  <dimension ref="A1:K1501"/>
  <sheetViews>
    <sheetView zoomScale="80" zoomScaleNormal="80" workbookViewId="0">
      <selection activeCell="A8" sqref="A8"/>
    </sheetView>
  </sheetViews>
  <sheetFormatPr defaultRowHeight="14.4" x14ac:dyDescent="0.55000000000000004"/>
  <cols>
    <col min="1" max="1" width="16" customWidth="1"/>
    <col min="2" max="2" width="12.83984375" customWidth="1"/>
    <col min="3" max="3" width="12.15625" customWidth="1"/>
    <col min="4" max="4" width="10.62890625" customWidth="1"/>
    <col min="5" max="5" width="19.68359375" customWidth="1"/>
    <col min="6" max="6" width="14.9453125" customWidth="1"/>
    <col min="7" max="7" width="17.47265625" customWidth="1"/>
    <col min="10" max="10" width="22.20703125" customWidth="1"/>
    <col min="11" max="11" width="15.26171875" customWidth="1"/>
  </cols>
  <sheetData>
    <row r="1" spans="1:11" x14ac:dyDescent="0.55000000000000004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</row>
    <row r="2" spans="1:11" x14ac:dyDescent="0.55000000000000004">
      <c r="A2" t="s">
        <v>11</v>
      </c>
      <c r="B2">
        <v>101303</v>
      </c>
      <c r="C2" t="s">
        <v>12</v>
      </c>
      <c r="D2" s="1">
        <v>45879</v>
      </c>
      <c r="E2" t="s">
        <v>13</v>
      </c>
      <c r="F2" t="s">
        <v>14</v>
      </c>
      <c r="G2" t="s">
        <v>15</v>
      </c>
      <c r="H2" t="s">
        <v>16</v>
      </c>
      <c r="I2" t="s">
        <v>17</v>
      </c>
      <c r="J2" s="2">
        <v>46087.812591674017</v>
      </c>
    </row>
    <row r="3" spans="1:11" x14ac:dyDescent="0.55000000000000004">
      <c r="A3" t="s">
        <v>18</v>
      </c>
      <c r="B3">
        <v>100397</v>
      </c>
      <c r="C3" t="s">
        <v>19</v>
      </c>
      <c r="D3" s="1">
        <v>45846</v>
      </c>
      <c r="E3" t="s">
        <v>20</v>
      </c>
      <c r="F3" t="s">
        <v>21</v>
      </c>
      <c r="G3" t="s">
        <v>22</v>
      </c>
      <c r="H3" t="s">
        <v>23</v>
      </c>
      <c r="I3" t="s">
        <v>24</v>
      </c>
      <c r="J3" s="2">
        <v>46090.350091678949</v>
      </c>
    </row>
    <row r="4" spans="1:11" x14ac:dyDescent="0.55000000000000004">
      <c r="A4" t="s">
        <v>25</v>
      </c>
      <c r="B4">
        <v>100386</v>
      </c>
      <c r="C4" t="s">
        <v>26</v>
      </c>
      <c r="D4" s="1">
        <v>45847</v>
      </c>
      <c r="E4" t="s">
        <v>27</v>
      </c>
      <c r="F4" t="s">
        <v>28</v>
      </c>
      <c r="G4" t="s">
        <v>15</v>
      </c>
      <c r="H4" t="s">
        <v>29</v>
      </c>
      <c r="I4" t="s">
        <v>30</v>
      </c>
      <c r="J4" s="2">
        <v>46058.810508350107</v>
      </c>
    </row>
    <row r="5" spans="1:11" x14ac:dyDescent="0.55000000000000004">
      <c r="A5" t="s">
        <v>31</v>
      </c>
      <c r="B5">
        <v>100549</v>
      </c>
      <c r="C5" t="s">
        <v>32</v>
      </c>
      <c r="D5" s="1">
        <v>45746</v>
      </c>
      <c r="E5" t="s">
        <v>20</v>
      </c>
      <c r="F5" t="s">
        <v>33</v>
      </c>
      <c r="G5" t="s">
        <v>22</v>
      </c>
      <c r="H5" t="s">
        <v>34</v>
      </c>
      <c r="I5" t="s">
        <v>35</v>
      </c>
      <c r="J5" s="2">
        <v>46076.247313910193</v>
      </c>
    </row>
    <row r="6" spans="1:11" x14ac:dyDescent="0.55000000000000004">
      <c r="A6" t="s">
        <v>36</v>
      </c>
      <c r="B6">
        <v>100597</v>
      </c>
      <c r="C6" t="s">
        <v>37</v>
      </c>
      <c r="D6" s="1">
        <v>45824</v>
      </c>
      <c r="E6" t="s">
        <v>38</v>
      </c>
      <c r="F6" t="s">
        <v>39</v>
      </c>
      <c r="G6" t="s">
        <v>22</v>
      </c>
      <c r="H6" t="s">
        <v>40</v>
      </c>
      <c r="I6" t="s">
        <v>41</v>
      </c>
      <c r="J6" s="2">
        <v>46093.544536136062</v>
      </c>
    </row>
    <row r="7" spans="1:11" x14ac:dyDescent="0.55000000000000004">
      <c r="A7" t="s">
        <v>42</v>
      </c>
      <c r="B7">
        <v>101113</v>
      </c>
      <c r="C7" t="s">
        <v>37</v>
      </c>
      <c r="D7" s="1">
        <v>45778</v>
      </c>
      <c r="E7" t="s">
        <v>43</v>
      </c>
      <c r="F7" t="s">
        <v>44</v>
      </c>
      <c r="G7" t="s">
        <v>22</v>
      </c>
      <c r="H7" t="s">
        <v>45</v>
      </c>
      <c r="I7" t="s">
        <v>46</v>
      </c>
      <c r="J7" s="2">
        <v>46068.261202807167</v>
      </c>
    </row>
    <row r="8" spans="1:11" x14ac:dyDescent="0.55000000000000004">
      <c r="A8" t="s">
        <v>47</v>
      </c>
      <c r="B8">
        <v>101365</v>
      </c>
      <c r="C8" t="s">
        <v>48</v>
      </c>
      <c r="D8" s="1">
        <v>45921</v>
      </c>
      <c r="E8" t="s">
        <v>49</v>
      </c>
      <c r="F8" t="s">
        <v>50</v>
      </c>
      <c r="G8" t="s">
        <v>15</v>
      </c>
      <c r="H8" t="s">
        <v>51</v>
      </c>
      <c r="I8" t="s">
        <v>52</v>
      </c>
      <c r="J8" s="2">
        <v>46094.52509169995</v>
      </c>
    </row>
    <row r="9" spans="1:11" x14ac:dyDescent="0.55000000000000004">
      <c r="A9" t="s">
        <v>53</v>
      </c>
      <c r="B9">
        <v>100134</v>
      </c>
      <c r="C9" t="s">
        <v>48</v>
      </c>
      <c r="D9" s="1">
        <v>46118</v>
      </c>
      <c r="E9" t="s">
        <v>13</v>
      </c>
      <c r="F9" t="s">
        <v>54</v>
      </c>
      <c r="G9" t="s">
        <v>22</v>
      </c>
      <c r="H9" t="s">
        <v>55</v>
      </c>
      <c r="I9" t="s">
        <v>56</v>
      </c>
      <c r="J9" s="2">
        <v>46055.143148148149</v>
      </c>
    </row>
    <row r="10" spans="1:11" x14ac:dyDescent="0.55000000000000004">
      <c r="A10" t="s">
        <v>57</v>
      </c>
      <c r="B10">
        <v>101117</v>
      </c>
      <c r="C10" t="s">
        <v>19</v>
      </c>
      <c r="D10" s="1">
        <v>46042</v>
      </c>
      <c r="E10" t="s">
        <v>58</v>
      </c>
      <c r="F10" t="s">
        <v>59</v>
      </c>
      <c r="G10" t="s">
        <v>15</v>
      </c>
      <c r="H10" t="s">
        <v>60</v>
      </c>
      <c r="I10" t="s">
        <v>61</v>
      </c>
      <c r="J10" s="2">
        <v>46065.584119486957</v>
      </c>
    </row>
    <row r="11" spans="1:11" x14ac:dyDescent="0.55000000000000004">
      <c r="A11" t="s">
        <v>62</v>
      </c>
      <c r="B11">
        <v>101164</v>
      </c>
      <c r="C11" t="s">
        <v>63</v>
      </c>
      <c r="D11" s="1">
        <v>45952</v>
      </c>
      <c r="E11" t="s">
        <v>20</v>
      </c>
      <c r="F11" t="s">
        <v>64</v>
      </c>
      <c r="G11" t="s">
        <v>22</v>
      </c>
      <c r="H11" t="s">
        <v>65</v>
      </c>
      <c r="I11" t="s">
        <v>66</v>
      </c>
      <c r="J11" s="2">
        <v>46063.797313935953</v>
      </c>
    </row>
    <row r="12" spans="1:11" x14ac:dyDescent="0.55000000000000004">
      <c r="A12" t="s">
        <v>67</v>
      </c>
      <c r="B12">
        <v>100213</v>
      </c>
      <c r="C12" t="s">
        <v>68</v>
      </c>
      <c r="D12" s="1">
        <v>45755</v>
      </c>
      <c r="E12" t="s">
        <v>69</v>
      </c>
      <c r="F12" t="s">
        <v>70</v>
      </c>
      <c r="G12" t="s">
        <v>15</v>
      </c>
      <c r="H12" t="s">
        <v>71</v>
      </c>
      <c r="I12" t="s">
        <v>72</v>
      </c>
      <c r="J12" s="2">
        <v>46097.455647273862</v>
      </c>
    </row>
    <row r="13" spans="1:11" x14ac:dyDescent="0.55000000000000004">
      <c r="A13" t="s">
        <v>73</v>
      </c>
      <c r="B13">
        <v>101181</v>
      </c>
      <c r="C13" t="s">
        <v>68</v>
      </c>
      <c r="D13" s="1">
        <v>45840</v>
      </c>
      <c r="E13" t="s">
        <v>20</v>
      </c>
      <c r="F13" t="s">
        <v>74</v>
      </c>
      <c r="G13" t="s">
        <v>22</v>
      </c>
      <c r="H13" t="s">
        <v>75</v>
      </c>
      <c r="I13" t="s">
        <v>76</v>
      </c>
      <c r="J13" s="2">
        <v>46077.575786166773</v>
      </c>
    </row>
    <row r="14" spans="1:11" x14ac:dyDescent="0.55000000000000004">
      <c r="A14" t="s">
        <v>77</v>
      </c>
      <c r="B14">
        <v>100789</v>
      </c>
      <c r="C14" t="s">
        <v>37</v>
      </c>
      <c r="D14" s="1">
        <v>45986</v>
      </c>
      <c r="E14" t="s">
        <v>43</v>
      </c>
      <c r="F14" t="s">
        <v>78</v>
      </c>
      <c r="G14" t="s">
        <v>22</v>
      </c>
      <c r="H14" t="s">
        <v>79</v>
      </c>
      <c r="I14" t="s">
        <v>80</v>
      </c>
      <c r="J14" s="2">
        <v>46063.418841726983</v>
      </c>
    </row>
    <row r="15" spans="1:11" x14ac:dyDescent="0.55000000000000004">
      <c r="A15" t="s">
        <v>81</v>
      </c>
      <c r="B15">
        <v>100760</v>
      </c>
      <c r="C15" t="s">
        <v>82</v>
      </c>
      <c r="D15" s="1">
        <v>46018</v>
      </c>
      <c r="E15" t="s">
        <v>83</v>
      </c>
      <c r="F15" t="s">
        <v>84</v>
      </c>
      <c r="G15" t="s">
        <v>15</v>
      </c>
      <c r="H15" t="s">
        <v>85</v>
      </c>
      <c r="I15" t="s">
        <v>86</v>
      </c>
      <c r="J15" s="2">
        <v>46070.719536175668</v>
      </c>
    </row>
    <row r="16" spans="1:11" x14ac:dyDescent="0.55000000000000004">
      <c r="A16" t="s">
        <v>87</v>
      </c>
      <c r="B16">
        <v>100510</v>
      </c>
      <c r="C16" t="s">
        <v>88</v>
      </c>
      <c r="D16" s="1">
        <v>45771</v>
      </c>
      <c r="E16" t="s">
        <v>89</v>
      </c>
      <c r="F16" t="s">
        <v>90</v>
      </c>
      <c r="G16" t="s">
        <v>22</v>
      </c>
      <c r="H16" t="s">
        <v>91</v>
      </c>
      <c r="I16" t="s">
        <v>92</v>
      </c>
      <c r="J16" s="2">
        <v>46051.835508402663</v>
      </c>
    </row>
    <row r="17" spans="1:11" x14ac:dyDescent="0.55000000000000004">
      <c r="A17" t="s">
        <v>93</v>
      </c>
      <c r="B17">
        <v>100444</v>
      </c>
      <c r="C17" t="s">
        <v>94</v>
      </c>
      <c r="D17" s="1">
        <v>45880</v>
      </c>
      <c r="E17" t="s">
        <v>69</v>
      </c>
      <c r="F17" t="s">
        <v>95</v>
      </c>
      <c r="G17" t="s">
        <v>15</v>
      </c>
      <c r="H17" t="s">
        <v>96</v>
      </c>
      <c r="I17" t="s">
        <v>97</v>
      </c>
      <c r="J17" s="2">
        <v>46077.502175073991</v>
      </c>
    </row>
    <row r="18" spans="1:11" x14ac:dyDescent="0.55000000000000004">
      <c r="A18" t="s">
        <v>98</v>
      </c>
      <c r="B18">
        <v>100705</v>
      </c>
      <c r="C18" t="s">
        <v>99</v>
      </c>
      <c r="D18" s="1">
        <v>45967</v>
      </c>
      <c r="E18" t="s">
        <v>83</v>
      </c>
      <c r="F18" t="s">
        <v>100</v>
      </c>
      <c r="G18" t="s">
        <v>15</v>
      </c>
      <c r="H18" t="s">
        <v>101</v>
      </c>
      <c r="I18" t="s">
        <v>102</v>
      </c>
      <c r="J18" s="2">
        <v>46082.126480633568</v>
      </c>
    </row>
    <row r="19" spans="1:11" x14ac:dyDescent="0.55000000000000004">
      <c r="A19" t="s">
        <v>103</v>
      </c>
      <c r="B19">
        <v>101007</v>
      </c>
      <c r="C19" t="s">
        <v>26</v>
      </c>
      <c r="D19" s="1">
        <v>45937</v>
      </c>
      <c r="E19" t="s">
        <v>83</v>
      </c>
      <c r="F19" t="s">
        <v>104</v>
      </c>
      <c r="G19" t="s">
        <v>22</v>
      </c>
      <c r="H19" t="s">
        <v>105</v>
      </c>
      <c r="I19" t="s">
        <v>106</v>
      </c>
      <c r="J19" s="2">
        <v>46083.27231397116</v>
      </c>
    </row>
    <row r="20" spans="1:11" x14ac:dyDescent="0.55000000000000004">
      <c r="A20" t="s">
        <v>107</v>
      </c>
      <c r="C20" t="s">
        <v>48</v>
      </c>
      <c r="D20" s="1">
        <v>45771</v>
      </c>
      <c r="E20" t="s">
        <v>108</v>
      </c>
      <c r="F20" t="s">
        <v>109</v>
      </c>
      <c r="G20" t="s">
        <v>22</v>
      </c>
      <c r="H20" t="s">
        <v>110</v>
      </c>
      <c r="I20" t="s">
        <v>111</v>
      </c>
      <c r="J20" s="2">
        <v>46074.828563976102</v>
      </c>
      <c r="K20" t="s">
        <v>112</v>
      </c>
    </row>
    <row r="21" spans="1:11" x14ac:dyDescent="0.55000000000000004">
      <c r="A21" t="s">
        <v>113</v>
      </c>
      <c r="B21">
        <v>100632</v>
      </c>
      <c r="C21" t="s">
        <v>114</v>
      </c>
      <c r="D21" s="1">
        <v>45852</v>
      </c>
      <c r="E21" t="s">
        <v>115</v>
      </c>
      <c r="F21" t="s">
        <v>116</v>
      </c>
      <c r="G21" t="s">
        <v>22</v>
      </c>
      <c r="H21" t="s">
        <v>117</v>
      </c>
      <c r="I21" t="s">
        <v>118</v>
      </c>
      <c r="J21" s="2">
        <v>46085.499397313273</v>
      </c>
      <c r="K21" t="s">
        <v>119</v>
      </c>
    </row>
    <row r="22" spans="1:11" x14ac:dyDescent="0.55000000000000004">
      <c r="A22" t="s">
        <v>120</v>
      </c>
      <c r="B22">
        <v>101425</v>
      </c>
      <c r="C22" t="s">
        <v>99</v>
      </c>
      <c r="D22" s="1">
        <v>45810</v>
      </c>
      <c r="E22" t="s">
        <v>121</v>
      </c>
      <c r="F22" t="s">
        <v>122</v>
      </c>
      <c r="G22" t="s">
        <v>22</v>
      </c>
      <c r="H22" t="s">
        <v>123</v>
      </c>
      <c r="I22" t="s">
        <v>124</v>
      </c>
      <c r="J22" s="2">
        <v>46060.922313984673</v>
      </c>
    </row>
    <row r="23" spans="1:11" x14ac:dyDescent="0.55000000000000004">
      <c r="A23" t="s">
        <v>125</v>
      </c>
      <c r="B23">
        <v>100550</v>
      </c>
      <c r="C23" t="s">
        <v>88</v>
      </c>
      <c r="D23" s="1">
        <v>46080</v>
      </c>
      <c r="E23" t="s">
        <v>126</v>
      </c>
      <c r="F23" t="s">
        <v>127</v>
      </c>
      <c r="G23" t="s">
        <v>22</v>
      </c>
      <c r="H23" t="s">
        <v>128</v>
      </c>
      <c r="I23" t="s">
        <v>129</v>
      </c>
      <c r="J23" s="2">
        <v>46088.120925100477</v>
      </c>
    </row>
    <row r="24" spans="1:11" x14ac:dyDescent="0.55000000000000004">
      <c r="A24" t="s">
        <v>130</v>
      </c>
      <c r="B24">
        <v>100068</v>
      </c>
      <c r="C24" t="s">
        <v>131</v>
      </c>
      <c r="D24" s="1">
        <v>45972</v>
      </c>
      <c r="E24" t="s">
        <v>49</v>
      </c>
      <c r="F24" t="s">
        <v>132</v>
      </c>
      <c r="G24" t="s">
        <v>22</v>
      </c>
      <c r="H24" t="s">
        <v>133</v>
      </c>
      <c r="I24" t="s">
        <v>134</v>
      </c>
      <c r="J24" s="2">
        <v>46060.666063993333</v>
      </c>
    </row>
    <row r="25" spans="1:11" x14ac:dyDescent="0.55000000000000004">
      <c r="A25" t="s">
        <v>135</v>
      </c>
      <c r="B25">
        <v>100226</v>
      </c>
      <c r="C25" t="s">
        <v>63</v>
      </c>
      <c r="D25" s="1">
        <v>45991</v>
      </c>
      <c r="E25" t="s">
        <v>20</v>
      </c>
      <c r="F25" t="s">
        <v>136</v>
      </c>
      <c r="G25" t="s">
        <v>22</v>
      </c>
      <c r="H25" t="s">
        <v>137</v>
      </c>
      <c r="I25" t="s">
        <v>138</v>
      </c>
      <c r="J25" s="2">
        <v>46069.692452886469</v>
      </c>
      <c r="K25" t="s">
        <v>139</v>
      </c>
    </row>
    <row r="26" spans="1:11" x14ac:dyDescent="0.55000000000000004">
      <c r="A26" t="s">
        <v>140</v>
      </c>
      <c r="B26">
        <v>100558</v>
      </c>
      <c r="C26" t="s">
        <v>12</v>
      </c>
      <c r="D26" s="1">
        <v>45920</v>
      </c>
      <c r="E26" t="s">
        <v>141</v>
      </c>
      <c r="F26" t="s">
        <v>142</v>
      </c>
      <c r="G26" t="s">
        <v>22</v>
      </c>
      <c r="H26" t="s">
        <v>143</v>
      </c>
      <c r="I26" t="s">
        <v>144</v>
      </c>
      <c r="J26" s="2">
        <v>46067.92092511354</v>
      </c>
    </row>
    <row r="27" spans="1:11" x14ac:dyDescent="0.55000000000000004">
      <c r="A27" t="s">
        <v>145</v>
      </c>
      <c r="B27">
        <v>100762</v>
      </c>
      <c r="C27" t="s">
        <v>146</v>
      </c>
      <c r="D27" s="1">
        <v>46137</v>
      </c>
      <c r="E27" t="s">
        <v>121</v>
      </c>
      <c r="F27" t="s">
        <v>147</v>
      </c>
      <c r="G27" t="s">
        <v>22</v>
      </c>
      <c r="H27" t="s">
        <v>148</v>
      </c>
      <c r="I27" t="s">
        <v>149</v>
      </c>
      <c r="J27" s="2">
        <v>46059.069536229443</v>
      </c>
    </row>
    <row r="28" spans="1:11" x14ac:dyDescent="0.55000000000000004">
      <c r="A28" t="s">
        <v>150</v>
      </c>
      <c r="B28">
        <v>101289</v>
      </c>
      <c r="C28" t="s">
        <v>82</v>
      </c>
      <c r="D28" s="1">
        <v>45809</v>
      </c>
      <c r="E28" t="s">
        <v>69</v>
      </c>
      <c r="F28" t="s">
        <v>151</v>
      </c>
      <c r="G28" t="s">
        <v>15</v>
      </c>
      <c r="H28" t="s">
        <v>152</v>
      </c>
      <c r="I28" t="s">
        <v>153</v>
      </c>
      <c r="J28" s="2">
        <v>46076.626480677849</v>
      </c>
    </row>
    <row r="29" spans="1:11" x14ac:dyDescent="0.55000000000000004">
      <c r="A29" t="s">
        <v>154</v>
      </c>
      <c r="B29">
        <v>100640</v>
      </c>
      <c r="C29" t="s">
        <v>82</v>
      </c>
      <c r="D29" s="1">
        <v>46062</v>
      </c>
      <c r="E29" t="s">
        <v>155</v>
      </c>
      <c r="F29" t="s">
        <v>156</v>
      </c>
      <c r="G29" t="s">
        <v>15</v>
      </c>
      <c r="H29" t="s">
        <v>157</v>
      </c>
      <c r="I29" t="s">
        <v>158</v>
      </c>
      <c r="J29" s="2">
        <v>46052.12370290501</v>
      </c>
    </row>
    <row r="30" spans="1:11" x14ac:dyDescent="0.55000000000000004">
      <c r="A30" t="s">
        <v>159</v>
      </c>
      <c r="B30">
        <v>100133</v>
      </c>
      <c r="C30" t="s">
        <v>88</v>
      </c>
      <c r="D30" s="1">
        <v>46000</v>
      </c>
      <c r="E30" t="s">
        <v>160</v>
      </c>
      <c r="F30" t="s">
        <v>161</v>
      </c>
      <c r="G30" t="s">
        <v>22</v>
      </c>
      <c r="H30" t="s">
        <v>162</v>
      </c>
      <c r="I30" t="s">
        <v>163</v>
      </c>
      <c r="J30" s="2">
        <v>46079.195230687001</v>
      </c>
    </row>
    <row r="31" spans="1:11" x14ac:dyDescent="0.55000000000000004">
      <c r="A31" t="s">
        <v>164</v>
      </c>
      <c r="B31">
        <v>100315</v>
      </c>
      <c r="C31" t="s">
        <v>94</v>
      </c>
      <c r="D31" s="1">
        <v>46128</v>
      </c>
      <c r="E31" t="s">
        <v>27</v>
      </c>
      <c r="F31" t="s">
        <v>165</v>
      </c>
      <c r="G31" t="s">
        <v>15</v>
      </c>
      <c r="H31" t="s">
        <v>166</v>
      </c>
      <c r="I31" t="s">
        <v>167</v>
      </c>
      <c r="J31" s="2">
        <v>46056.825786246663</v>
      </c>
    </row>
    <row r="32" spans="1:11" x14ac:dyDescent="0.55000000000000004">
      <c r="A32" t="s">
        <v>168</v>
      </c>
      <c r="B32">
        <v>100346</v>
      </c>
      <c r="C32" t="s">
        <v>169</v>
      </c>
      <c r="D32" s="1">
        <v>45765</v>
      </c>
      <c r="E32" t="s">
        <v>170</v>
      </c>
      <c r="F32" t="s">
        <v>171</v>
      </c>
      <c r="G32" t="s">
        <v>22</v>
      </c>
      <c r="H32" t="s">
        <v>172</v>
      </c>
      <c r="I32" t="s">
        <v>173</v>
      </c>
      <c r="J32" s="2">
        <v>46079.3875918064</v>
      </c>
    </row>
    <row r="33" spans="1:11" x14ac:dyDescent="0.55000000000000004">
      <c r="A33" t="s">
        <v>174</v>
      </c>
      <c r="B33">
        <v>100373</v>
      </c>
      <c r="C33" t="s">
        <v>99</v>
      </c>
      <c r="D33" s="1">
        <v>45808</v>
      </c>
      <c r="E33" t="s">
        <v>170</v>
      </c>
      <c r="F33" t="s">
        <v>175</v>
      </c>
      <c r="G33" t="s">
        <v>15</v>
      </c>
      <c r="H33" t="s">
        <v>176</v>
      </c>
      <c r="I33" t="s">
        <v>177</v>
      </c>
      <c r="J33" s="2">
        <v>46075.304952922583</v>
      </c>
    </row>
    <row r="34" spans="1:11" x14ac:dyDescent="0.55000000000000004">
      <c r="A34" t="s">
        <v>178</v>
      </c>
      <c r="B34">
        <v>100294</v>
      </c>
      <c r="C34" t="s">
        <v>179</v>
      </c>
      <c r="D34" s="1">
        <v>45798</v>
      </c>
      <c r="E34" t="s">
        <v>13</v>
      </c>
      <c r="F34" t="s">
        <v>180</v>
      </c>
      <c r="G34" t="s">
        <v>22</v>
      </c>
      <c r="H34" t="s">
        <v>181</v>
      </c>
      <c r="I34" t="s">
        <v>182</v>
      </c>
      <c r="J34" s="2">
        <v>46056.27925848317</v>
      </c>
    </row>
    <row r="35" spans="1:11" x14ac:dyDescent="0.55000000000000004">
      <c r="A35" t="s">
        <v>183</v>
      </c>
      <c r="B35">
        <v>101441</v>
      </c>
      <c r="C35" t="s">
        <v>114</v>
      </c>
      <c r="D35" s="1">
        <v>46075</v>
      </c>
      <c r="E35" t="s">
        <v>184</v>
      </c>
      <c r="F35" t="s">
        <v>185</v>
      </c>
      <c r="G35" t="s">
        <v>22</v>
      </c>
      <c r="H35" t="s">
        <v>186</v>
      </c>
      <c r="I35" t="s">
        <v>187</v>
      </c>
      <c r="J35" s="2">
        <v>46065.231341821549</v>
      </c>
    </row>
    <row r="36" spans="1:11" x14ac:dyDescent="0.55000000000000004">
      <c r="A36" t="s">
        <v>188</v>
      </c>
      <c r="B36">
        <v>100526</v>
      </c>
      <c r="C36" t="s">
        <v>37</v>
      </c>
      <c r="D36" s="1">
        <v>45917</v>
      </c>
      <c r="E36" t="s">
        <v>189</v>
      </c>
      <c r="F36" t="s">
        <v>190</v>
      </c>
      <c r="G36" t="s">
        <v>22</v>
      </c>
      <c r="H36" t="s">
        <v>191</v>
      </c>
      <c r="I36" t="s">
        <v>192</v>
      </c>
      <c r="J36" s="2">
        <v>46066.4730084931</v>
      </c>
    </row>
    <row r="37" spans="1:11" x14ac:dyDescent="0.55000000000000004">
      <c r="A37" t="s">
        <v>193</v>
      </c>
      <c r="B37">
        <v>101212</v>
      </c>
      <c r="C37" t="s">
        <v>194</v>
      </c>
      <c r="D37" s="1">
        <v>45802</v>
      </c>
      <c r="E37" t="s">
        <v>155</v>
      </c>
      <c r="F37" t="s">
        <v>195</v>
      </c>
      <c r="G37" t="s">
        <v>22</v>
      </c>
      <c r="H37" t="s">
        <v>196</v>
      </c>
      <c r="I37" t="s">
        <v>197</v>
      </c>
      <c r="J37" s="2">
        <v>46091.02439738602</v>
      </c>
    </row>
    <row r="38" spans="1:11" x14ac:dyDescent="0.55000000000000004">
      <c r="A38" t="s">
        <v>198</v>
      </c>
      <c r="B38">
        <v>101062</v>
      </c>
      <c r="C38" t="s">
        <v>146</v>
      </c>
      <c r="D38" s="1">
        <v>46110</v>
      </c>
      <c r="E38" t="s">
        <v>199</v>
      </c>
      <c r="F38" t="s">
        <v>200</v>
      </c>
      <c r="G38" t="s">
        <v>22</v>
      </c>
      <c r="H38" t="s">
        <v>201</v>
      </c>
      <c r="I38" t="s">
        <v>202</v>
      </c>
      <c r="J38" s="2">
        <v>46088.51536961228</v>
      </c>
    </row>
    <row r="39" spans="1:11" x14ac:dyDescent="0.55000000000000004">
      <c r="A39" t="s">
        <v>203</v>
      </c>
      <c r="B39">
        <v>100383</v>
      </c>
      <c r="C39" t="s">
        <v>48</v>
      </c>
      <c r="D39" s="1">
        <v>46157</v>
      </c>
      <c r="E39" t="s">
        <v>43</v>
      </c>
      <c r="F39" t="s">
        <v>204</v>
      </c>
      <c r="G39" t="s">
        <v>15</v>
      </c>
      <c r="H39" t="s">
        <v>205</v>
      </c>
      <c r="I39" t="s">
        <v>206</v>
      </c>
      <c r="J39" s="2">
        <v>46071.227869616589</v>
      </c>
    </row>
    <row r="40" spans="1:11" x14ac:dyDescent="0.55000000000000004">
      <c r="A40" t="s">
        <v>207</v>
      </c>
      <c r="B40">
        <v>101082</v>
      </c>
      <c r="C40" t="s">
        <v>194</v>
      </c>
      <c r="D40" s="1">
        <v>45959</v>
      </c>
      <c r="E40" t="s">
        <v>208</v>
      </c>
      <c r="F40" t="s">
        <v>209</v>
      </c>
      <c r="G40" t="s">
        <v>15</v>
      </c>
      <c r="H40" t="s">
        <v>210</v>
      </c>
      <c r="I40" t="s">
        <v>211</v>
      </c>
      <c r="J40" s="2">
        <v>46078.079258509737</v>
      </c>
    </row>
    <row r="41" spans="1:11" x14ac:dyDescent="0.55000000000000004">
      <c r="A41" t="s">
        <v>212</v>
      </c>
      <c r="B41">
        <v>100701</v>
      </c>
      <c r="D41" s="1">
        <v>45920</v>
      </c>
      <c r="E41" t="s">
        <v>213</v>
      </c>
      <c r="F41" t="s">
        <v>214</v>
      </c>
      <c r="G41" t="s">
        <v>22</v>
      </c>
      <c r="H41" t="s">
        <v>215</v>
      </c>
      <c r="I41" t="s">
        <v>216</v>
      </c>
      <c r="J41" s="2">
        <v>46073.031341847352</v>
      </c>
      <c r="K41" t="s">
        <v>217</v>
      </c>
    </row>
    <row r="42" spans="1:11" x14ac:dyDescent="0.55000000000000004">
      <c r="A42" t="s">
        <v>218</v>
      </c>
      <c r="B42">
        <v>100405</v>
      </c>
      <c r="C42" t="s">
        <v>82</v>
      </c>
      <c r="D42" s="1">
        <v>45946</v>
      </c>
      <c r="E42" t="s">
        <v>115</v>
      </c>
      <c r="F42" t="s">
        <v>219</v>
      </c>
      <c r="G42" t="s">
        <v>15</v>
      </c>
      <c r="H42" t="s">
        <v>220</v>
      </c>
      <c r="I42" t="s">
        <v>221</v>
      </c>
      <c r="J42" s="2">
        <v>46081.672314074087</v>
      </c>
    </row>
    <row r="43" spans="1:11" x14ac:dyDescent="0.55000000000000004">
      <c r="A43" t="s">
        <v>222</v>
      </c>
      <c r="B43">
        <v>100876</v>
      </c>
      <c r="C43" t="s">
        <v>19</v>
      </c>
      <c r="D43" s="1">
        <v>45922</v>
      </c>
      <c r="E43" t="s">
        <v>184</v>
      </c>
      <c r="F43" t="s">
        <v>223</v>
      </c>
      <c r="G43" t="s">
        <v>22</v>
      </c>
      <c r="H43" t="s">
        <v>224</v>
      </c>
      <c r="I43" t="s">
        <v>225</v>
      </c>
      <c r="J43" s="2">
        <v>46092.518147411807</v>
      </c>
    </row>
    <row r="44" spans="1:11" x14ac:dyDescent="0.55000000000000004">
      <c r="A44" t="s">
        <v>226</v>
      </c>
      <c r="B44">
        <v>101409</v>
      </c>
      <c r="C44" t="s">
        <v>32</v>
      </c>
      <c r="D44" s="1">
        <v>45962</v>
      </c>
      <c r="E44" t="s">
        <v>121</v>
      </c>
      <c r="F44" t="s">
        <v>227</v>
      </c>
      <c r="G44" t="s">
        <v>15</v>
      </c>
      <c r="H44" t="s">
        <v>228</v>
      </c>
      <c r="I44" t="s">
        <v>229</v>
      </c>
      <c r="J44" s="2">
        <v>46069.249397416606</v>
      </c>
    </row>
    <row r="45" spans="1:11" x14ac:dyDescent="0.55000000000000004">
      <c r="A45" t="s">
        <v>230</v>
      </c>
      <c r="B45">
        <v>100434</v>
      </c>
      <c r="C45" t="s">
        <v>37</v>
      </c>
      <c r="D45" s="1">
        <v>45944</v>
      </c>
      <c r="E45" t="s">
        <v>69</v>
      </c>
      <c r="F45" t="s">
        <v>231</v>
      </c>
      <c r="G45" t="s">
        <v>22</v>
      </c>
      <c r="H45" t="s">
        <v>232</v>
      </c>
      <c r="I45" t="s">
        <v>233</v>
      </c>
      <c r="J45" s="2">
        <v>46082.19731408816</v>
      </c>
    </row>
    <row r="46" spans="1:11" x14ac:dyDescent="0.55000000000000004">
      <c r="A46" t="s">
        <v>234</v>
      </c>
      <c r="B46">
        <v>101008</v>
      </c>
      <c r="C46" t="s">
        <v>131</v>
      </c>
      <c r="D46" s="1">
        <v>45923</v>
      </c>
      <c r="E46" t="s">
        <v>155</v>
      </c>
      <c r="F46" t="s">
        <v>235</v>
      </c>
      <c r="G46" t="s">
        <v>22</v>
      </c>
      <c r="H46" t="s">
        <v>236</v>
      </c>
      <c r="I46" t="s">
        <v>237</v>
      </c>
      <c r="J46" s="2">
        <v>46090.821619647802</v>
      </c>
    </row>
    <row r="47" spans="1:11" x14ac:dyDescent="0.55000000000000004">
      <c r="A47" t="s">
        <v>238</v>
      </c>
      <c r="B47">
        <v>101095</v>
      </c>
      <c r="C47" t="s">
        <v>169</v>
      </c>
      <c r="D47" s="1">
        <v>46137</v>
      </c>
      <c r="E47" t="s">
        <v>115</v>
      </c>
      <c r="F47" t="s">
        <v>239</v>
      </c>
      <c r="G47" t="s">
        <v>15</v>
      </c>
      <c r="H47" t="s">
        <v>240</v>
      </c>
      <c r="I47" t="s">
        <v>241</v>
      </c>
      <c r="J47" s="2">
        <v>46079.074397430413</v>
      </c>
      <c r="K47" t="s">
        <v>139</v>
      </c>
    </row>
    <row r="48" spans="1:11" x14ac:dyDescent="0.55000000000000004">
      <c r="A48" t="s">
        <v>242</v>
      </c>
      <c r="B48">
        <v>100391</v>
      </c>
      <c r="C48" t="s">
        <v>114</v>
      </c>
      <c r="D48" s="1">
        <v>46120</v>
      </c>
      <c r="E48" t="s">
        <v>243</v>
      </c>
      <c r="F48" t="s">
        <v>244</v>
      </c>
      <c r="G48" t="s">
        <v>15</v>
      </c>
      <c r="H48" t="s">
        <v>245</v>
      </c>
      <c r="I48" t="s">
        <v>246</v>
      </c>
      <c r="J48" s="2">
        <v>46096.382036323463</v>
      </c>
    </row>
    <row r="49" spans="1:11" x14ac:dyDescent="0.55000000000000004">
      <c r="A49" t="s">
        <v>247</v>
      </c>
      <c r="B49">
        <v>100297</v>
      </c>
      <c r="C49" t="s">
        <v>248</v>
      </c>
      <c r="D49" s="1">
        <v>45808</v>
      </c>
      <c r="E49" t="s">
        <v>213</v>
      </c>
      <c r="F49" t="s">
        <v>249</v>
      </c>
      <c r="G49" t="s">
        <v>15</v>
      </c>
      <c r="H49" t="s">
        <v>250</v>
      </c>
      <c r="I49" t="s">
        <v>251</v>
      </c>
      <c r="J49" s="2">
        <v>46079.408425216723</v>
      </c>
    </row>
    <row r="50" spans="1:11" x14ac:dyDescent="0.55000000000000004">
      <c r="A50" t="s">
        <v>252</v>
      </c>
      <c r="B50">
        <v>100157</v>
      </c>
      <c r="C50" t="s">
        <v>68</v>
      </c>
      <c r="D50" s="1">
        <v>45794</v>
      </c>
      <c r="E50" t="s">
        <v>115</v>
      </c>
      <c r="F50" t="s">
        <v>253</v>
      </c>
      <c r="G50" t="s">
        <v>22</v>
      </c>
      <c r="H50" t="s">
        <v>254</v>
      </c>
      <c r="I50" t="s">
        <v>255</v>
      </c>
      <c r="J50" s="2">
        <v>46056.860508554302</v>
      </c>
    </row>
    <row r="51" spans="1:11" x14ac:dyDescent="0.55000000000000004">
      <c r="A51" t="s">
        <v>256</v>
      </c>
      <c r="B51">
        <v>100933</v>
      </c>
      <c r="C51" t="s">
        <v>88</v>
      </c>
      <c r="D51" s="1">
        <v>45764</v>
      </c>
      <c r="E51" t="s">
        <v>69</v>
      </c>
      <c r="F51" t="s">
        <v>257</v>
      </c>
      <c r="G51" t="s">
        <v>15</v>
      </c>
      <c r="H51" t="s">
        <v>258</v>
      </c>
      <c r="I51" t="s">
        <v>259</v>
      </c>
      <c r="J51" s="2">
        <v>46057.01328633714</v>
      </c>
    </row>
    <row r="52" spans="1:11" x14ac:dyDescent="0.55000000000000004">
      <c r="A52" t="s">
        <v>260</v>
      </c>
      <c r="B52">
        <v>101122</v>
      </c>
      <c r="C52" t="s">
        <v>26</v>
      </c>
      <c r="D52" s="1">
        <v>45855</v>
      </c>
      <c r="E52" t="s">
        <v>208</v>
      </c>
      <c r="F52" t="s">
        <v>261</v>
      </c>
      <c r="G52" t="s">
        <v>15</v>
      </c>
      <c r="H52" t="s">
        <v>262</v>
      </c>
      <c r="I52" t="s">
        <v>263</v>
      </c>
      <c r="J52" s="2">
        <v>46058.244536342107</v>
      </c>
    </row>
    <row r="53" spans="1:11" x14ac:dyDescent="0.55000000000000004">
      <c r="A53" t="s">
        <v>264</v>
      </c>
      <c r="B53">
        <v>100879</v>
      </c>
      <c r="C53" t="s">
        <v>194</v>
      </c>
      <c r="D53" s="1">
        <v>46024</v>
      </c>
      <c r="E53" t="s">
        <v>265</v>
      </c>
      <c r="F53" t="s">
        <v>266</v>
      </c>
      <c r="G53" t="s">
        <v>22</v>
      </c>
      <c r="H53" t="s">
        <v>267</v>
      </c>
      <c r="I53" t="s">
        <v>268</v>
      </c>
      <c r="J53" s="2">
        <v>46092.998008568589</v>
      </c>
    </row>
    <row r="54" spans="1:11" x14ac:dyDescent="0.55000000000000004">
      <c r="A54" t="s">
        <v>269</v>
      </c>
      <c r="B54">
        <v>100182</v>
      </c>
      <c r="C54" t="s">
        <v>146</v>
      </c>
      <c r="D54" s="1">
        <v>45991</v>
      </c>
      <c r="E54" t="s">
        <v>270</v>
      </c>
      <c r="F54" t="s">
        <v>271</v>
      </c>
      <c r="G54" t="s">
        <v>22</v>
      </c>
      <c r="H54" t="s">
        <v>272</v>
      </c>
      <c r="I54" t="s">
        <v>273</v>
      </c>
      <c r="J54" s="2">
        <v>46094.84245301794</v>
      </c>
    </row>
    <row r="55" spans="1:11" x14ac:dyDescent="0.55000000000000004">
      <c r="A55" t="s">
        <v>274</v>
      </c>
      <c r="B55">
        <v>101357</v>
      </c>
      <c r="C55" t="s">
        <v>179</v>
      </c>
      <c r="D55" s="1">
        <v>45923</v>
      </c>
      <c r="E55" t="s">
        <v>141</v>
      </c>
      <c r="F55" t="s">
        <v>275</v>
      </c>
      <c r="G55" t="s">
        <v>22</v>
      </c>
      <c r="H55" t="s">
        <v>276</v>
      </c>
      <c r="I55" t="s">
        <v>277</v>
      </c>
      <c r="J55" s="2">
        <v>46093.255647467362</v>
      </c>
    </row>
    <row r="56" spans="1:11" x14ac:dyDescent="0.55000000000000004">
      <c r="A56" t="s">
        <v>278</v>
      </c>
      <c r="B56">
        <v>100513</v>
      </c>
      <c r="C56" t="s">
        <v>194</v>
      </c>
      <c r="D56" s="1">
        <v>46107</v>
      </c>
      <c r="E56" t="s">
        <v>13</v>
      </c>
      <c r="F56" t="s">
        <v>279</v>
      </c>
      <c r="G56" t="s">
        <v>15</v>
      </c>
      <c r="H56" t="s">
        <v>280</v>
      </c>
      <c r="I56" t="s">
        <v>281</v>
      </c>
      <c r="J56" s="2">
        <v>46095.245230805704</v>
      </c>
    </row>
    <row r="57" spans="1:11" x14ac:dyDescent="0.55000000000000004">
      <c r="A57" t="s">
        <v>282</v>
      </c>
      <c r="B57">
        <v>101229</v>
      </c>
      <c r="C57" t="s">
        <v>146</v>
      </c>
      <c r="D57" s="1">
        <v>45905</v>
      </c>
      <c r="E57" t="s">
        <v>43</v>
      </c>
      <c r="F57" t="s">
        <v>283</v>
      </c>
      <c r="G57" t="s">
        <v>15</v>
      </c>
      <c r="H57" t="s">
        <v>284</v>
      </c>
      <c r="I57" t="s">
        <v>285</v>
      </c>
      <c r="J57" s="2">
        <v>46089.656341920927</v>
      </c>
    </row>
    <row r="58" spans="1:11" x14ac:dyDescent="0.55000000000000004">
      <c r="A58" t="s">
        <v>286</v>
      </c>
      <c r="B58">
        <v>100374</v>
      </c>
      <c r="C58" t="s">
        <v>88</v>
      </c>
      <c r="D58" s="1">
        <v>45750</v>
      </c>
      <c r="E58" t="s">
        <v>265</v>
      </c>
      <c r="F58" t="s">
        <v>287</v>
      </c>
      <c r="G58" t="s">
        <v>15</v>
      </c>
      <c r="H58" t="s">
        <v>288</v>
      </c>
      <c r="I58" t="s">
        <v>289</v>
      </c>
      <c r="J58" s="2">
        <v>46095.297314148163</v>
      </c>
    </row>
    <row r="59" spans="1:11" x14ac:dyDescent="0.55000000000000004">
      <c r="A59" t="s">
        <v>290</v>
      </c>
      <c r="B59">
        <v>101141</v>
      </c>
      <c r="C59" t="s">
        <v>68</v>
      </c>
      <c r="D59" s="1">
        <v>45995</v>
      </c>
      <c r="E59" t="s">
        <v>89</v>
      </c>
      <c r="F59" t="s">
        <v>291</v>
      </c>
      <c r="G59" t="s">
        <v>22</v>
      </c>
      <c r="H59" t="s">
        <v>292</v>
      </c>
      <c r="I59" t="s">
        <v>293</v>
      </c>
      <c r="J59" s="2">
        <v>46094.82648081972</v>
      </c>
    </row>
    <row r="60" spans="1:11" x14ac:dyDescent="0.55000000000000004">
      <c r="A60" t="s">
        <v>294</v>
      </c>
      <c r="B60">
        <v>100307</v>
      </c>
      <c r="C60" t="s">
        <v>248</v>
      </c>
      <c r="D60" s="1">
        <v>45878</v>
      </c>
      <c r="E60" t="s">
        <v>295</v>
      </c>
      <c r="F60" t="s">
        <v>296</v>
      </c>
      <c r="G60" t="s">
        <v>22</v>
      </c>
      <c r="H60" t="s">
        <v>297</v>
      </c>
      <c r="I60" t="s">
        <v>298</v>
      </c>
      <c r="J60" s="2">
        <v>46090.223008601854</v>
      </c>
    </row>
    <row r="61" spans="1:11" x14ac:dyDescent="0.55000000000000004">
      <c r="A61" t="s">
        <v>299</v>
      </c>
      <c r="C61" t="s">
        <v>94</v>
      </c>
      <c r="D61" s="1">
        <v>45936</v>
      </c>
      <c r="E61" t="s">
        <v>300</v>
      </c>
      <c r="F61" t="s">
        <v>301</v>
      </c>
      <c r="G61" t="s">
        <v>15</v>
      </c>
      <c r="H61" t="s">
        <v>302</v>
      </c>
      <c r="I61" t="s">
        <v>303</v>
      </c>
      <c r="J61" s="2">
        <v>46065.761897495941</v>
      </c>
      <c r="K61" t="s">
        <v>112</v>
      </c>
    </row>
    <row r="62" spans="1:11" x14ac:dyDescent="0.55000000000000004">
      <c r="A62" t="s">
        <v>304</v>
      </c>
      <c r="B62">
        <v>100491</v>
      </c>
      <c r="C62" t="s">
        <v>19</v>
      </c>
      <c r="D62" s="1">
        <v>45920</v>
      </c>
      <c r="E62" t="s">
        <v>83</v>
      </c>
      <c r="F62" t="s">
        <v>305</v>
      </c>
      <c r="G62" t="s">
        <v>15</v>
      </c>
      <c r="H62" t="s">
        <v>306</v>
      </c>
      <c r="I62" t="s">
        <v>307</v>
      </c>
      <c r="J62" s="2">
        <v>46069.889675277882</v>
      </c>
    </row>
    <row r="63" spans="1:11" x14ac:dyDescent="0.55000000000000004">
      <c r="A63" t="s">
        <v>308</v>
      </c>
      <c r="B63">
        <v>101319</v>
      </c>
      <c r="C63" t="s">
        <v>48</v>
      </c>
      <c r="D63" s="1">
        <v>46011</v>
      </c>
      <c r="E63" t="s">
        <v>295</v>
      </c>
      <c r="F63" t="s">
        <v>309</v>
      </c>
      <c r="G63" t="s">
        <v>15</v>
      </c>
      <c r="H63" t="s">
        <v>310</v>
      </c>
      <c r="I63" t="s">
        <v>311</v>
      </c>
      <c r="J63" s="2">
        <v>46076.806341949661</v>
      </c>
    </row>
    <row r="64" spans="1:11" x14ac:dyDescent="0.55000000000000004">
      <c r="A64" t="s">
        <v>312</v>
      </c>
      <c r="B64">
        <v>100722</v>
      </c>
      <c r="C64" t="s">
        <v>68</v>
      </c>
      <c r="D64" s="1">
        <v>45888</v>
      </c>
      <c r="E64" t="s">
        <v>89</v>
      </c>
      <c r="F64" t="s">
        <v>313</v>
      </c>
      <c r="G64" t="s">
        <v>15</v>
      </c>
      <c r="H64" t="s">
        <v>314</v>
      </c>
      <c r="I64" t="s">
        <v>315</v>
      </c>
      <c r="J64" s="2">
        <v>46053.114675287288</v>
      </c>
    </row>
    <row r="65" spans="1:11" x14ac:dyDescent="0.55000000000000004">
      <c r="A65" t="s">
        <v>316</v>
      </c>
      <c r="B65">
        <v>101401</v>
      </c>
      <c r="C65" t="s">
        <v>63</v>
      </c>
      <c r="D65" s="1">
        <v>45960</v>
      </c>
      <c r="E65" t="s">
        <v>317</v>
      </c>
      <c r="F65" t="s">
        <v>318</v>
      </c>
      <c r="G65" t="s">
        <v>22</v>
      </c>
      <c r="H65" t="s">
        <v>319</v>
      </c>
      <c r="I65" t="s">
        <v>320</v>
      </c>
      <c r="J65" s="2">
        <v>46058.127869736803</v>
      </c>
    </row>
    <row r="66" spans="1:11" x14ac:dyDescent="0.55000000000000004">
      <c r="A66" t="s">
        <v>321</v>
      </c>
      <c r="B66">
        <v>100098</v>
      </c>
      <c r="C66" t="s">
        <v>32</v>
      </c>
      <c r="D66" s="1">
        <v>46059</v>
      </c>
      <c r="E66" t="s">
        <v>155</v>
      </c>
      <c r="F66" t="s">
        <v>322</v>
      </c>
      <c r="G66" t="s">
        <v>22</v>
      </c>
      <c r="H66" t="s">
        <v>323</v>
      </c>
      <c r="I66" t="s">
        <v>324</v>
      </c>
      <c r="J66" s="2">
        <v>46074.016758630627</v>
      </c>
    </row>
    <row r="67" spans="1:11" x14ac:dyDescent="0.55000000000000004">
      <c r="A67" t="s">
        <v>325</v>
      </c>
      <c r="B67">
        <v>100682</v>
      </c>
      <c r="C67" t="s">
        <v>48</v>
      </c>
      <c r="D67" s="1">
        <v>45747</v>
      </c>
      <c r="E67" t="s">
        <v>38</v>
      </c>
      <c r="F67" t="s">
        <v>326</v>
      </c>
      <c r="G67" t="s">
        <v>22</v>
      </c>
      <c r="H67" t="s">
        <v>327</v>
      </c>
      <c r="I67" t="s">
        <v>328</v>
      </c>
      <c r="J67" s="2">
        <v>46095.566758634894</v>
      </c>
    </row>
    <row r="68" spans="1:11" x14ac:dyDescent="0.55000000000000004">
      <c r="A68" t="s">
        <v>329</v>
      </c>
      <c r="B68">
        <v>100602</v>
      </c>
      <c r="C68" t="s">
        <v>131</v>
      </c>
      <c r="D68" s="1">
        <v>45852</v>
      </c>
      <c r="E68" t="s">
        <v>300</v>
      </c>
      <c r="F68" t="s">
        <v>330</v>
      </c>
      <c r="G68" t="s">
        <v>15</v>
      </c>
      <c r="H68" t="s">
        <v>331</v>
      </c>
      <c r="I68" t="s">
        <v>332</v>
      </c>
      <c r="J68" s="2">
        <v>46059.527869751153</v>
      </c>
    </row>
    <row r="69" spans="1:11" x14ac:dyDescent="0.55000000000000004">
      <c r="A69" t="s">
        <v>333</v>
      </c>
      <c r="B69">
        <v>101162</v>
      </c>
      <c r="C69" t="s">
        <v>88</v>
      </c>
      <c r="D69" s="1">
        <v>45921</v>
      </c>
      <c r="E69" t="s">
        <v>334</v>
      </c>
      <c r="F69" t="s">
        <v>335</v>
      </c>
      <c r="G69" t="s">
        <v>15</v>
      </c>
      <c r="H69" t="s">
        <v>336</v>
      </c>
      <c r="I69" t="s">
        <v>337</v>
      </c>
      <c r="J69" s="2">
        <v>46064.224397533158</v>
      </c>
    </row>
    <row r="70" spans="1:11" x14ac:dyDescent="0.55000000000000004">
      <c r="A70" t="s">
        <v>338</v>
      </c>
      <c r="B70">
        <v>100132</v>
      </c>
      <c r="C70" t="s">
        <v>179</v>
      </c>
      <c r="D70" s="1">
        <v>45892</v>
      </c>
      <c r="E70" t="s">
        <v>199</v>
      </c>
      <c r="F70" t="s">
        <v>339</v>
      </c>
      <c r="G70" t="s">
        <v>15</v>
      </c>
      <c r="H70" t="s">
        <v>340</v>
      </c>
      <c r="I70" t="s">
        <v>341</v>
      </c>
      <c r="J70" s="2">
        <v>46086.036203093958</v>
      </c>
    </row>
    <row r="71" spans="1:11" x14ac:dyDescent="0.55000000000000004">
      <c r="A71" t="s">
        <v>342</v>
      </c>
      <c r="B71">
        <v>100608</v>
      </c>
      <c r="C71" t="s">
        <v>82</v>
      </c>
      <c r="D71" s="1">
        <v>45930</v>
      </c>
      <c r="E71" t="s">
        <v>343</v>
      </c>
      <c r="F71" t="s">
        <v>344</v>
      </c>
      <c r="G71" t="s">
        <v>22</v>
      </c>
      <c r="H71" t="s">
        <v>345</v>
      </c>
      <c r="I71" t="s">
        <v>346</v>
      </c>
      <c r="J71" s="2">
        <v>46083.875786432123</v>
      </c>
    </row>
    <row r="72" spans="1:11" x14ac:dyDescent="0.55000000000000004">
      <c r="A72" t="s">
        <v>347</v>
      </c>
      <c r="B72">
        <v>101331</v>
      </c>
      <c r="C72" t="s">
        <v>68</v>
      </c>
      <c r="D72" s="1">
        <v>46087</v>
      </c>
      <c r="E72" t="s">
        <v>265</v>
      </c>
      <c r="F72" t="s">
        <v>348</v>
      </c>
      <c r="G72" t="s">
        <v>15</v>
      </c>
      <c r="H72" t="s">
        <v>349</v>
      </c>
      <c r="I72" t="s">
        <v>350</v>
      </c>
      <c r="J72" s="2">
        <v>46093.103564214733</v>
      </c>
    </row>
    <row r="73" spans="1:11" x14ac:dyDescent="0.55000000000000004">
      <c r="A73" t="s">
        <v>351</v>
      </c>
      <c r="B73">
        <v>100845</v>
      </c>
      <c r="C73" t="s">
        <v>48</v>
      </c>
      <c r="D73" s="1">
        <v>46097</v>
      </c>
      <c r="E73" t="s">
        <v>295</v>
      </c>
      <c r="F73" t="s">
        <v>352</v>
      </c>
      <c r="G73" t="s">
        <v>22</v>
      </c>
      <c r="H73" t="s">
        <v>353</v>
      </c>
      <c r="I73" t="s">
        <v>354</v>
      </c>
      <c r="J73" s="2">
        <v>46052.6542586633</v>
      </c>
    </row>
    <row r="74" spans="1:11" x14ac:dyDescent="0.55000000000000004">
      <c r="A74" t="s">
        <v>355</v>
      </c>
      <c r="B74">
        <v>100547</v>
      </c>
      <c r="C74" t="s">
        <v>146</v>
      </c>
      <c r="D74" s="1">
        <v>46009</v>
      </c>
      <c r="E74" t="s">
        <v>356</v>
      </c>
      <c r="F74" t="s">
        <v>357</v>
      </c>
      <c r="G74" t="s">
        <v>15</v>
      </c>
      <c r="H74" t="s">
        <v>358</v>
      </c>
      <c r="I74" t="s">
        <v>359</v>
      </c>
      <c r="J74" s="2">
        <v>46074.023008667617</v>
      </c>
    </row>
    <row r="75" spans="1:11" x14ac:dyDescent="0.55000000000000004">
      <c r="A75" t="s">
        <v>360</v>
      </c>
      <c r="B75">
        <v>100359</v>
      </c>
      <c r="C75" t="s">
        <v>194</v>
      </c>
      <c r="D75" s="1">
        <v>45794</v>
      </c>
      <c r="E75" t="s">
        <v>115</v>
      </c>
      <c r="F75" t="s">
        <v>361</v>
      </c>
      <c r="G75" t="s">
        <v>15</v>
      </c>
      <c r="H75" t="s">
        <v>362</v>
      </c>
      <c r="I75" t="s">
        <v>363</v>
      </c>
      <c r="J75" s="2">
        <v>46066.709119782769</v>
      </c>
    </row>
    <row r="76" spans="1:11" x14ac:dyDescent="0.55000000000000004">
      <c r="A76" t="s">
        <v>364</v>
      </c>
      <c r="B76">
        <v>101068</v>
      </c>
      <c r="C76" t="s">
        <v>63</v>
      </c>
      <c r="D76" s="1">
        <v>46015</v>
      </c>
      <c r="E76" t="s">
        <v>208</v>
      </c>
      <c r="F76" t="s">
        <v>365</v>
      </c>
      <c r="G76" t="s">
        <v>15</v>
      </c>
      <c r="H76" t="s">
        <v>366</v>
      </c>
      <c r="I76" t="s">
        <v>367</v>
      </c>
      <c r="J76" s="2">
        <v>46093.306342009848</v>
      </c>
    </row>
    <row r="77" spans="1:11" x14ac:dyDescent="0.55000000000000004">
      <c r="A77" t="s">
        <v>368</v>
      </c>
      <c r="B77">
        <v>100635</v>
      </c>
      <c r="C77" t="s">
        <v>179</v>
      </c>
      <c r="D77" s="1">
        <v>46099</v>
      </c>
      <c r="E77" t="s">
        <v>213</v>
      </c>
      <c r="F77" t="s">
        <v>369</v>
      </c>
      <c r="G77" t="s">
        <v>22</v>
      </c>
      <c r="H77" t="s">
        <v>370</v>
      </c>
      <c r="I77" t="s">
        <v>371</v>
      </c>
      <c r="J77" s="2">
        <v>46061.641064236239</v>
      </c>
      <c r="K77" t="s">
        <v>139</v>
      </c>
    </row>
    <row r="78" spans="1:11" x14ac:dyDescent="0.55000000000000004">
      <c r="A78" t="s">
        <v>372</v>
      </c>
      <c r="B78">
        <v>100354</v>
      </c>
      <c r="C78" t="s">
        <v>114</v>
      </c>
      <c r="D78" s="1">
        <v>45894</v>
      </c>
      <c r="E78" t="s">
        <v>270</v>
      </c>
      <c r="F78" t="s">
        <v>373</v>
      </c>
      <c r="G78" t="s">
        <v>22</v>
      </c>
      <c r="H78" t="s">
        <v>374</v>
      </c>
      <c r="I78" t="s">
        <v>375</v>
      </c>
      <c r="J78" s="2">
        <v>46088.961897574511</v>
      </c>
    </row>
    <row r="79" spans="1:11" x14ac:dyDescent="0.55000000000000004">
      <c r="A79" t="s">
        <v>376</v>
      </c>
      <c r="B79">
        <v>100977</v>
      </c>
      <c r="C79" t="s">
        <v>26</v>
      </c>
      <c r="D79" s="1">
        <v>45825</v>
      </c>
      <c r="E79" t="s">
        <v>69</v>
      </c>
      <c r="F79" t="s">
        <v>377</v>
      </c>
      <c r="G79" t="s">
        <v>15</v>
      </c>
      <c r="H79" t="s">
        <v>378</v>
      </c>
      <c r="I79" t="s">
        <v>379</v>
      </c>
      <c r="J79" s="2">
        <v>46090.009119800692</v>
      </c>
    </row>
    <row r="80" spans="1:11" x14ac:dyDescent="0.55000000000000004">
      <c r="A80" t="s">
        <v>380</v>
      </c>
      <c r="B80">
        <v>101358</v>
      </c>
      <c r="D80" s="1">
        <v>45887</v>
      </c>
      <c r="E80" t="s">
        <v>115</v>
      </c>
      <c r="F80" t="s">
        <v>381</v>
      </c>
      <c r="G80" t="s">
        <v>22</v>
      </c>
      <c r="H80" t="s">
        <v>382</v>
      </c>
      <c r="I80" t="s">
        <v>383</v>
      </c>
      <c r="J80" s="2">
        <v>46052.425786472362</v>
      </c>
      <c r="K80" t="s">
        <v>217</v>
      </c>
    </row>
    <row r="81" spans="1:10" x14ac:dyDescent="0.55000000000000004">
      <c r="A81" t="s">
        <v>384</v>
      </c>
      <c r="B81">
        <v>100950</v>
      </c>
      <c r="C81" t="s">
        <v>63</v>
      </c>
      <c r="D81" s="1">
        <v>45997</v>
      </c>
      <c r="E81" t="s">
        <v>295</v>
      </c>
      <c r="F81" t="s">
        <v>385</v>
      </c>
      <c r="G81" t="s">
        <v>15</v>
      </c>
      <c r="H81" t="s">
        <v>386</v>
      </c>
      <c r="I81" t="s">
        <v>387</v>
      </c>
      <c r="J81" s="2">
        <v>46056.96259203308</v>
      </c>
    </row>
    <row r="82" spans="1:10" x14ac:dyDescent="0.55000000000000004">
      <c r="A82" t="s">
        <v>388</v>
      </c>
      <c r="B82">
        <v>100780</v>
      </c>
      <c r="C82" t="s">
        <v>32</v>
      </c>
      <c r="D82" s="1">
        <v>45796</v>
      </c>
      <c r="E82" t="s">
        <v>343</v>
      </c>
      <c r="F82" t="s">
        <v>389</v>
      </c>
      <c r="G82" t="s">
        <v>15</v>
      </c>
      <c r="H82" t="s">
        <v>390</v>
      </c>
      <c r="I82" t="s">
        <v>391</v>
      </c>
      <c r="J82" s="2">
        <v>46059.920230926989</v>
      </c>
    </row>
    <row r="83" spans="1:10" x14ac:dyDescent="0.55000000000000004">
      <c r="A83" t="s">
        <v>392</v>
      </c>
      <c r="B83">
        <v>100368</v>
      </c>
      <c r="C83" t="s">
        <v>114</v>
      </c>
      <c r="D83" s="1">
        <v>45819</v>
      </c>
      <c r="E83" t="s">
        <v>126</v>
      </c>
      <c r="F83" t="s">
        <v>393</v>
      </c>
      <c r="G83" t="s">
        <v>15</v>
      </c>
      <c r="H83" t="s">
        <v>394</v>
      </c>
      <c r="I83" t="s">
        <v>395</v>
      </c>
      <c r="J83" s="2">
        <v>46096.630647597718</v>
      </c>
    </row>
    <row r="84" spans="1:10" x14ac:dyDescent="0.55000000000000004">
      <c r="A84" t="s">
        <v>396</v>
      </c>
      <c r="B84">
        <v>101470</v>
      </c>
      <c r="C84" t="s">
        <v>12</v>
      </c>
      <c r="D84" s="1">
        <v>46060</v>
      </c>
      <c r="E84" t="s">
        <v>208</v>
      </c>
      <c r="F84" t="s">
        <v>397</v>
      </c>
      <c r="G84" t="s">
        <v>15</v>
      </c>
      <c r="H84" t="s">
        <v>398</v>
      </c>
      <c r="I84" t="s">
        <v>399</v>
      </c>
      <c r="J84" s="2">
        <v>46065.854258713851</v>
      </c>
    </row>
    <row r="85" spans="1:10" x14ac:dyDescent="0.55000000000000004">
      <c r="A85" t="s">
        <v>400</v>
      </c>
      <c r="B85">
        <v>101467</v>
      </c>
      <c r="C85" t="s">
        <v>146</v>
      </c>
      <c r="D85" s="1">
        <v>45880</v>
      </c>
      <c r="E85" t="s">
        <v>208</v>
      </c>
      <c r="F85" t="s">
        <v>401</v>
      </c>
      <c r="G85" t="s">
        <v>22</v>
      </c>
      <c r="H85" t="s">
        <v>402</v>
      </c>
      <c r="I85" t="s">
        <v>403</v>
      </c>
      <c r="J85" s="2">
        <v>46078.101480940219</v>
      </c>
    </row>
    <row r="86" spans="1:10" x14ac:dyDescent="0.55000000000000004">
      <c r="A86" t="s">
        <v>404</v>
      </c>
      <c r="B86">
        <v>100754</v>
      </c>
      <c r="C86" t="s">
        <v>131</v>
      </c>
      <c r="D86" s="1">
        <v>46084</v>
      </c>
      <c r="E86" t="s">
        <v>115</v>
      </c>
      <c r="F86" t="s">
        <v>405</v>
      </c>
      <c r="G86" t="s">
        <v>22</v>
      </c>
      <c r="H86" t="s">
        <v>406</v>
      </c>
      <c r="I86" t="s">
        <v>407</v>
      </c>
      <c r="J86" s="2">
        <v>46071.057730945278</v>
      </c>
    </row>
    <row r="87" spans="1:10" x14ac:dyDescent="0.55000000000000004">
      <c r="A87" t="s">
        <v>408</v>
      </c>
      <c r="B87">
        <v>101102</v>
      </c>
      <c r="C87" t="s">
        <v>88</v>
      </c>
      <c r="D87" s="1">
        <v>45836</v>
      </c>
      <c r="E87" t="s">
        <v>409</v>
      </c>
      <c r="F87" t="s">
        <v>410</v>
      </c>
      <c r="G87" t="s">
        <v>22</v>
      </c>
      <c r="H87" t="s">
        <v>411</v>
      </c>
      <c r="I87" t="s">
        <v>412</v>
      </c>
      <c r="J87" s="2">
        <v>46052.292453171773</v>
      </c>
    </row>
    <row r="88" spans="1:10" x14ac:dyDescent="0.55000000000000004">
      <c r="A88" t="s">
        <v>413</v>
      </c>
      <c r="B88">
        <v>101294</v>
      </c>
      <c r="C88" t="s">
        <v>63</v>
      </c>
      <c r="D88" s="1">
        <v>45936</v>
      </c>
      <c r="E88" t="s">
        <v>20</v>
      </c>
      <c r="F88" t="s">
        <v>414</v>
      </c>
      <c r="G88" t="s">
        <v>15</v>
      </c>
      <c r="H88" t="s">
        <v>415</v>
      </c>
      <c r="I88" t="s">
        <v>416</v>
      </c>
      <c r="J88" s="2">
        <v>46077.402175398092</v>
      </c>
    </row>
    <row r="89" spans="1:10" x14ac:dyDescent="0.55000000000000004">
      <c r="A89" t="s">
        <v>417</v>
      </c>
      <c r="B89">
        <v>100400</v>
      </c>
      <c r="C89" t="s">
        <v>88</v>
      </c>
      <c r="D89" s="1">
        <v>45794</v>
      </c>
      <c r="E89" t="s">
        <v>418</v>
      </c>
      <c r="F89" t="s">
        <v>419</v>
      </c>
      <c r="G89" t="s">
        <v>15</v>
      </c>
      <c r="H89" t="s">
        <v>420</v>
      </c>
      <c r="I89" t="s">
        <v>421</v>
      </c>
      <c r="J89" s="2">
        <v>46091.674397625407</v>
      </c>
    </row>
    <row r="90" spans="1:10" x14ac:dyDescent="0.55000000000000004">
      <c r="A90" t="s">
        <v>422</v>
      </c>
      <c r="B90">
        <v>100961</v>
      </c>
      <c r="C90" t="s">
        <v>68</v>
      </c>
      <c r="D90" s="1">
        <v>45928</v>
      </c>
      <c r="E90" t="s">
        <v>43</v>
      </c>
      <c r="F90" t="s">
        <v>423</v>
      </c>
      <c r="G90" t="s">
        <v>22</v>
      </c>
      <c r="H90" t="s">
        <v>424</v>
      </c>
      <c r="I90" t="s">
        <v>425</v>
      </c>
      <c r="J90" s="2">
        <v>46061.301480963841</v>
      </c>
    </row>
    <row r="91" spans="1:10" x14ac:dyDescent="0.55000000000000004">
      <c r="A91" t="s">
        <v>426</v>
      </c>
      <c r="B91">
        <v>100520</v>
      </c>
      <c r="C91" t="s">
        <v>248</v>
      </c>
      <c r="D91" s="1">
        <v>46122</v>
      </c>
      <c r="E91" t="s">
        <v>69</v>
      </c>
      <c r="F91" t="s">
        <v>427</v>
      </c>
      <c r="G91" t="s">
        <v>22</v>
      </c>
      <c r="H91" t="s">
        <v>428</v>
      </c>
      <c r="I91" t="s">
        <v>429</v>
      </c>
      <c r="J91" s="2">
        <v>46066.307730968307</v>
      </c>
    </row>
    <row r="92" spans="1:10" x14ac:dyDescent="0.55000000000000004">
      <c r="A92" t="s">
        <v>430</v>
      </c>
      <c r="B92">
        <v>101254</v>
      </c>
      <c r="C92" t="s">
        <v>19</v>
      </c>
      <c r="D92" s="1">
        <v>45743</v>
      </c>
      <c r="E92" t="s">
        <v>69</v>
      </c>
      <c r="F92" t="s">
        <v>431</v>
      </c>
      <c r="G92" t="s">
        <v>22</v>
      </c>
      <c r="H92" t="s">
        <v>432</v>
      </c>
      <c r="I92" t="s">
        <v>433</v>
      </c>
      <c r="J92" s="2">
        <v>46082.440369861179</v>
      </c>
    </row>
    <row r="93" spans="1:10" x14ac:dyDescent="0.55000000000000004">
      <c r="A93" t="s">
        <v>434</v>
      </c>
      <c r="B93">
        <v>101230</v>
      </c>
      <c r="C93" t="s">
        <v>26</v>
      </c>
      <c r="D93" s="1">
        <v>45912</v>
      </c>
      <c r="E93" t="s">
        <v>155</v>
      </c>
      <c r="F93" t="s">
        <v>435</v>
      </c>
      <c r="G93" t="s">
        <v>22</v>
      </c>
      <c r="H93" t="s">
        <v>436</v>
      </c>
      <c r="I93" t="s">
        <v>437</v>
      </c>
      <c r="J93" s="2">
        <v>46065.896619865132</v>
      </c>
    </row>
    <row r="94" spans="1:10" x14ac:dyDescent="0.55000000000000004">
      <c r="A94" t="s">
        <v>438</v>
      </c>
      <c r="B94">
        <v>100353</v>
      </c>
      <c r="C94" t="s">
        <v>19</v>
      </c>
      <c r="D94" s="1">
        <v>45878</v>
      </c>
      <c r="E94" t="s">
        <v>243</v>
      </c>
      <c r="F94" t="s">
        <v>439</v>
      </c>
      <c r="G94" t="s">
        <v>15</v>
      </c>
      <c r="H94" t="s">
        <v>440</v>
      </c>
      <c r="I94" t="s">
        <v>441</v>
      </c>
      <c r="J94" s="2">
        <v>46081.22578653587</v>
      </c>
    </row>
    <row r="95" spans="1:10" x14ac:dyDescent="0.55000000000000004">
      <c r="A95" t="s">
        <v>442</v>
      </c>
      <c r="B95">
        <v>100616</v>
      </c>
      <c r="C95" t="s">
        <v>179</v>
      </c>
      <c r="D95" s="1">
        <v>45919</v>
      </c>
      <c r="E95" t="s">
        <v>69</v>
      </c>
      <c r="F95" t="s">
        <v>443</v>
      </c>
      <c r="G95" t="s">
        <v>15</v>
      </c>
      <c r="H95" t="s">
        <v>444</v>
      </c>
      <c r="I95" t="s">
        <v>445</v>
      </c>
      <c r="J95" s="2">
        <v>46060.947314318597</v>
      </c>
    </row>
    <row r="96" spans="1:10" x14ac:dyDescent="0.55000000000000004">
      <c r="A96" t="s">
        <v>446</v>
      </c>
      <c r="B96">
        <v>100990</v>
      </c>
      <c r="C96" t="s">
        <v>248</v>
      </c>
      <c r="D96" s="1">
        <v>45917</v>
      </c>
      <c r="E96" t="s">
        <v>83</v>
      </c>
      <c r="F96" t="s">
        <v>447</v>
      </c>
      <c r="G96" t="s">
        <v>22</v>
      </c>
      <c r="H96" t="s">
        <v>448</v>
      </c>
      <c r="I96" t="s">
        <v>449</v>
      </c>
      <c r="J96" s="2">
        <v>46062.348703212643</v>
      </c>
    </row>
    <row r="97" spans="1:11" x14ac:dyDescent="0.55000000000000004">
      <c r="A97" t="s">
        <v>450</v>
      </c>
      <c r="B97">
        <v>100993</v>
      </c>
      <c r="C97" t="s">
        <v>99</v>
      </c>
      <c r="D97" s="1">
        <v>46080</v>
      </c>
      <c r="E97" t="s">
        <v>108</v>
      </c>
      <c r="F97" t="s">
        <v>451</v>
      </c>
      <c r="G97" t="s">
        <v>22</v>
      </c>
      <c r="H97" t="s">
        <v>452</v>
      </c>
      <c r="I97" t="s">
        <v>453</v>
      </c>
      <c r="J97" s="2">
        <v>46074.26398099451</v>
      </c>
    </row>
    <row r="98" spans="1:11" x14ac:dyDescent="0.55000000000000004">
      <c r="A98" t="s">
        <v>454</v>
      </c>
      <c r="B98">
        <v>100243</v>
      </c>
      <c r="C98" t="s">
        <v>146</v>
      </c>
      <c r="D98" s="1">
        <v>45919</v>
      </c>
      <c r="E98" t="s">
        <v>115</v>
      </c>
      <c r="F98" t="s">
        <v>455</v>
      </c>
      <c r="G98" t="s">
        <v>22</v>
      </c>
      <c r="H98" t="s">
        <v>456</v>
      </c>
      <c r="I98" t="s">
        <v>457</v>
      </c>
      <c r="J98" s="2">
        <v>46065.688980998719</v>
      </c>
    </row>
    <row r="99" spans="1:11" x14ac:dyDescent="0.55000000000000004">
      <c r="A99" t="s">
        <v>458</v>
      </c>
      <c r="B99">
        <v>100675</v>
      </c>
      <c r="C99" t="s">
        <v>12</v>
      </c>
      <c r="D99" s="1">
        <v>45751</v>
      </c>
      <c r="E99" t="s">
        <v>317</v>
      </c>
      <c r="F99" t="s">
        <v>459</v>
      </c>
      <c r="G99" t="s">
        <v>22</v>
      </c>
      <c r="H99" t="s">
        <v>460</v>
      </c>
      <c r="I99" t="s">
        <v>461</v>
      </c>
      <c r="J99" s="2">
        <v>46067.007731003599</v>
      </c>
    </row>
    <row r="100" spans="1:11" x14ac:dyDescent="0.55000000000000004">
      <c r="A100" t="s">
        <v>462</v>
      </c>
      <c r="B100">
        <v>100347</v>
      </c>
      <c r="C100" t="s">
        <v>88</v>
      </c>
      <c r="D100" s="1">
        <v>45808</v>
      </c>
      <c r="E100" t="s">
        <v>160</v>
      </c>
      <c r="F100" t="s">
        <v>463</v>
      </c>
      <c r="G100" t="s">
        <v>22</v>
      </c>
      <c r="H100" t="s">
        <v>464</v>
      </c>
      <c r="I100" t="s">
        <v>465</v>
      </c>
      <c r="J100" s="2">
        <v>46087.187592119051</v>
      </c>
    </row>
    <row r="101" spans="1:11" x14ac:dyDescent="0.55000000000000004">
      <c r="A101" t="s">
        <v>466</v>
      </c>
      <c r="B101">
        <v>100793</v>
      </c>
      <c r="C101" t="s">
        <v>99</v>
      </c>
      <c r="D101" s="1">
        <v>46110</v>
      </c>
      <c r="E101" t="s">
        <v>467</v>
      </c>
      <c r="F101" t="s">
        <v>468</v>
      </c>
      <c r="G101" t="s">
        <v>22</v>
      </c>
      <c r="H101" t="s">
        <v>469</v>
      </c>
      <c r="I101" t="s">
        <v>470</v>
      </c>
      <c r="J101" s="2">
        <v>46051.945925457563</v>
      </c>
    </row>
    <row r="102" spans="1:11" x14ac:dyDescent="0.55000000000000004">
      <c r="A102" t="s">
        <v>471</v>
      </c>
      <c r="B102">
        <v>101227</v>
      </c>
      <c r="C102" t="s">
        <v>68</v>
      </c>
      <c r="D102" s="1">
        <v>45975</v>
      </c>
      <c r="E102" t="s">
        <v>20</v>
      </c>
      <c r="F102" t="s">
        <v>472</v>
      </c>
      <c r="G102" t="s">
        <v>22</v>
      </c>
      <c r="H102" t="s">
        <v>473</v>
      </c>
      <c r="I102" t="s">
        <v>474</v>
      </c>
      <c r="J102" s="2">
        <v>46054.59036990699</v>
      </c>
      <c r="K102" t="s">
        <v>119</v>
      </c>
    </row>
    <row r="103" spans="1:11" x14ac:dyDescent="0.55000000000000004">
      <c r="A103" t="s">
        <v>475</v>
      </c>
      <c r="B103">
        <v>100192</v>
      </c>
      <c r="C103" t="s">
        <v>94</v>
      </c>
      <c r="D103" s="1">
        <v>46030</v>
      </c>
      <c r="E103" t="s">
        <v>141</v>
      </c>
      <c r="F103" t="s">
        <v>476</v>
      </c>
      <c r="G103" t="s">
        <v>22</v>
      </c>
      <c r="H103" t="s">
        <v>477</v>
      </c>
      <c r="I103" t="s">
        <v>478</v>
      </c>
      <c r="J103" s="2">
        <v>46080.813981022351</v>
      </c>
    </row>
    <row r="104" spans="1:11" x14ac:dyDescent="0.55000000000000004">
      <c r="A104" t="s">
        <v>479</v>
      </c>
      <c r="B104">
        <v>100214</v>
      </c>
      <c r="C104" t="s">
        <v>26</v>
      </c>
      <c r="D104" s="1">
        <v>46027</v>
      </c>
      <c r="E104" t="s">
        <v>317</v>
      </c>
      <c r="F104" t="s">
        <v>480</v>
      </c>
      <c r="G104" t="s">
        <v>15</v>
      </c>
      <c r="H104" t="s">
        <v>481</v>
      </c>
      <c r="I104" t="s">
        <v>482</v>
      </c>
      <c r="J104" s="2">
        <v>46060.063286581921</v>
      </c>
    </row>
    <row r="105" spans="1:11" x14ac:dyDescent="0.55000000000000004">
      <c r="A105" t="s">
        <v>483</v>
      </c>
      <c r="B105">
        <v>101315</v>
      </c>
      <c r="C105" t="s">
        <v>48</v>
      </c>
      <c r="D105" s="1">
        <v>46000</v>
      </c>
      <c r="E105" t="s">
        <v>213</v>
      </c>
      <c r="F105" t="s">
        <v>484</v>
      </c>
      <c r="G105" t="s">
        <v>15</v>
      </c>
      <c r="H105" t="s">
        <v>485</v>
      </c>
      <c r="I105" t="s">
        <v>486</v>
      </c>
      <c r="J105" s="2">
        <v>46054.401481031309</v>
      </c>
    </row>
    <row r="106" spans="1:11" x14ac:dyDescent="0.55000000000000004">
      <c r="A106" t="s">
        <v>487</v>
      </c>
      <c r="B106">
        <v>101311</v>
      </c>
      <c r="C106" t="s">
        <v>12</v>
      </c>
      <c r="D106" s="1">
        <v>46025</v>
      </c>
      <c r="E106" t="s">
        <v>108</v>
      </c>
      <c r="F106" t="s">
        <v>488</v>
      </c>
      <c r="G106" t="s">
        <v>22</v>
      </c>
      <c r="H106" t="s">
        <v>489</v>
      </c>
      <c r="I106" t="s">
        <v>490</v>
      </c>
      <c r="J106" s="2">
        <v>46077.150786591039</v>
      </c>
    </row>
    <row r="107" spans="1:11" x14ac:dyDescent="0.55000000000000004">
      <c r="A107" t="s">
        <v>491</v>
      </c>
      <c r="B107">
        <v>100492</v>
      </c>
      <c r="C107" t="s">
        <v>114</v>
      </c>
      <c r="D107" s="1">
        <v>45943</v>
      </c>
      <c r="E107" t="s">
        <v>43</v>
      </c>
      <c r="F107" t="s">
        <v>81</v>
      </c>
      <c r="G107" t="s">
        <v>15</v>
      </c>
      <c r="H107" t="s">
        <v>492</v>
      </c>
      <c r="I107" t="s">
        <v>493</v>
      </c>
      <c r="J107" s="2">
        <v>46052.550092151469</v>
      </c>
    </row>
    <row r="108" spans="1:11" x14ac:dyDescent="0.55000000000000004">
      <c r="A108" t="s">
        <v>494</v>
      </c>
      <c r="B108">
        <v>100385</v>
      </c>
      <c r="C108" t="s">
        <v>82</v>
      </c>
      <c r="D108" s="1">
        <v>45838</v>
      </c>
      <c r="E108" t="s">
        <v>495</v>
      </c>
      <c r="F108" t="s">
        <v>496</v>
      </c>
      <c r="G108" t="s">
        <v>22</v>
      </c>
      <c r="H108" t="s">
        <v>497</v>
      </c>
      <c r="I108" t="s">
        <v>498</v>
      </c>
      <c r="J108" s="2">
        <v>46086.092453267462</v>
      </c>
    </row>
    <row r="109" spans="1:11" x14ac:dyDescent="0.55000000000000004">
      <c r="A109" t="s">
        <v>499</v>
      </c>
      <c r="B109">
        <v>100084</v>
      </c>
      <c r="C109" t="s">
        <v>146</v>
      </c>
      <c r="D109" s="1">
        <v>45907</v>
      </c>
      <c r="E109" t="s">
        <v>300</v>
      </c>
      <c r="F109" t="s">
        <v>500</v>
      </c>
      <c r="G109" t="s">
        <v>15</v>
      </c>
      <c r="H109" t="s">
        <v>501</v>
      </c>
      <c r="I109" t="s">
        <v>502</v>
      </c>
      <c r="J109" s="2">
        <v>46082.34939771596</v>
      </c>
    </row>
    <row r="110" spans="1:11" x14ac:dyDescent="0.55000000000000004">
      <c r="A110" t="s">
        <v>503</v>
      </c>
      <c r="B110">
        <v>100805</v>
      </c>
      <c r="C110" t="s">
        <v>146</v>
      </c>
      <c r="D110" s="1">
        <v>45884</v>
      </c>
      <c r="E110" t="s">
        <v>20</v>
      </c>
      <c r="F110" t="s">
        <v>504</v>
      </c>
      <c r="G110" t="s">
        <v>22</v>
      </c>
      <c r="H110" t="s">
        <v>505</v>
      </c>
      <c r="I110" t="s">
        <v>506</v>
      </c>
      <c r="J110" s="2">
        <v>46052.451481053657</v>
      </c>
    </row>
    <row r="111" spans="1:11" x14ac:dyDescent="0.55000000000000004">
      <c r="A111" t="s">
        <v>507</v>
      </c>
      <c r="B111">
        <v>100733</v>
      </c>
      <c r="C111" t="s">
        <v>19</v>
      </c>
      <c r="D111" s="1">
        <v>45894</v>
      </c>
      <c r="E111" t="s">
        <v>467</v>
      </c>
      <c r="F111" t="s">
        <v>508</v>
      </c>
      <c r="G111" t="s">
        <v>22</v>
      </c>
      <c r="H111" t="s">
        <v>509</v>
      </c>
      <c r="I111" t="s">
        <v>510</v>
      </c>
      <c r="J111" s="2">
        <v>46079.573008835672</v>
      </c>
    </row>
    <row r="112" spans="1:11" x14ac:dyDescent="0.55000000000000004">
      <c r="A112" t="s">
        <v>511</v>
      </c>
      <c r="B112">
        <v>101032</v>
      </c>
      <c r="C112" t="s">
        <v>26</v>
      </c>
      <c r="D112" s="1">
        <v>46078</v>
      </c>
      <c r="E112" t="s">
        <v>300</v>
      </c>
      <c r="F112" t="s">
        <v>512</v>
      </c>
      <c r="G112" t="s">
        <v>15</v>
      </c>
      <c r="H112" t="s">
        <v>513</v>
      </c>
      <c r="I112" t="s">
        <v>514</v>
      </c>
      <c r="J112" s="2">
        <v>46079.686203285011</v>
      </c>
    </row>
    <row r="113" spans="1:11" x14ac:dyDescent="0.55000000000000004">
      <c r="A113" t="s">
        <v>515</v>
      </c>
      <c r="B113">
        <v>101442</v>
      </c>
      <c r="C113" t="s">
        <v>68</v>
      </c>
      <c r="D113" s="1">
        <v>46097</v>
      </c>
      <c r="E113" t="s">
        <v>20</v>
      </c>
      <c r="F113" t="s">
        <v>516</v>
      </c>
      <c r="G113" t="s">
        <v>22</v>
      </c>
      <c r="H113" t="s">
        <v>517</v>
      </c>
      <c r="I113" t="s">
        <v>518</v>
      </c>
      <c r="J113" s="2">
        <v>46056.381342178844</v>
      </c>
    </row>
    <row r="114" spans="1:11" x14ac:dyDescent="0.55000000000000004">
      <c r="A114" t="s">
        <v>519</v>
      </c>
      <c r="B114">
        <v>100544</v>
      </c>
      <c r="C114" t="s">
        <v>19</v>
      </c>
      <c r="D114" s="1">
        <v>45841</v>
      </c>
      <c r="E114" t="s">
        <v>38</v>
      </c>
      <c r="F114" t="s">
        <v>520</v>
      </c>
      <c r="G114" t="s">
        <v>22</v>
      </c>
      <c r="H114" t="s">
        <v>521</v>
      </c>
      <c r="I114" t="s">
        <v>522</v>
      </c>
      <c r="J114" s="2">
        <v>46061.7563421831</v>
      </c>
    </row>
    <row r="115" spans="1:11" x14ac:dyDescent="0.55000000000000004">
      <c r="A115" t="s">
        <v>523</v>
      </c>
      <c r="B115">
        <v>100184</v>
      </c>
      <c r="C115" t="s">
        <v>32</v>
      </c>
      <c r="D115" s="1">
        <v>45802</v>
      </c>
      <c r="E115" t="s">
        <v>38</v>
      </c>
      <c r="F115" t="s">
        <v>524</v>
      </c>
      <c r="G115" t="s">
        <v>15</v>
      </c>
      <c r="H115" t="s">
        <v>525</v>
      </c>
      <c r="I115" t="s">
        <v>526</v>
      </c>
      <c r="J115" s="2">
        <v>46082.674397742972</v>
      </c>
    </row>
    <row r="116" spans="1:11" x14ac:dyDescent="0.55000000000000004">
      <c r="A116" t="s">
        <v>527</v>
      </c>
      <c r="B116">
        <v>101014</v>
      </c>
      <c r="C116" t="s">
        <v>82</v>
      </c>
      <c r="D116" s="1">
        <v>45847</v>
      </c>
      <c r="E116" t="s">
        <v>528</v>
      </c>
      <c r="F116" t="s">
        <v>529</v>
      </c>
      <c r="G116" t="s">
        <v>22</v>
      </c>
      <c r="H116" t="s">
        <v>530</v>
      </c>
      <c r="I116" t="s">
        <v>531</v>
      </c>
      <c r="J116" s="2">
        <v>46076.074397747223</v>
      </c>
    </row>
    <row r="117" spans="1:11" x14ac:dyDescent="0.55000000000000004">
      <c r="A117" t="s">
        <v>532</v>
      </c>
      <c r="B117">
        <v>100945</v>
      </c>
      <c r="C117" t="s">
        <v>533</v>
      </c>
      <c r="D117" s="1">
        <v>46080</v>
      </c>
      <c r="E117" t="s">
        <v>155</v>
      </c>
      <c r="F117" t="s">
        <v>534</v>
      </c>
      <c r="G117" t="s">
        <v>15</v>
      </c>
      <c r="H117" t="s">
        <v>535</v>
      </c>
      <c r="I117" t="s">
        <v>536</v>
      </c>
      <c r="J117" s="2">
        <v>46070.817453307027</v>
      </c>
    </row>
    <row r="118" spans="1:11" x14ac:dyDescent="0.55000000000000004">
      <c r="A118" t="s">
        <v>537</v>
      </c>
      <c r="B118">
        <v>100454</v>
      </c>
      <c r="C118" t="s">
        <v>19</v>
      </c>
      <c r="D118" s="1">
        <v>45976</v>
      </c>
      <c r="E118" t="s">
        <v>160</v>
      </c>
      <c r="F118" t="s">
        <v>538</v>
      </c>
      <c r="G118" t="s">
        <v>22</v>
      </c>
      <c r="H118" t="s">
        <v>539</v>
      </c>
      <c r="I118" t="s">
        <v>540</v>
      </c>
      <c r="J118" s="2">
        <v>46056.661897756363</v>
      </c>
    </row>
    <row r="119" spans="1:11" x14ac:dyDescent="0.55000000000000004">
      <c r="A119" t="s">
        <v>541</v>
      </c>
      <c r="B119">
        <v>101156</v>
      </c>
      <c r="C119" t="s">
        <v>131</v>
      </c>
      <c r="D119" s="1">
        <v>46065</v>
      </c>
      <c r="E119" t="s">
        <v>528</v>
      </c>
      <c r="F119" t="s">
        <v>542</v>
      </c>
      <c r="G119" t="s">
        <v>15</v>
      </c>
      <c r="H119" t="s">
        <v>543</v>
      </c>
      <c r="I119" t="s">
        <v>544</v>
      </c>
      <c r="J119" s="2">
        <v>46071.495925539093</v>
      </c>
    </row>
    <row r="120" spans="1:11" x14ac:dyDescent="0.55000000000000004">
      <c r="A120" t="s">
        <v>545</v>
      </c>
      <c r="B120">
        <v>100835</v>
      </c>
      <c r="C120" t="s">
        <v>12</v>
      </c>
      <c r="D120" s="1">
        <v>45935</v>
      </c>
      <c r="E120" t="s">
        <v>356</v>
      </c>
      <c r="F120" t="s">
        <v>546</v>
      </c>
      <c r="G120" t="s">
        <v>15</v>
      </c>
      <c r="H120" t="s">
        <v>547</v>
      </c>
      <c r="I120" t="s">
        <v>548</v>
      </c>
      <c r="J120" s="2">
        <v>46097.321619988521</v>
      </c>
    </row>
    <row r="121" spans="1:11" x14ac:dyDescent="0.55000000000000004">
      <c r="A121" t="s">
        <v>549</v>
      </c>
      <c r="B121">
        <v>101095</v>
      </c>
      <c r="C121" t="s">
        <v>26</v>
      </c>
      <c r="D121" s="1">
        <v>46040</v>
      </c>
      <c r="E121" t="s">
        <v>20</v>
      </c>
      <c r="F121" t="s">
        <v>550</v>
      </c>
      <c r="G121" t="s">
        <v>22</v>
      </c>
      <c r="H121" t="s">
        <v>551</v>
      </c>
      <c r="I121" t="s">
        <v>552</v>
      </c>
      <c r="J121" s="2">
        <v>46067.834119993371</v>
      </c>
    </row>
    <row r="122" spans="1:11" x14ac:dyDescent="0.55000000000000004">
      <c r="A122" t="s">
        <v>553</v>
      </c>
      <c r="B122">
        <v>100100</v>
      </c>
      <c r="C122" t="s">
        <v>146</v>
      </c>
      <c r="D122" s="1">
        <v>46000</v>
      </c>
      <c r="E122" t="s">
        <v>409</v>
      </c>
      <c r="F122" t="s">
        <v>554</v>
      </c>
      <c r="G122" t="s">
        <v>22</v>
      </c>
      <c r="H122" t="s">
        <v>555</v>
      </c>
      <c r="I122" t="s">
        <v>556</v>
      </c>
      <c r="J122" s="2">
        <v>46080.47231444221</v>
      </c>
    </row>
    <row r="123" spans="1:11" x14ac:dyDescent="0.55000000000000004">
      <c r="A123" t="s">
        <v>557</v>
      </c>
      <c r="B123">
        <v>100654</v>
      </c>
      <c r="C123" t="s">
        <v>533</v>
      </c>
      <c r="D123" s="1">
        <v>45901</v>
      </c>
      <c r="E123" t="s">
        <v>317</v>
      </c>
      <c r="F123" t="s">
        <v>558</v>
      </c>
      <c r="G123" t="s">
        <v>22</v>
      </c>
      <c r="H123" t="s">
        <v>559</v>
      </c>
      <c r="I123" t="s">
        <v>560</v>
      </c>
      <c r="J123" s="2">
        <v>46056.380647779653</v>
      </c>
    </row>
    <row r="124" spans="1:11" x14ac:dyDescent="0.55000000000000004">
      <c r="A124" t="s">
        <v>561</v>
      </c>
      <c r="B124">
        <v>100181</v>
      </c>
      <c r="C124" t="s">
        <v>48</v>
      </c>
      <c r="D124" s="1">
        <v>45739</v>
      </c>
      <c r="E124" t="s">
        <v>562</v>
      </c>
      <c r="F124" t="s">
        <v>563</v>
      </c>
      <c r="G124" t="s">
        <v>15</v>
      </c>
      <c r="H124" t="s">
        <v>564</v>
      </c>
      <c r="I124" t="s">
        <v>565</v>
      </c>
      <c r="J124" s="2">
        <v>46057.837592228301</v>
      </c>
    </row>
    <row r="125" spans="1:11" x14ac:dyDescent="0.55000000000000004">
      <c r="A125" t="s">
        <v>566</v>
      </c>
      <c r="B125">
        <v>100402</v>
      </c>
      <c r="C125" t="s">
        <v>179</v>
      </c>
      <c r="D125" s="1">
        <v>46155</v>
      </c>
      <c r="E125" t="s">
        <v>467</v>
      </c>
      <c r="F125" t="s">
        <v>567</v>
      </c>
      <c r="G125" t="s">
        <v>15</v>
      </c>
      <c r="H125" t="s">
        <v>568</v>
      </c>
      <c r="I125" t="s">
        <v>569</v>
      </c>
      <c r="J125" s="2">
        <v>46071.794536677131</v>
      </c>
    </row>
    <row r="126" spans="1:11" x14ac:dyDescent="0.55000000000000004">
      <c r="A126" t="s">
        <v>570</v>
      </c>
      <c r="B126">
        <v>100794</v>
      </c>
      <c r="C126" t="s">
        <v>533</v>
      </c>
      <c r="D126" s="1">
        <v>45826</v>
      </c>
      <c r="E126" t="s">
        <v>69</v>
      </c>
      <c r="F126" t="s">
        <v>571</v>
      </c>
      <c r="G126" t="s">
        <v>22</v>
      </c>
      <c r="H126" t="s">
        <v>572</v>
      </c>
      <c r="I126" t="s">
        <v>573</v>
      </c>
      <c r="J126" s="2">
        <v>46082.736897792282</v>
      </c>
      <c r="K126" t="s">
        <v>119</v>
      </c>
    </row>
    <row r="127" spans="1:11" x14ac:dyDescent="0.55000000000000004">
      <c r="A127" t="s">
        <v>574</v>
      </c>
      <c r="B127">
        <v>100111</v>
      </c>
      <c r="C127" t="s">
        <v>32</v>
      </c>
      <c r="D127" s="1">
        <v>45928</v>
      </c>
      <c r="E127" t="s">
        <v>69</v>
      </c>
      <c r="F127" t="s">
        <v>575</v>
      </c>
      <c r="G127" t="s">
        <v>22</v>
      </c>
      <c r="H127" t="s">
        <v>576</v>
      </c>
      <c r="I127" t="s">
        <v>577</v>
      </c>
      <c r="J127" s="2">
        <v>46076.316758907422</v>
      </c>
    </row>
    <row r="128" spans="1:11" x14ac:dyDescent="0.55000000000000004">
      <c r="A128" t="s">
        <v>578</v>
      </c>
      <c r="B128">
        <v>100187</v>
      </c>
      <c r="C128" t="s">
        <v>26</v>
      </c>
      <c r="D128" s="1">
        <v>46102</v>
      </c>
      <c r="E128" t="s">
        <v>343</v>
      </c>
      <c r="F128" t="s">
        <v>579</v>
      </c>
      <c r="G128" t="s">
        <v>15</v>
      </c>
      <c r="H128" t="s">
        <v>580</v>
      </c>
      <c r="I128" t="s">
        <v>581</v>
      </c>
      <c r="J128" s="2">
        <v>46093.796620022709</v>
      </c>
      <c r="K128" t="s">
        <v>119</v>
      </c>
    </row>
    <row r="129" spans="1:11" x14ac:dyDescent="0.55000000000000004">
      <c r="A129" t="s">
        <v>582</v>
      </c>
      <c r="B129">
        <v>101211</v>
      </c>
      <c r="C129" t="s">
        <v>533</v>
      </c>
      <c r="D129" s="1">
        <v>45970</v>
      </c>
      <c r="E129" t="s">
        <v>418</v>
      </c>
      <c r="F129" t="s">
        <v>583</v>
      </c>
      <c r="G129" t="s">
        <v>22</v>
      </c>
      <c r="H129" t="s">
        <v>584</v>
      </c>
      <c r="I129" t="s">
        <v>585</v>
      </c>
      <c r="J129" s="2">
        <v>46053.579258916478</v>
      </c>
    </row>
    <row r="130" spans="1:11" x14ac:dyDescent="0.55000000000000004">
      <c r="A130" t="s">
        <v>586</v>
      </c>
      <c r="B130">
        <v>101244</v>
      </c>
      <c r="C130" t="s">
        <v>68</v>
      </c>
      <c r="D130" s="1">
        <v>45920</v>
      </c>
      <c r="E130" t="s">
        <v>587</v>
      </c>
      <c r="F130" t="s">
        <v>588</v>
      </c>
      <c r="G130" t="s">
        <v>22</v>
      </c>
      <c r="H130" t="s">
        <v>589</v>
      </c>
      <c r="I130" t="s">
        <v>590</v>
      </c>
      <c r="J130" s="2">
        <v>46088.099397810263</v>
      </c>
    </row>
    <row r="131" spans="1:11" x14ac:dyDescent="0.55000000000000004">
      <c r="A131" t="s">
        <v>591</v>
      </c>
      <c r="B131">
        <v>101193</v>
      </c>
      <c r="C131" t="s">
        <v>99</v>
      </c>
      <c r="D131" s="1">
        <v>45923</v>
      </c>
      <c r="E131" t="s">
        <v>27</v>
      </c>
      <c r="F131" t="s">
        <v>592</v>
      </c>
      <c r="G131" t="s">
        <v>22</v>
      </c>
      <c r="H131" t="s">
        <v>593</v>
      </c>
      <c r="I131" t="s">
        <v>594</v>
      </c>
      <c r="J131" s="2">
        <v>46062.801481148643</v>
      </c>
    </row>
    <row r="132" spans="1:11" x14ac:dyDescent="0.55000000000000004">
      <c r="A132" t="s">
        <v>595</v>
      </c>
      <c r="B132">
        <v>101281</v>
      </c>
      <c r="C132" t="s">
        <v>248</v>
      </c>
      <c r="D132" s="1">
        <v>46122</v>
      </c>
      <c r="E132" t="s">
        <v>317</v>
      </c>
      <c r="F132" t="s">
        <v>596</v>
      </c>
      <c r="G132" t="s">
        <v>15</v>
      </c>
      <c r="H132" t="s">
        <v>597</v>
      </c>
      <c r="I132" t="s">
        <v>598</v>
      </c>
      <c r="J132" s="2">
        <v>46064.111203375083</v>
      </c>
    </row>
    <row r="133" spans="1:11" x14ac:dyDescent="0.55000000000000004">
      <c r="A133" t="s">
        <v>599</v>
      </c>
      <c r="B133">
        <v>100032</v>
      </c>
      <c r="C133" t="s">
        <v>82</v>
      </c>
      <c r="D133" s="1">
        <v>46092</v>
      </c>
      <c r="E133" t="s">
        <v>170</v>
      </c>
      <c r="F133" t="s">
        <v>600</v>
      </c>
      <c r="G133" t="s">
        <v>15</v>
      </c>
      <c r="H133" t="s">
        <v>601</v>
      </c>
      <c r="I133" t="s">
        <v>602</v>
      </c>
      <c r="J133" s="2">
        <v>46093.967453379977</v>
      </c>
    </row>
    <row r="134" spans="1:11" x14ac:dyDescent="0.55000000000000004">
      <c r="A134" t="s">
        <v>603</v>
      </c>
      <c r="B134">
        <v>101494</v>
      </c>
      <c r="C134" t="s">
        <v>82</v>
      </c>
      <c r="D134" s="1">
        <v>45835</v>
      </c>
      <c r="E134" t="s">
        <v>587</v>
      </c>
      <c r="F134" t="s">
        <v>604</v>
      </c>
      <c r="G134" t="s">
        <v>22</v>
      </c>
      <c r="H134" t="s">
        <v>605</v>
      </c>
      <c r="I134" t="s">
        <v>606</v>
      </c>
      <c r="J134" s="2">
        <v>46064.118147829307</v>
      </c>
    </row>
    <row r="135" spans="1:11" x14ac:dyDescent="0.55000000000000004">
      <c r="A135" t="s">
        <v>607</v>
      </c>
      <c r="B135">
        <v>100325</v>
      </c>
      <c r="C135" t="s">
        <v>533</v>
      </c>
      <c r="D135" s="1">
        <v>46080</v>
      </c>
      <c r="E135" t="s">
        <v>317</v>
      </c>
      <c r="F135" t="s">
        <v>608</v>
      </c>
      <c r="G135" t="s">
        <v>22</v>
      </c>
      <c r="H135" t="s">
        <v>609</v>
      </c>
      <c r="I135" t="s">
        <v>610</v>
      </c>
      <c r="J135" s="2">
        <v>46092.020231166658</v>
      </c>
    </row>
    <row r="136" spans="1:11" x14ac:dyDescent="0.55000000000000004">
      <c r="A136" t="s">
        <v>611</v>
      </c>
      <c r="B136">
        <v>101033</v>
      </c>
      <c r="C136" t="s">
        <v>88</v>
      </c>
      <c r="D136" s="1">
        <v>46146</v>
      </c>
      <c r="E136" t="s">
        <v>69</v>
      </c>
      <c r="F136" t="s">
        <v>612</v>
      </c>
      <c r="G136" t="s">
        <v>15</v>
      </c>
      <c r="H136" t="s">
        <v>613</v>
      </c>
      <c r="I136" t="s">
        <v>614</v>
      </c>
      <c r="J136" s="2">
        <v>46065.155647838314</v>
      </c>
    </row>
    <row r="137" spans="1:11" x14ac:dyDescent="0.55000000000000004">
      <c r="A137" t="s">
        <v>615</v>
      </c>
      <c r="B137">
        <v>100951</v>
      </c>
      <c r="C137" t="s">
        <v>88</v>
      </c>
      <c r="D137" s="1">
        <v>46020</v>
      </c>
      <c r="E137" t="s">
        <v>38</v>
      </c>
      <c r="F137" t="s">
        <v>616</v>
      </c>
      <c r="G137" t="s">
        <v>22</v>
      </c>
      <c r="H137" t="s">
        <v>617</v>
      </c>
      <c r="I137" t="s">
        <v>618</v>
      </c>
      <c r="J137" s="2">
        <v>46054.307731176552</v>
      </c>
    </row>
    <row r="138" spans="1:11" x14ac:dyDescent="0.55000000000000004">
      <c r="A138" t="s">
        <v>619</v>
      </c>
      <c r="B138">
        <v>100623</v>
      </c>
      <c r="C138" t="s">
        <v>37</v>
      </c>
      <c r="D138" s="1">
        <v>45934</v>
      </c>
      <c r="E138" t="s">
        <v>265</v>
      </c>
      <c r="F138" t="s">
        <v>620</v>
      </c>
      <c r="G138" t="s">
        <v>15</v>
      </c>
      <c r="H138" t="s">
        <v>621</v>
      </c>
      <c r="I138" t="s">
        <v>622</v>
      </c>
      <c r="J138" s="2">
        <v>46095.143842291698</v>
      </c>
    </row>
    <row r="139" spans="1:11" x14ac:dyDescent="0.55000000000000004">
      <c r="A139" t="s">
        <v>623</v>
      </c>
      <c r="B139">
        <v>100562</v>
      </c>
      <c r="C139" t="s">
        <v>63</v>
      </c>
      <c r="D139" s="1">
        <v>46090</v>
      </c>
      <c r="E139" t="s">
        <v>38</v>
      </c>
      <c r="F139" t="s">
        <v>624</v>
      </c>
      <c r="G139" t="s">
        <v>15</v>
      </c>
      <c r="H139" t="s">
        <v>625</v>
      </c>
      <c r="I139" t="s">
        <v>626</v>
      </c>
      <c r="J139" s="2">
        <v>46093.075092295963</v>
      </c>
    </row>
    <row r="140" spans="1:11" x14ac:dyDescent="0.55000000000000004">
      <c r="A140" t="s">
        <v>627</v>
      </c>
      <c r="B140">
        <v>100010</v>
      </c>
      <c r="C140" t="s">
        <v>12</v>
      </c>
      <c r="D140" s="1">
        <v>45878</v>
      </c>
      <c r="E140" t="s">
        <v>189</v>
      </c>
      <c r="F140" t="s">
        <v>628</v>
      </c>
      <c r="G140" t="s">
        <v>22</v>
      </c>
      <c r="H140" t="s">
        <v>629</v>
      </c>
      <c r="I140" t="s">
        <v>630</v>
      </c>
      <c r="J140" s="2">
        <v>46074.202175634156</v>
      </c>
      <c r="K140" t="s">
        <v>139</v>
      </c>
    </row>
    <row r="141" spans="1:11" x14ac:dyDescent="0.55000000000000004">
      <c r="A141" t="s">
        <v>631</v>
      </c>
      <c r="B141">
        <v>100588</v>
      </c>
      <c r="C141" t="s">
        <v>88</v>
      </c>
      <c r="D141" s="1">
        <v>45925</v>
      </c>
      <c r="E141" t="s">
        <v>170</v>
      </c>
      <c r="F141" t="s">
        <v>632</v>
      </c>
      <c r="G141" t="s">
        <v>15</v>
      </c>
      <c r="H141" t="s">
        <v>633</v>
      </c>
      <c r="I141" t="s">
        <v>634</v>
      </c>
      <c r="J141" s="2">
        <v>46056.251481194093</v>
      </c>
    </row>
    <row r="142" spans="1:11" x14ac:dyDescent="0.55000000000000004">
      <c r="A142" t="s">
        <v>635</v>
      </c>
      <c r="B142">
        <v>101176</v>
      </c>
      <c r="C142" t="s">
        <v>533</v>
      </c>
      <c r="D142" s="1">
        <v>45823</v>
      </c>
      <c r="E142" t="s">
        <v>43</v>
      </c>
      <c r="F142" t="s">
        <v>636</v>
      </c>
      <c r="G142" t="s">
        <v>15</v>
      </c>
      <c r="H142" t="s">
        <v>637</v>
      </c>
      <c r="I142" t="s">
        <v>638</v>
      </c>
      <c r="J142" s="2">
        <v>46097.713981199013</v>
      </c>
    </row>
    <row r="143" spans="1:11" x14ac:dyDescent="0.55000000000000004">
      <c r="A143" t="s">
        <v>639</v>
      </c>
      <c r="B143">
        <v>101114</v>
      </c>
      <c r="C143" t="s">
        <v>68</v>
      </c>
      <c r="D143" s="1">
        <v>45969</v>
      </c>
      <c r="E143" t="s">
        <v>213</v>
      </c>
      <c r="F143" t="s">
        <v>640</v>
      </c>
      <c r="G143" t="s">
        <v>22</v>
      </c>
      <c r="H143" t="s">
        <v>641</v>
      </c>
      <c r="I143" t="s">
        <v>642</v>
      </c>
      <c r="J143" s="2">
        <v>46083.394536759501</v>
      </c>
    </row>
    <row r="144" spans="1:11" x14ac:dyDescent="0.55000000000000004">
      <c r="A144" t="s">
        <v>643</v>
      </c>
      <c r="B144">
        <v>100581</v>
      </c>
      <c r="C144" t="s">
        <v>88</v>
      </c>
      <c r="D144" s="1">
        <v>45909</v>
      </c>
      <c r="E144" t="s">
        <v>20</v>
      </c>
      <c r="F144" t="s">
        <v>644</v>
      </c>
      <c r="G144" t="s">
        <v>15</v>
      </c>
      <c r="H144" t="s">
        <v>645</v>
      </c>
      <c r="I144" t="s">
        <v>646</v>
      </c>
      <c r="J144" s="2">
        <v>46090.700786764632</v>
      </c>
    </row>
    <row r="145" spans="1:11" x14ac:dyDescent="0.55000000000000004">
      <c r="A145" t="s">
        <v>647</v>
      </c>
      <c r="B145">
        <v>100015</v>
      </c>
      <c r="C145" t="s">
        <v>94</v>
      </c>
      <c r="D145" s="1">
        <v>46046</v>
      </c>
      <c r="E145" t="s">
        <v>115</v>
      </c>
      <c r="F145" t="s">
        <v>648</v>
      </c>
      <c r="G145" t="s">
        <v>15</v>
      </c>
      <c r="H145" t="s">
        <v>649</v>
      </c>
      <c r="I145" t="s">
        <v>650</v>
      </c>
      <c r="J145" s="2">
        <v>46093.602870102928</v>
      </c>
    </row>
    <row r="146" spans="1:11" x14ac:dyDescent="0.55000000000000004">
      <c r="A146" t="s">
        <v>651</v>
      </c>
      <c r="B146">
        <v>100091</v>
      </c>
      <c r="C146" t="s">
        <v>99</v>
      </c>
      <c r="D146" s="1">
        <v>45749</v>
      </c>
      <c r="E146" t="s">
        <v>170</v>
      </c>
      <c r="F146" t="s">
        <v>652</v>
      </c>
      <c r="G146" t="s">
        <v>15</v>
      </c>
      <c r="H146" t="s">
        <v>653</v>
      </c>
      <c r="I146" t="s">
        <v>654</v>
      </c>
      <c r="J146" s="2">
        <v>46095.174397885763</v>
      </c>
    </row>
    <row r="147" spans="1:11" x14ac:dyDescent="0.55000000000000004">
      <c r="A147" t="s">
        <v>655</v>
      </c>
      <c r="B147">
        <v>100964</v>
      </c>
      <c r="C147" t="s">
        <v>88</v>
      </c>
      <c r="D147" s="1">
        <v>45851</v>
      </c>
      <c r="E147" t="s">
        <v>108</v>
      </c>
      <c r="F147" t="s">
        <v>656</v>
      </c>
      <c r="G147" t="s">
        <v>22</v>
      </c>
      <c r="H147" t="s">
        <v>657</v>
      </c>
      <c r="I147" t="s">
        <v>658</v>
      </c>
      <c r="J147" s="2">
        <v>46082.927175667573</v>
      </c>
    </row>
    <row r="148" spans="1:11" x14ac:dyDescent="0.55000000000000004">
      <c r="A148" t="s">
        <v>659</v>
      </c>
      <c r="B148">
        <v>100288</v>
      </c>
      <c r="C148" t="s">
        <v>169</v>
      </c>
      <c r="D148" s="1">
        <v>46027</v>
      </c>
      <c r="E148" t="s">
        <v>562</v>
      </c>
      <c r="F148" t="s">
        <v>660</v>
      </c>
      <c r="G148" t="s">
        <v>22</v>
      </c>
      <c r="H148" t="s">
        <v>661</v>
      </c>
      <c r="I148" t="s">
        <v>662</v>
      </c>
      <c r="J148" s="2">
        <v>46087.807036782928</v>
      </c>
    </row>
    <row r="149" spans="1:11" x14ac:dyDescent="0.55000000000000004">
      <c r="A149" t="s">
        <v>663</v>
      </c>
      <c r="B149">
        <v>100190</v>
      </c>
      <c r="C149" t="s">
        <v>82</v>
      </c>
      <c r="D149" s="1">
        <v>45845</v>
      </c>
      <c r="E149" t="s">
        <v>49</v>
      </c>
      <c r="F149" t="s">
        <v>664</v>
      </c>
      <c r="G149" t="s">
        <v>15</v>
      </c>
      <c r="H149" t="s">
        <v>665</v>
      </c>
      <c r="I149" t="s">
        <v>666</v>
      </c>
      <c r="J149" s="2">
        <v>46061.904953453857</v>
      </c>
    </row>
    <row r="150" spans="1:11" x14ac:dyDescent="0.55000000000000004">
      <c r="A150" t="s">
        <v>667</v>
      </c>
      <c r="B150">
        <v>100310</v>
      </c>
      <c r="C150" t="s">
        <v>48</v>
      </c>
      <c r="D150" s="1">
        <v>46052</v>
      </c>
      <c r="E150" t="s">
        <v>213</v>
      </c>
      <c r="F150" t="s">
        <v>668</v>
      </c>
      <c r="G150" t="s">
        <v>15</v>
      </c>
      <c r="H150" t="s">
        <v>669</v>
      </c>
      <c r="I150" t="s">
        <v>670</v>
      </c>
      <c r="J150" s="2">
        <v>46074.831342347687</v>
      </c>
    </row>
    <row r="151" spans="1:11" x14ac:dyDescent="0.55000000000000004">
      <c r="A151" t="s">
        <v>671</v>
      </c>
      <c r="B151">
        <v>101056</v>
      </c>
      <c r="C151" t="s">
        <v>179</v>
      </c>
      <c r="D151" s="1">
        <v>46134</v>
      </c>
      <c r="E151" t="s">
        <v>495</v>
      </c>
      <c r="F151" t="s">
        <v>672</v>
      </c>
      <c r="G151" t="s">
        <v>15</v>
      </c>
      <c r="H151" t="s">
        <v>673</v>
      </c>
      <c r="I151" t="s">
        <v>674</v>
      </c>
      <c r="J151" s="2">
        <v>46078.211203463863</v>
      </c>
    </row>
    <row r="152" spans="1:11" x14ac:dyDescent="0.55000000000000004">
      <c r="A152" t="s">
        <v>675</v>
      </c>
      <c r="B152">
        <v>101162</v>
      </c>
      <c r="C152" t="s">
        <v>48</v>
      </c>
      <c r="D152" s="1">
        <v>46118</v>
      </c>
      <c r="E152" t="s">
        <v>43</v>
      </c>
      <c r="F152" t="s">
        <v>676</v>
      </c>
      <c r="G152" t="s">
        <v>22</v>
      </c>
      <c r="H152" t="s">
        <v>677</v>
      </c>
      <c r="I152" t="s">
        <v>678</v>
      </c>
      <c r="J152" s="2">
        <v>46052.541064579913</v>
      </c>
      <c r="K152" t="s">
        <v>139</v>
      </c>
    </row>
    <row r="153" spans="1:11" x14ac:dyDescent="0.55000000000000004">
      <c r="A153" t="s">
        <v>679</v>
      </c>
      <c r="B153">
        <v>100113</v>
      </c>
      <c r="C153" t="s">
        <v>88</v>
      </c>
      <c r="D153" s="1">
        <v>45761</v>
      </c>
      <c r="E153" t="s">
        <v>680</v>
      </c>
      <c r="F153" t="s">
        <v>681</v>
      </c>
      <c r="G153" t="s">
        <v>22</v>
      </c>
      <c r="H153" t="s">
        <v>682</v>
      </c>
      <c r="I153" t="s">
        <v>683</v>
      </c>
      <c r="J153" s="2">
        <v>46082.383425695967</v>
      </c>
    </row>
    <row r="154" spans="1:11" x14ac:dyDescent="0.55000000000000004">
      <c r="A154" t="s">
        <v>684</v>
      </c>
      <c r="B154">
        <v>100847</v>
      </c>
      <c r="C154" t="s">
        <v>248</v>
      </c>
      <c r="D154" s="1">
        <v>45901</v>
      </c>
      <c r="E154" t="s">
        <v>83</v>
      </c>
      <c r="F154" t="s">
        <v>685</v>
      </c>
      <c r="G154" t="s">
        <v>15</v>
      </c>
      <c r="H154" t="s">
        <v>686</v>
      </c>
      <c r="I154" t="s">
        <v>687</v>
      </c>
      <c r="J154" s="2">
        <v>46063.475092367538</v>
      </c>
    </row>
    <row r="155" spans="1:11" x14ac:dyDescent="0.55000000000000004">
      <c r="A155" t="s">
        <v>688</v>
      </c>
      <c r="B155">
        <v>100813</v>
      </c>
      <c r="C155" t="s">
        <v>12</v>
      </c>
      <c r="D155" s="1">
        <v>45869</v>
      </c>
      <c r="E155" t="s">
        <v>27</v>
      </c>
      <c r="F155" t="s">
        <v>689</v>
      </c>
      <c r="G155" t="s">
        <v>15</v>
      </c>
      <c r="H155" t="s">
        <v>690</v>
      </c>
      <c r="I155" t="s">
        <v>691</v>
      </c>
      <c r="J155" s="2">
        <v>46093.478564594778</v>
      </c>
    </row>
    <row r="156" spans="1:11" x14ac:dyDescent="0.55000000000000004">
      <c r="A156" t="s">
        <v>692</v>
      </c>
      <c r="B156">
        <v>100008</v>
      </c>
      <c r="C156" t="s">
        <v>26</v>
      </c>
      <c r="D156" s="1">
        <v>46102</v>
      </c>
      <c r="E156" t="s">
        <v>43</v>
      </c>
      <c r="F156" t="s">
        <v>693</v>
      </c>
      <c r="G156" t="s">
        <v>15</v>
      </c>
      <c r="H156" t="s">
        <v>694</v>
      </c>
      <c r="I156" t="s">
        <v>695</v>
      </c>
      <c r="J156" s="2">
        <v>46076.31537015536</v>
      </c>
    </row>
    <row r="157" spans="1:11" x14ac:dyDescent="0.55000000000000004">
      <c r="A157" t="s">
        <v>696</v>
      </c>
      <c r="B157">
        <v>100071</v>
      </c>
      <c r="C157" t="s">
        <v>37</v>
      </c>
      <c r="D157" s="1">
        <v>45840</v>
      </c>
      <c r="E157" t="s">
        <v>317</v>
      </c>
      <c r="F157" t="s">
        <v>697</v>
      </c>
      <c r="G157" t="s">
        <v>15</v>
      </c>
      <c r="H157" t="s">
        <v>698</v>
      </c>
      <c r="I157" t="s">
        <v>699</v>
      </c>
      <c r="J157" s="2">
        <v>46067.401481270739</v>
      </c>
    </row>
    <row r="158" spans="1:11" x14ac:dyDescent="0.55000000000000004">
      <c r="A158" t="s">
        <v>700</v>
      </c>
      <c r="B158">
        <v>101489</v>
      </c>
      <c r="C158" t="s">
        <v>99</v>
      </c>
      <c r="D158" s="1">
        <v>46092</v>
      </c>
      <c r="E158" t="s">
        <v>69</v>
      </c>
      <c r="F158" t="s">
        <v>701</v>
      </c>
      <c r="G158" t="s">
        <v>15</v>
      </c>
      <c r="H158" t="s">
        <v>702</v>
      </c>
      <c r="I158" t="s">
        <v>703</v>
      </c>
      <c r="J158" s="2">
        <v>46062.288981275648</v>
      </c>
    </row>
    <row r="159" spans="1:11" x14ac:dyDescent="0.55000000000000004">
      <c r="A159" t="s">
        <v>704</v>
      </c>
      <c r="B159">
        <v>100917</v>
      </c>
      <c r="C159" t="s">
        <v>68</v>
      </c>
      <c r="D159" s="1">
        <v>45926</v>
      </c>
      <c r="E159" t="s">
        <v>467</v>
      </c>
      <c r="F159" t="s">
        <v>705</v>
      </c>
      <c r="G159" t="s">
        <v>22</v>
      </c>
      <c r="H159" t="s">
        <v>706</v>
      </c>
      <c r="I159" t="s">
        <v>707</v>
      </c>
      <c r="J159" s="2">
        <v>46081.234814613897</v>
      </c>
    </row>
    <row r="160" spans="1:11" x14ac:dyDescent="0.55000000000000004">
      <c r="A160" t="s">
        <v>708</v>
      </c>
      <c r="B160">
        <v>100556</v>
      </c>
      <c r="C160" t="s">
        <v>82</v>
      </c>
      <c r="D160" s="1">
        <v>45986</v>
      </c>
      <c r="E160" t="s">
        <v>334</v>
      </c>
      <c r="F160" t="s">
        <v>709</v>
      </c>
      <c r="G160" t="s">
        <v>22</v>
      </c>
      <c r="H160" t="s">
        <v>710</v>
      </c>
      <c r="I160" t="s">
        <v>711</v>
      </c>
      <c r="J160" s="2">
        <v>46084.21884239596</v>
      </c>
    </row>
    <row r="161" spans="1:11" x14ac:dyDescent="0.55000000000000004">
      <c r="A161" t="s">
        <v>712</v>
      </c>
      <c r="B161">
        <v>101224</v>
      </c>
      <c r="C161" t="s">
        <v>169</v>
      </c>
      <c r="D161" s="1">
        <v>45943</v>
      </c>
      <c r="E161" t="s">
        <v>38</v>
      </c>
      <c r="F161" t="s">
        <v>713</v>
      </c>
      <c r="G161" t="s">
        <v>15</v>
      </c>
      <c r="H161" t="s">
        <v>714</v>
      </c>
      <c r="I161" t="s">
        <v>715</v>
      </c>
      <c r="J161" s="2">
        <v>46088.723009066751</v>
      </c>
    </row>
    <row r="162" spans="1:11" x14ac:dyDescent="0.55000000000000004">
      <c r="A162" t="s">
        <v>716</v>
      </c>
      <c r="B162">
        <v>101321</v>
      </c>
      <c r="C162" t="s">
        <v>32</v>
      </c>
      <c r="D162" s="1">
        <v>46015</v>
      </c>
      <c r="E162" t="s">
        <v>495</v>
      </c>
      <c r="F162" t="s">
        <v>717</v>
      </c>
      <c r="G162" t="s">
        <v>15</v>
      </c>
      <c r="H162" t="s">
        <v>718</v>
      </c>
      <c r="I162" t="s">
        <v>719</v>
      </c>
      <c r="J162" s="2">
        <v>46085.277175737479</v>
      </c>
    </row>
    <row r="163" spans="1:11" x14ac:dyDescent="0.55000000000000004">
      <c r="A163" t="s">
        <v>720</v>
      </c>
      <c r="B163">
        <v>101413</v>
      </c>
      <c r="C163" t="s">
        <v>194</v>
      </c>
      <c r="D163" s="1">
        <v>45926</v>
      </c>
      <c r="E163" t="s">
        <v>208</v>
      </c>
      <c r="F163" t="s">
        <v>721</v>
      </c>
      <c r="G163" t="s">
        <v>22</v>
      </c>
      <c r="H163" t="s">
        <v>722</v>
      </c>
      <c r="I163" t="s">
        <v>723</v>
      </c>
      <c r="J163" s="2">
        <v>46065.83342574237</v>
      </c>
    </row>
    <row r="164" spans="1:11" x14ac:dyDescent="0.55000000000000004">
      <c r="A164" t="s">
        <v>724</v>
      </c>
      <c r="B164">
        <v>100107</v>
      </c>
      <c r="C164" t="s">
        <v>19</v>
      </c>
      <c r="D164" s="1">
        <v>45967</v>
      </c>
      <c r="E164" t="s">
        <v>317</v>
      </c>
      <c r="F164" t="s">
        <v>725</v>
      </c>
      <c r="G164" t="s">
        <v>22</v>
      </c>
      <c r="H164" t="s">
        <v>726</v>
      </c>
      <c r="I164" t="s">
        <v>727</v>
      </c>
      <c r="J164" s="2">
        <v>46087.547314635493</v>
      </c>
    </row>
    <row r="165" spans="1:11" x14ac:dyDescent="0.55000000000000004">
      <c r="A165" t="s">
        <v>728</v>
      </c>
      <c r="B165">
        <v>101465</v>
      </c>
      <c r="C165" t="s">
        <v>146</v>
      </c>
      <c r="D165" s="1">
        <v>45982</v>
      </c>
      <c r="E165" t="s">
        <v>38</v>
      </c>
      <c r="F165" t="s">
        <v>729</v>
      </c>
      <c r="G165" t="s">
        <v>15</v>
      </c>
      <c r="H165" t="s">
        <v>730</v>
      </c>
      <c r="I165" t="s">
        <v>731</v>
      </c>
      <c r="J165" s="2">
        <v>46064.698009084903</v>
      </c>
    </row>
    <row r="166" spans="1:11" x14ac:dyDescent="0.55000000000000004">
      <c r="A166" t="s">
        <v>732</v>
      </c>
      <c r="B166">
        <v>100782</v>
      </c>
      <c r="C166" t="s">
        <v>131</v>
      </c>
      <c r="D166" s="1">
        <v>46150</v>
      </c>
      <c r="E166" t="s">
        <v>243</v>
      </c>
      <c r="F166" t="s">
        <v>733</v>
      </c>
      <c r="G166" t="s">
        <v>15</v>
      </c>
      <c r="H166" t="s">
        <v>734</v>
      </c>
      <c r="I166" t="s">
        <v>735</v>
      </c>
      <c r="J166" s="2">
        <v>46057.417453533599</v>
      </c>
    </row>
    <row r="167" spans="1:11" x14ac:dyDescent="0.55000000000000004">
      <c r="A167" t="s">
        <v>736</v>
      </c>
      <c r="B167">
        <v>101013</v>
      </c>
      <c r="C167" t="s">
        <v>131</v>
      </c>
      <c r="D167" s="1">
        <v>46094</v>
      </c>
      <c r="E167" t="s">
        <v>155</v>
      </c>
      <c r="F167" t="s">
        <v>737</v>
      </c>
      <c r="G167" t="s">
        <v>15</v>
      </c>
      <c r="H167" t="s">
        <v>738</v>
      </c>
      <c r="I167" t="s">
        <v>739</v>
      </c>
      <c r="J167" s="2">
        <v>46065.098009094087</v>
      </c>
    </row>
    <row r="168" spans="1:11" x14ac:dyDescent="0.55000000000000004">
      <c r="A168" t="s">
        <v>740</v>
      </c>
      <c r="B168">
        <v>100099</v>
      </c>
      <c r="C168" t="s">
        <v>63</v>
      </c>
      <c r="D168" s="1">
        <v>45762</v>
      </c>
      <c r="E168" t="s">
        <v>213</v>
      </c>
      <c r="F168" t="s">
        <v>741</v>
      </c>
      <c r="G168" t="s">
        <v>22</v>
      </c>
      <c r="H168" t="s">
        <v>742</v>
      </c>
      <c r="I168" t="s">
        <v>743</v>
      </c>
      <c r="J168" s="2">
        <v>46096.736897987859</v>
      </c>
    </row>
    <row r="169" spans="1:11" x14ac:dyDescent="0.55000000000000004">
      <c r="A169" t="s">
        <v>744</v>
      </c>
      <c r="B169">
        <v>100034</v>
      </c>
      <c r="C169" t="s">
        <v>146</v>
      </c>
      <c r="D169" s="1">
        <v>46014</v>
      </c>
      <c r="E169" t="s">
        <v>141</v>
      </c>
      <c r="F169" t="s">
        <v>745</v>
      </c>
      <c r="G169" t="s">
        <v>22</v>
      </c>
      <c r="H169" t="s">
        <v>746</v>
      </c>
      <c r="I169" t="s">
        <v>747</v>
      </c>
      <c r="J169" s="2">
        <v>46063.338286881633</v>
      </c>
    </row>
    <row r="170" spans="1:11" x14ac:dyDescent="0.55000000000000004">
      <c r="A170" t="s">
        <v>748</v>
      </c>
      <c r="B170">
        <v>100207</v>
      </c>
      <c r="C170" t="s">
        <v>37</v>
      </c>
      <c r="D170" s="1">
        <v>45989</v>
      </c>
      <c r="E170" t="s">
        <v>680</v>
      </c>
      <c r="F170" t="s">
        <v>749</v>
      </c>
      <c r="G170" t="s">
        <v>15</v>
      </c>
      <c r="H170" t="s">
        <v>750</v>
      </c>
      <c r="I170" t="s">
        <v>751</v>
      </c>
      <c r="J170" s="2">
        <v>46091.000786885728</v>
      </c>
    </row>
    <row r="171" spans="1:11" x14ac:dyDescent="0.55000000000000004">
      <c r="A171" t="s">
        <v>752</v>
      </c>
      <c r="B171">
        <v>100551</v>
      </c>
      <c r="C171" t="s">
        <v>114</v>
      </c>
      <c r="D171" s="1">
        <v>45855</v>
      </c>
      <c r="E171" t="s">
        <v>38</v>
      </c>
      <c r="F171" t="s">
        <v>753</v>
      </c>
      <c r="G171" t="s">
        <v>22</v>
      </c>
      <c r="H171" t="s">
        <v>754</v>
      </c>
      <c r="I171" t="s">
        <v>755</v>
      </c>
      <c r="J171" s="2">
        <v>46075.366064667687</v>
      </c>
      <c r="K171" t="s">
        <v>139</v>
      </c>
    </row>
    <row r="172" spans="1:11" x14ac:dyDescent="0.55000000000000004">
      <c r="A172" t="s">
        <v>756</v>
      </c>
      <c r="B172">
        <v>100024</v>
      </c>
      <c r="C172" t="s">
        <v>179</v>
      </c>
      <c r="D172" s="1">
        <v>45772</v>
      </c>
      <c r="E172" t="s">
        <v>757</v>
      </c>
      <c r="F172" t="s">
        <v>758</v>
      </c>
      <c r="G172" t="s">
        <v>15</v>
      </c>
      <c r="H172" t="s">
        <v>759</v>
      </c>
      <c r="I172" t="s">
        <v>760</v>
      </c>
      <c r="J172" s="2">
        <v>46053.425092450489</v>
      </c>
    </row>
    <row r="173" spans="1:11" x14ac:dyDescent="0.55000000000000004">
      <c r="A173" t="s">
        <v>761</v>
      </c>
      <c r="B173">
        <v>100925</v>
      </c>
      <c r="C173" t="s">
        <v>68</v>
      </c>
      <c r="D173" s="1">
        <v>46082</v>
      </c>
      <c r="E173" t="s">
        <v>317</v>
      </c>
      <c r="F173" t="s">
        <v>762</v>
      </c>
      <c r="G173" t="s">
        <v>15</v>
      </c>
      <c r="H173" t="s">
        <v>763</v>
      </c>
      <c r="I173" t="s">
        <v>764</v>
      </c>
      <c r="J173" s="2">
        <v>46092.169536899863</v>
      </c>
    </row>
    <row r="174" spans="1:11" x14ac:dyDescent="0.55000000000000004">
      <c r="A174" t="s">
        <v>765</v>
      </c>
      <c r="B174">
        <v>100126</v>
      </c>
      <c r="C174" t="s">
        <v>179</v>
      </c>
      <c r="D174" s="1">
        <v>45925</v>
      </c>
      <c r="E174" t="s">
        <v>270</v>
      </c>
      <c r="F174" t="s">
        <v>766</v>
      </c>
      <c r="G174" t="s">
        <v>15</v>
      </c>
      <c r="H174" t="s">
        <v>767</v>
      </c>
      <c r="I174" t="s">
        <v>768</v>
      </c>
      <c r="J174" s="2">
        <v>46092.035509126108</v>
      </c>
    </row>
    <row r="175" spans="1:11" x14ac:dyDescent="0.55000000000000004">
      <c r="A175" t="s">
        <v>769</v>
      </c>
      <c r="B175">
        <v>101264</v>
      </c>
      <c r="C175" t="s">
        <v>94</v>
      </c>
      <c r="D175" s="1">
        <v>46062</v>
      </c>
      <c r="E175" t="s">
        <v>170</v>
      </c>
      <c r="F175" t="s">
        <v>770</v>
      </c>
      <c r="G175" t="s">
        <v>15</v>
      </c>
      <c r="H175" t="s">
        <v>771</v>
      </c>
      <c r="I175" t="s">
        <v>772</v>
      </c>
      <c r="J175" s="2">
        <v>46083.445925797023</v>
      </c>
    </row>
    <row r="176" spans="1:11" x14ac:dyDescent="0.55000000000000004">
      <c r="A176" t="s">
        <v>773</v>
      </c>
      <c r="B176">
        <v>100009</v>
      </c>
      <c r="C176" t="s">
        <v>26</v>
      </c>
      <c r="D176" s="1">
        <v>45975</v>
      </c>
      <c r="E176" t="s">
        <v>141</v>
      </c>
      <c r="F176" t="s">
        <v>774</v>
      </c>
      <c r="G176" t="s">
        <v>22</v>
      </c>
      <c r="H176" t="s">
        <v>775</v>
      </c>
      <c r="I176" t="s">
        <v>776</v>
      </c>
      <c r="J176" s="2">
        <v>46062.944536912757</v>
      </c>
    </row>
    <row r="177" spans="1:10" x14ac:dyDescent="0.55000000000000004">
      <c r="A177" t="s">
        <v>777</v>
      </c>
      <c r="B177">
        <v>100708</v>
      </c>
      <c r="C177" t="s">
        <v>12</v>
      </c>
      <c r="D177" s="1">
        <v>45823</v>
      </c>
      <c r="E177" t="s">
        <v>265</v>
      </c>
      <c r="F177" t="s">
        <v>778</v>
      </c>
      <c r="G177" t="s">
        <v>15</v>
      </c>
      <c r="H177" t="s">
        <v>779</v>
      </c>
      <c r="I177" t="s">
        <v>780</v>
      </c>
      <c r="J177" s="2">
        <v>46052.17995358436</v>
      </c>
    </row>
    <row r="178" spans="1:10" x14ac:dyDescent="0.55000000000000004">
      <c r="A178" t="s">
        <v>781</v>
      </c>
      <c r="B178">
        <v>100482</v>
      </c>
      <c r="C178" t="s">
        <v>131</v>
      </c>
      <c r="D178" s="1">
        <v>45885</v>
      </c>
      <c r="E178" t="s">
        <v>38</v>
      </c>
      <c r="F178" t="s">
        <v>782</v>
      </c>
      <c r="G178" t="s">
        <v>15</v>
      </c>
      <c r="H178" t="s">
        <v>783</v>
      </c>
      <c r="I178" t="s">
        <v>784</v>
      </c>
      <c r="J178" s="2">
        <v>46061.193148032879</v>
      </c>
    </row>
    <row r="179" spans="1:10" x14ac:dyDescent="0.55000000000000004">
      <c r="A179" t="s">
        <v>785</v>
      </c>
      <c r="B179">
        <v>100709</v>
      </c>
      <c r="C179" t="s">
        <v>146</v>
      </c>
      <c r="D179" s="1">
        <v>45901</v>
      </c>
      <c r="E179" t="s">
        <v>189</v>
      </c>
      <c r="F179" t="s">
        <v>786</v>
      </c>
      <c r="G179" t="s">
        <v>15</v>
      </c>
      <c r="H179" t="s">
        <v>787</v>
      </c>
      <c r="I179" t="s">
        <v>788</v>
      </c>
      <c r="J179" s="2">
        <v>46065.254259148031</v>
      </c>
    </row>
    <row r="180" spans="1:10" x14ac:dyDescent="0.55000000000000004">
      <c r="A180" t="s">
        <v>789</v>
      </c>
      <c r="B180">
        <v>100966</v>
      </c>
      <c r="C180" t="s">
        <v>12</v>
      </c>
      <c r="D180" s="1">
        <v>45782</v>
      </c>
      <c r="E180" t="s">
        <v>265</v>
      </c>
      <c r="F180" t="s">
        <v>790</v>
      </c>
      <c r="G180" t="s">
        <v>22</v>
      </c>
      <c r="H180" t="s">
        <v>791</v>
      </c>
      <c r="I180" t="s">
        <v>792</v>
      </c>
      <c r="J180" s="2">
        <v>46058.873009152201</v>
      </c>
    </row>
    <row r="181" spans="1:10" x14ac:dyDescent="0.55000000000000004">
      <c r="A181" t="s">
        <v>793</v>
      </c>
      <c r="B181">
        <v>100321</v>
      </c>
      <c r="C181" t="s">
        <v>99</v>
      </c>
      <c r="D181" s="1">
        <v>45935</v>
      </c>
      <c r="E181" t="s">
        <v>295</v>
      </c>
      <c r="F181" t="s">
        <v>794</v>
      </c>
      <c r="G181" t="s">
        <v>22</v>
      </c>
      <c r="H181" t="s">
        <v>795</v>
      </c>
      <c r="I181" t="s">
        <v>796</v>
      </c>
      <c r="J181" s="2">
        <v>46066.421620267698</v>
      </c>
    </row>
    <row r="182" spans="1:10" x14ac:dyDescent="0.55000000000000004">
      <c r="A182" t="s">
        <v>797</v>
      </c>
      <c r="B182">
        <v>101341</v>
      </c>
      <c r="C182" t="s">
        <v>63</v>
      </c>
      <c r="D182" s="1">
        <v>46015</v>
      </c>
      <c r="E182" t="s">
        <v>418</v>
      </c>
      <c r="F182" t="s">
        <v>798</v>
      </c>
      <c r="G182" t="s">
        <v>22</v>
      </c>
      <c r="H182" t="s">
        <v>799</v>
      </c>
      <c r="I182" t="s">
        <v>800</v>
      </c>
      <c r="J182" s="2">
        <v>46091.866759160577</v>
      </c>
    </row>
    <row r="183" spans="1:10" x14ac:dyDescent="0.55000000000000004">
      <c r="A183" t="s">
        <v>801</v>
      </c>
      <c r="B183">
        <v>101001</v>
      </c>
      <c r="C183" t="s">
        <v>68</v>
      </c>
      <c r="D183" s="1">
        <v>46140</v>
      </c>
      <c r="E183" t="s">
        <v>317</v>
      </c>
      <c r="F183" t="s">
        <v>802</v>
      </c>
      <c r="G183" t="s">
        <v>15</v>
      </c>
      <c r="H183" t="s">
        <v>803</v>
      </c>
      <c r="I183" t="s">
        <v>804</v>
      </c>
      <c r="J183" s="2">
        <v>46092.365370275627</v>
      </c>
    </row>
    <row r="184" spans="1:10" x14ac:dyDescent="0.55000000000000004">
      <c r="A184" t="s">
        <v>805</v>
      </c>
      <c r="B184">
        <v>100787</v>
      </c>
      <c r="C184" t="s">
        <v>114</v>
      </c>
      <c r="D184" s="1">
        <v>45926</v>
      </c>
      <c r="E184" t="s">
        <v>680</v>
      </c>
      <c r="F184" t="s">
        <v>806</v>
      </c>
      <c r="G184" t="s">
        <v>22</v>
      </c>
      <c r="H184" t="s">
        <v>807</v>
      </c>
      <c r="I184" t="s">
        <v>808</v>
      </c>
      <c r="J184" s="2">
        <v>46074.594536946293</v>
      </c>
    </row>
    <row r="185" spans="1:10" x14ac:dyDescent="0.55000000000000004">
      <c r="A185" t="s">
        <v>809</v>
      </c>
      <c r="B185">
        <v>100342</v>
      </c>
      <c r="C185" t="s">
        <v>131</v>
      </c>
      <c r="D185" s="1">
        <v>45734</v>
      </c>
      <c r="E185" t="s">
        <v>58</v>
      </c>
      <c r="F185" t="s">
        <v>810</v>
      </c>
      <c r="G185" t="s">
        <v>22</v>
      </c>
      <c r="H185" t="s">
        <v>811</v>
      </c>
      <c r="I185" t="s">
        <v>812</v>
      </c>
      <c r="J185" s="2">
        <v>46091.557731394947</v>
      </c>
    </row>
    <row r="186" spans="1:10" x14ac:dyDescent="0.55000000000000004">
      <c r="A186" t="s">
        <v>813</v>
      </c>
      <c r="B186">
        <v>101143</v>
      </c>
      <c r="C186" t="s">
        <v>131</v>
      </c>
      <c r="D186" s="1">
        <v>45827</v>
      </c>
      <c r="E186" t="s">
        <v>89</v>
      </c>
      <c r="F186" t="s">
        <v>814</v>
      </c>
      <c r="G186" t="s">
        <v>22</v>
      </c>
      <c r="H186" t="s">
        <v>815</v>
      </c>
      <c r="I186" t="s">
        <v>816</v>
      </c>
      <c r="J186" s="2">
        <v>46091.709120288782</v>
      </c>
    </row>
    <row r="187" spans="1:10" x14ac:dyDescent="0.55000000000000004">
      <c r="A187" t="s">
        <v>817</v>
      </c>
      <c r="B187">
        <v>100635</v>
      </c>
      <c r="C187" t="s">
        <v>131</v>
      </c>
      <c r="D187" s="1">
        <v>45913</v>
      </c>
      <c r="E187" t="s">
        <v>343</v>
      </c>
      <c r="F187" t="s">
        <v>818</v>
      </c>
      <c r="G187" t="s">
        <v>22</v>
      </c>
      <c r="H187" t="s">
        <v>819</v>
      </c>
      <c r="I187" t="s">
        <v>820</v>
      </c>
      <c r="J187" s="2">
        <v>46097.331342515972</v>
      </c>
    </row>
    <row r="188" spans="1:10" x14ac:dyDescent="0.55000000000000004">
      <c r="A188" t="s">
        <v>821</v>
      </c>
      <c r="B188">
        <v>101292</v>
      </c>
      <c r="C188" t="s">
        <v>94</v>
      </c>
      <c r="D188" s="1">
        <v>45930</v>
      </c>
      <c r="E188" t="s">
        <v>317</v>
      </c>
      <c r="F188" t="s">
        <v>822</v>
      </c>
      <c r="G188" t="s">
        <v>15</v>
      </c>
      <c r="H188" t="s">
        <v>823</v>
      </c>
      <c r="I188" t="s">
        <v>824</v>
      </c>
      <c r="J188" s="2">
        <v>46061.004953631957</v>
      </c>
    </row>
    <row r="189" spans="1:10" x14ac:dyDescent="0.55000000000000004">
      <c r="A189" t="s">
        <v>825</v>
      </c>
      <c r="B189">
        <v>100720</v>
      </c>
      <c r="C189" t="s">
        <v>48</v>
      </c>
      <c r="D189" s="1">
        <v>46082</v>
      </c>
      <c r="E189" t="s">
        <v>189</v>
      </c>
      <c r="F189" t="s">
        <v>826</v>
      </c>
      <c r="G189" t="s">
        <v>22</v>
      </c>
      <c r="H189" t="s">
        <v>827</v>
      </c>
      <c r="I189" t="s">
        <v>828</v>
      </c>
      <c r="J189" s="2">
        <v>46078.364675859142</v>
      </c>
    </row>
    <row r="190" spans="1:10" x14ac:dyDescent="0.55000000000000004">
      <c r="A190" t="s">
        <v>829</v>
      </c>
      <c r="B190">
        <v>100706</v>
      </c>
      <c r="C190" t="s">
        <v>19</v>
      </c>
      <c r="D190" s="1">
        <v>45806</v>
      </c>
      <c r="E190" t="s">
        <v>115</v>
      </c>
      <c r="F190" t="s">
        <v>830</v>
      </c>
      <c r="G190" t="s">
        <v>22</v>
      </c>
      <c r="H190" t="s">
        <v>831</v>
      </c>
      <c r="I190" t="s">
        <v>832</v>
      </c>
      <c r="J190" s="2">
        <v>46080.147314752066</v>
      </c>
    </row>
    <row r="191" spans="1:10" x14ac:dyDescent="0.55000000000000004">
      <c r="A191" t="s">
        <v>833</v>
      </c>
      <c r="B191">
        <v>101037</v>
      </c>
      <c r="C191" t="s">
        <v>68</v>
      </c>
      <c r="D191" s="1">
        <v>45979</v>
      </c>
      <c r="E191" t="s">
        <v>20</v>
      </c>
      <c r="F191" t="s">
        <v>834</v>
      </c>
      <c r="G191" t="s">
        <v>22</v>
      </c>
      <c r="H191" t="s">
        <v>835</v>
      </c>
      <c r="I191" t="s">
        <v>836</v>
      </c>
      <c r="J191" s="2">
        <v>46081.857036979287</v>
      </c>
    </row>
    <row r="192" spans="1:10" x14ac:dyDescent="0.55000000000000004">
      <c r="A192" t="s">
        <v>837</v>
      </c>
      <c r="B192">
        <v>101076</v>
      </c>
      <c r="C192" t="s">
        <v>19</v>
      </c>
      <c r="D192" s="1">
        <v>46036</v>
      </c>
      <c r="E192" t="s">
        <v>121</v>
      </c>
      <c r="F192" t="s">
        <v>838</v>
      </c>
      <c r="G192" t="s">
        <v>15</v>
      </c>
      <c r="H192" t="s">
        <v>839</v>
      </c>
      <c r="I192" t="s">
        <v>840</v>
      </c>
      <c r="J192" s="2">
        <v>46078.736898094678</v>
      </c>
    </row>
    <row r="193" spans="1:11" x14ac:dyDescent="0.55000000000000004">
      <c r="A193" t="s">
        <v>841</v>
      </c>
      <c r="B193">
        <v>100854</v>
      </c>
      <c r="C193" t="s">
        <v>179</v>
      </c>
      <c r="D193" s="1">
        <v>45902</v>
      </c>
      <c r="E193" t="s">
        <v>300</v>
      </c>
      <c r="F193" t="s">
        <v>842</v>
      </c>
      <c r="G193" t="s">
        <v>22</v>
      </c>
      <c r="H193" t="s">
        <v>843</v>
      </c>
      <c r="I193" t="s">
        <v>844</v>
      </c>
      <c r="J193" s="2">
        <v>46069.820231432139</v>
      </c>
    </row>
    <row r="194" spans="1:11" x14ac:dyDescent="0.55000000000000004">
      <c r="A194" t="s">
        <v>845</v>
      </c>
      <c r="B194">
        <v>101305</v>
      </c>
      <c r="C194" t="s">
        <v>99</v>
      </c>
      <c r="D194" s="1">
        <v>45801</v>
      </c>
      <c r="E194" t="s">
        <v>467</v>
      </c>
      <c r="F194" t="s">
        <v>846</v>
      </c>
      <c r="G194" t="s">
        <v>15</v>
      </c>
      <c r="H194" t="s">
        <v>847</v>
      </c>
      <c r="I194" t="s">
        <v>848</v>
      </c>
      <c r="J194" s="2">
        <v>46067.299398103809</v>
      </c>
    </row>
    <row r="195" spans="1:11" x14ac:dyDescent="0.55000000000000004">
      <c r="A195" t="s">
        <v>849</v>
      </c>
      <c r="B195">
        <v>101028</v>
      </c>
      <c r="C195" t="s">
        <v>48</v>
      </c>
      <c r="D195" s="1">
        <v>45935</v>
      </c>
      <c r="E195" t="s">
        <v>58</v>
      </c>
      <c r="F195" t="s">
        <v>850</v>
      </c>
      <c r="G195" t="s">
        <v>15</v>
      </c>
      <c r="H195" t="s">
        <v>851</v>
      </c>
      <c r="I195" t="s">
        <v>852</v>
      </c>
      <c r="J195" s="2">
        <v>46077.21120366425</v>
      </c>
    </row>
    <row r="196" spans="1:11" x14ac:dyDescent="0.55000000000000004">
      <c r="A196" t="s">
        <v>853</v>
      </c>
      <c r="B196">
        <v>100573</v>
      </c>
      <c r="C196" t="s">
        <v>32</v>
      </c>
      <c r="D196" s="1">
        <v>46150</v>
      </c>
      <c r="E196" t="s">
        <v>295</v>
      </c>
      <c r="F196" t="s">
        <v>854</v>
      </c>
      <c r="G196" t="s">
        <v>15</v>
      </c>
      <c r="H196" t="s">
        <v>855</v>
      </c>
      <c r="I196" t="s">
        <v>856</v>
      </c>
      <c r="J196" s="2">
        <v>46059.970231446307</v>
      </c>
    </row>
    <row r="197" spans="1:11" x14ac:dyDescent="0.55000000000000004">
      <c r="A197" t="s">
        <v>857</v>
      </c>
      <c r="B197">
        <v>100869</v>
      </c>
      <c r="C197" t="s">
        <v>48</v>
      </c>
      <c r="D197" s="1">
        <v>46081</v>
      </c>
      <c r="E197" t="s">
        <v>121</v>
      </c>
      <c r="F197" t="s">
        <v>858</v>
      </c>
      <c r="G197" t="s">
        <v>22</v>
      </c>
      <c r="H197" t="s">
        <v>859</v>
      </c>
      <c r="I197" t="s">
        <v>860</v>
      </c>
      <c r="J197" s="2">
        <v>46078.761203673443</v>
      </c>
    </row>
    <row r="198" spans="1:11" x14ac:dyDescent="0.55000000000000004">
      <c r="A198" t="s">
        <v>861</v>
      </c>
      <c r="B198">
        <v>101030</v>
      </c>
      <c r="C198" t="s">
        <v>131</v>
      </c>
      <c r="D198" s="1">
        <v>46151</v>
      </c>
      <c r="E198" t="s">
        <v>757</v>
      </c>
      <c r="F198" t="s">
        <v>862</v>
      </c>
      <c r="G198" t="s">
        <v>15</v>
      </c>
      <c r="H198" t="s">
        <v>863</v>
      </c>
      <c r="I198" t="s">
        <v>864</v>
      </c>
      <c r="J198" s="2">
        <v>46057.315370344302</v>
      </c>
    </row>
    <row r="199" spans="1:11" x14ac:dyDescent="0.55000000000000004">
      <c r="A199" t="s">
        <v>865</v>
      </c>
      <c r="B199">
        <v>101432</v>
      </c>
      <c r="D199" s="1">
        <v>45861</v>
      </c>
      <c r="E199" t="s">
        <v>43</v>
      </c>
      <c r="F199" t="s">
        <v>866</v>
      </c>
      <c r="G199" t="s">
        <v>15</v>
      </c>
      <c r="H199" t="s">
        <v>867</v>
      </c>
      <c r="I199" t="s">
        <v>868</v>
      </c>
      <c r="J199" s="2">
        <v>46068.895925903867</v>
      </c>
      <c r="K199" t="s">
        <v>217</v>
      </c>
    </row>
    <row r="200" spans="1:11" x14ac:dyDescent="0.55000000000000004">
      <c r="A200" t="s">
        <v>869</v>
      </c>
      <c r="B200">
        <v>100980</v>
      </c>
      <c r="C200" t="s">
        <v>19</v>
      </c>
      <c r="D200" s="1">
        <v>46030</v>
      </c>
      <c r="E200" t="s">
        <v>27</v>
      </c>
      <c r="F200" t="s">
        <v>870</v>
      </c>
      <c r="G200" t="s">
        <v>22</v>
      </c>
      <c r="H200" t="s">
        <v>871</v>
      </c>
      <c r="I200" t="s">
        <v>872</v>
      </c>
      <c r="J200" s="2">
        <v>46063.693842575383</v>
      </c>
    </row>
    <row r="201" spans="1:11" x14ac:dyDescent="0.55000000000000004">
      <c r="A201" t="s">
        <v>873</v>
      </c>
      <c r="B201">
        <v>101299</v>
      </c>
      <c r="C201" t="s">
        <v>63</v>
      </c>
      <c r="D201" s="1">
        <v>46091</v>
      </c>
      <c r="E201" t="s">
        <v>184</v>
      </c>
      <c r="F201" t="s">
        <v>874</v>
      </c>
      <c r="G201" t="s">
        <v>15</v>
      </c>
      <c r="H201" t="s">
        <v>875</v>
      </c>
      <c r="I201" t="s">
        <v>876</v>
      </c>
      <c r="J201" s="2">
        <v>46054.800787024753</v>
      </c>
    </row>
    <row r="202" spans="1:11" x14ac:dyDescent="0.55000000000000004">
      <c r="A202" t="s">
        <v>877</v>
      </c>
      <c r="B202">
        <v>100515</v>
      </c>
      <c r="C202" t="s">
        <v>63</v>
      </c>
      <c r="D202" s="1">
        <v>45817</v>
      </c>
      <c r="E202" t="s">
        <v>270</v>
      </c>
      <c r="F202" t="s">
        <v>878</v>
      </c>
      <c r="G202" t="s">
        <v>22</v>
      </c>
      <c r="H202" t="s">
        <v>879</v>
      </c>
      <c r="I202" t="s">
        <v>880</v>
      </c>
      <c r="J202" s="2">
        <v>46070.595925918649</v>
      </c>
    </row>
    <row r="203" spans="1:11" x14ac:dyDescent="0.55000000000000004">
      <c r="A203" t="s">
        <v>881</v>
      </c>
      <c r="B203">
        <v>100729</v>
      </c>
      <c r="C203" t="s">
        <v>37</v>
      </c>
      <c r="D203" s="1">
        <v>45782</v>
      </c>
      <c r="E203" t="s">
        <v>409</v>
      </c>
      <c r="F203" t="s">
        <v>882</v>
      </c>
      <c r="G203" t="s">
        <v>15</v>
      </c>
      <c r="H203" t="s">
        <v>883</v>
      </c>
      <c r="I203" t="s">
        <v>884</v>
      </c>
      <c r="J203" s="2">
        <v>46069.213981478177</v>
      </c>
    </row>
    <row r="204" spans="1:11" x14ac:dyDescent="0.55000000000000004">
      <c r="A204" t="s">
        <v>885</v>
      </c>
      <c r="B204">
        <v>100790</v>
      </c>
      <c r="C204" t="s">
        <v>179</v>
      </c>
      <c r="D204" s="1">
        <v>45969</v>
      </c>
      <c r="E204" t="s">
        <v>587</v>
      </c>
      <c r="F204" t="s">
        <v>886</v>
      </c>
      <c r="G204" t="s">
        <v>22</v>
      </c>
      <c r="H204" t="s">
        <v>887</v>
      </c>
      <c r="I204" t="s">
        <v>888</v>
      </c>
      <c r="J204" s="2">
        <v>46096.059814815562</v>
      </c>
    </row>
    <row r="205" spans="1:11" x14ac:dyDescent="0.55000000000000004">
      <c r="A205" t="s">
        <v>889</v>
      </c>
      <c r="B205">
        <v>101239</v>
      </c>
      <c r="C205" t="s">
        <v>533</v>
      </c>
      <c r="D205" s="1">
        <v>45883</v>
      </c>
      <c r="E205" t="s">
        <v>141</v>
      </c>
      <c r="F205" t="s">
        <v>890</v>
      </c>
      <c r="G205" t="s">
        <v>15</v>
      </c>
      <c r="H205" t="s">
        <v>891</v>
      </c>
      <c r="I205" t="s">
        <v>892</v>
      </c>
      <c r="J205" s="2">
        <v>46075.302870375337</v>
      </c>
    </row>
    <row r="206" spans="1:11" x14ac:dyDescent="0.55000000000000004">
      <c r="A206" t="s">
        <v>893</v>
      </c>
      <c r="B206">
        <v>100094</v>
      </c>
      <c r="C206" t="s">
        <v>169</v>
      </c>
      <c r="D206" s="1">
        <v>45965</v>
      </c>
      <c r="E206" t="s">
        <v>38</v>
      </c>
      <c r="F206" t="s">
        <v>894</v>
      </c>
      <c r="G206" t="s">
        <v>22</v>
      </c>
      <c r="H206" t="s">
        <v>895</v>
      </c>
      <c r="I206" t="s">
        <v>896</v>
      </c>
      <c r="J206" s="2">
        <v>46075.068842601839</v>
      </c>
    </row>
    <row r="207" spans="1:11" x14ac:dyDescent="0.55000000000000004">
      <c r="A207" t="s">
        <v>897</v>
      </c>
      <c r="C207" t="s">
        <v>533</v>
      </c>
      <c r="D207" s="1">
        <v>45956</v>
      </c>
      <c r="E207" t="s">
        <v>300</v>
      </c>
      <c r="F207" t="s">
        <v>898</v>
      </c>
      <c r="G207" t="s">
        <v>15</v>
      </c>
      <c r="H207" t="s">
        <v>899</v>
      </c>
      <c r="I207" t="s">
        <v>900</v>
      </c>
      <c r="J207" s="2">
        <v>46078.682731495879</v>
      </c>
      <c r="K207" t="s">
        <v>112</v>
      </c>
    </row>
    <row r="208" spans="1:11" x14ac:dyDescent="0.55000000000000004">
      <c r="A208" t="s">
        <v>901</v>
      </c>
      <c r="B208">
        <v>100899</v>
      </c>
      <c r="C208" t="s">
        <v>533</v>
      </c>
      <c r="D208" s="1">
        <v>45743</v>
      </c>
      <c r="E208" t="s">
        <v>141</v>
      </c>
      <c r="F208" t="s">
        <v>902</v>
      </c>
      <c r="G208" t="s">
        <v>15</v>
      </c>
      <c r="H208" t="s">
        <v>903</v>
      </c>
      <c r="I208" t="s">
        <v>904</v>
      </c>
      <c r="J208" s="2">
        <v>46082.012592611347</v>
      </c>
    </row>
    <row r="209" spans="1:10" x14ac:dyDescent="0.55000000000000004">
      <c r="A209" t="s">
        <v>905</v>
      </c>
      <c r="B209">
        <v>100137</v>
      </c>
      <c r="C209" t="s">
        <v>48</v>
      </c>
      <c r="D209" s="1">
        <v>46014</v>
      </c>
      <c r="E209" t="s">
        <v>20</v>
      </c>
      <c r="F209" t="s">
        <v>906</v>
      </c>
      <c r="G209" t="s">
        <v>22</v>
      </c>
      <c r="H209" t="s">
        <v>907</v>
      </c>
      <c r="I209" t="s">
        <v>908</v>
      </c>
      <c r="J209" s="2">
        <v>46068.41675928286</v>
      </c>
    </row>
    <row r="210" spans="1:10" x14ac:dyDescent="0.55000000000000004">
      <c r="A210" t="s">
        <v>909</v>
      </c>
      <c r="B210">
        <v>100554</v>
      </c>
      <c r="C210" t="s">
        <v>179</v>
      </c>
      <c r="D210" s="1">
        <v>46054</v>
      </c>
      <c r="E210" t="s">
        <v>115</v>
      </c>
      <c r="F210" t="s">
        <v>910</v>
      </c>
      <c r="G210" t="s">
        <v>22</v>
      </c>
      <c r="H210" t="s">
        <v>911</v>
      </c>
      <c r="I210" t="s">
        <v>912</v>
      </c>
      <c r="J210" s="2">
        <v>46072.704953731321</v>
      </c>
    </row>
    <row r="211" spans="1:10" x14ac:dyDescent="0.55000000000000004">
      <c r="A211" t="s">
        <v>913</v>
      </c>
      <c r="B211">
        <v>101041</v>
      </c>
      <c r="C211" t="s">
        <v>99</v>
      </c>
      <c r="D211" s="1">
        <v>45833</v>
      </c>
      <c r="E211" t="s">
        <v>89</v>
      </c>
      <c r="F211" t="s">
        <v>914</v>
      </c>
      <c r="G211" t="s">
        <v>22</v>
      </c>
      <c r="H211" t="s">
        <v>915</v>
      </c>
      <c r="I211" t="s">
        <v>916</v>
      </c>
      <c r="J211" s="2">
        <v>46097.441064846447</v>
      </c>
    </row>
    <row r="212" spans="1:10" x14ac:dyDescent="0.55000000000000004">
      <c r="A212" t="s">
        <v>917</v>
      </c>
      <c r="B212">
        <v>100998</v>
      </c>
      <c r="C212" t="s">
        <v>248</v>
      </c>
      <c r="D212" s="1">
        <v>45874</v>
      </c>
      <c r="E212" t="s">
        <v>184</v>
      </c>
      <c r="F212" t="s">
        <v>918</v>
      </c>
      <c r="G212" t="s">
        <v>15</v>
      </c>
      <c r="H212" t="s">
        <v>919</v>
      </c>
      <c r="I212" t="s">
        <v>920</v>
      </c>
      <c r="J212" s="2">
        <v>46074.282731518098</v>
      </c>
    </row>
    <row r="213" spans="1:10" x14ac:dyDescent="0.55000000000000004">
      <c r="A213" t="s">
        <v>921</v>
      </c>
      <c r="B213">
        <v>101348</v>
      </c>
      <c r="C213" t="s">
        <v>248</v>
      </c>
      <c r="D213" s="1">
        <v>45966</v>
      </c>
      <c r="E213" t="s">
        <v>20</v>
      </c>
      <c r="F213" t="s">
        <v>922</v>
      </c>
      <c r="G213" t="s">
        <v>22</v>
      </c>
      <c r="H213" t="s">
        <v>923</v>
      </c>
      <c r="I213" t="s">
        <v>924</v>
      </c>
      <c r="J213" s="2">
        <v>46063.837592633448</v>
      </c>
    </row>
    <row r="214" spans="1:10" x14ac:dyDescent="0.55000000000000004">
      <c r="A214" t="s">
        <v>925</v>
      </c>
      <c r="B214">
        <v>100376</v>
      </c>
      <c r="C214" t="s">
        <v>169</v>
      </c>
      <c r="D214" s="1">
        <v>46037</v>
      </c>
      <c r="E214" t="s">
        <v>89</v>
      </c>
      <c r="F214" t="s">
        <v>926</v>
      </c>
      <c r="G214" t="s">
        <v>15</v>
      </c>
      <c r="H214" t="s">
        <v>927</v>
      </c>
      <c r="I214" t="s">
        <v>928</v>
      </c>
      <c r="J214" s="2">
        <v>46075.245925971009</v>
      </c>
    </row>
    <row r="215" spans="1:10" x14ac:dyDescent="0.55000000000000004">
      <c r="A215" t="s">
        <v>929</v>
      </c>
      <c r="B215">
        <v>101067</v>
      </c>
      <c r="C215" t="s">
        <v>88</v>
      </c>
      <c r="D215" s="1">
        <v>46048</v>
      </c>
      <c r="E215" t="s">
        <v>317</v>
      </c>
      <c r="F215" t="s">
        <v>930</v>
      </c>
      <c r="G215" t="s">
        <v>22</v>
      </c>
      <c r="H215" t="s">
        <v>931</v>
      </c>
      <c r="I215" t="s">
        <v>932</v>
      </c>
      <c r="J215" s="2">
        <v>46057.907037086297</v>
      </c>
    </row>
    <row r="216" spans="1:10" x14ac:dyDescent="0.55000000000000004">
      <c r="A216" t="s">
        <v>933</v>
      </c>
      <c r="B216">
        <v>101065</v>
      </c>
      <c r="C216" t="s">
        <v>131</v>
      </c>
      <c r="D216" s="1">
        <v>46076</v>
      </c>
      <c r="E216" t="s">
        <v>20</v>
      </c>
      <c r="F216" t="s">
        <v>934</v>
      </c>
      <c r="G216" t="s">
        <v>15</v>
      </c>
      <c r="H216" t="s">
        <v>935</v>
      </c>
      <c r="I216" t="s">
        <v>936</v>
      </c>
      <c r="J216" s="2">
        <v>46082.311898201653</v>
      </c>
    </row>
    <row r="217" spans="1:10" x14ac:dyDescent="0.55000000000000004">
      <c r="A217" t="s">
        <v>937</v>
      </c>
      <c r="B217">
        <v>100991</v>
      </c>
      <c r="C217" t="s">
        <v>533</v>
      </c>
      <c r="D217" s="1">
        <v>45825</v>
      </c>
      <c r="E217" t="s">
        <v>189</v>
      </c>
      <c r="F217" t="s">
        <v>938</v>
      </c>
      <c r="G217" t="s">
        <v>22</v>
      </c>
      <c r="H217" t="s">
        <v>939</v>
      </c>
      <c r="I217" t="s">
        <v>940</v>
      </c>
      <c r="J217" s="2">
        <v>46070.898009317687</v>
      </c>
    </row>
    <row r="218" spans="1:10" x14ac:dyDescent="0.55000000000000004">
      <c r="A218" t="s">
        <v>941</v>
      </c>
      <c r="B218">
        <v>101296</v>
      </c>
      <c r="C218" t="s">
        <v>114</v>
      </c>
      <c r="D218" s="1">
        <v>46026</v>
      </c>
      <c r="E218" t="s">
        <v>418</v>
      </c>
      <c r="F218" t="s">
        <v>942</v>
      </c>
      <c r="G218" t="s">
        <v>22</v>
      </c>
      <c r="H218" t="s">
        <v>943</v>
      </c>
      <c r="I218" t="s">
        <v>944</v>
      </c>
      <c r="J218" s="2">
        <v>46056.982037099697</v>
      </c>
    </row>
    <row r="219" spans="1:10" x14ac:dyDescent="0.55000000000000004">
      <c r="A219" t="s">
        <v>945</v>
      </c>
      <c r="B219">
        <v>100172</v>
      </c>
      <c r="C219" t="s">
        <v>48</v>
      </c>
      <c r="D219" s="1">
        <v>46016</v>
      </c>
      <c r="E219" t="s">
        <v>69</v>
      </c>
      <c r="F219" t="s">
        <v>946</v>
      </c>
      <c r="G219" t="s">
        <v>22</v>
      </c>
      <c r="H219" t="s">
        <v>947</v>
      </c>
      <c r="I219" t="s">
        <v>948</v>
      </c>
      <c r="J219" s="2">
        <v>46089.479953770431</v>
      </c>
    </row>
    <row r="220" spans="1:10" x14ac:dyDescent="0.55000000000000004">
      <c r="A220" t="s">
        <v>949</v>
      </c>
      <c r="B220">
        <v>100474</v>
      </c>
      <c r="C220" t="s">
        <v>169</v>
      </c>
      <c r="D220" s="1">
        <v>45962</v>
      </c>
      <c r="E220" t="s">
        <v>13</v>
      </c>
      <c r="F220" t="s">
        <v>950</v>
      </c>
      <c r="G220" t="s">
        <v>22</v>
      </c>
      <c r="H220" t="s">
        <v>951</v>
      </c>
      <c r="I220" t="s">
        <v>952</v>
      </c>
      <c r="J220" s="2">
        <v>46089.468842664188</v>
      </c>
    </row>
    <row r="221" spans="1:10" x14ac:dyDescent="0.55000000000000004">
      <c r="A221" t="s">
        <v>953</v>
      </c>
      <c r="B221">
        <v>100351</v>
      </c>
      <c r="C221" t="s">
        <v>179</v>
      </c>
      <c r="D221" s="1">
        <v>46019</v>
      </c>
      <c r="E221" t="s">
        <v>213</v>
      </c>
      <c r="F221" t="s">
        <v>954</v>
      </c>
      <c r="G221" t="s">
        <v>22</v>
      </c>
      <c r="H221" t="s">
        <v>955</v>
      </c>
      <c r="I221" t="s">
        <v>956</v>
      </c>
      <c r="J221" s="2">
        <v>46071.114676001562</v>
      </c>
    </row>
    <row r="222" spans="1:10" x14ac:dyDescent="0.55000000000000004">
      <c r="A222" t="s">
        <v>957</v>
      </c>
      <c r="B222">
        <v>100057</v>
      </c>
      <c r="C222" t="s">
        <v>19</v>
      </c>
      <c r="D222" s="1">
        <v>45817</v>
      </c>
      <c r="E222" t="s">
        <v>38</v>
      </c>
      <c r="F222" t="s">
        <v>958</v>
      </c>
      <c r="G222" t="s">
        <v>15</v>
      </c>
      <c r="H222" t="s">
        <v>959</v>
      </c>
      <c r="I222" t="s">
        <v>960</v>
      </c>
      <c r="J222" s="2">
        <v>46083.330648228788</v>
      </c>
    </row>
    <row r="223" spans="1:10" x14ac:dyDescent="0.55000000000000004">
      <c r="A223" t="s">
        <v>451</v>
      </c>
      <c r="B223">
        <v>101276</v>
      </c>
      <c r="C223" t="s">
        <v>12</v>
      </c>
      <c r="D223" s="1">
        <v>45872</v>
      </c>
      <c r="E223" t="s">
        <v>38</v>
      </c>
      <c r="F223" t="s">
        <v>961</v>
      </c>
      <c r="G223" t="s">
        <v>22</v>
      </c>
      <c r="H223" t="s">
        <v>962</v>
      </c>
      <c r="I223" t="s">
        <v>963</v>
      </c>
      <c r="J223" s="2">
        <v>46087.095926011483</v>
      </c>
    </row>
    <row r="224" spans="1:10" x14ac:dyDescent="0.55000000000000004">
      <c r="A224" t="s">
        <v>964</v>
      </c>
      <c r="B224">
        <v>100036</v>
      </c>
      <c r="C224" t="s">
        <v>26</v>
      </c>
      <c r="D224" s="1">
        <v>46112</v>
      </c>
      <c r="E224" t="s">
        <v>27</v>
      </c>
      <c r="F224" t="s">
        <v>965</v>
      </c>
      <c r="G224" t="s">
        <v>15</v>
      </c>
      <c r="H224" t="s">
        <v>966</v>
      </c>
      <c r="I224" t="s">
        <v>967</v>
      </c>
      <c r="J224" s="2">
        <v>46061.584120460837</v>
      </c>
    </row>
    <row r="225" spans="1:11" x14ac:dyDescent="0.55000000000000004">
      <c r="A225" t="s">
        <v>968</v>
      </c>
      <c r="B225">
        <v>100795</v>
      </c>
      <c r="C225" t="s">
        <v>32</v>
      </c>
      <c r="D225" s="1">
        <v>46128</v>
      </c>
      <c r="E225" t="s">
        <v>343</v>
      </c>
      <c r="F225" t="s">
        <v>969</v>
      </c>
      <c r="G225" t="s">
        <v>22</v>
      </c>
      <c r="H225" t="s">
        <v>970</v>
      </c>
      <c r="I225" t="s">
        <v>971</v>
      </c>
      <c r="J225" s="2">
        <v>46063.435509354582</v>
      </c>
    </row>
    <row r="226" spans="1:11" x14ac:dyDescent="0.55000000000000004">
      <c r="A226" t="s">
        <v>972</v>
      </c>
      <c r="B226">
        <v>100381</v>
      </c>
      <c r="C226" t="s">
        <v>94</v>
      </c>
      <c r="D226" s="1">
        <v>45784</v>
      </c>
      <c r="E226" t="s">
        <v>562</v>
      </c>
      <c r="F226" t="s">
        <v>973</v>
      </c>
      <c r="G226" t="s">
        <v>15</v>
      </c>
      <c r="H226" t="s">
        <v>974</v>
      </c>
      <c r="I226" t="s">
        <v>975</v>
      </c>
      <c r="J226" s="2">
        <v>46069.372314914202</v>
      </c>
    </row>
    <row r="227" spans="1:11" x14ac:dyDescent="0.55000000000000004">
      <c r="A227" t="s">
        <v>976</v>
      </c>
      <c r="B227">
        <v>101094</v>
      </c>
      <c r="C227" t="s">
        <v>63</v>
      </c>
      <c r="D227" s="1">
        <v>46150</v>
      </c>
      <c r="E227" t="s">
        <v>69</v>
      </c>
      <c r="F227" t="s">
        <v>977</v>
      </c>
      <c r="G227" t="s">
        <v>15</v>
      </c>
      <c r="H227" t="s">
        <v>978</v>
      </c>
      <c r="I227" t="s">
        <v>979</v>
      </c>
      <c r="J227" s="2">
        <v>46082.448009362699</v>
      </c>
    </row>
    <row r="228" spans="1:11" x14ac:dyDescent="0.55000000000000004">
      <c r="A228" t="s">
        <v>980</v>
      </c>
      <c r="B228">
        <v>101003</v>
      </c>
      <c r="C228" t="s">
        <v>26</v>
      </c>
      <c r="D228" s="1">
        <v>46084</v>
      </c>
      <c r="E228" t="s">
        <v>27</v>
      </c>
      <c r="F228" t="s">
        <v>981</v>
      </c>
      <c r="G228" t="s">
        <v>22</v>
      </c>
      <c r="H228" t="s">
        <v>982</v>
      </c>
      <c r="I228" t="s">
        <v>983</v>
      </c>
      <c r="J228" s="2">
        <v>46086.870231589957</v>
      </c>
    </row>
    <row r="229" spans="1:11" x14ac:dyDescent="0.55000000000000004">
      <c r="A229" t="s">
        <v>984</v>
      </c>
      <c r="B229">
        <v>100992</v>
      </c>
      <c r="C229" t="s">
        <v>114</v>
      </c>
      <c r="D229" s="1">
        <v>46133</v>
      </c>
      <c r="E229" t="s">
        <v>115</v>
      </c>
      <c r="F229" t="s">
        <v>985</v>
      </c>
      <c r="G229" t="s">
        <v>15</v>
      </c>
      <c r="H229" t="s">
        <v>986</v>
      </c>
      <c r="I229" t="s">
        <v>987</v>
      </c>
      <c r="J229" s="2">
        <v>46061.247314928223</v>
      </c>
    </row>
    <row r="230" spans="1:11" x14ac:dyDescent="0.55000000000000004">
      <c r="A230" t="s">
        <v>988</v>
      </c>
      <c r="B230">
        <v>100531</v>
      </c>
      <c r="C230" t="s">
        <v>146</v>
      </c>
      <c r="D230" s="1">
        <v>45875</v>
      </c>
      <c r="E230" t="s">
        <v>160</v>
      </c>
      <c r="F230" t="s">
        <v>989</v>
      </c>
      <c r="G230" t="s">
        <v>22</v>
      </c>
      <c r="H230" t="s">
        <v>990</v>
      </c>
      <c r="I230" t="s">
        <v>991</v>
      </c>
      <c r="J230" s="2">
        <v>46078.932037154678</v>
      </c>
    </row>
    <row r="231" spans="1:11" x14ac:dyDescent="0.55000000000000004">
      <c r="A231" t="s">
        <v>992</v>
      </c>
      <c r="B231">
        <v>100916</v>
      </c>
      <c r="C231" t="s">
        <v>32</v>
      </c>
      <c r="D231" s="1">
        <v>45995</v>
      </c>
      <c r="E231" t="s">
        <v>121</v>
      </c>
      <c r="F231" t="s">
        <v>993</v>
      </c>
      <c r="G231" t="s">
        <v>15</v>
      </c>
      <c r="H231" t="s">
        <v>994</v>
      </c>
      <c r="I231" t="s">
        <v>995</v>
      </c>
      <c r="J231" s="2">
        <v>46079.813287159581</v>
      </c>
    </row>
    <row r="232" spans="1:11" x14ac:dyDescent="0.55000000000000004">
      <c r="A232" t="s">
        <v>996</v>
      </c>
      <c r="B232">
        <v>100252</v>
      </c>
      <c r="C232" t="s">
        <v>114</v>
      </c>
      <c r="D232" s="1">
        <v>46091</v>
      </c>
      <c r="E232" t="s">
        <v>115</v>
      </c>
      <c r="F232" t="s">
        <v>997</v>
      </c>
      <c r="G232" t="s">
        <v>15</v>
      </c>
      <c r="H232" t="s">
        <v>998</v>
      </c>
      <c r="I232" t="s">
        <v>999</v>
      </c>
      <c r="J232" s="2">
        <v>46052.288287163603</v>
      </c>
    </row>
    <row r="233" spans="1:11" x14ac:dyDescent="0.55000000000000004">
      <c r="A233" t="s">
        <v>708</v>
      </c>
      <c r="B233">
        <v>100673</v>
      </c>
      <c r="C233" t="s">
        <v>194</v>
      </c>
      <c r="D233" s="1">
        <v>46121</v>
      </c>
      <c r="E233" t="s">
        <v>680</v>
      </c>
      <c r="F233" t="s">
        <v>1000</v>
      </c>
      <c r="G233" t="s">
        <v>22</v>
      </c>
      <c r="H233" t="s">
        <v>1001</v>
      </c>
      <c r="I233" t="s">
        <v>1002</v>
      </c>
      <c r="J233" s="2">
        <v>46057.15703716861</v>
      </c>
    </row>
    <row r="234" spans="1:11" x14ac:dyDescent="0.55000000000000004">
      <c r="A234" t="s">
        <v>1003</v>
      </c>
      <c r="B234">
        <v>101464</v>
      </c>
      <c r="C234" t="s">
        <v>179</v>
      </c>
      <c r="D234" s="1">
        <v>45963</v>
      </c>
      <c r="E234" t="s">
        <v>317</v>
      </c>
      <c r="F234" t="s">
        <v>1004</v>
      </c>
      <c r="G234" t="s">
        <v>15</v>
      </c>
      <c r="H234" t="s">
        <v>1005</v>
      </c>
      <c r="I234" t="s">
        <v>1006</v>
      </c>
      <c r="J234" s="2">
        <v>46072.013287173497</v>
      </c>
    </row>
    <row r="235" spans="1:11" x14ac:dyDescent="0.55000000000000004">
      <c r="A235" t="s">
        <v>1007</v>
      </c>
      <c r="B235">
        <v>100827</v>
      </c>
      <c r="C235" t="s">
        <v>32</v>
      </c>
      <c r="D235" s="1">
        <v>46087</v>
      </c>
      <c r="E235" t="s">
        <v>757</v>
      </c>
      <c r="F235" t="s">
        <v>1008</v>
      </c>
      <c r="G235" t="s">
        <v>22</v>
      </c>
      <c r="H235" t="s">
        <v>1009</v>
      </c>
      <c r="I235" t="s">
        <v>1010</v>
      </c>
      <c r="J235" s="2">
        <v>46060.742453844206</v>
      </c>
    </row>
    <row r="236" spans="1:11" x14ac:dyDescent="0.55000000000000004">
      <c r="A236" t="s">
        <v>1011</v>
      </c>
      <c r="B236">
        <v>101142</v>
      </c>
      <c r="C236" t="s">
        <v>131</v>
      </c>
      <c r="D236" s="1">
        <v>46106</v>
      </c>
      <c r="E236" t="s">
        <v>49</v>
      </c>
      <c r="F236" t="s">
        <v>1012</v>
      </c>
      <c r="G236" t="s">
        <v>15</v>
      </c>
      <c r="H236" t="s">
        <v>1013</v>
      </c>
      <c r="I236" t="s">
        <v>1014</v>
      </c>
      <c r="J236" s="2">
        <v>46063.180648293703</v>
      </c>
    </row>
    <row r="237" spans="1:11" x14ac:dyDescent="0.55000000000000004">
      <c r="A237" t="s">
        <v>1015</v>
      </c>
      <c r="B237">
        <v>100874</v>
      </c>
      <c r="C237" t="s">
        <v>248</v>
      </c>
      <c r="D237" s="1">
        <v>45951</v>
      </c>
      <c r="E237" t="s">
        <v>69</v>
      </c>
      <c r="F237" t="s">
        <v>1016</v>
      </c>
      <c r="G237" t="s">
        <v>22</v>
      </c>
      <c r="H237" t="s">
        <v>1017</v>
      </c>
      <c r="I237" t="s">
        <v>1018</v>
      </c>
      <c r="J237" s="2">
        <v>46077.343148298663</v>
      </c>
    </row>
    <row r="238" spans="1:11" x14ac:dyDescent="0.55000000000000004">
      <c r="A238" t="s">
        <v>1019</v>
      </c>
      <c r="B238">
        <v>100738</v>
      </c>
      <c r="C238" t="s">
        <v>169</v>
      </c>
      <c r="D238" s="1">
        <v>46012</v>
      </c>
      <c r="E238" t="s">
        <v>43</v>
      </c>
      <c r="F238" t="s">
        <v>1020</v>
      </c>
      <c r="G238" t="s">
        <v>22</v>
      </c>
      <c r="H238" t="s">
        <v>1021</v>
      </c>
      <c r="I238" t="s">
        <v>1022</v>
      </c>
      <c r="J238" s="2">
        <v>46054.677176080913</v>
      </c>
    </row>
    <row r="239" spans="1:11" x14ac:dyDescent="0.55000000000000004">
      <c r="A239" t="s">
        <v>1023</v>
      </c>
      <c r="B239">
        <v>101297</v>
      </c>
      <c r="C239" t="s">
        <v>12</v>
      </c>
      <c r="D239" s="1">
        <v>45782</v>
      </c>
      <c r="E239" t="s">
        <v>270</v>
      </c>
      <c r="F239" t="s">
        <v>1024</v>
      </c>
      <c r="G239" t="s">
        <v>15</v>
      </c>
      <c r="H239" t="s">
        <v>1025</v>
      </c>
      <c r="I239" t="s">
        <v>1026</v>
      </c>
      <c r="J239" s="2">
        <v>46069.097314974082</v>
      </c>
    </row>
    <row r="240" spans="1:11" x14ac:dyDescent="0.55000000000000004">
      <c r="A240" t="s">
        <v>1027</v>
      </c>
      <c r="C240" t="s">
        <v>37</v>
      </c>
      <c r="D240" s="1">
        <v>45951</v>
      </c>
      <c r="E240" t="s">
        <v>317</v>
      </c>
      <c r="F240" t="s">
        <v>1028</v>
      </c>
      <c r="G240" t="s">
        <v>15</v>
      </c>
      <c r="H240" t="s">
        <v>1029</v>
      </c>
      <c r="I240" t="s">
        <v>1030</v>
      </c>
      <c r="J240" s="2">
        <v>46056.316759422763</v>
      </c>
      <c r="K240" t="s">
        <v>112</v>
      </c>
    </row>
    <row r="241" spans="1:11" x14ac:dyDescent="0.55000000000000004">
      <c r="A241" t="s">
        <v>1031</v>
      </c>
      <c r="B241">
        <v>100179</v>
      </c>
      <c r="C241" t="s">
        <v>48</v>
      </c>
      <c r="D241" s="1">
        <v>45872</v>
      </c>
      <c r="E241" t="s">
        <v>317</v>
      </c>
      <c r="F241" t="s">
        <v>1032</v>
      </c>
      <c r="G241" t="s">
        <v>22</v>
      </c>
      <c r="H241" t="s">
        <v>1033</v>
      </c>
      <c r="I241" t="s">
        <v>1034</v>
      </c>
      <c r="J241" s="2">
        <v>46081.62925942766</v>
      </c>
      <c r="K241" t="s">
        <v>139</v>
      </c>
    </row>
    <row r="242" spans="1:11" x14ac:dyDescent="0.55000000000000004">
      <c r="A242" t="s">
        <v>1035</v>
      </c>
      <c r="B242">
        <v>100485</v>
      </c>
      <c r="C242" t="s">
        <v>63</v>
      </c>
      <c r="D242" s="1">
        <v>46072</v>
      </c>
      <c r="E242" t="s">
        <v>121</v>
      </c>
      <c r="F242" t="s">
        <v>1036</v>
      </c>
      <c r="G242" t="s">
        <v>22</v>
      </c>
      <c r="H242" t="s">
        <v>1037</v>
      </c>
      <c r="I242" t="s">
        <v>1038</v>
      </c>
      <c r="J242" s="2">
        <v>46053.413287210431</v>
      </c>
    </row>
    <row r="243" spans="1:11" x14ac:dyDescent="0.55000000000000004">
      <c r="A243" t="s">
        <v>1039</v>
      </c>
      <c r="B243">
        <v>100657</v>
      </c>
      <c r="C243" t="s">
        <v>94</v>
      </c>
      <c r="D243" s="1">
        <v>46067</v>
      </c>
      <c r="E243" t="s">
        <v>317</v>
      </c>
      <c r="F243" t="s">
        <v>1040</v>
      </c>
      <c r="G243" t="s">
        <v>15</v>
      </c>
      <c r="H243" t="s">
        <v>1041</v>
      </c>
      <c r="I243" t="s">
        <v>1042</v>
      </c>
      <c r="J243" s="2">
        <v>46097.442453882002</v>
      </c>
    </row>
    <row r="244" spans="1:11" x14ac:dyDescent="0.55000000000000004">
      <c r="A244" t="s">
        <v>1043</v>
      </c>
      <c r="B244">
        <v>100915</v>
      </c>
      <c r="C244" t="s">
        <v>19</v>
      </c>
      <c r="D244" s="1">
        <v>45771</v>
      </c>
      <c r="E244" t="s">
        <v>38</v>
      </c>
      <c r="F244" t="s">
        <v>1044</v>
      </c>
      <c r="G244" t="s">
        <v>15</v>
      </c>
      <c r="H244" t="s">
        <v>1045</v>
      </c>
      <c r="I244" t="s">
        <v>1046</v>
      </c>
      <c r="J244" s="2">
        <v>46063.779259442439</v>
      </c>
    </row>
    <row r="245" spans="1:11" x14ac:dyDescent="0.55000000000000004">
      <c r="A245" t="s">
        <v>1047</v>
      </c>
      <c r="B245">
        <v>100766</v>
      </c>
      <c r="C245" t="s">
        <v>88</v>
      </c>
      <c r="D245" s="1">
        <v>45736</v>
      </c>
      <c r="E245" t="s">
        <v>317</v>
      </c>
      <c r="F245" t="s">
        <v>1048</v>
      </c>
      <c r="G245" t="s">
        <v>22</v>
      </c>
      <c r="H245" t="s">
        <v>1049</v>
      </c>
      <c r="I245" t="s">
        <v>1050</v>
      </c>
      <c r="J245" s="2">
        <v>46090.145926113997</v>
      </c>
    </row>
    <row r="246" spans="1:11" x14ac:dyDescent="0.55000000000000004">
      <c r="A246" t="s">
        <v>1051</v>
      </c>
      <c r="B246">
        <v>100814</v>
      </c>
      <c r="C246" t="s">
        <v>114</v>
      </c>
      <c r="D246" s="1">
        <v>45976</v>
      </c>
      <c r="E246" t="s">
        <v>115</v>
      </c>
      <c r="F246" t="s">
        <v>1052</v>
      </c>
      <c r="G246" t="s">
        <v>22</v>
      </c>
      <c r="H246" t="s">
        <v>1053</v>
      </c>
      <c r="I246" t="s">
        <v>1054</v>
      </c>
      <c r="J246" s="2">
        <v>46092.600787230011</v>
      </c>
    </row>
    <row r="247" spans="1:11" x14ac:dyDescent="0.55000000000000004">
      <c r="A247" t="s">
        <v>1055</v>
      </c>
      <c r="B247">
        <v>100830</v>
      </c>
      <c r="C247" t="s">
        <v>533</v>
      </c>
      <c r="D247" s="1">
        <v>45892</v>
      </c>
      <c r="E247" t="s">
        <v>356</v>
      </c>
      <c r="F247" t="s">
        <v>1056</v>
      </c>
      <c r="G247" t="s">
        <v>22</v>
      </c>
      <c r="H247" t="s">
        <v>1057</v>
      </c>
      <c r="I247" t="s">
        <v>1058</v>
      </c>
      <c r="J247" s="2">
        <v>46088.834120568412</v>
      </c>
      <c r="K247" t="s">
        <v>139</v>
      </c>
    </row>
    <row r="248" spans="1:11" x14ac:dyDescent="0.55000000000000004">
      <c r="A248" t="s">
        <v>1059</v>
      </c>
      <c r="B248">
        <v>100655</v>
      </c>
      <c r="C248" t="s">
        <v>114</v>
      </c>
      <c r="D248" s="1">
        <v>45767</v>
      </c>
      <c r="E248" t="s">
        <v>528</v>
      </c>
      <c r="F248" t="s">
        <v>1060</v>
      </c>
      <c r="G248" t="s">
        <v>22</v>
      </c>
      <c r="H248" t="s">
        <v>1061</v>
      </c>
      <c r="I248" t="s">
        <v>1062</v>
      </c>
      <c r="J248" s="2">
        <v>46075.443148351093</v>
      </c>
    </row>
    <row r="249" spans="1:11" x14ac:dyDescent="0.55000000000000004">
      <c r="A249" t="s">
        <v>1063</v>
      </c>
      <c r="B249">
        <v>100885</v>
      </c>
      <c r="C249" t="s">
        <v>114</v>
      </c>
      <c r="D249" s="1">
        <v>45942</v>
      </c>
      <c r="E249" t="s">
        <v>680</v>
      </c>
      <c r="F249" t="s">
        <v>1064</v>
      </c>
      <c r="G249" t="s">
        <v>15</v>
      </c>
      <c r="H249" t="s">
        <v>1065</v>
      </c>
      <c r="I249" t="s">
        <v>1066</v>
      </c>
      <c r="J249" s="2">
        <v>46091.547315021853</v>
      </c>
    </row>
    <row r="250" spans="1:11" x14ac:dyDescent="0.55000000000000004">
      <c r="A250" t="s">
        <v>1067</v>
      </c>
      <c r="B250">
        <v>100044</v>
      </c>
      <c r="C250" t="s">
        <v>533</v>
      </c>
      <c r="D250" s="1">
        <v>46033</v>
      </c>
      <c r="E250" t="s">
        <v>300</v>
      </c>
      <c r="F250" t="s">
        <v>1068</v>
      </c>
      <c r="G250" t="s">
        <v>22</v>
      </c>
      <c r="H250" t="s">
        <v>1069</v>
      </c>
      <c r="I250" t="s">
        <v>1070</v>
      </c>
      <c r="J250" s="2">
        <v>46089.393842803664</v>
      </c>
    </row>
    <row r="251" spans="1:11" x14ac:dyDescent="0.55000000000000004">
      <c r="A251" t="s">
        <v>1071</v>
      </c>
      <c r="B251">
        <v>100106</v>
      </c>
      <c r="C251" t="s">
        <v>32</v>
      </c>
      <c r="D251" s="1">
        <v>46062</v>
      </c>
      <c r="E251" t="s">
        <v>115</v>
      </c>
      <c r="F251" t="s">
        <v>1072</v>
      </c>
      <c r="G251" t="s">
        <v>22</v>
      </c>
      <c r="H251" t="s">
        <v>1073</v>
      </c>
      <c r="I251" t="s">
        <v>1074</v>
      </c>
      <c r="J251" s="2">
        <v>46053.708426140998</v>
      </c>
    </row>
    <row r="252" spans="1:11" x14ac:dyDescent="0.55000000000000004">
      <c r="A252" t="s">
        <v>1075</v>
      </c>
      <c r="B252">
        <v>100979</v>
      </c>
      <c r="C252" t="s">
        <v>68</v>
      </c>
      <c r="D252" s="1">
        <v>45837</v>
      </c>
      <c r="E252" t="s">
        <v>587</v>
      </c>
      <c r="F252" t="s">
        <v>1076</v>
      </c>
      <c r="G252" t="s">
        <v>22</v>
      </c>
      <c r="H252" t="s">
        <v>1077</v>
      </c>
      <c r="I252" t="s">
        <v>1078</v>
      </c>
      <c r="J252" s="2">
        <v>46078.82717614594</v>
      </c>
    </row>
    <row r="253" spans="1:11" x14ac:dyDescent="0.55000000000000004">
      <c r="A253" t="s">
        <v>1079</v>
      </c>
      <c r="B253">
        <v>100575</v>
      </c>
      <c r="C253" t="s">
        <v>12</v>
      </c>
      <c r="D253" s="1">
        <v>46133</v>
      </c>
      <c r="E253" t="s">
        <v>69</v>
      </c>
      <c r="F253" t="s">
        <v>1080</v>
      </c>
      <c r="G253" t="s">
        <v>22</v>
      </c>
      <c r="H253" t="s">
        <v>1081</v>
      </c>
      <c r="I253" t="s">
        <v>1082</v>
      </c>
      <c r="J253" s="2">
        <v>46090.403565039662</v>
      </c>
    </row>
    <row r="254" spans="1:11" x14ac:dyDescent="0.55000000000000004">
      <c r="A254" t="s">
        <v>1083</v>
      </c>
      <c r="B254">
        <v>101443</v>
      </c>
      <c r="C254" t="s">
        <v>19</v>
      </c>
      <c r="D254" s="1">
        <v>46058</v>
      </c>
      <c r="E254" t="s">
        <v>184</v>
      </c>
      <c r="F254" t="s">
        <v>1084</v>
      </c>
      <c r="G254" t="s">
        <v>22</v>
      </c>
      <c r="H254" t="s">
        <v>1085</v>
      </c>
      <c r="I254" t="s">
        <v>1086</v>
      </c>
      <c r="J254" s="2">
        <v>46077.558426154807</v>
      </c>
    </row>
    <row r="255" spans="1:11" x14ac:dyDescent="0.55000000000000004">
      <c r="A255" t="s">
        <v>1087</v>
      </c>
      <c r="B255">
        <v>100494</v>
      </c>
      <c r="C255" t="s">
        <v>179</v>
      </c>
      <c r="D255" s="1">
        <v>46023</v>
      </c>
      <c r="E255" t="s">
        <v>467</v>
      </c>
      <c r="F255" t="s">
        <v>1088</v>
      </c>
      <c r="G255" t="s">
        <v>15</v>
      </c>
      <c r="H255" t="s">
        <v>1089</v>
      </c>
      <c r="I255" t="s">
        <v>1090</v>
      </c>
      <c r="J255" s="2">
        <v>46067.642453937537</v>
      </c>
    </row>
    <row r="256" spans="1:11" x14ac:dyDescent="0.55000000000000004">
      <c r="A256" t="s">
        <v>1091</v>
      </c>
      <c r="B256">
        <v>101077</v>
      </c>
      <c r="C256" t="s">
        <v>37</v>
      </c>
      <c r="D256" s="1">
        <v>46032</v>
      </c>
      <c r="E256" t="s">
        <v>155</v>
      </c>
      <c r="F256" t="s">
        <v>1092</v>
      </c>
      <c r="G256" t="s">
        <v>22</v>
      </c>
      <c r="H256" t="s">
        <v>1093</v>
      </c>
      <c r="I256" t="s">
        <v>1094</v>
      </c>
      <c r="J256" s="2">
        <v>46084.689676164198</v>
      </c>
    </row>
    <row r="257" spans="1:11" x14ac:dyDescent="0.55000000000000004">
      <c r="A257" t="s">
        <v>1095</v>
      </c>
      <c r="B257">
        <v>100463</v>
      </c>
      <c r="C257" t="s">
        <v>12</v>
      </c>
      <c r="D257" s="1">
        <v>46136</v>
      </c>
      <c r="E257" t="s">
        <v>467</v>
      </c>
      <c r="F257" t="s">
        <v>1096</v>
      </c>
      <c r="G257" t="s">
        <v>22</v>
      </c>
      <c r="H257" t="s">
        <v>1097</v>
      </c>
      <c r="I257" t="s">
        <v>1098</v>
      </c>
      <c r="J257" s="2">
        <v>46069.748009502582</v>
      </c>
    </row>
    <row r="258" spans="1:11" x14ac:dyDescent="0.55000000000000004">
      <c r="A258" t="s">
        <v>1099</v>
      </c>
      <c r="B258">
        <v>101286</v>
      </c>
      <c r="C258" t="s">
        <v>179</v>
      </c>
      <c r="D258" s="1">
        <v>45774</v>
      </c>
      <c r="E258" t="s">
        <v>587</v>
      </c>
      <c r="F258" t="s">
        <v>1100</v>
      </c>
      <c r="G258" t="s">
        <v>22</v>
      </c>
      <c r="H258" t="s">
        <v>1101</v>
      </c>
      <c r="I258" t="s">
        <v>1102</v>
      </c>
      <c r="J258" s="2">
        <v>46092.305648395537</v>
      </c>
    </row>
    <row r="259" spans="1:11" x14ac:dyDescent="0.55000000000000004">
      <c r="A259" t="s">
        <v>1103</v>
      </c>
      <c r="B259">
        <v>100669</v>
      </c>
      <c r="C259" t="s">
        <v>131</v>
      </c>
      <c r="D259" s="1">
        <v>45993</v>
      </c>
      <c r="E259" t="s">
        <v>115</v>
      </c>
      <c r="F259" t="s">
        <v>1104</v>
      </c>
      <c r="G259" t="s">
        <v>22</v>
      </c>
      <c r="H259" t="s">
        <v>1105</v>
      </c>
      <c r="I259" t="s">
        <v>1106</v>
      </c>
      <c r="J259" s="2">
        <v>46071.911898399812</v>
      </c>
    </row>
    <row r="260" spans="1:11" x14ac:dyDescent="0.55000000000000004">
      <c r="A260" t="s">
        <v>1107</v>
      </c>
      <c r="B260">
        <v>101446</v>
      </c>
      <c r="C260" t="s">
        <v>131</v>
      </c>
      <c r="D260" s="1">
        <v>45890</v>
      </c>
      <c r="E260" t="s">
        <v>121</v>
      </c>
      <c r="F260" t="s">
        <v>1108</v>
      </c>
      <c r="G260" t="s">
        <v>15</v>
      </c>
      <c r="H260" t="s">
        <v>1109</v>
      </c>
      <c r="I260" t="s">
        <v>1110</v>
      </c>
      <c r="J260" s="2">
        <v>46092.12856507075</v>
      </c>
    </row>
    <row r="261" spans="1:11" x14ac:dyDescent="0.55000000000000004">
      <c r="A261" t="s">
        <v>1111</v>
      </c>
      <c r="B261">
        <v>100158</v>
      </c>
      <c r="C261" t="s">
        <v>533</v>
      </c>
      <c r="D261" s="1">
        <v>45964</v>
      </c>
      <c r="E261" t="s">
        <v>343</v>
      </c>
      <c r="F261" t="s">
        <v>1112</v>
      </c>
      <c r="G261" t="s">
        <v>15</v>
      </c>
      <c r="H261" t="s">
        <v>1113</v>
      </c>
      <c r="I261" t="s">
        <v>1114</v>
      </c>
      <c r="J261" s="2">
        <v>46090.728565074773</v>
      </c>
    </row>
    <row r="262" spans="1:11" x14ac:dyDescent="0.55000000000000004">
      <c r="A262" t="s">
        <v>1115</v>
      </c>
      <c r="B262">
        <v>101359</v>
      </c>
      <c r="C262" t="s">
        <v>114</v>
      </c>
      <c r="D262" s="1">
        <v>46091</v>
      </c>
      <c r="E262" t="s">
        <v>115</v>
      </c>
      <c r="F262" t="s">
        <v>1116</v>
      </c>
      <c r="G262" t="s">
        <v>22</v>
      </c>
      <c r="H262" t="s">
        <v>1117</v>
      </c>
      <c r="I262" t="s">
        <v>1118</v>
      </c>
      <c r="J262" s="2">
        <v>46075.002176190763</v>
      </c>
    </row>
    <row r="263" spans="1:11" x14ac:dyDescent="0.55000000000000004">
      <c r="A263" t="s">
        <v>1119</v>
      </c>
      <c r="B263">
        <v>100049</v>
      </c>
      <c r="C263" t="s">
        <v>82</v>
      </c>
      <c r="D263" s="1">
        <v>46132</v>
      </c>
      <c r="E263" t="s">
        <v>562</v>
      </c>
      <c r="F263" t="s">
        <v>1120</v>
      </c>
      <c r="G263" t="s">
        <v>15</v>
      </c>
      <c r="H263" t="s">
        <v>1121</v>
      </c>
      <c r="I263" t="s">
        <v>1122</v>
      </c>
      <c r="J263" s="2">
        <v>46080.578565084637</v>
      </c>
    </row>
    <row r="264" spans="1:11" x14ac:dyDescent="0.55000000000000004">
      <c r="A264" t="s">
        <v>1123</v>
      </c>
      <c r="B264">
        <v>100846</v>
      </c>
      <c r="C264" t="s">
        <v>37</v>
      </c>
      <c r="D264" s="1">
        <v>45903</v>
      </c>
      <c r="E264" t="s">
        <v>467</v>
      </c>
      <c r="F264" t="s">
        <v>1124</v>
      </c>
      <c r="G264" t="s">
        <v>15</v>
      </c>
      <c r="H264" t="s">
        <v>1125</v>
      </c>
      <c r="I264" t="s">
        <v>1126</v>
      </c>
      <c r="J264" s="2">
        <v>46080.926481756207</v>
      </c>
    </row>
    <row r="265" spans="1:11" x14ac:dyDescent="0.55000000000000004">
      <c r="A265" t="s">
        <v>1127</v>
      </c>
      <c r="B265">
        <v>100686</v>
      </c>
      <c r="C265" t="s">
        <v>131</v>
      </c>
      <c r="D265" s="1">
        <v>45986</v>
      </c>
      <c r="E265" t="s">
        <v>467</v>
      </c>
      <c r="F265" t="s">
        <v>1128</v>
      </c>
      <c r="G265" t="s">
        <v>15</v>
      </c>
      <c r="H265" t="s">
        <v>1129</v>
      </c>
      <c r="I265" t="s">
        <v>1130</v>
      </c>
      <c r="J265" s="2">
        <v>46065.940370649078</v>
      </c>
    </row>
    <row r="266" spans="1:11" x14ac:dyDescent="0.55000000000000004">
      <c r="A266" t="s">
        <v>1131</v>
      </c>
      <c r="B266">
        <v>100420</v>
      </c>
      <c r="C266" t="s">
        <v>48</v>
      </c>
      <c r="D266" s="1">
        <v>45920</v>
      </c>
      <c r="E266" t="s">
        <v>20</v>
      </c>
      <c r="F266" t="s">
        <v>1132</v>
      </c>
      <c r="G266" t="s">
        <v>15</v>
      </c>
      <c r="H266" t="s">
        <v>1133</v>
      </c>
      <c r="I266" t="s">
        <v>1134</v>
      </c>
      <c r="J266" s="2">
        <v>46060.787592876142</v>
      </c>
    </row>
    <row r="267" spans="1:11" x14ac:dyDescent="0.55000000000000004">
      <c r="A267" t="s">
        <v>1135</v>
      </c>
      <c r="B267">
        <v>100112</v>
      </c>
      <c r="C267" t="s">
        <v>533</v>
      </c>
      <c r="D267" s="1">
        <v>45848</v>
      </c>
      <c r="E267" t="s">
        <v>184</v>
      </c>
      <c r="F267" t="s">
        <v>1136</v>
      </c>
      <c r="G267" t="s">
        <v>15</v>
      </c>
      <c r="H267" t="s">
        <v>1137</v>
      </c>
      <c r="I267" t="s">
        <v>1138</v>
      </c>
      <c r="J267" s="2">
        <v>46082.680648435911</v>
      </c>
    </row>
    <row r="268" spans="1:11" x14ac:dyDescent="0.55000000000000004">
      <c r="A268" t="s">
        <v>1139</v>
      </c>
      <c r="B268">
        <v>100718</v>
      </c>
      <c r="C268" t="s">
        <v>19</v>
      </c>
      <c r="D268" s="1">
        <v>45918</v>
      </c>
      <c r="E268" t="s">
        <v>189</v>
      </c>
      <c r="F268" t="s">
        <v>1140</v>
      </c>
      <c r="G268" t="s">
        <v>15</v>
      </c>
      <c r="H268" t="s">
        <v>1141</v>
      </c>
      <c r="I268" t="s">
        <v>1142</v>
      </c>
      <c r="J268" s="2">
        <v>46061.813981774263</v>
      </c>
    </row>
    <row r="269" spans="1:11" x14ac:dyDescent="0.55000000000000004">
      <c r="A269" t="s">
        <v>1143</v>
      </c>
      <c r="B269">
        <v>100884</v>
      </c>
      <c r="C269" t="s">
        <v>94</v>
      </c>
      <c r="D269" s="1">
        <v>45846</v>
      </c>
      <c r="E269" t="s">
        <v>418</v>
      </c>
      <c r="F269" t="s">
        <v>1144</v>
      </c>
      <c r="G269" t="s">
        <v>22</v>
      </c>
      <c r="H269" t="s">
        <v>1145</v>
      </c>
      <c r="I269" t="s">
        <v>1146</v>
      </c>
      <c r="J269" s="2">
        <v>46080.635509556298</v>
      </c>
    </row>
    <row r="270" spans="1:11" x14ac:dyDescent="0.55000000000000004">
      <c r="A270" t="s">
        <v>1147</v>
      </c>
      <c r="B270">
        <v>101416</v>
      </c>
      <c r="C270" t="s">
        <v>26</v>
      </c>
      <c r="D270" s="1">
        <v>45922</v>
      </c>
      <c r="E270" t="s">
        <v>38</v>
      </c>
      <c r="F270" t="s">
        <v>1148</v>
      </c>
      <c r="G270" t="s">
        <v>15</v>
      </c>
      <c r="H270" t="s">
        <v>1149</v>
      </c>
      <c r="I270" t="s">
        <v>1150</v>
      </c>
      <c r="J270" s="2">
        <v>46086.428565116759</v>
      </c>
    </row>
    <row r="271" spans="1:11" x14ac:dyDescent="0.55000000000000004">
      <c r="A271" t="s">
        <v>1151</v>
      </c>
      <c r="B271">
        <v>100742</v>
      </c>
      <c r="C271" t="s">
        <v>82</v>
      </c>
      <c r="D271" s="1">
        <v>45755</v>
      </c>
      <c r="E271" t="s">
        <v>334</v>
      </c>
      <c r="F271" t="s">
        <v>1152</v>
      </c>
      <c r="G271" t="s">
        <v>22</v>
      </c>
      <c r="H271" t="s">
        <v>1153</v>
      </c>
      <c r="I271" t="s">
        <v>1154</v>
      </c>
      <c r="J271" s="2">
        <v>46078.280648454107</v>
      </c>
      <c r="K271" t="s">
        <v>119</v>
      </c>
    </row>
    <row r="272" spans="1:11" x14ac:dyDescent="0.55000000000000004">
      <c r="A272" t="s">
        <v>1155</v>
      </c>
      <c r="B272">
        <v>100983</v>
      </c>
      <c r="C272" t="s">
        <v>131</v>
      </c>
      <c r="D272" s="1">
        <v>46015</v>
      </c>
      <c r="E272" t="s">
        <v>295</v>
      </c>
      <c r="F272" t="s">
        <v>1156</v>
      </c>
      <c r="G272" t="s">
        <v>15</v>
      </c>
      <c r="H272" t="s">
        <v>1157</v>
      </c>
      <c r="I272" t="s">
        <v>1158</v>
      </c>
      <c r="J272" s="2">
        <v>46078.944537347801</v>
      </c>
    </row>
    <row r="273" spans="1:11" x14ac:dyDescent="0.55000000000000004">
      <c r="A273" t="s">
        <v>1159</v>
      </c>
      <c r="B273">
        <v>100401</v>
      </c>
      <c r="C273" t="s">
        <v>68</v>
      </c>
      <c r="D273" s="1">
        <v>46110</v>
      </c>
      <c r="E273" t="s">
        <v>208</v>
      </c>
      <c r="F273" t="s">
        <v>1160</v>
      </c>
      <c r="G273" t="s">
        <v>22</v>
      </c>
      <c r="H273" t="s">
        <v>1161</v>
      </c>
      <c r="I273" t="s">
        <v>1162</v>
      </c>
      <c r="J273" s="2">
        <v>46084.96884290759</v>
      </c>
    </row>
    <row r="274" spans="1:11" x14ac:dyDescent="0.55000000000000004">
      <c r="A274" t="s">
        <v>1163</v>
      </c>
      <c r="B274">
        <v>101152</v>
      </c>
      <c r="C274" t="s">
        <v>194</v>
      </c>
      <c r="D274" s="1">
        <v>45809</v>
      </c>
      <c r="E274" t="s">
        <v>69</v>
      </c>
      <c r="F274" t="s">
        <v>1164</v>
      </c>
      <c r="G274" t="s">
        <v>15</v>
      </c>
      <c r="H274" t="s">
        <v>1165</v>
      </c>
      <c r="I274" t="s">
        <v>1166</v>
      </c>
      <c r="J274" s="2">
        <v>46082.975787356867</v>
      </c>
    </row>
    <row r="275" spans="1:11" x14ac:dyDescent="0.55000000000000004">
      <c r="A275" t="s">
        <v>1167</v>
      </c>
      <c r="B275">
        <v>100969</v>
      </c>
      <c r="C275" t="s">
        <v>63</v>
      </c>
      <c r="D275" s="1">
        <v>46057</v>
      </c>
      <c r="E275" t="s">
        <v>13</v>
      </c>
      <c r="F275" t="s">
        <v>1168</v>
      </c>
      <c r="G275" t="s">
        <v>22</v>
      </c>
      <c r="H275" t="s">
        <v>1169</v>
      </c>
      <c r="I275" t="s">
        <v>1170</v>
      </c>
      <c r="J275" s="2">
        <v>46078.598704028387</v>
      </c>
    </row>
    <row r="276" spans="1:11" x14ac:dyDescent="0.55000000000000004">
      <c r="A276" t="s">
        <v>729</v>
      </c>
      <c r="B276">
        <v>100011</v>
      </c>
      <c r="C276" t="s">
        <v>248</v>
      </c>
      <c r="D276" s="1">
        <v>46003</v>
      </c>
      <c r="E276" t="s">
        <v>69</v>
      </c>
      <c r="F276" t="s">
        <v>1171</v>
      </c>
      <c r="G276" t="s">
        <v>22</v>
      </c>
      <c r="H276" t="s">
        <v>1172</v>
      </c>
      <c r="I276" t="s">
        <v>1173</v>
      </c>
      <c r="J276" s="2">
        <v>46094.543842921194</v>
      </c>
    </row>
    <row r="277" spans="1:11" x14ac:dyDescent="0.55000000000000004">
      <c r="A277" t="s">
        <v>1174</v>
      </c>
      <c r="B277">
        <v>100715</v>
      </c>
      <c r="C277" t="s">
        <v>32</v>
      </c>
      <c r="D277" s="1">
        <v>45779</v>
      </c>
      <c r="E277" t="s">
        <v>115</v>
      </c>
      <c r="F277" t="s">
        <v>1175</v>
      </c>
      <c r="G277" t="s">
        <v>22</v>
      </c>
      <c r="H277" t="s">
        <v>1176</v>
      </c>
      <c r="I277" t="s">
        <v>1177</v>
      </c>
      <c r="J277" s="2">
        <v>46053.216759592673</v>
      </c>
    </row>
    <row r="278" spans="1:11" x14ac:dyDescent="0.55000000000000004">
      <c r="A278" t="s">
        <v>1178</v>
      </c>
      <c r="B278">
        <v>100954</v>
      </c>
      <c r="C278" t="s">
        <v>88</v>
      </c>
      <c r="D278" s="1">
        <v>46114</v>
      </c>
      <c r="E278" t="s">
        <v>38</v>
      </c>
      <c r="F278" t="s">
        <v>1179</v>
      </c>
      <c r="G278" t="s">
        <v>15</v>
      </c>
      <c r="H278" t="s">
        <v>1180</v>
      </c>
      <c r="I278" t="s">
        <v>1181</v>
      </c>
      <c r="J278" s="2">
        <v>46065.556342930038</v>
      </c>
    </row>
    <row r="279" spans="1:11" x14ac:dyDescent="0.55000000000000004">
      <c r="A279" t="s">
        <v>1182</v>
      </c>
      <c r="B279">
        <v>100473</v>
      </c>
      <c r="C279" t="s">
        <v>179</v>
      </c>
      <c r="D279" s="1">
        <v>45770</v>
      </c>
      <c r="E279" t="s">
        <v>270</v>
      </c>
      <c r="F279" t="s">
        <v>1183</v>
      </c>
      <c r="G279" t="s">
        <v>15</v>
      </c>
      <c r="H279" t="s">
        <v>1184</v>
      </c>
      <c r="I279" t="s">
        <v>1185</v>
      </c>
      <c r="J279" s="2">
        <v>46082.33134293418</v>
      </c>
    </row>
    <row r="280" spans="1:11" x14ac:dyDescent="0.55000000000000004">
      <c r="A280" t="s">
        <v>1186</v>
      </c>
      <c r="B280">
        <v>100419</v>
      </c>
      <c r="C280" t="s">
        <v>32</v>
      </c>
      <c r="D280" s="1">
        <v>45893</v>
      </c>
      <c r="E280" t="s">
        <v>49</v>
      </c>
      <c r="F280" t="s">
        <v>1187</v>
      </c>
      <c r="G280" t="s">
        <v>22</v>
      </c>
      <c r="H280" t="s">
        <v>1188</v>
      </c>
      <c r="I280" t="s">
        <v>1189</v>
      </c>
      <c r="J280" s="2">
        <v>46069.359815161202</v>
      </c>
    </row>
    <row r="281" spans="1:11" x14ac:dyDescent="0.55000000000000004">
      <c r="A281" t="s">
        <v>1190</v>
      </c>
      <c r="B281">
        <v>100591</v>
      </c>
      <c r="C281" t="s">
        <v>194</v>
      </c>
      <c r="D281" s="1">
        <v>45770</v>
      </c>
      <c r="E281" t="s">
        <v>115</v>
      </c>
      <c r="F281" t="s">
        <v>1191</v>
      </c>
      <c r="G281" t="s">
        <v>15</v>
      </c>
      <c r="H281" t="s">
        <v>1192</v>
      </c>
      <c r="I281" t="s">
        <v>1193</v>
      </c>
      <c r="J281" s="2">
        <v>46088.595926277121</v>
      </c>
    </row>
    <row r="282" spans="1:11" x14ac:dyDescent="0.55000000000000004">
      <c r="A282" t="s">
        <v>1194</v>
      </c>
      <c r="B282">
        <v>101121</v>
      </c>
      <c r="C282" t="s">
        <v>48</v>
      </c>
      <c r="D282" s="1">
        <v>45962</v>
      </c>
      <c r="E282" t="s">
        <v>58</v>
      </c>
      <c r="F282" t="s">
        <v>1195</v>
      </c>
      <c r="G282" t="s">
        <v>15</v>
      </c>
      <c r="H282" t="s">
        <v>1196</v>
      </c>
      <c r="I282" t="s">
        <v>1197</v>
      </c>
      <c r="J282" s="2">
        <v>46063.23689850347</v>
      </c>
      <c r="K282" t="s">
        <v>139</v>
      </c>
    </row>
    <row r="283" spans="1:11" x14ac:dyDescent="0.55000000000000004">
      <c r="A283" t="s">
        <v>1198</v>
      </c>
      <c r="B283">
        <v>100413</v>
      </c>
      <c r="C283" t="s">
        <v>248</v>
      </c>
      <c r="D283" s="1">
        <v>45963</v>
      </c>
      <c r="E283" t="s">
        <v>58</v>
      </c>
      <c r="F283" t="s">
        <v>1199</v>
      </c>
      <c r="G283" t="s">
        <v>15</v>
      </c>
      <c r="H283" t="s">
        <v>1200</v>
      </c>
      <c r="I283" t="s">
        <v>1201</v>
      </c>
      <c r="J283" s="2">
        <v>46092.522315174967</v>
      </c>
    </row>
    <row r="284" spans="1:11" x14ac:dyDescent="0.55000000000000004">
      <c r="A284" t="s">
        <v>1202</v>
      </c>
      <c r="B284">
        <v>100872</v>
      </c>
      <c r="C284" t="s">
        <v>68</v>
      </c>
      <c r="D284" s="1">
        <v>46155</v>
      </c>
      <c r="E284" t="s">
        <v>184</v>
      </c>
      <c r="F284" t="s">
        <v>1203</v>
      </c>
      <c r="G284" t="s">
        <v>15</v>
      </c>
      <c r="H284" t="s">
        <v>1204</v>
      </c>
      <c r="I284" t="s">
        <v>1205</v>
      </c>
      <c r="J284" s="2">
        <v>46077.535509623369</v>
      </c>
    </row>
    <row r="285" spans="1:11" x14ac:dyDescent="0.55000000000000004">
      <c r="A285" t="s">
        <v>1206</v>
      </c>
      <c r="B285">
        <v>100739</v>
      </c>
      <c r="C285" t="s">
        <v>131</v>
      </c>
      <c r="D285" s="1">
        <v>46096</v>
      </c>
      <c r="E285" t="s">
        <v>20</v>
      </c>
      <c r="F285" t="s">
        <v>1207</v>
      </c>
      <c r="G285" t="s">
        <v>22</v>
      </c>
      <c r="H285" t="s">
        <v>1208</v>
      </c>
      <c r="I285" t="s">
        <v>1209</v>
      </c>
      <c r="J285" s="2">
        <v>46065.676481850387</v>
      </c>
    </row>
    <row r="286" spans="1:11" x14ac:dyDescent="0.55000000000000004">
      <c r="A286" t="s">
        <v>1210</v>
      </c>
      <c r="B286">
        <v>100948</v>
      </c>
      <c r="C286" t="s">
        <v>68</v>
      </c>
      <c r="D286" s="1">
        <v>45865</v>
      </c>
      <c r="E286" t="s">
        <v>155</v>
      </c>
      <c r="F286" t="s">
        <v>1211</v>
      </c>
      <c r="G286" t="s">
        <v>22</v>
      </c>
      <c r="H286" t="s">
        <v>1212</v>
      </c>
      <c r="I286" t="s">
        <v>1213</v>
      </c>
      <c r="J286" s="2">
        <v>46068.955648521813</v>
      </c>
    </row>
    <row r="287" spans="1:11" x14ac:dyDescent="0.55000000000000004">
      <c r="A287" t="s">
        <v>1214</v>
      </c>
      <c r="B287">
        <v>100653</v>
      </c>
      <c r="C287" t="s">
        <v>146</v>
      </c>
      <c r="D287" s="1">
        <v>45859</v>
      </c>
      <c r="E287" t="s">
        <v>69</v>
      </c>
      <c r="F287" t="s">
        <v>1215</v>
      </c>
      <c r="G287" t="s">
        <v>15</v>
      </c>
      <c r="H287" t="s">
        <v>1216</v>
      </c>
      <c r="I287" t="s">
        <v>1217</v>
      </c>
      <c r="J287" s="2">
        <v>46089.573704082119</v>
      </c>
    </row>
    <row r="288" spans="1:11" x14ac:dyDescent="0.55000000000000004">
      <c r="A288" t="s">
        <v>1218</v>
      </c>
      <c r="B288">
        <v>100128</v>
      </c>
      <c r="C288" t="s">
        <v>37</v>
      </c>
      <c r="D288" s="1">
        <v>45763</v>
      </c>
      <c r="E288" t="s">
        <v>115</v>
      </c>
      <c r="F288" t="s">
        <v>1219</v>
      </c>
      <c r="G288" t="s">
        <v>15</v>
      </c>
      <c r="H288" t="s">
        <v>1220</v>
      </c>
      <c r="I288" t="s">
        <v>1221</v>
      </c>
      <c r="J288" s="2">
        <v>46072.216759641757</v>
      </c>
    </row>
    <row r="289" spans="1:11" x14ac:dyDescent="0.55000000000000004">
      <c r="A289" t="s">
        <v>1222</v>
      </c>
      <c r="B289">
        <v>100690</v>
      </c>
      <c r="C289" t="s">
        <v>131</v>
      </c>
      <c r="D289" s="1">
        <v>46030</v>
      </c>
      <c r="E289" t="s">
        <v>343</v>
      </c>
      <c r="F289" t="s">
        <v>1223</v>
      </c>
      <c r="G289" t="s">
        <v>15</v>
      </c>
      <c r="H289" t="s">
        <v>1224</v>
      </c>
      <c r="I289" t="s">
        <v>1225</v>
      </c>
      <c r="J289" s="2">
        <v>46084.827870756832</v>
      </c>
    </row>
    <row r="290" spans="1:11" x14ac:dyDescent="0.55000000000000004">
      <c r="A290" t="s">
        <v>1226</v>
      </c>
      <c r="B290">
        <v>101097</v>
      </c>
      <c r="C290" t="s">
        <v>88</v>
      </c>
      <c r="D290" s="1">
        <v>46146</v>
      </c>
      <c r="E290" t="s">
        <v>155</v>
      </c>
      <c r="F290" t="s">
        <v>1227</v>
      </c>
      <c r="G290" t="s">
        <v>22</v>
      </c>
      <c r="H290" t="s">
        <v>1228</v>
      </c>
      <c r="I290" t="s">
        <v>1229</v>
      </c>
      <c r="J290" s="2">
        <v>46090.685509650553</v>
      </c>
    </row>
    <row r="291" spans="1:11" x14ac:dyDescent="0.55000000000000004">
      <c r="A291" t="s">
        <v>1230</v>
      </c>
      <c r="B291">
        <v>100394</v>
      </c>
      <c r="C291" t="s">
        <v>88</v>
      </c>
      <c r="D291" s="1">
        <v>45757</v>
      </c>
      <c r="E291" t="s">
        <v>38</v>
      </c>
      <c r="F291" t="s">
        <v>1231</v>
      </c>
      <c r="G291" t="s">
        <v>22</v>
      </c>
      <c r="H291" t="s">
        <v>1232</v>
      </c>
      <c r="I291" t="s">
        <v>1233</v>
      </c>
      <c r="J291" s="2">
        <v>46072.040370766437</v>
      </c>
    </row>
    <row r="292" spans="1:11" x14ac:dyDescent="0.55000000000000004">
      <c r="A292" t="s">
        <v>1234</v>
      </c>
      <c r="B292">
        <v>101400</v>
      </c>
      <c r="C292" t="s">
        <v>37</v>
      </c>
      <c r="D292" s="1">
        <v>45927</v>
      </c>
      <c r="E292" t="s">
        <v>208</v>
      </c>
      <c r="F292" t="s">
        <v>1235</v>
      </c>
      <c r="G292" t="s">
        <v>15</v>
      </c>
      <c r="H292" t="s">
        <v>1236</v>
      </c>
      <c r="I292" t="s">
        <v>1237</v>
      </c>
      <c r="J292" s="2">
        <v>46086.354954104543</v>
      </c>
      <c r="K292" t="s">
        <v>119</v>
      </c>
    </row>
    <row r="293" spans="1:11" x14ac:dyDescent="0.55000000000000004">
      <c r="A293" t="s">
        <v>1238</v>
      </c>
      <c r="B293">
        <v>100037</v>
      </c>
      <c r="C293" t="s">
        <v>32</v>
      </c>
      <c r="D293" s="1">
        <v>45960</v>
      </c>
      <c r="E293" t="s">
        <v>155</v>
      </c>
      <c r="F293" t="s">
        <v>1239</v>
      </c>
      <c r="G293" t="s">
        <v>15</v>
      </c>
      <c r="H293" t="s">
        <v>1240</v>
      </c>
      <c r="I293" t="s">
        <v>1241</v>
      </c>
      <c r="J293" s="2">
        <v>46056.326481886397</v>
      </c>
    </row>
    <row r="294" spans="1:11" x14ac:dyDescent="0.55000000000000004">
      <c r="A294" t="s">
        <v>1242</v>
      </c>
      <c r="B294">
        <v>100080</v>
      </c>
      <c r="C294" t="s">
        <v>19</v>
      </c>
      <c r="D294" s="1">
        <v>45942</v>
      </c>
      <c r="E294" t="s">
        <v>270</v>
      </c>
      <c r="F294" t="s">
        <v>1243</v>
      </c>
      <c r="G294" t="s">
        <v>22</v>
      </c>
      <c r="H294" t="s">
        <v>1244</v>
      </c>
      <c r="I294" t="s">
        <v>1245</v>
      </c>
      <c r="J294" s="2">
        <v>46073.550787446242</v>
      </c>
    </row>
    <row r="295" spans="1:11" x14ac:dyDescent="0.55000000000000004">
      <c r="A295" t="s">
        <v>1246</v>
      </c>
      <c r="B295">
        <v>100839</v>
      </c>
      <c r="C295" t="s">
        <v>94</v>
      </c>
      <c r="D295" s="1">
        <v>45834</v>
      </c>
      <c r="E295" t="s">
        <v>528</v>
      </c>
      <c r="F295" t="s">
        <v>1247</v>
      </c>
      <c r="G295" t="s">
        <v>22</v>
      </c>
      <c r="H295" t="s">
        <v>1248</v>
      </c>
      <c r="I295" t="s">
        <v>1249</v>
      </c>
      <c r="J295" s="2">
        <v>46052.23550967242</v>
      </c>
    </row>
    <row r="296" spans="1:11" x14ac:dyDescent="0.55000000000000004">
      <c r="A296" t="s">
        <v>1250</v>
      </c>
      <c r="B296">
        <v>100372</v>
      </c>
      <c r="D296" s="1">
        <v>46010</v>
      </c>
      <c r="E296" t="s">
        <v>467</v>
      </c>
      <c r="F296" t="s">
        <v>1251</v>
      </c>
      <c r="G296" t="s">
        <v>22</v>
      </c>
      <c r="H296" t="s">
        <v>1252</v>
      </c>
      <c r="I296" t="s">
        <v>1253</v>
      </c>
      <c r="J296" s="2">
        <v>46073.361898565257</v>
      </c>
      <c r="K296" t="s">
        <v>217</v>
      </c>
    </row>
    <row r="297" spans="1:11" x14ac:dyDescent="0.55000000000000004">
      <c r="A297" t="s">
        <v>1254</v>
      </c>
      <c r="B297">
        <v>100238</v>
      </c>
      <c r="C297" t="s">
        <v>48</v>
      </c>
      <c r="D297" s="1">
        <v>45745</v>
      </c>
      <c r="E297" t="s">
        <v>409</v>
      </c>
      <c r="F297" t="s">
        <v>1255</v>
      </c>
      <c r="G297" t="s">
        <v>15</v>
      </c>
      <c r="H297" t="s">
        <v>1256</v>
      </c>
      <c r="I297" t="s">
        <v>1257</v>
      </c>
      <c r="J297" s="2">
        <v>46080.663287458927</v>
      </c>
    </row>
    <row r="298" spans="1:11" x14ac:dyDescent="0.55000000000000004">
      <c r="A298" t="s">
        <v>1258</v>
      </c>
      <c r="B298">
        <v>101215</v>
      </c>
      <c r="C298" t="s">
        <v>19</v>
      </c>
      <c r="D298" s="1">
        <v>46003</v>
      </c>
      <c r="E298" t="s">
        <v>409</v>
      </c>
      <c r="F298" t="s">
        <v>1259</v>
      </c>
      <c r="G298" t="s">
        <v>15</v>
      </c>
      <c r="H298" t="s">
        <v>1260</v>
      </c>
      <c r="I298" t="s">
        <v>1261</v>
      </c>
      <c r="J298" s="2">
        <v>46091.393843019287</v>
      </c>
    </row>
    <row r="299" spans="1:11" x14ac:dyDescent="0.55000000000000004">
      <c r="A299" t="s">
        <v>1262</v>
      </c>
      <c r="B299">
        <v>101145</v>
      </c>
      <c r="C299" t="s">
        <v>194</v>
      </c>
      <c r="D299" s="1">
        <v>45868</v>
      </c>
      <c r="E299" t="s">
        <v>108</v>
      </c>
      <c r="F299" t="s">
        <v>1263</v>
      </c>
      <c r="G299" t="s">
        <v>22</v>
      </c>
      <c r="H299" t="s">
        <v>1264</v>
      </c>
      <c r="I299" t="s">
        <v>1265</v>
      </c>
      <c r="J299" s="2">
        <v>46075.499398579683</v>
      </c>
      <c r="K299" t="s">
        <v>119</v>
      </c>
    </row>
    <row r="300" spans="1:11" x14ac:dyDescent="0.55000000000000004">
      <c r="A300" t="s">
        <v>1266</v>
      </c>
      <c r="B300">
        <v>100235</v>
      </c>
      <c r="C300" t="s">
        <v>48</v>
      </c>
      <c r="D300" s="1">
        <v>45853</v>
      </c>
      <c r="E300" t="s">
        <v>13</v>
      </c>
      <c r="F300" t="s">
        <v>1267</v>
      </c>
      <c r="G300" t="s">
        <v>22</v>
      </c>
      <c r="H300" t="s">
        <v>1268</v>
      </c>
      <c r="I300" t="s">
        <v>1269</v>
      </c>
      <c r="J300" s="2">
        <v>46060.94453747361</v>
      </c>
    </row>
    <row r="301" spans="1:11" x14ac:dyDescent="0.55000000000000004">
      <c r="A301" t="s">
        <v>1270</v>
      </c>
      <c r="B301">
        <v>101184</v>
      </c>
      <c r="C301" t="s">
        <v>114</v>
      </c>
      <c r="D301" s="1">
        <v>46020</v>
      </c>
      <c r="E301" t="s">
        <v>69</v>
      </c>
      <c r="F301" t="s">
        <v>1271</v>
      </c>
      <c r="G301" t="s">
        <v>22</v>
      </c>
      <c r="H301" t="s">
        <v>1272</v>
      </c>
      <c r="I301" t="s">
        <v>1273</v>
      </c>
      <c r="J301" s="2">
        <v>46086.048704144261</v>
      </c>
    </row>
    <row r="302" spans="1:11" x14ac:dyDescent="0.55000000000000004">
      <c r="A302" t="s">
        <v>1274</v>
      </c>
      <c r="B302">
        <v>101012</v>
      </c>
      <c r="C302" t="s">
        <v>12</v>
      </c>
      <c r="D302" s="1">
        <v>45778</v>
      </c>
      <c r="E302" t="s">
        <v>115</v>
      </c>
      <c r="F302" t="s">
        <v>1275</v>
      </c>
      <c r="G302" t="s">
        <v>15</v>
      </c>
      <c r="H302" t="s">
        <v>1276</v>
      </c>
      <c r="I302" t="s">
        <v>1277</v>
      </c>
      <c r="J302" s="2">
        <v>46095.997315260152</v>
      </c>
    </row>
    <row r="303" spans="1:11" x14ac:dyDescent="0.55000000000000004">
      <c r="A303" t="s">
        <v>1278</v>
      </c>
      <c r="B303">
        <v>101387</v>
      </c>
      <c r="C303" t="s">
        <v>19</v>
      </c>
      <c r="D303" s="1">
        <v>45732</v>
      </c>
      <c r="E303" t="s">
        <v>409</v>
      </c>
      <c r="F303" t="s">
        <v>1279</v>
      </c>
      <c r="G303" t="s">
        <v>15</v>
      </c>
      <c r="H303" t="s">
        <v>1280</v>
      </c>
      <c r="I303" t="s">
        <v>1281</v>
      </c>
      <c r="J303" s="2">
        <v>46076.493843041862</v>
      </c>
    </row>
    <row r="304" spans="1:11" x14ac:dyDescent="0.55000000000000004">
      <c r="A304" t="s">
        <v>1282</v>
      </c>
      <c r="B304">
        <v>100791</v>
      </c>
      <c r="C304" t="s">
        <v>169</v>
      </c>
      <c r="D304" s="1">
        <v>45762</v>
      </c>
      <c r="E304" t="s">
        <v>115</v>
      </c>
      <c r="F304" t="s">
        <v>1283</v>
      </c>
      <c r="G304" t="s">
        <v>15</v>
      </c>
      <c r="H304" t="s">
        <v>1284</v>
      </c>
      <c r="I304" t="s">
        <v>1285</v>
      </c>
      <c r="J304" s="2">
        <v>46089.998009713447</v>
      </c>
    </row>
    <row r="305" spans="1:10" x14ac:dyDescent="0.55000000000000004">
      <c r="A305" t="s">
        <v>1286</v>
      </c>
      <c r="B305">
        <v>100564</v>
      </c>
      <c r="C305" t="s">
        <v>63</v>
      </c>
      <c r="D305" s="1">
        <v>45769</v>
      </c>
      <c r="E305" t="s">
        <v>757</v>
      </c>
      <c r="F305" t="s">
        <v>1287</v>
      </c>
      <c r="G305" t="s">
        <v>15</v>
      </c>
      <c r="H305" t="s">
        <v>1288</v>
      </c>
      <c r="I305" t="s">
        <v>1289</v>
      </c>
      <c r="J305" s="2">
        <v>46076.316759718276</v>
      </c>
    </row>
    <row r="306" spans="1:10" x14ac:dyDescent="0.55000000000000004">
      <c r="A306" t="s">
        <v>1290</v>
      </c>
      <c r="B306">
        <v>100759</v>
      </c>
      <c r="C306" t="s">
        <v>169</v>
      </c>
      <c r="D306" s="1">
        <v>45801</v>
      </c>
      <c r="E306" t="s">
        <v>317</v>
      </c>
      <c r="F306" t="s">
        <v>1291</v>
      </c>
      <c r="G306" t="s">
        <v>22</v>
      </c>
      <c r="H306" t="s">
        <v>1292</v>
      </c>
      <c r="I306" t="s">
        <v>1293</v>
      </c>
      <c r="J306" s="2">
        <v>46057.053565278628</v>
      </c>
    </row>
    <row r="307" spans="1:10" x14ac:dyDescent="0.55000000000000004">
      <c r="A307" t="s">
        <v>1294</v>
      </c>
      <c r="B307">
        <v>101165</v>
      </c>
      <c r="C307" t="s">
        <v>169</v>
      </c>
      <c r="D307" s="1">
        <v>45821</v>
      </c>
      <c r="E307" t="s">
        <v>126</v>
      </c>
      <c r="F307" t="s">
        <v>1295</v>
      </c>
      <c r="G307" t="s">
        <v>15</v>
      </c>
      <c r="H307" t="s">
        <v>1296</v>
      </c>
      <c r="I307" t="s">
        <v>1297</v>
      </c>
      <c r="J307" s="2">
        <v>46054.90842639457</v>
      </c>
    </row>
    <row r="308" spans="1:10" x14ac:dyDescent="0.55000000000000004">
      <c r="A308" t="s">
        <v>1298</v>
      </c>
      <c r="B308">
        <v>101237</v>
      </c>
      <c r="C308" t="s">
        <v>48</v>
      </c>
      <c r="D308" s="1">
        <v>45925</v>
      </c>
      <c r="E308" t="s">
        <v>49</v>
      </c>
      <c r="F308" t="s">
        <v>1299</v>
      </c>
      <c r="G308" t="s">
        <v>15</v>
      </c>
      <c r="H308" t="s">
        <v>1300</v>
      </c>
      <c r="I308" t="s">
        <v>1301</v>
      </c>
      <c r="J308" s="2">
        <v>46086.74384306604</v>
      </c>
    </row>
    <row r="309" spans="1:10" x14ac:dyDescent="0.55000000000000004">
      <c r="A309" t="s">
        <v>1302</v>
      </c>
      <c r="B309">
        <v>101147</v>
      </c>
      <c r="C309" t="s">
        <v>26</v>
      </c>
      <c r="D309" s="1">
        <v>45932</v>
      </c>
      <c r="E309" t="s">
        <v>199</v>
      </c>
      <c r="F309" t="s">
        <v>1303</v>
      </c>
      <c r="G309" t="s">
        <v>15</v>
      </c>
      <c r="H309" t="s">
        <v>1304</v>
      </c>
      <c r="I309" t="s">
        <v>1305</v>
      </c>
      <c r="J309" s="2">
        <v>46056.941759737623</v>
      </c>
    </row>
    <row r="310" spans="1:10" x14ac:dyDescent="0.55000000000000004">
      <c r="A310" t="s">
        <v>1306</v>
      </c>
      <c r="B310">
        <v>100089</v>
      </c>
      <c r="C310" t="s">
        <v>533</v>
      </c>
      <c r="D310" s="1">
        <v>45986</v>
      </c>
      <c r="E310" t="s">
        <v>20</v>
      </c>
      <c r="F310" t="s">
        <v>1307</v>
      </c>
      <c r="G310" t="s">
        <v>15</v>
      </c>
      <c r="H310" t="s">
        <v>1308</v>
      </c>
      <c r="I310" t="s">
        <v>1309</v>
      </c>
      <c r="J310" s="2">
        <v>46082.252870852659</v>
      </c>
    </row>
    <row r="311" spans="1:10" x14ac:dyDescent="0.55000000000000004">
      <c r="A311" t="s">
        <v>1310</v>
      </c>
      <c r="B311">
        <v>101370</v>
      </c>
      <c r="C311" t="s">
        <v>169</v>
      </c>
      <c r="D311" s="1">
        <v>45817</v>
      </c>
      <c r="E311" t="s">
        <v>83</v>
      </c>
      <c r="F311" t="s">
        <v>81</v>
      </c>
      <c r="G311" t="s">
        <v>15</v>
      </c>
      <c r="H311" t="s">
        <v>1311</v>
      </c>
      <c r="I311" t="s">
        <v>1312</v>
      </c>
      <c r="J311" s="2">
        <v>46081.448009745749</v>
      </c>
    </row>
    <row r="312" spans="1:10" x14ac:dyDescent="0.55000000000000004">
      <c r="A312" t="s">
        <v>1313</v>
      </c>
      <c r="B312">
        <v>100092</v>
      </c>
      <c r="C312" t="s">
        <v>194</v>
      </c>
      <c r="D312" s="1">
        <v>46086</v>
      </c>
      <c r="E312" t="s">
        <v>20</v>
      </c>
      <c r="F312" t="s">
        <v>1314</v>
      </c>
      <c r="G312" t="s">
        <v>22</v>
      </c>
      <c r="H312" t="s">
        <v>1315</v>
      </c>
      <c r="I312" t="s">
        <v>1316</v>
      </c>
      <c r="J312" s="2">
        <v>46091.744537527673</v>
      </c>
    </row>
    <row r="313" spans="1:10" x14ac:dyDescent="0.55000000000000004">
      <c r="A313" t="s">
        <v>1317</v>
      </c>
      <c r="B313">
        <v>100560</v>
      </c>
      <c r="C313" t="s">
        <v>12</v>
      </c>
      <c r="D313" s="1">
        <v>45929</v>
      </c>
      <c r="E313" t="s">
        <v>757</v>
      </c>
      <c r="F313" t="s">
        <v>1318</v>
      </c>
      <c r="G313" t="s">
        <v>15</v>
      </c>
      <c r="H313" t="s">
        <v>1319</v>
      </c>
      <c r="I313" t="s">
        <v>1320</v>
      </c>
      <c r="J313" s="2">
        <v>46071.04523197611</v>
      </c>
    </row>
    <row r="314" spans="1:10" x14ac:dyDescent="0.55000000000000004">
      <c r="A314" t="s">
        <v>338</v>
      </c>
      <c r="B314">
        <v>101188</v>
      </c>
      <c r="C314" t="s">
        <v>179</v>
      </c>
      <c r="D314" s="1">
        <v>45911</v>
      </c>
      <c r="E314" t="s">
        <v>243</v>
      </c>
      <c r="F314" t="s">
        <v>1321</v>
      </c>
      <c r="G314" t="s">
        <v>15</v>
      </c>
      <c r="H314" t="s">
        <v>1322</v>
      </c>
      <c r="I314" t="s">
        <v>1323</v>
      </c>
      <c r="J314" s="2">
        <v>46087.104259758242</v>
      </c>
    </row>
    <row r="315" spans="1:10" x14ac:dyDescent="0.55000000000000004">
      <c r="A315" t="s">
        <v>1324</v>
      </c>
      <c r="B315">
        <v>101154</v>
      </c>
      <c r="C315" t="s">
        <v>131</v>
      </c>
      <c r="D315" s="1">
        <v>46141</v>
      </c>
      <c r="E315" t="s">
        <v>20</v>
      </c>
      <c r="F315" t="s">
        <v>1325</v>
      </c>
      <c r="G315" t="s">
        <v>15</v>
      </c>
      <c r="H315" t="s">
        <v>1326</v>
      </c>
      <c r="I315" t="s">
        <v>1327</v>
      </c>
      <c r="J315" s="2">
        <v>46077.375093095623</v>
      </c>
    </row>
    <row r="316" spans="1:10" x14ac:dyDescent="0.55000000000000004">
      <c r="A316" t="s">
        <v>1328</v>
      </c>
      <c r="B316">
        <v>100125</v>
      </c>
      <c r="C316" t="s">
        <v>533</v>
      </c>
      <c r="D316" s="1">
        <v>45769</v>
      </c>
      <c r="E316" t="s">
        <v>418</v>
      </c>
      <c r="F316" t="s">
        <v>1329</v>
      </c>
      <c r="G316" t="s">
        <v>15</v>
      </c>
      <c r="H316" t="s">
        <v>1330</v>
      </c>
      <c r="I316" t="s">
        <v>1331</v>
      </c>
      <c r="J316" s="2">
        <v>46092.968148656109</v>
      </c>
    </row>
    <row r="317" spans="1:10" x14ac:dyDescent="0.55000000000000004">
      <c r="A317" t="s">
        <v>1332</v>
      </c>
      <c r="B317">
        <v>100660</v>
      </c>
      <c r="C317" t="s">
        <v>131</v>
      </c>
      <c r="D317" s="1">
        <v>45905</v>
      </c>
      <c r="E317" t="s">
        <v>270</v>
      </c>
      <c r="F317" t="s">
        <v>1333</v>
      </c>
      <c r="G317" t="s">
        <v>22</v>
      </c>
      <c r="H317" t="s">
        <v>1334</v>
      </c>
      <c r="I317" t="s">
        <v>1335</v>
      </c>
      <c r="J317" s="2">
        <v>46056.511898661003</v>
      </c>
    </row>
    <row r="318" spans="1:10" x14ac:dyDescent="0.55000000000000004">
      <c r="A318" t="s">
        <v>1336</v>
      </c>
      <c r="B318">
        <v>100220</v>
      </c>
      <c r="C318" t="s">
        <v>99</v>
      </c>
      <c r="D318" s="1">
        <v>45954</v>
      </c>
      <c r="E318" t="s">
        <v>155</v>
      </c>
      <c r="F318" t="s">
        <v>1337</v>
      </c>
      <c r="G318" t="s">
        <v>15</v>
      </c>
      <c r="H318" t="s">
        <v>1338</v>
      </c>
      <c r="I318" t="s">
        <v>1339</v>
      </c>
      <c r="J318" s="2">
        <v>46076.454259776088</v>
      </c>
    </row>
    <row r="319" spans="1:10" x14ac:dyDescent="0.55000000000000004">
      <c r="A319" t="s">
        <v>1340</v>
      </c>
      <c r="B319">
        <v>101324</v>
      </c>
      <c r="C319" t="s">
        <v>248</v>
      </c>
      <c r="D319" s="1">
        <v>45941</v>
      </c>
      <c r="E319" t="s">
        <v>126</v>
      </c>
      <c r="F319" t="s">
        <v>1341</v>
      </c>
      <c r="G319" t="s">
        <v>22</v>
      </c>
      <c r="H319" t="s">
        <v>1342</v>
      </c>
      <c r="I319" t="s">
        <v>1343</v>
      </c>
      <c r="J319" s="2">
        <v>46078.408426446767</v>
      </c>
    </row>
    <row r="320" spans="1:10" x14ac:dyDescent="0.55000000000000004">
      <c r="A320" t="s">
        <v>1344</v>
      </c>
      <c r="B320">
        <v>100628</v>
      </c>
      <c r="C320" t="s">
        <v>533</v>
      </c>
      <c r="D320" s="1">
        <v>45757</v>
      </c>
      <c r="E320" t="s">
        <v>27</v>
      </c>
      <c r="F320" t="s">
        <v>1345</v>
      </c>
      <c r="G320" t="s">
        <v>22</v>
      </c>
      <c r="H320" t="s">
        <v>1346</v>
      </c>
      <c r="I320" t="s">
        <v>1347</v>
      </c>
      <c r="J320" s="2">
        <v>46088.668843118357</v>
      </c>
    </row>
    <row r="321" spans="1:11" x14ac:dyDescent="0.55000000000000004">
      <c r="A321" t="s">
        <v>1348</v>
      </c>
      <c r="B321">
        <v>100345</v>
      </c>
      <c r="C321" t="s">
        <v>63</v>
      </c>
      <c r="D321" s="1">
        <v>45733</v>
      </c>
      <c r="E321" t="s">
        <v>295</v>
      </c>
      <c r="F321" t="s">
        <v>1349</v>
      </c>
      <c r="G321" t="s">
        <v>22</v>
      </c>
      <c r="H321" t="s">
        <v>1350</v>
      </c>
      <c r="I321" t="s">
        <v>1351</v>
      </c>
      <c r="J321" s="2">
        <v>46085.608426456572</v>
      </c>
      <c r="K321" t="s">
        <v>139</v>
      </c>
    </row>
    <row r="322" spans="1:11" x14ac:dyDescent="0.55000000000000004">
      <c r="A322" t="s">
        <v>1352</v>
      </c>
      <c r="C322" t="s">
        <v>37</v>
      </c>
      <c r="D322" s="1">
        <v>45837</v>
      </c>
      <c r="E322" t="s">
        <v>317</v>
      </c>
      <c r="F322" t="s">
        <v>1353</v>
      </c>
      <c r="G322" t="s">
        <v>22</v>
      </c>
      <c r="H322" t="s">
        <v>1354</v>
      </c>
      <c r="I322" t="s">
        <v>1355</v>
      </c>
      <c r="J322" s="2">
        <v>46092.073009793909</v>
      </c>
      <c r="K322" t="s">
        <v>112</v>
      </c>
    </row>
    <row r="323" spans="1:11" x14ac:dyDescent="0.55000000000000004">
      <c r="A323" t="s">
        <v>1356</v>
      </c>
      <c r="B323">
        <v>100166</v>
      </c>
      <c r="C323" t="s">
        <v>533</v>
      </c>
      <c r="D323" s="1">
        <v>45889</v>
      </c>
      <c r="E323" t="s">
        <v>757</v>
      </c>
      <c r="F323" t="s">
        <v>1357</v>
      </c>
      <c r="G323" t="s">
        <v>22</v>
      </c>
      <c r="H323" t="s">
        <v>1358</v>
      </c>
      <c r="I323" t="s">
        <v>1359</v>
      </c>
      <c r="J323" s="2">
        <v>46091.833426464756</v>
      </c>
    </row>
    <row r="324" spans="1:11" x14ac:dyDescent="0.55000000000000004">
      <c r="A324" t="s">
        <v>1360</v>
      </c>
      <c r="B324">
        <v>101353</v>
      </c>
      <c r="C324" t="s">
        <v>146</v>
      </c>
      <c r="D324" s="1">
        <v>45930</v>
      </c>
      <c r="E324" t="s">
        <v>20</v>
      </c>
      <c r="F324" t="s">
        <v>1361</v>
      </c>
      <c r="G324" t="s">
        <v>22</v>
      </c>
      <c r="H324" t="s">
        <v>1362</v>
      </c>
      <c r="I324" t="s">
        <v>1363</v>
      </c>
      <c r="J324" s="2">
        <v>46074.480648691802</v>
      </c>
    </row>
    <row r="325" spans="1:11" x14ac:dyDescent="0.55000000000000004">
      <c r="A325" t="s">
        <v>1364</v>
      </c>
      <c r="B325">
        <v>100911</v>
      </c>
      <c r="C325" t="s">
        <v>88</v>
      </c>
      <c r="D325" s="1">
        <v>45754</v>
      </c>
      <c r="E325" t="s">
        <v>757</v>
      </c>
      <c r="F325" t="s">
        <v>1365</v>
      </c>
      <c r="G325" t="s">
        <v>22</v>
      </c>
      <c r="H325" t="s">
        <v>1366</v>
      </c>
      <c r="I325" t="s">
        <v>1367</v>
      </c>
      <c r="J325" s="2">
        <v>46083.363982030132</v>
      </c>
    </row>
    <row r="326" spans="1:11" x14ac:dyDescent="0.55000000000000004">
      <c r="A326" t="s">
        <v>1368</v>
      </c>
      <c r="B326">
        <v>100153</v>
      </c>
      <c r="C326" t="s">
        <v>26</v>
      </c>
      <c r="D326" s="1">
        <v>45763</v>
      </c>
      <c r="E326" t="s">
        <v>317</v>
      </c>
      <c r="F326" t="s">
        <v>1369</v>
      </c>
      <c r="G326" t="s">
        <v>15</v>
      </c>
      <c r="H326" t="s">
        <v>1370</v>
      </c>
      <c r="I326" t="s">
        <v>1371</v>
      </c>
      <c r="J326" s="2">
        <v>46091.795926478742</v>
      </c>
    </row>
    <row r="327" spans="1:11" x14ac:dyDescent="0.55000000000000004">
      <c r="A327" t="s">
        <v>1372</v>
      </c>
      <c r="B327">
        <v>100831</v>
      </c>
      <c r="C327" t="s">
        <v>63</v>
      </c>
      <c r="D327" s="1">
        <v>46145</v>
      </c>
      <c r="E327" t="s">
        <v>43</v>
      </c>
      <c r="F327" t="s">
        <v>1373</v>
      </c>
      <c r="G327" t="s">
        <v>15</v>
      </c>
      <c r="H327" t="s">
        <v>1374</v>
      </c>
      <c r="I327" t="s">
        <v>1375</v>
      </c>
      <c r="J327" s="2">
        <v>46073.002870927201</v>
      </c>
    </row>
    <row r="328" spans="1:11" x14ac:dyDescent="0.55000000000000004">
      <c r="A328" t="s">
        <v>1376</v>
      </c>
      <c r="B328">
        <v>100227</v>
      </c>
      <c r="C328" t="s">
        <v>94</v>
      </c>
      <c r="D328" s="1">
        <v>46006</v>
      </c>
      <c r="E328" t="s">
        <v>43</v>
      </c>
      <c r="F328" t="s">
        <v>1377</v>
      </c>
      <c r="G328" t="s">
        <v>22</v>
      </c>
      <c r="H328" t="s">
        <v>1378</v>
      </c>
      <c r="I328" t="s">
        <v>1379</v>
      </c>
      <c r="J328" s="2">
        <v>46078.634120931398</v>
      </c>
    </row>
    <row r="329" spans="1:11" x14ac:dyDescent="0.55000000000000004">
      <c r="A329" t="s">
        <v>1380</v>
      </c>
      <c r="B329">
        <v>101499</v>
      </c>
      <c r="C329" t="s">
        <v>179</v>
      </c>
      <c r="D329" s="1">
        <v>46097</v>
      </c>
      <c r="E329" t="s">
        <v>38</v>
      </c>
      <c r="F329" t="s">
        <v>1381</v>
      </c>
      <c r="G329" t="s">
        <v>15</v>
      </c>
      <c r="H329" t="s">
        <v>1382</v>
      </c>
      <c r="I329" t="s">
        <v>1383</v>
      </c>
      <c r="J329" s="2">
        <v>46090.107732046738</v>
      </c>
    </row>
    <row r="330" spans="1:11" x14ac:dyDescent="0.55000000000000004">
      <c r="A330" t="s">
        <v>1384</v>
      </c>
      <c r="B330">
        <v>100923</v>
      </c>
      <c r="C330" t="s">
        <v>48</v>
      </c>
      <c r="D330" s="1">
        <v>45817</v>
      </c>
      <c r="E330" t="s">
        <v>115</v>
      </c>
      <c r="F330" t="s">
        <v>1385</v>
      </c>
      <c r="G330" t="s">
        <v>15</v>
      </c>
      <c r="H330" t="s">
        <v>1386</v>
      </c>
      <c r="I330" t="s">
        <v>1387</v>
      </c>
      <c r="J330" s="2">
        <v>46095.143843161903</v>
      </c>
    </row>
    <row r="331" spans="1:11" x14ac:dyDescent="0.55000000000000004">
      <c r="A331" t="s">
        <v>1388</v>
      </c>
      <c r="B331">
        <v>101088</v>
      </c>
      <c r="C331" t="s">
        <v>131</v>
      </c>
      <c r="D331" s="1">
        <v>46081</v>
      </c>
      <c r="E331" t="s">
        <v>189</v>
      </c>
      <c r="F331" t="s">
        <v>1389</v>
      </c>
      <c r="G331" t="s">
        <v>22</v>
      </c>
      <c r="H331" t="s">
        <v>1390</v>
      </c>
      <c r="I331" t="s">
        <v>1391</v>
      </c>
      <c r="J331" s="2">
        <v>46077.650787610582</v>
      </c>
    </row>
    <row r="332" spans="1:11" x14ac:dyDescent="0.55000000000000004">
      <c r="A332" t="s">
        <v>1392</v>
      </c>
      <c r="B332">
        <v>101053</v>
      </c>
      <c r="C332" t="s">
        <v>131</v>
      </c>
      <c r="D332" s="1">
        <v>45930</v>
      </c>
      <c r="E332" t="s">
        <v>495</v>
      </c>
      <c r="F332" t="s">
        <v>1393</v>
      </c>
      <c r="G332" t="s">
        <v>22</v>
      </c>
      <c r="H332" t="s">
        <v>1394</v>
      </c>
      <c r="I332" t="s">
        <v>1395</v>
      </c>
      <c r="J332" s="2">
        <v>46064.094537614583</v>
      </c>
    </row>
    <row r="333" spans="1:11" x14ac:dyDescent="0.55000000000000004">
      <c r="A333" t="s">
        <v>1396</v>
      </c>
      <c r="B333">
        <v>100622</v>
      </c>
      <c r="C333" t="s">
        <v>37</v>
      </c>
      <c r="D333" s="1">
        <v>46134</v>
      </c>
      <c r="E333" t="s">
        <v>213</v>
      </c>
      <c r="F333" t="s">
        <v>1397</v>
      </c>
      <c r="G333" t="s">
        <v>15</v>
      </c>
      <c r="H333" t="s">
        <v>1398</v>
      </c>
      <c r="I333" t="s">
        <v>1399</v>
      </c>
      <c r="J333" s="2">
        <v>46071.533426507602</v>
      </c>
    </row>
    <row r="334" spans="1:11" x14ac:dyDescent="0.55000000000000004">
      <c r="A334" t="s">
        <v>1400</v>
      </c>
      <c r="B334">
        <v>100604</v>
      </c>
      <c r="C334" t="s">
        <v>114</v>
      </c>
      <c r="D334" s="1">
        <v>46022</v>
      </c>
      <c r="E334" t="s">
        <v>184</v>
      </c>
      <c r="F334" t="s">
        <v>1401</v>
      </c>
      <c r="G334" t="s">
        <v>15</v>
      </c>
      <c r="H334" t="s">
        <v>1402</v>
      </c>
      <c r="I334" t="s">
        <v>1403</v>
      </c>
      <c r="J334" s="2">
        <v>46078.984815400741</v>
      </c>
    </row>
    <row r="335" spans="1:11" x14ac:dyDescent="0.55000000000000004">
      <c r="A335" t="s">
        <v>1404</v>
      </c>
      <c r="B335">
        <v>100462</v>
      </c>
      <c r="C335" t="s">
        <v>63</v>
      </c>
      <c r="D335" s="1">
        <v>45942</v>
      </c>
      <c r="E335" t="s">
        <v>757</v>
      </c>
      <c r="F335" t="s">
        <v>1405</v>
      </c>
      <c r="G335" t="s">
        <v>22</v>
      </c>
      <c r="H335" t="s">
        <v>1406</v>
      </c>
      <c r="I335" t="s">
        <v>1407</v>
      </c>
      <c r="J335" s="2">
        <v>46095.501482073167</v>
      </c>
    </row>
    <row r="336" spans="1:11" x14ac:dyDescent="0.55000000000000004">
      <c r="A336" t="s">
        <v>1408</v>
      </c>
      <c r="B336">
        <v>100645</v>
      </c>
      <c r="C336" t="s">
        <v>32</v>
      </c>
      <c r="D336" s="1">
        <v>45938</v>
      </c>
      <c r="E336" t="s">
        <v>38</v>
      </c>
      <c r="F336" t="s">
        <v>1409</v>
      </c>
      <c r="G336" t="s">
        <v>22</v>
      </c>
      <c r="H336" t="s">
        <v>1410</v>
      </c>
      <c r="I336" t="s">
        <v>1411</v>
      </c>
      <c r="J336" s="2">
        <v>46095.183426524942</v>
      </c>
    </row>
    <row r="337" spans="1:10" x14ac:dyDescent="0.55000000000000004">
      <c r="A337" t="s">
        <v>1412</v>
      </c>
      <c r="B337">
        <v>101218</v>
      </c>
      <c r="C337" t="s">
        <v>169</v>
      </c>
      <c r="D337" s="1">
        <v>46085</v>
      </c>
      <c r="E337" t="s">
        <v>155</v>
      </c>
      <c r="F337" t="s">
        <v>1413</v>
      </c>
      <c r="G337" t="s">
        <v>22</v>
      </c>
      <c r="H337" t="s">
        <v>1414</v>
      </c>
      <c r="I337" t="s">
        <v>1415</v>
      </c>
      <c r="J337" s="2">
        <v>46080.216759918068</v>
      </c>
    </row>
    <row r="338" spans="1:10" x14ac:dyDescent="0.55000000000000004">
      <c r="A338" t="s">
        <v>1416</v>
      </c>
      <c r="B338">
        <v>101019</v>
      </c>
      <c r="C338" t="s">
        <v>37</v>
      </c>
      <c r="D338" s="1">
        <v>45904</v>
      </c>
      <c r="E338" t="s">
        <v>49</v>
      </c>
      <c r="F338" t="s">
        <v>1417</v>
      </c>
      <c r="G338" t="s">
        <v>22</v>
      </c>
      <c r="H338" t="s">
        <v>1418</v>
      </c>
      <c r="I338" t="s">
        <v>1419</v>
      </c>
      <c r="J338" s="2">
        <v>46052.772315479771</v>
      </c>
    </row>
    <row r="339" spans="1:10" x14ac:dyDescent="0.55000000000000004">
      <c r="A339" t="s">
        <v>1420</v>
      </c>
      <c r="B339">
        <v>101412</v>
      </c>
      <c r="C339" t="s">
        <v>533</v>
      </c>
      <c r="D339" s="1">
        <v>45848</v>
      </c>
      <c r="E339" t="s">
        <v>20</v>
      </c>
      <c r="F339" t="s">
        <v>1421</v>
      </c>
      <c r="G339" t="s">
        <v>22</v>
      </c>
      <c r="H339" t="s">
        <v>1422</v>
      </c>
      <c r="I339" t="s">
        <v>1423</v>
      </c>
      <c r="J339" s="2">
        <v>46077.363287709253</v>
      </c>
    </row>
    <row r="340" spans="1:10" x14ac:dyDescent="0.55000000000000004">
      <c r="A340" t="s">
        <v>1424</v>
      </c>
      <c r="B340">
        <v>101318</v>
      </c>
      <c r="C340" t="s">
        <v>94</v>
      </c>
      <c r="D340" s="1">
        <v>46041</v>
      </c>
      <c r="E340" t="s">
        <v>121</v>
      </c>
      <c r="F340" t="s">
        <v>1425</v>
      </c>
      <c r="G340" t="s">
        <v>15</v>
      </c>
      <c r="H340" t="s">
        <v>1426</v>
      </c>
      <c r="I340" t="s">
        <v>1427</v>
      </c>
      <c r="J340" s="2">
        <v>46071.057037713232</v>
      </c>
    </row>
    <row r="341" spans="1:10" x14ac:dyDescent="0.55000000000000004">
      <c r="A341" t="s">
        <v>1428</v>
      </c>
      <c r="B341">
        <v>100612</v>
      </c>
      <c r="C341" t="s">
        <v>82</v>
      </c>
      <c r="D341" s="1">
        <v>45923</v>
      </c>
      <c r="E341" t="s">
        <v>38</v>
      </c>
      <c r="F341" t="s">
        <v>1429</v>
      </c>
      <c r="G341" t="s">
        <v>15</v>
      </c>
      <c r="H341" t="s">
        <v>1430</v>
      </c>
      <c r="I341" t="s">
        <v>1431</v>
      </c>
      <c r="J341" s="2">
        <v>46093.303565494571</v>
      </c>
    </row>
    <row r="342" spans="1:10" x14ac:dyDescent="0.55000000000000004">
      <c r="A342" t="s">
        <v>1432</v>
      </c>
      <c r="B342">
        <v>101403</v>
      </c>
      <c r="C342" t="s">
        <v>82</v>
      </c>
      <c r="D342" s="1">
        <v>45938</v>
      </c>
      <c r="E342" t="s">
        <v>38</v>
      </c>
      <c r="F342" t="s">
        <v>1433</v>
      </c>
      <c r="G342" t="s">
        <v>15</v>
      </c>
      <c r="H342" t="s">
        <v>1434</v>
      </c>
      <c r="I342" t="s">
        <v>1435</v>
      </c>
      <c r="J342" s="2">
        <v>46086.47231549822</v>
      </c>
    </row>
    <row r="343" spans="1:10" x14ac:dyDescent="0.55000000000000004">
      <c r="A343" t="s">
        <v>1436</v>
      </c>
      <c r="B343">
        <v>100721</v>
      </c>
      <c r="C343" t="s">
        <v>248</v>
      </c>
      <c r="D343" s="1">
        <v>45761</v>
      </c>
      <c r="E343" t="s">
        <v>155</v>
      </c>
      <c r="F343" t="s">
        <v>1437</v>
      </c>
      <c r="G343" t="s">
        <v>22</v>
      </c>
      <c r="H343" t="s">
        <v>1438</v>
      </c>
      <c r="I343" t="s">
        <v>1439</v>
      </c>
      <c r="J343" s="2">
        <v>46094.233426613813</v>
      </c>
    </row>
    <row r="344" spans="1:10" x14ac:dyDescent="0.55000000000000004">
      <c r="A344" t="s">
        <v>1440</v>
      </c>
      <c r="B344">
        <v>100378</v>
      </c>
      <c r="C344" t="s">
        <v>248</v>
      </c>
      <c r="D344" s="1">
        <v>45872</v>
      </c>
      <c r="E344" t="s">
        <v>89</v>
      </c>
      <c r="F344" t="s">
        <v>1441</v>
      </c>
      <c r="G344" t="s">
        <v>22</v>
      </c>
      <c r="H344" t="s">
        <v>1442</v>
      </c>
      <c r="I344" t="s">
        <v>1443</v>
      </c>
      <c r="J344" s="2">
        <v>46057.570232175451</v>
      </c>
    </row>
    <row r="345" spans="1:10" x14ac:dyDescent="0.55000000000000004">
      <c r="A345" t="s">
        <v>1444</v>
      </c>
      <c r="B345">
        <v>100194</v>
      </c>
      <c r="C345" t="s">
        <v>37</v>
      </c>
      <c r="D345" s="1">
        <v>45855</v>
      </c>
      <c r="E345" t="s">
        <v>89</v>
      </c>
      <c r="F345" t="s">
        <v>1445</v>
      </c>
      <c r="G345" t="s">
        <v>22</v>
      </c>
      <c r="H345" t="s">
        <v>1446</v>
      </c>
      <c r="I345" t="s">
        <v>1447</v>
      </c>
      <c r="J345" s="2">
        <v>46086.071621069234</v>
      </c>
    </row>
    <row r="346" spans="1:10" x14ac:dyDescent="0.55000000000000004">
      <c r="A346" t="s">
        <v>1448</v>
      </c>
      <c r="B346">
        <v>100273</v>
      </c>
      <c r="C346" t="s">
        <v>26</v>
      </c>
      <c r="D346" s="1">
        <v>46014</v>
      </c>
      <c r="E346" t="s">
        <v>356</v>
      </c>
      <c r="F346" t="s">
        <v>1449</v>
      </c>
      <c r="G346" t="s">
        <v>22</v>
      </c>
      <c r="H346" t="s">
        <v>1450</v>
      </c>
      <c r="I346" t="s">
        <v>1451</v>
      </c>
      <c r="J346" s="2">
        <v>46053.617454406347</v>
      </c>
    </row>
    <row r="347" spans="1:10" x14ac:dyDescent="0.55000000000000004">
      <c r="A347" t="s">
        <v>1452</v>
      </c>
      <c r="B347">
        <v>101011</v>
      </c>
      <c r="C347" t="s">
        <v>68</v>
      </c>
      <c r="D347" s="1">
        <v>45746</v>
      </c>
      <c r="E347" t="s">
        <v>265</v>
      </c>
      <c r="F347" t="s">
        <v>1453</v>
      </c>
      <c r="G347" t="s">
        <v>15</v>
      </c>
      <c r="H347" t="s">
        <v>1454</v>
      </c>
      <c r="I347" t="s">
        <v>1455</v>
      </c>
      <c r="J347" s="2">
        <v>46082.825787743423</v>
      </c>
    </row>
    <row r="348" spans="1:10" x14ac:dyDescent="0.55000000000000004">
      <c r="A348" t="s">
        <v>1456</v>
      </c>
      <c r="B348">
        <v>101246</v>
      </c>
      <c r="C348" t="s">
        <v>194</v>
      </c>
      <c r="D348" s="1">
        <v>46078</v>
      </c>
      <c r="E348" t="s">
        <v>20</v>
      </c>
      <c r="F348" t="s">
        <v>1457</v>
      </c>
      <c r="G348" t="s">
        <v>22</v>
      </c>
      <c r="H348" t="s">
        <v>1458</v>
      </c>
      <c r="I348" t="s">
        <v>1459</v>
      </c>
      <c r="J348" s="2">
        <v>46065.717454413541</v>
      </c>
    </row>
    <row r="349" spans="1:10" x14ac:dyDescent="0.55000000000000004">
      <c r="A349" t="s">
        <v>1460</v>
      </c>
      <c r="B349">
        <v>100524</v>
      </c>
      <c r="C349" t="s">
        <v>37</v>
      </c>
      <c r="D349" s="1">
        <v>45974</v>
      </c>
      <c r="E349" t="s">
        <v>317</v>
      </c>
      <c r="F349" t="s">
        <v>1461</v>
      </c>
      <c r="G349" t="s">
        <v>15</v>
      </c>
      <c r="H349" t="s">
        <v>1462</v>
      </c>
      <c r="I349" t="s">
        <v>1463</v>
      </c>
      <c r="J349" s="2">
        <v>46059.734121085428</v>
      </c>
    </row>
    <row r="350" spans="1:10" x14ac:dyDescent="0.55000000000000004">
      <c r="A350" t="s">
        <v>1464</v>
      </c>
      <c r="B350">
        <v>100755</v>
      </c>
      <c r="C350" t="s">
        <v>194</v>
      </c>
      <c r="D350" s="1">
        <v>45861</v>
      </c>
      <c r="E350" t="s">
        <v>300</v>
      </c>
      <c r="F350" t="s">
        <v>1465</v>
      </c>
      <c r="G350" t="s">
        <v>22</v>
      </c>
      <c r="H350" t="s">
        <v>1466</v>
      </c>
      <c r="I350" t="s">
        <v>1467</v>
      </c>
      <c r="J350" s="2">
        <v>46075.093148872591</v>
      </c>
    </row>
    <row r="351" spans="1:10" x14ac:dyDescent="0.55000000000000004">
      <c r="A351" t="s">
        <v>1468</v>
      </c>
      <c r="B351">
        <v>100751</v>
      </c>
      <c r="C351" t="s">
        <v>32</v>
      </c>
      <c r="D351" s="1">
        <v>45843</v>
      </c>
      <c r="E351" t="s">
        <v>467</v>
      </c>
      <c r="F351" t="s">
        <v>1469</v>
      </c>
      <c r="G351" t="s">
        <v>22</v>
      </c>
      <c r="H351" t="s">
        <v>1470</v>
      </c>
      <c r="I351" t="s">
        <v>1471</v>
      </c>
      <c r="J351" s="2">
        <v>46060.600787770287</v>
      </c>
    </row>
    <row r="352" spans="1:10" x14ac:dyDescent="0.55000000000000004">
      <c r="A352" t="s">
        <v>1472</v>
      </c>
      <c r="B352">
        <v>100757</v>
      </c>
      <c r="C352" t="s">
        <v>37</v>
      </c>
      <c r="D352" s="1">
        <v>45993</v>
      </c>
      <c r="E352" t="s">
        <v>126</v>
      </c>
      <c r="F352" t="s">
        <v>1473</v>
      </c>
      <c r="G352" t="s">
        <v>22</v>
      </c>
      <c r="H352" t="s">
        <v>1474</v>
      </c>
      <c r="I352" t="s">
        <v>1475</v>
      </c>
      <c r="J352" s="2">
        <v>46054.59245444565</v>
      </c>
    </row>
    <row r="353" spans="1:11" x14ac:dyDescent="0.55000000000000004">
      <c r="A353" t="s">
        <v>1476</v>
      </c>
      <c r="B353">
        <v>101222</v>
      </c>
      <c r="C353" t="s">
        <v>19</v>
      </c>
      <c r="D353" s="1">
        <v>45764</v>
      </c>
      <c r="E353" t="s">
        <v>49</v>
      </c>
      <c r="F353" t="s">
        <v>1477</v>
      </c>
      <c r="G353" t="s">
        <v>22</v>
      </c>
      <c r="H353" t="s">
        <v>1478</v>
      </c>
      <c r="I353" t="s">
        <v>1479</v>
      </c>
      <c r="J353" s="2">
        <v>46080.813287785182</v>
      </c>
    </row>
    <row r="354" spans="1:11" x14ac:dyDescent="0.55000000000000004">
      <c r="A354" t="s">
        <v>1480</v>
      </c>
      <c r="B354">
        <v>101395</v>
      </c>
      <c r="C354" t="s">
        <v>68</v>
      </c>
      <c r="D354" s="1">
        <v>45828</v>
      </c>
      <c r="E354" t="s">
        <v>38</v>
      </c>
      <c r="F354" t="s">
        <v>1481</v>
      </c>
      <c r="G354" t="s">
        <v>15</v>
      </c>
      <c r="H354" t="s">
        <v>1482</v>
      </c>
      <c r="I354" t="s">
        <v>1483</v>
      </c>
      <c r="J354" s="2">
        <v>46093.893148902323</v>
      </c>
    </row>
    <row r="355" spans="1:11" x14ac:dyDescent="0.55000000000000004">
      <c r="A355" t="s">
        <v>1484</v>
      </c>
      <c r="B355">
        <v>100888</v>
      </c>
      <c r="C355" t="s">
        <v>179</v>
      </c>
      <c r="D355" s="1">
        <v>46070</v>
      </c>
      <c r="E355" t="s">
        <v>189</v>
      </c>
      <c r="F355" t="s">
        <v>1485</v>
      </c>
      <c r="G355" t="s">
        <v>15</v>
      </c>
      <c r="H355" t="s">
        <v>1486</v>
      </c>
      <c r="I355" t="s">
        <v>1487</v>
      </c>
      <c r="J355" s="2">
        <v>46056.038982239712</v>
      </c>
    </row>
    <row r="356" spans="1:11" x14ac:dyDescent="0.55000000000000004">
      <c r="A356" t="s">
        <v>1488</v>
      </c>
      <c r="B356">
        <v>100038</v>
      </c>
      <c r="C356" t="s">
        <v>68</v>
      </c>
      <c r="D356" s="1">
        <v>45864</v>
      </c>
      <c r="E356" t="s">
        <v>757</v>
      </c>
      <c r="F356" t="s">
        <v>1489</v>
      </c>
      <c r="G356" t="s">
        <v>15</v>
      </c>
      <c r="H356" t="s">
        <v>1490</v>
      </c>
      <c r="I356" t="s">
        <v>1491</v>
      </c>
      <c r="J356" s="2">
        <v>46059.932732244662</v>
      </c>
    </row>
    <row r="357" spans="1:11" x14ac:dyDescent="0.55000000000000004">
      <c r="A357" t="s">
        <v>1492</v>
      </c>
      <c r="B357">
        <v>100891</v>
      </c>
      <c r="C357" t="s">
        <v>248</v>
      </c>
      <c r="D357" s="1">
        <v>45907</v>
      </c>
      <c r="E357" t="s">
        <v>680</v>
      </c>
      <c r="F357" t="s">
        <v>1493</v>
      </c>
      <c r="G357" t="s">
        <v>22</v>
      </c>
      <c r="H357" t="s">
        <v>1494</v>
      </c>
      <c r="I357" t="s">
        <v>1495</v>
      </c>
      <c r="J357" s="2">
        <v>46065.319537804367</v>
      </c>
    </row>
    <row r="358" spans="1:11" x14ac:dyDescent="0.55000000000000004">
      <c r="A358" t="s">
        <v>1496</v>
      </c>
      <c r="B358">
        <v>100808</v>
      </c>
      <c r="C358" t="s">
        <v>48</v>
      </c>
      <c r="D358" s="1">
        <v>46068</v>
      </c>
      <c r="E358" t="s">
        <v>199</v>
      </c>
      <c r="F358" t="s">
        <v>1497</v>
      </c>
      <c r="G358" t="s">
        <v>22</v>
      </c>
      <c r="H358" t="s">
        <v>1498</v>
      </c>
      <c r="I358" t="s">
        <v>1499</v>
      </c>
      <c r="J358" s="2">
        <v>46089.378565586179</v>
      </c>
    </row>
    <row r="359" spans="1:11" x14ac:dyDescent="0.55000000000000004">
      <c r="A359" t="s">
        <v>1500</v>
      </c>
      <c r="B359">
        <v>101458</v>
      </c>
      <c r="C359" t="s">
        <v>146</v>
      </c>
      <c r="D359" s="1">
        <v>46122</v>
      </c>
      <c r="E359" t="s">
        <v>317</v>
      </c>
      <c r="F359" t="s">
        <v>1501</v>
      </c>
      <c r="G359" t="s">
        <v>22</v>
      </c>
      <c r="H359" t="s">
        <v>1502</v>
      </c>
      <c r="I359" t="s">
        <v>1503</v>
      </c>
      <c r="J359" s="2">
        <v>46056.619537813203</v>
      </c>
    </row>
    <row r="360" spans="1:11" x14ac:dyDescent="0.55000000000000004">
      <c r="A360" t="s">
        <v>1504</v>
      </c>
      <c r="B360">
        <v>101172</v>
      </c>
      <c r="C360" t="s">
        <v>194</v>
      </c>
      <c r="D360" s="1">
        <v>45913</v>
      </c>
      <c r="E360" t="s">
        <v>317</v>
      </c>
      <c r="F360" t="s">
        <v>1505</v>
      </c>
      <c r="G360" t="s">
        <v>22</v>
      </c>
      <c r="H360" t="s">
        <v>1506</v>
      </c>
      <c r="I360" t="s">
        <v>1507</v>
      </c>
      <c r="J360" s="2">
        <v>46071.275093372802</v>
      </c>
    </row>
    <row r="361" spans="1:11" x14ac:dyDescent="0.55000000000000004">
      <c r="A361" t="s">
        <v>1508</v>
      </c>
      <c r="B361">
        <v>101483</v>
      </c>
      <c r="C361" t="s">
        <v>63</v>
      </c>
      <c r="D361" s="1">
        <v>45865</v>
      </c>
      <c r="E361" t="s">
        <v>83</v>
      </c>
      <c r="F361" t="s">
        <v>1509</v>
      </c>
      <c r="G361" t="s">
        <v>22</v>
      </c>
      <c r="H361" t="s">
        <v>1510</v>
      </c>
      <c r="I361" t="s">
        <v>1511</v>
      </c>
      <c r="J361" s="2">
        <v>46093.84384337729</v>
      </c>
    </row>
    <row r="362" spans="1:11" x14ac:dyDescent="0.55000000000000004">
      <c r="A362" t="s">
        <v>1512</v>
      </c>
      <c r="B362">
        <v>100697</v>
      </c>
      <c r="C362" t="s">
        <v>26</v>
      </c>
      <c r="D362" s="1">
        <v>46029</v>
      </c>
      <c r="E362" t="s">
        <v>121</v>
      </c>
      <c r="F362" t="s">
        <v>1513</v>
      </c>
      <c r="G362" t="s">
        <v>15</v>
      </c>
      <c r="H362" t="s">
        <v>1514</v>
      </c>
      <c r="I362" t="s">
        <v>1515</v>
      </c>
      <c r="J362" s="2">
        <v>46054.203565603268</v>
      </c>
    </row>
    <row r="363" spans="1:11" x14ac:dyDescent="0.55000000000000004">
      <c r="A363" t="s">
        <v>1516</v>
      </c>
      <c r="C363" t="s">
        <v>82</v>
      </c>
      <c r="D363" s="1">
        <v>45884</v>
      </c>
      <c r="E363" t="s">
        <v>265</v>
      </c>
      <c r="F363" t="s">
        <v>1517</v>
      </c>
      <c r="G363" t="s">
        <v>15</v>
      </c>
      <c r="H363" t="s">
        <v>1518</v>
      </c>
      <c r="I363" t="s">
        <v>1519</v>
      </c>
      <c r="J363" s="2">
        <v>46085.259121162671</v>
      </c>
      <c r="K363" t="s">
        <v>112</v>
      </c>
    </row>
    <row r="364" spans="1:11" x14ac:dyDescent="0.55000000000000004">
      <c r="A364" t="s">
        <v>1520</v>
      </c>
      <c r="B364">
        <v>100364</v>
      </c>
      <c r="C364" t="s">
        <v>94</v>
      </c>
      <c r="D364" s="1">
        <v>46023</v>
      </c>
      <c r="E364" t="s">
        <v>356</v>
      </c>
      <c r="F364" t="s">
        <v>1521</v>
      </c>
      <c r="G364" t="s">
        <v>15</v>
      </c>
      <c r="H364" t="s">
        <v>1522</v>
      </c>
      <c r="I364" t="s">
        <v>1523</v>
      </c>
      <c r="J364" s="2">
        <v>46092.052871166321</v>
      </c>
    </row>
    <row r="365" spans="1:11" x14ac:dyDescent="0.55000000000000004">
      <c r="A365" t="s">
        <v>1524</v>
      </c>
      <c r="B365">
        <v>100842</v>
      </c>
      <c r="C365" t="s">
        <v>169</v>
      </c>
      <c r="D365" s="1">
        <v>46055</v>
      </c>
      <c r="E365" t="s">
        <v>20</v>
      </c>
      <c r="F365" t="s">
        <v>1144</v>
      </c>
      <c r="G365" t="s">
        <v>15</v>
      </c>
      <c r="H365" t="s">
        <v>1525</v>
      </c>
      <c r="I365" t="s">
        <v>1526</v>
      </c>
      <c r="J365" s="2">
        <v>46097.103565614481</v>
      </c>
    </row>
    <row r="366" spans="1:11" x14ac:dyDescent="0.55000000000000004">
      <c r="A366" t="s">
        <v>1527</v>
      </c>
      <c r="B366">
        <v>100811</v>
      </c>
      <c r="C366" t="s">
        <v>32</v>
      </c>
      <c r="D366" s="1">
        <v>45839</v>
      </c>
      <c r="E366" t="s">
        <v>38</v>
      </c>
      <c r="F366" t="s">
        <v>1528</v>
      </c>
      <c r="G366" t="s">
        <v>15</v>
      </c>
      <c r="H366" t="s">
        <v>1529</v>
      </c>
      <c r="I366" t="s">
        <v>1530</v>
      </c>
      <c r="J366" s="2">
        <v>46066.620926729272</v>
      </c>
    </row>
    <row r="367" spans="1:11" x14ac:dyDescent="0.55000000000000004">
      <c r="A367" t="s">
        <v>1531</v>
      </c>
      <c r="B367">
        <v>100970</v>
      </c>
      <c r="C367" t="s">
        <v>114</v>
      </c>
      <c r="D367" s="1">
        <v>46046</v>
      </c>
      <c r="E367" t="s">
        <v>757</v>
      </c>
      <c r="F367" t="s">
        <v>1532</v>
      </c>
      <c r="G367" t="s">
        <v>22</v>
      </c>
      <c r="H367" t="s">
        <v>1533</v>
      </c>
      <c r="I367" t="s">
        <v>1534</v>
      </c>
      <c r="J367" s="2">
        <v>46070.067454511598</v>
      </c>
    </row>
    <row r="368" spans="1:11" x14ac:dyDescent="0.55000000000000004">
      <c r="A368" t="s">
        <v>1535</v>
      </c>
      <c r="B368">
        <v>100302</v>
      </c>
      <c r="C368" t="s">
        <v>179</v>
      </c>
      <c r="D368" s="1">
        <v>45734</v>
      </c>
      <c r="E368" t="s">
        <v>38</v>
      </c>
      <c r="F368" t="s">
        <v>1536</v>
      </c>
      <c r="G368" t="s">
        <v>15</v>
      </c>
      <c r="H368" t="s">
        <v>1537</v>
      </c>
      <c r="I368" t="s">
        <v>1538</v>
      </c>
      <c r="J368" s="2">
        <v>46074.726482293219</v>
      </c>
    </row>
    <row r="369" spans="1:11" x14ac:dyDescent="0.55000000000000004">
      <c r="A369" t="s">
        <v>1539</v>
      </c>
      <c r="B369">
        <v>100649</v>
      </c>
      <c r="C369" t="s">
        <v>169</v>
      </c>
      <c r="D369" s="1">
        <v>46119</v>
      </c>
      <c r="E369" t="s">
        <v>528</v>
      </c>
      <c r="F369" t="s">
        <v>1540</v>
      </c>
      <c r="G369" t="s">
        <v>15</v>
      </c>
      <c r="H369" t="s">
        <v>1541</v>
      </c>
      <c r="I369" t="s">
        <v>1542</v>
      </c>
      <c r="J369" s="2">
        <v>46082.759815631027</v>
      </c>
    </row>
    <row r="370" spans="1:11" x14ac:dyDescent="0.55000000000000004">
      <c r="A370" t="s">
        <v>1543</v>
      </c>
      <c r="B370">
        <v>101274</v>
      </c>
      <c r="C370" t="s">
        <v>63</v>
      </c>
      <c r="D370" s="1">
        <v>45891</v>
      </c>
      <c r="E370" t="s">
        <v>155</v>
      </c>
      <c r="F370" t="s">
        <v>1544</v>
      </c>
      <c r="G370" t="s">
        <v>22</v>
      </c>
      <c r="H370" t="s">
        <v>1545</v>
      </c>
      <c r="I370" t="s">
        <v>1546</v>
      </c>
      <c r="J370" s="2">
        <v>46064.9091211903</v>
      </c>
      <c r="K370" t="s">
        <v>119</v>
      </c>
    </row>
    <row r="371" spans="1:11" x14ac:dyDescent="0.55000000000000004">
      <c r="A371" t="s">
        <v>1547</v>
      </c>
      <c r="B371">
        <v>100639</v>
      </c>
      <c r="C371" t="s">
        <v>68</v>
      </c>
      <c r="D371" s="1">
        <v>45817</v>
      </c>
      <c r="E371" t="s">
        <v>155</v>
      </c>
      <c r="F371" t="s">
        <v>1548</v>
      </c>
      <c r="G371" t="s">
        <v>22</v>
      </c>
      <c r="H371" t="s">
        <v>1549</v>
      </c>
      <c r="I371" t="s">
        <v>1550</v>
      </c>
      <c r="J371" s="2">
        <v>46079.098010083748</v>
      </c>
    </row>
    <row r="372" spans="1:11" x14ac:dyDescent="0.55000000000000004">
      <c r="A372" t="s">
        <v>1551</v>
      </c>
      <c r="B372">
        <v>100517</v>
      </c>
      <c r="C372" t="s">
        <v>82</v>
      </c>
      <c r="D372" s="1">
        <v>46037</v>
      </c>
      <c r="E372" t="s">
        <v>208</v>
      </c>
      <c r="F372" t="s">
        <v>1552</v>
      </c>
      <c r="G372" t="s">
        <v>22</v>
      </c>
      <c r="H372" t="s">
        <v>1553</v>
      </c>
      <c r="I372" t="s">
        <v>1554</v>
      </c>
      <c r="J372" s="2">
        <v>46066.235510088292</v>
      </c>
    </row>
    <row r="373" spans="1:11" x14ac:dyDescent="0.55000000000000004">
      <c r="A373" t="s">
        <v>1555</v>
      </c>
      <c r="B373">
        <v>100750</v>
      </c>
      <c r="C373" t="s">
        <v>248</v>
      </c>
      <c r="D373" s="1">
        <v>45816</v>
      </c>
      <c r="E373" t="s">
        <v>265</v>
      </c>
      <c r="F373" t="s">
        <v>1556</v>
      </c>
      <c r="G373" t="s">
        <v>15</v>
      </c>
      <c r="H373" t="s">
        <v>1557</v>
      </c>
      <c r="I373" t="s">
        <v>1558</v>
      </c>
      <c r="J373" s="2">
        <v>46089.445926758832</v>
      </c>
    </row>
    <row r="374" spans="1:11" x14ac:dyDescent="0.55000000000000004">
      <c r="A374" t="s">
        <v>1559</v>
      </c>
      <c r="B374">
        <v>101424</v>
      </c>
      <c r="C374" t="s">
        <v>37</v>
      </c>
      <c r="D374" s="1">
        <v>46033</v>
      </c>
      <c r="E374" t="s">
        <v>199</v>
      </c>
      <c r="F374" t="s">
        <v>1560</v>
      </c>
      <c r="G374" t="s">
        <v>15</v>
      </c>
      <c r="H374" t="s">
        <v>1561</v>
      </c>
      <c r="I374" t="s">
        <v>1562</v>
      </c>
      <c r="J374" s="2">
        <v>46072.8355100966</v>
      </c>
    </row>
    <row r="375" spans="1:11" x14ac:dyDescent="0.55000000000000004">
      <c r="A375" t="s">
        <v>1563</v>
      </c>
      <c r="B375">
        <v>100726</v>
      </c>
      <c r="C375" t="s">
        <v>32</v>
      </c>
      <c r="D375" s="1">
        <v>46126</v>
      </c>
      <c r="E375" t="s">
        <v>184</v>
      </c>
      <c r="F375" t="s">
        <v>1564</v>
      </c>
      <c r="G375" t="s">
        <v>15</v>
      </c>
      <c r="H375" t="s">
        <v>1565</v>
      </c>
      <c r="I375" t="s">
        <v>1566</v>
      </c>
      <c r="J375" s="2">
        <v>46056.718148989443</v>
      </c>
    </row>
    <row r="376" spans="1:11" x14ac:dyDescent="0.55000000000000004">
      <c r="A376" t="s">
        <v>1567</v>
      </c>
      <c r="B376">
        <v>101398</v>
      </c>
      <c r="C376" t="s">
        <v>12</v>
      </c>
      <c r="D376" s="1">
        <v>46085</v>
      </c>
      <c r="E376" t="s">
        <v>69</v>
      </c>
      <c r="F376" t="s">
        <v>1568</v>
      </c>
      <c r="G376" t="s">
        <v>22</v>
      </c>
      <c r="H376" t="s">
        <v>1569</v>
      </c>
      <c r="I376" t="s">
        <v>1570</v>
      </c>
      <c r="J376" s="2">
        <v>46073.570232326529</v>
      </c>
    </row>
    <row r="377" spans="1:11" x14ac:dyDescent="0.55000000000000004">
      <c r="A377" t="s">
        <v>1571</v>
      </c>
      <c r="B377">
        <v>101326</v>
      </c>
      <c r="C377" t="s">
        <v>146</v>
      </c>
      <c r="D377" s="1">
        <v>45861</v>
      </c>
      <c r="E377" t="s">
        <v>189</v>
      </c>
      <c r="F377" t="s">
        <v>1572</v>
      </c>
      <c r="G377" t="s">
        <v>15</v>
      </c>
      <c r="H377" t="s">
        <v>1573</v>
      </c>
      <c r="I377" t="s">
        <v>1574</v>
      </c>
      <c r="J377" s="2">
        <v>46052.770926775564</v>
      </c>
    </row>
    <row r="378" spans="1:11" x14ac:dyDescent="0.55000000000000004">
      <c r="A378" t="s">
        <v>1575</v>
      </c>
      <c r="B378">
        <v>101214</v>
      </c>
      <c r="C378" t="s">
        <v>37</v>
      </c>
      <c r="D378" s="1">
        <v>45886</v>
      </c>
      <c r="E378" t="s">
        <v>141</v>
      </c>
      <c r="F378" t="s">
        <v>1576</v>
      </c>
      <c r="G378" t="s">
        <v>22</v>
      </c>
      <c r="H378" t="s">
        <v>1577</v>
      </c>
      <c r="I378" t="s">
        <v>1578</v>
      </c>
      <c r="J378" s="2">
        <v>46057.884815671583</v>
      </c>
    </row>
    <row r="379" spans="1:11" x14ac:dyDescent="0.55000000000000004">
      <c r="A379" t="s">
        <v>1579</v>
      </c>
      <c r="B379">
        <v>100242</v>
      </c>
      <c r="C379" t="s">
        <v>114</v>
      </c>
      <c r="D379" s="1">
        <v>45946</v>
      </c>
      <c r="E379" t="s">
        <v>38</v>
      </c>
      <c r="F379" t="s">
        <v>1580</v>
      </c>
      <c r="G379" t="s">
        <v>15</v>
      </c>
      <c r="H379" t="s">
        <v>1581</v>
      </c>
      <c r="I379" t="s">
        <v>1582</v>
      </c>
      <c r="J379" s="2">
        <v>46079.584121233718</v>
      </c>
    </row>
    <row r="380" spans="1:11" x14ac:dyDescent="0.55000000000000004">
      <c r="A380" t="s">
        <v>1583</v>
      </c>
      <c r="B380">
        <v>100910</v>
      </c>
      <c r="C380" t="s">
        <v>533</v>
      </c>
      <c r="D380" s="1">
        <v>45986</v>
      </c>
      <c r="E380" t="s">
        <v>38</v>
      </c>
      <c r="F380" t="s">
        <v>1584</v>
      </c>
      <c r="G380" t="s">
        <v>15</v>
      </c>
      <c r="H380" t="s">
        <v>1585</v>
      </c>
      <c r="I380" t="s">
        <v>1586</v>
      </c>
      <c r="J380" s="2">
        <v>46081.002176793663</v>
      </c>
    </row>
    <row r="381" spans="1:11" x14ac:dyDescent="0.55000000000000004">
      <c r="A381" t="s">
        <v>1587</v>
      </c>
      <c r="B381">
        <v>100022</v>
      </c>
      <c r="C381" t="s">
        <v>248</v>
      </c>
      <c r="D381" s="1">
        <v>45915</v>
      </c>
      <c r="E381" t="s">
        <v>208</v>
      </c>
      <c r="F381" t="s">
        <v>1588</v>
      </c>
      <c r="G381" t="s">
        <v>15</v>
      </c>
      <c r="H381" t="s">
        <v>1589</v>
      </c>
      <c r="I381" t="s">
        <v>1590</v>
      </c>
      <c r="J381" s="2">
        <v>46062.040371242372</v>
      </c>
    </row>
    <row r="382" spans="1:11" x14ac:dyDescent="0.55000000000000004">
      <c r="A382" t="s">
        <v>1591</v>
      </c>
      <c r="B382">
        <v>101473</v>
      </c>
      <c r="C382" t="s">
        <v>248</v>
      </c>
      <c r="D382" s="1">
        <v>46084</v>
      </c>
      <c r="E382" t="s">
        <v>356</v>
      </c>
      <c r="F382" t="s">
        <v>1592</v>
      </c>
      <c r="G382" t="s">
        <v>15</v>
      </c>
      <c r="H382" t="s">
        <v>1593</v>
      </c>
      <c r="I382" t="s">
        <v>1594</v>
      </c>
      <c r="J382" s="2">
        <v>46096.791065691148</v>
      </c>
    </row>
    <row r="383" spans="1:11" x14ac:dyDescent="0.55000000000000004">
      <c r="A383" t="s">
        <v>1595</v>
      </c>
      <c r="B383">
        <v>101203</v>
      </c>
      <c r="C383" t="s">
        <v>131</v>
      </c>
      <c r="D383" s="1">
        <v>45788</v>
      </c>
      <c r="E383" t="s">
        <v>680</v>
      </c>
      <c r="F383" t="s">
        <v>1596</v>
      </c>
      <c r="G383" t="s">
        <v>15</v>
      </c>
      <c r="H383" t="s">
        <v>1597</v>
      </c>
      <c r="I383" t="s">
        <v>1598</v>
      </c>
      <c r="J383" s="2">
        <v>46065.639676806582</v>
      </c>
    </row>
    <row r="384" spans="1:11" x14ac:dyDescent="0.55000000000000004">
      <c r="A384" t="s">
        <v>1599</v>
      </c>
      <c r="B384">
        <v>100421</v>
      </c>
      <c r="C384" t="s">
        <v>533</v>
      </c>
      <c r="D384" s="1">
        <v>45863</v>
      </c>
      <c r="E384" t="s">
        <v>208</v>
      </c>
      <c r="F384" t="s">
        <v>1600</v>
      </c>
      <c r="G384" t="s">
        <v>22</v>
      </c>
      <c r="H384" t="s">
        <v>1601</v>
      </c>
      <c r="I384" t="s">
        <v>1602</v>
      </c>
      <c r="J384" s="2">
        <v>46068.675093477548</v>
      </c>
    </row>
    <row r="385" spans="1:11" x14ac:dyDescent="0.55000000000000004">
      <c r="A385" t="s">
        <v>1603</v>
      </c>
      <c r="B385">
        <v>101271</v>
      </c>
      <c r="C385" t="s">
        <v>533</v>
      </c>
      <c r="D385" s="1">
        <v>46148</v>
      </c>
      <c r="E385" t="s">
        <v>155</v>
      </c>
      <c r="F385" t="s">
        <v>1604</v>
      </c>
      <c r="G385" t="s">
        <v>22</v>
      </c>
      <c r="H385" t="s">
        <v>1605</v>
      </c>
      <c r="I385" t="s">
        <v>1606</v>
      </c>
      <c r="J385" s="2">
        <v>46073.783426817521</v>
      </c>
    </row>
    <row r="386" spans="1:11" x14ac:dyDescent="0.55000000000000004">
      <c r="A386" t="s">
        <v>283</v>
      </c>
      <c r="B386">
        <v>101044</v>
      </c>
      <c r="C386" t="s">
        <v>169</v>
      </c>
      <c r="D386" s="1">
        <v>45950</v>
      </c>
      <c r="E386" t="s">
        <v>184</v>
      </c>
      <c r="F386" t="s">
        <v>1607</v>
      </c>
      <c r="G386" t="s">
        <v>15</v>
      </c>
      <c r="H386" t="s">
        <v>1608</v>
      </c>
      <c r="I386" t="s">
        <v>1609</v>
      </c>
      <c r="J386" s="2">
        <v>46088.802871266387</v>
      </c>
    </row>
    <row r="387" spans="1:11" x14ac:dyDescent="0.55000000000000004">
      <c r="A387" t="s">
        <v>1610</v>
      </c>
      <c r="B387">
        <v>100459</v>
      </c>
      <c r="C387" t="s">
        <v>48</v>
      </c>
      <c r="D387" s="1">
        <v>45900</v>
      </c>
      <c r="E387" t="s">
        <v>89</v>
      </c>
      <c r="F387" t="s">
        <v>1611</v>
      </c>
      <c r="G387" t="s">
        <v>22</v>
      </c>
      <c r="H387" t="s">
        <v>1612</v>
      </c>
      <c r="I387" t="s">
        <v>1613</v>
      </c>
      <c r="J387" s="2">
        <v>46092.216065714361</v>
      </c>
    </row>
    <row r="388" spans="1:11" x14ac:dyDescent="0.55000000000000004">
      <c r="A388" t="s">
        <v>1614</v>
      </c>
      <c r="B388">
        <v>100711</v>
      </c>
      <c r="C388" t="s">
        <v>169</v>
      </c>
      <c r="D388" s="1">
        <v>45825</v>
      </c>
      <c r="E388" t="s">
        <v>69</v>
      </c>
      <c r="F388" t="s">
        <v>1615</v>
      </c>
      <c r="G388" t="s">
        <v>22</v>
      </c>
      <c r="H388" t="s">
        <v>1616</v>
      </c>
      <c r="I388" t="s">
        <v>1617</v>
      </c>
      <c r="J388" s="2">
        <v>46068.359815718053</v>
      </c>
    </row>
    <row r="389" spans="1:11" x14ac:dyDescent="0.55000000000000004">
      <c r="A389" t="s">
        <v>1618</v>
      </c>
      <c r="B389">
        <v>101189</v>
      </c>
      <c r="C389" t="s">
        <v>179</v>
      </c>
      <c r="D389" s="1">
        <v>46085</v>
      </c>
      <c r="E389" t="s">
        <v>418</v>
      </c>
      <c r="F389" t="s">
        <v>1619</v>
      </c>
      <c r="G389" t="s">
        <v>15</v>
      </c>
      <c r="H389" t="s">
        <v>1620</v>
      </c>
      <c r="I389" t="s">
        <v>1621</v>
      </c>
      <c r="J389" s="2">
        <v>46088.756343499408</v>
      </c>
    </row>
    <row r="390" spans="1:11" x14ac:dyDescent="0.55000000000000004">
      <c r="A390" t="s">
        <v>1622</v>
      </c>
      <c r="B390">
        <v>100873</v>
      </c>
      <c r="C390" t="s">
        <v>12</v>
      </c>
      <c r="D390" s="1">
        <v>45813</v>
      </c>
      <c r="E390" t="s">
        <v>69</v>
      </c>
      <c r="F390" t="s">
        <v>1623</v>
      </c>
      <c r="G390" t="s">
        <v>22</v>
      </c>
      <c r="H390" t="s">
        <v>1624</v>
      </c>
      <c r="I390" t="s">
        <v>1625</v>
      </c>
      <c r="J390" s="2">
        <v>46060.781343503717</v>
      </c>
    </row>
    <row r="391" spans="1:11" x14ac:dyDescent="0.55000000000000004">
      <c r="A391" t="s">
        <v>1626</v>
      </c>
      <c r="B391">
        <v>101257</v>
      </c>
      <c r="C391" t="s">
        <v>88</v>
      </c>
      <c r="D391" s="1">
        <v>45824</v>
      </c>
      <c r="E391" t="s">
        <v>83</v>
      </c>
      <c r="F391" t="s">
        <v>1627</v>
      </c>
      <c r="G391" t="s">
        <v>15</v>
      </c>
      <c r="H391" t="s">
        <v>1628</v>
      </c>
      <c r="I391" t="s">
        <v>1629</v>
      </c>
      <c r="J391" s="2">
        <v>46067.052176840873</v>
      </c>
    </row>
    <row r="392" spans="1:11" x14ac:dyDescent="0.55000000000000004">
      <c r="A392" t="s">
        <v>1630</v>
      </c>
      <c r="B392">
        <v>101379</v>
      </c>
      <c r="C392" t="s">
        <v>533</v>
      </c>
      <c r="D392" s="1">
        <v>45942</v>
      </c>
      <c r="E392" t="s">
        <v>141</v>
      </c>
      <c r="F392" t="s">
        <v>1631</v>
      </c>
      <c r="G392" t="s">
        <v>22</v>
      </c>
      <c r="H392" t="s">
        <v>1632</v>
      </c>
      <c r="I392" t="s">
        <v>1633</v>
      </c>
      <c r="J392" s="2">
        <v>46056.299399067422</v>
      </c>
    </row>
    <row r="393" spans="1:11" x14ac:dyDescent="0.55000000000000004">
      <c r="A393" t="s">
        <v>1634</v>
      </c>
      <c r="B393">
        <v>100390</v>
      </c>
      <c r="C393" t="s">
        <v>37</v>
      </c>
      <c r="D393" s="1">
        <v>46092</v>
      </c>
      <c r="E393" t="s">
        <v>587</v>
      </c>
      <c r="F393" t="s">
        <v>1635</v>
      </c>
      <c r="G393" t="s">
        <v>22</v>
      </c>
      <c r="H393" t="s">
        <v>1636</v>
      </c>
      <c r="I393" t="s">
        <v>1637</v>
      </c>
      <c r="J393" s="2">
        <v>46064.002176848953</v>
      </c>
    </row>
    <row r="394" spans="1:11" x14ac:dyDescent="0.55000000000000004">
      <c r="A394" t="s">
        <v>1638</v>
      </c>
      <c r="B394">
        <v>100423</v>
      </c>
      <c r="C394" t="s">
        <v>99</v>
      </c>
      <c r="D394" s="1">
        <v>45780</v>
      </c>
      <c r="E394" t="s">
        <v>189</v>
      </c>
      <c r="F394" t="s">
        <v>1639</v>
      </c>
      <c r="G394" t="s">
        <v>22</v>
      </c>
      <c r="H394" t="s">
        <v>1640</v>
      </c>
      <c r="I394" t="s">
        <v>1641</v>
      </c>
      <c r="J394" s="2">
        <v>46074.802176853249</v>
      </c>
    </row>
    <row r="395" spans="1:11" x14ac:dyDescent="0.55000000000000004">
      <c r="A395" t="s">
        <v>1642</v>
      </c>
      <c r="B395">
        <v>100170</v>
      </c>
      <c r="C395" t="s">
        <v>179</v>
      </c>
      <c r="D395" s="1">
        <v>45808</v>
      </c>
      <c r="E395" t="s">
        <v>184</v>
      </c>
      <c r="F395" t="s">
        <v>1643</v>
      </c>
      <c r="G395" t="s">
        <v>15</v>
      </c>
      <c r="H395" t="s">
        <v>1644</v>
      </c>
      <c r="I395" t="s">
        <v>1645</v>
      </c>
      <c r="J395" s="2">
        <v>46065.078565745818</v>
      </c>
    </row>
    <row r="396" spans="1:11" x14ac:dyDescent="0.55000000000000004">
      <c r="A396" t="s">
        <v>1646</v>
      </c>
      <c r="B396">
        <v>100176</v>
      </c>
      <c r="C396" t="s">
        <v>19</v>
      </c>
      <c r="D396" s="1">
        <v>45816</v>
      </c>
      <c r="E396" t="s">
        <v>69</v>
      </c>
      <c r="F396" t="s">
        <v>1647</v>
      </c>
      <c r="G396" t="s">
        <v>22</v>
      </c>
      <c r="H396" t="s">
        <v>1648</v>
      </c>
      <c r="I396" t="s">
        <v>1649</v>
      </c>
      <c r="J396" s="2">
        <v>46082.275787972372</v>
      </c>
      <c r="K396" t="s">
        <v>119</v>
      </c>
    </row>
    <row r="397" spans="1:11" x14ac:dyDescent="0.55000000000000004">
      <c r="A397" t="s">
        <v>1650</v>
      </c>
      <c r="B397">
        <v>100428</v>
      </c>
      <c r="C397" t="s">
        <v>32</v>
      </c>
      <c r="D397" s="1">
        <v>45757</v>
      </c>
      <c r="E397" t="s">
        <v>43</v>
      </c>
      <c r="F397" t="s">
        <v>1651</v>
      </c>
      <c r="G397" t="s">
        <v>22</v>
      </c>
      <c r="H397" t="s">
        <v>1652</v>
      </c>
      <c r="I397" t="s">
        <v>1653</v>
      </c>
      <c r="J397" s="2">
        <v>46082.634121309471</v>
      </c>
    </row>
    <row r="398" spans="1:11" x14ac:dyDescent="0.55000000000000004">
      <c r="A398" t="s">
        <v>1654</v>
      </c>
      <c r="B398">
        <v>100525</v>
      </c>
      <c r="C398" t="s">
        <v>88</v>
      </c>
      <c r="D398" s="1">
        <v>45959</v>
      </c>
      <c r="E398" t="s">
        <v>243</v>
      </c>
      <c r="F398" t="s">
        <v>1655</v>
      </c>
      <c r="G398" t="s">
        <v>22</v>
      </c>
      <c r="H398" t="s">
        <v>1656</v>
      </c>
      <c r="I398" t="s">
        <v>1657</v>
      </c>
      <c r="J398" s="2">
        <v>46077.57717686853</v>
      </c>
    </row>
    <row r="399" spans="1:11" x14ac:dyDescent="0.55000000000000004">
      <c r="A399" t="s">
        <v>1658</v>
      </c>
      <c r="B399">
        <v>101347</v>
      </c>
      <c r="C399" t="s">
        <v>19</v>
      </c>
      <c r="D399" s="1">
        <v>46113</v>
      </c>
      <c r="E399" t="s">
        <v>243</v>
      </c>
      <c r="F399" t="s">
        <v>1659</v>
      </c>
      <c r="G399" t="s">
        <v>22</v>
      </c>
      <c r="H399" t="s">
        <v>1660</v>
      </c>
      <c r="I399" t="s">
        <v>1661</v>
      </c>
      <c r="J399" s="2">
        <v>46094.95356576112</v>
      </c>
    </row>
    <row r="400" spans="1:11" x14ac:dyDescent="0.55000000000000004">
      <c r="A400" t="s">
        <v>1662</v>
      </c>
      <c r="B400">
        <v>100935</v>
      </c>
      <c r="C400" t="s">
        <v>146</v>
      </c>
      <c r="D400" s="1">
        <v>45732</v>
      </c>
      <c r="E400" t="s">
        <v>38</v>
      </c>
      <c r="F400" t="s">
        <v>1663</v>
      </c>
      <c r="G400" t="s">
        <v>22</v>
      </c>
      <c r="H400" t="s">
        <v>1664</v>
      </c>
      <c r="I400" t="s">
        <v>1665</v>
      </c>
      <c r="J400" s="2">
        <v>46064.94662132037</v>
      </c>
    </row>
    <row r="401" spans="1:10" x14ac:dyDescent="0.55000000000000004">
      <c r="A401" t="s">
        <v>1666</v>
      </c>
      <c r="B401">
        <v>100972</v>
      </c>
      <c r="C401" t="s">
        <v>248</v>
      </c>
      <c r="D401" s="1">
        <v>46067</v>
      </c>
      <c r="E401" t="s">
        <v>495</v>
      </c>
      <c r="F401" t="s">
        <v>1667</v>
      </c>
      <c r="G401" t="s">
        <v>15</v>
      </c>
      <c r="H401" t="s">
        <v>1668</v>
      </c>
      <c r="I401" t="s">
        <v>1669</v>
      </c>
      <c r="J401" s="2">
        <v>46083.100093546876</v>
      </c>
    </row>
    <row r="402" spans="1:10" x14ac:dyDescent="0.55000000000000004">
      <c r="A402" t="s">
        <v>1670</v>
      </c>
      <c r="B402">
        <v>101217</v>
      </c>
      <c r="C402" t="s">
        <v>169</v>
      </c>
      <c r="D402" s="1">
        <v>46018</v>
      </c>
      <c r="E402" t="s">
        <v>495</v>
      </c>
      <c r="F402" t="s">
        <v>1671</v>
      </c>
      <c r="G402" t="s">
        <v>22</v>
      </c>
      <c r="H402" t="s">
        <v>1672</v>
      </c>
      <c r="I402" t="s">
        <v>1673</v>
      </c>
      <c r="J402" s="2">
        <v>46090.607732440141</v>
      </c>
    </row>
    <row r="403" spans="1:10" x14ac:dyDescent="0.55000000000000004">
      <c r="A403" t="s">
        <v>1674</v>
      </c>
      <c r="B403">
        <v>100296</v>
      </c>
      <c r="C403" t="s">
        <v>194</v>
      </c>
      <c r="D403" s="1">
        <v>45733</v>
      </c>
      <c r="E403" t="s">
        <v>49</v>
      </c>
      <c r="F403" t="s">
        <v>1675</v>
      </c>
      <c r="G403" t="s">
        <v>22</v>
      </c>
      <c r="H403" t="s">
        <v>1676</v>
      </c>
      <c r="I403" t="s">
        <v>1677</v>
      </c>
      <c r="J403" s="2">
        <v>46053.595232444517</v>
      </c>
    </row>
    <row r="404" spans="1:10" x14ac:dyDescent="0.55000000000000004">
      <c r="A404" t="s">
        <v>1678</v>
      </c>
      <c r="B404">
        <v>100300</v>
      </c>
      <c r="C404" t="s">
        <v>12</v>
      </c>
      <c r="D404" s="1">
        <v>45816</v>
      </c>
      <c r="E404" t="s">
        <v>418</v>
      </c>
      <c r="F404" t="s">
        <v>1679</v>
      </c>
      <c r="G404" t="s">
        <v>15</v>
      </c>
      <c r="H404" t="s">
        <v>1680</v>
      </c>
      <c r="I404" t="s">
        <v>1681</v>
      </c>
      <c r="J404" s="2">
        <v>46080.877176892667</v>
      </c>
    </row>
    <row r="405" spans="1:10" x14ac:dyDescent="0.55000000000000004">
      <c r="A405" t="s">
        <v>1682</v>
      </c>
      <c r="B405">
        <v>100744</v>
      </c>
      <c r="C405" t="s">
        <v>248</v>
      </c>
      <c r="D405" s="1">
        <v>45828</v>
      </c>
      <c r="E405" t="s">
        <v>69</v>
      </c>
      <c r="F405" t="s">
        <v>1683</v>
      </c>
      <c r="G405" t="s">
        <v>15</v>
      </c>
      <c r="H405" t="s">
        <v>1684</v>
      </c>
      <c r="I405" t="s">
        <v>1685</v>
      </c>
      <c r="J405" s="2">
        <v>46068.475093563022</v>
      </c>
    </row>
    <row r="406" spans="1:10" x14ac:dyDescent="0.55000000000000004">
      <c r="A406" t="s">
        <v>1686</v>
      </c>
      <c r="B406">
        <v>100371</v>
      </c>
      <c r="C406" t="s">
        <v>169</v>
      </c>
      <c r="D406" s="1">
        <v>45787</v>
      </c>
      <c r="E406" t="s">
        <v>170</v>
      </c>
      <c r="F406" t="s">
        <v>1687</v>
      </c>
      <c r="G406" t="s">
        <v>15</v>
      </c>
      <c r="H406" t="s">
        <v>1688</v>
      </c>
      <c r="I406" t="s">
        <v>1689</v>
      </c>
      <c r="J406" s="2">
        <v>46069.095926899863</v>
      </c>
    </row>
    <row r="407" spans="1:10" x14ac:dyDescent="0.55000000000000004">
      <c r="A407" t="s">
        <v>615</v>
      </c>
      <c r="B407">
        <v>100144</v>
      </c>
      <c r="C407" t="s">
        <v>26</v>
      </c>
      <c r="D407" s="1">
        <v>45990</v>
      </c>
      <c r="E407" t="s">
        <v>69</v>
      </c>
      <c r="F407" t="s">
        <v>1690</v>
      </c>
      <c r="G407" t="s">
        <v>15</v>
      </c>
      <c r="H407" t="s">
        <v>1691</v>
      </c>
      <c r="I407" t="s">
        <v>1692</v>
      </c>
      <c r="J407" s="2">
        <v>46064.677176903417</v>
      </c>
    </row>
    <row r="408" spans="1:10" x14ac:dyDescent="0.55000000000000004">
      <c r="A408" t="s">
        <v>1693</v>
      </c>
      <c r="B408">
        <v>101325</v>
      </c>
      <c r="C408" t="s">
        <v>146</v>
      </c>
      <c r="D408" s="1">
        <v>45953</v>
      </c>
      <c r="E408" t="s">
        <v>43</v>
      </c>
      <c r="F408" t="s">
        <v>1694</v>
      </c>
      <c r="G408" t="s">
        <v>15</v>
      </c>
      <c r="H408" t="s">
        <v>1695</v>
      </c>
      <c r="I408" t="s">
        <v>1696</v>
      </c>
      <c r="J408" s="2">
        <v>46089.598704685472</v>
      </c>
    </row>
    <row r="409" spans="1:10" x14ac:dyDescent="0.55000000000000004">
      <c r="A409" t="s">
        <v>1697</v>
      </c>
      <c r="B409">
        <v>100806</v>
      </c>
      <c r="C409" t="s">
        <v>179</v>
      </c>
      <c r="D409" s="1">
        <v>46068</v>
      </c>
      <c r="E409" t="s">
        <v>495</v>
      </c>
      <c r="F409" t="s">
        <v>1698</v>
      </c>
      <c r="G409" t="s">
        <v>22</v>
      </c>
      <c r="H409" t="s">
        <v>1699</v>
      </c>
      <c r="I409" t="s">
        <v>1700</v>
      </c>
      <c r="J409" s="2">
        <v>46058.761204689043</v>
      </c>
    </row>
    <row r="410" spans="1:10" x14ac:dyDescent="0.55000000000000004">
      <c r="A410" t="s">
        <v>1701</v>
      </c>
      <c r="B410">
        <v>100259</v>
      </c>
      <c r="C410" t="s">
        <v>194</v>
      </c>
      <c r="D410" s="1">
        <v>45872</v>
      </c>
      <c r="E410" t="s">
        <v>49</v>
      </c>
      <c r="F410" t="s">
        <v>1702</v>
      </c>
      <c r="G410" t="s">
        <v>22</v>
      </c>
      <c r="H410" t="s">
        <v>1703</v>
      </c>
      <c r="I410" t="s">
        <v>1704</v>
      </c>
      <c r="J410" s="2">
        <v>46089.550093582162</v>
      </c>
    </row>
    <row r="411" spans="1:10" x14ac:dyDescent="0.55000000000000004">
      <c r="A411" t="s">
        <v>1705</v>
      </c>
      <c r="B411">
        <v>100822</v>
      </c>
      <c r="C411" t="s">
        <v>94</v>
      </c>
      <c r="D411" s="1">
        <v>46040</v>
      </c>
      <c r="E411" t="s">
        <v>126</v>
      </c>
      <c r="F411" t="s">
        <v>1706</v>
      </c>
      <c r="G411" t="s">
        <v>22</v>
      </c>
      <c r="H411" t="s">
        <v>1707</v>
      </c>
      <c r="I411" t="s">
        <v>1708</v>
      </c>
      <c r="J411" s="2">
        <v>46051.959121364212</v>
      </c>
    </row>
    <row r="412" spans="1:10" x14ac:dyDescent="0.55000000000000004">
      <c r="A412" t="s">
        <v>1709</v>
      </c>
      <c r="B412">
        <v>100174</v>
      </c>
      <c r="C412" t="s">
        <v>248</v>
      </c>
      <c r="D412" s="1">
        <v>45834</v>
      </c>
      <c r="E412" t="s">
        <v>38</v>
      </c>
      <c r="F412" t="s">
        <v>1710</v>
      </c>
      <c r="G412" t="s">
        <v>22</v>
      </c>
      <c r="H412" t="s">
        <v>1711</v>
      </c>
      <c r="I412" t="s">
        <v>1712</v>
      </c>
      <c r="J412" s="2">
        <v>46054.254954701282</v>
      </c>
    </row>
    <row r="413" spans="1:10" x14ac:dyDescent="0.55000000000000004">
      <c r="A413" t="s">
        <v>1713</v>
      </c>
      <c r="B413">
        <v>100849</v>
      </c>
      <c r="C413" t="s">
        <v>114</v>
      </c>
      <c r="D413" s="1">
        <v>46095</v>
      </c>
      <c r="E413" t="s">
        <v>160</v>
      </c>
      <c r="F413" t="s">
        <v>1714</v>
      </c>
      <c r="G413" t="s">
        <v>15</v>
      </c>
      <c r="H413" t="s">
        <v>1715</v>
      </c>
      <c r="I413" t="s">
        <v>1716</v>
      </c>
      <c r="J413" s="2">
        <v>46074.946621372343</v>
      </c>
    </row>
    <row r="414" spans="1:10" x14ac:dyDescent="0.55000000000000004">
      <c r="A414" t="s">
        <v>1717</v>
      </c>
      <c r="B414">
        <v>100404</v>
      </c>
      <c r="C414" t="s">
        <v>19</v>
      </c>
      <c r="D414" s="1">
        <v>46030</v>
      </c>
      <c r="E414" t="s">
        <v>300</v>
      </c>
      <c r="F414" t="s">
        <v>1718</v>
      </c>
      <c r="G414" t="s">
        <v>22</v>
      </c>
      <c r="H414" t="s">
        <v>1719</v>
      </c>
      <c r="I414" t="s">
        <v>1720</v>
      </c>
      <c r="J414" s="2">
        <v>46097.002871376797</v>
      </c>
    </row>
    <row r="415" spans="1:10" x14ac:dyDescent="0.55000000000000004">
      <c r="A415" t="s">
        <v>1721</v>
      </c>
      <c r="B415">
        <v>100855</v>
      </c>
      <c r="C415" t="s">
        <v>533</v>
      </c>
      <c r="D415" s="1">
        <v>45744</v>
      </c>
      <c r="E415" t="s">
        <v>265</v>
      </c>
      <c r="F415" t="s">
        <v>1722</v>
      </c>
      <c r="G415" t="s">
        <v>15</v>
      </c>
      <c r="H415" t="s">
        <v>1723</v>
      </c>
      <c r="I415" t="s">
        <v>1724</v>
      </c>
      <c r="J415" s="2">
        <v>46085.3667602692</v>
      </c>
    </row>
    <row r="416" spans="1:10" x14ac:dyDescent="0.55000000000000004">
      <c r="A416" t="s">
        <v>1725</v>
      </c>
      <c r="B416">
        <v>100908</v>
      </c>
      <c r="C416" t="s">
        <v>48</v>
      </c>
      <c r="D416" s="1">
        <v>45878</v>
      </c>
      <c r="E416" t="s">
        <v>199</v>
      </c>
      <c r="F416" t="s">
        <v>1726</v>
      </c>
      <c r="G416" t="s">
        <v>22</v>
      </c>
      <c r="H416" t="s">
        <v>1727</v>
      </c>
      <c r="I416" t="s">
        <v>1728</v>
      </c>
      <c r="J416" s="2">
        <v>46083.976482495731</v>
      </c>
    </row>
    <row r="417" spans="1:11" x14ac:dyDescent="0.55000000000000004">
      <c r="A417" t="s">
        <v>1729</v>
      </c>
      <c r="B417">
        <v>100035</v>
      </c>
      <c r="C417" t="s">
        <v>12</v>
      </c>
      <c r="D417" s="1">
        <v>45915</v>
      </c>
      <c r="E417" t="s">
        <v>170</v>
      </c>
      <c r="F417" t="s">
        <v>1730</v>
      </c>
      <c r="G417" t="s">
        <v>15</v>
      </c>
      <c r="H417" t="s">
        <v>1731</v>
      </c>
      <c r="I417" t="s">
        <v>1732</v>
      </c>
      <c r="J417" s="2">
        <v>46055.948010277789</v>
      </c>
    </row>
    <row r="418" spans="1:11" x14ac:dyDescent="0.55000000000000004">
      <c r="A418" t="s">
        <v>1733</v>
      </c>
      <c r="B418">
        <v>100069</v>
      </c>
      <c r="C418" t="s">
        <v>179</v>
      </c>
      <c r="D418" s="1">
        <v>45853</v>
      </c>
      <c r="E418" t="s">
        <v>13</v>
      </c>
      <c r="F418" t="s">
        <v>1734</v>
      </c>
      <c r="G418" t="s">
        <v>22</v>
      </c>
      <c r="H418" t="s">
        <v>1735</v>
      </c>
      <c r="I418" t="s">
        <v>1736</v>
      </c>
      <c r="J418" s="2">
        <v>46073.153565836838</v>
      </c>
    </row>
    <row r="419" spans="1:11" x14ac:dyDescent="0.55000000000000004">
      <c r="A419" t="s">
        <v>1737</v>
      </c>
      <c r="B419">
        <v>100382</v>
      </c>
      <c r="C419" t="s">
        <v>169</v>
      </c>
      <c r="D419" s="1">
        <v>46014</v>
      </c>
      <c r="E419" t="s">
        <v>155</v>
      </c>
      <c r="F419" t="s">
        <v>1738</v>
      </c>
      <c r="G419" t="s">
        <v>22</v>
      </c>
      <c r="H419" t="s">
        <v>1739</v>
      </c>
      <c r="I419" t="s">
        <v>1740</v>
      </c>
      <c r="J419" s="2">
        <v>46084.863982507253</v>
      </c>
    </row>
    <row r="420" spans="1:11" x14ac:dyDescent="0.55000000000000004">
      <c r="A420" t="s">
        <v>1741</v>
      </c>
      <c r="B420">
        <v>101394</v>
      </c>
      <c r="C420" t="s">
        <v>88</v>
      </c>
      <c r="D420" s="1">
        <v>46156</v>
      </c>
      <c r="E420" t="s">
        <v>317</v>
      </c>
      <c r="F420" t="s">
        <v>1742</v>
      </c>
      <c r="G420" t="s">
        <v>22</v>
      </c>
      <c r="H420" t="s">
        <v>1743</v>
      </c>
      <c r="I420" t="s">
        <v>1744</v>
      </c>
      <c r="J420" s="2">
        <v>46059.968843622708</v>
      </c>
    </row>
    <row r="421" spans="1:11" x14ac:dyDescent="0.55000000000000004">
      <c r="A421" t="s">
        <v>1745</v>
      </c>
      <c r="B421">
        <v>100306</v>
      </c>
      <c r="C421" t="s">
        <v>99</v>
      </c>
      <c r="D421" s="1">
        <v>45832</v>
      </c>
      <c r="E421" t="s">
        <v>208</v>
      </c>
      <c r="F421" t="s">
        <v>1746</v>
      </c>
      <c r="G421" t="s">
        <v>15</v>
      </c>
      <c r="H421" t="s">
        <v>1747</v>
      </c>
      <c r="I421" t="s">
        <v>1748</v>
      </c>
      <c r="J421" s="2">
        <v>46054.640371404777</v>
      </c>
    </row>
    <row r="422" spans="1:11" x14ac:dyDescent="0.55000000000000004">
      <c r="A422" t="s">
        <v>1749</v>
      </c>
      <c r="B422">
        <v>100097</v>
      </c>
      <c r="C422" t="s">
        <v>48</v>
      </c>
      <c r="D422" s="1">
        <v>45820</v>
      </c>
      <c r="E422" t="s">
        <v>270</v>
      </c>
      <c r="F422" t="s">
        <v>1750</v>
      </c>
      <c r="G422" t="s">
        <v>15</v>
      </c>
      <c r="H422" t="s">
        <v>1751</v>
      </c>
      <c r="I422" t="s">
        <v>1752</v>
      </c>
      <c r="J422" s="2">
        <v>46070.349399186132</v>
      </c>
    </row>
    <row r="423" spans="1:11" x14ac:dyDescent="0.55000000000000004">
      <c r="A423" t="s">
        <v>992</v>
      </c>
      <c r="B423">
        <v>100895</v>
      </c>
      <c r="C423" t="s">
        <v>146</v>
      </c>
      <c r="D423" s="1">
        <v>45867</v>
      </c>
      <c r="E423" t="s">
        <v>115</v>
      </c>
      <c r="F423" t="s">
        <v>1753</v>
      </c>
      <c r="G423" t="s">
        <v>22</v>
      </c>
      <c r="H423" t="s">
        <v>1754</v>
      </c>
      <c r="I423" t="s">
        <v>1755</v>
      </c>
      <c r="J423" s="2">
        <v>46097.276482525311</v>
      </c>
    </row>
    <row r="424" spans="1:11" x14ac:dyDescent="0.55000000000000004">
      <c r="A424" t="s">
        <v>1756</v>
      </c>
      <c r="B424">
        <v>100967</v>
      </c>
      <c r="C424" t="s">
        <v>88</v>
      </c>
      <c r="D424" s="1">
        <v>46095</v>
      </c>
      <c r="E424" t="s">
        <v>155</v>
      </c>
      <c r="F424" t="s">
        <v>1757</v>
      </c>
      <c r="G424" t="s">
        <v>15</v>
      </c>
      <c r="H424" t="s">
        <v>1758</v>
      </c>
      <c r="I424" t="s">
        <v>1759</v>
      </c>
      <c r="J424" s="2">
        <v>46076.897315862188</v>
      </c>
    </row>
    <row r="425" spans="1:11" x14ac:dyDescent="0.55000000000000004">
      <c r="A425" t="s">
        <v>1760</v>
      </c>
      <c r="B425">
        <v>100731</v>
      </c>
      <c r="C425" t="s">
        <v>12</v>
      </c>
      <c r="D425" s="1">
        <v>46128</v>
      </c>
      <c r="E425" t="s">
        <v>495</v>
      </c>
      <c r="F425" t="s">
        <v>1761</v>
      </c>
      <c r="G425" t="s">
        <v>22</v>
      </c>
      <c r="H425" t="s">
        <v>1762</v>
      </c>
      <c r="I425" t="s">
        <v>1763</v>
      </c>
      <c r="J425" s="2">
        <v>46093.294538088718</v>
      </c>
    </row>
    <row r="426" spans="1:11" x14ac:dyDescent="0.55000000000000004">
      <c r="A426" t="s">
        <v>1764</v>
      </c>
      <c r="B426">
        <v>100233</v>
      </c>
      <c r="C426" t="s">
        <v>82</v>
      </c>
      <c r="D426" s="1">
        <v>45844</v>
      </c>
      <c r="E426" t="s">
        <v>38</v>
      </c>
      <c r="F426" t="s">
        <v>1765</v>
      </c>
      <c r="G426" t="s">
        <v>15</v>
      </c>
      <c r="H426" t="s">
        <v>1766</v>
      </c>
      <c r="I426" t="s">
        <v>1767</v>
      </c>
      <c r="J426" s="2">
        <v>46065.519538093104</v>
      </c>
    </row>
    <row r="427" spans="1:11" x14ac:dyDescent="0.55000000000000004">
      <c r="A427" t="s">
        <v>1768</v>
      </c>
      <c r="B427">
        <v>100932</v>
      </c>
      <c r="C427" t="s">
        <v>94</v>
      </c>
      <c r="D427" s="1">
        <v>46010</v>
      </c>
      <c r="E427" t="s">
        <v>83</v>
      </c>
      <c r="F427" t="s">
        <v>1769</v>
      </c>
      <c r="G427" t="s">
        <v>15</v>
      </c>
      <c r="H427" t="s">
        <v>1770</v>
      </c>
      <c r="I427" t="s">
        <v>1771</v>
      </c>
      <c r="J427" s="2">
        <v>46083.802871430038</v>
      </c>
    </row>
    <row r="428" spans="1:11" x14ac:dyDescent="0.55000000000000004">
      <c r="A428" t="s">
        <v>1772</v>
      </c>
      <c r="B428">
        <v>100241</v>
      </c>
      <c r="C428" t="s">
        <v>169</v>
      </c>
      <c r="D428" s="1">
        <v>45901</v>
      </c>
      <c r="E428" t="s">
        <v>356</v>
      </c>
      <c r="F428" t="s">
        <v>1773</v>
      </c>
      <c r="G428" t="s">
        <v>22</v>
      </c>
      <c r="H428" t="s">
        <v>1774</v>
      </c>
      <c r="I428" t="s">
        <v>1775</v>
      </c>
      <c r="J428" s="2">
        <v>46061.82301032266</v>
      </c>
    </row>
    <row r="429" spans="1:11" x14ac:dyDescent="0.55000000000000004">
      <c r="A429" t="s">
        <v>1776</v>
      </c>
      <c r="B429">
        <v>101089</v>
      </c>
      <c r="C429" t="s">
        <v>37</v>
      </c>
      <c r="D429" s="1">
        <v>45790</v>
      </c>
      <c r="E429" t="s">
        <v>208</v>
      </c>
      <c r="F429" t="s">
        <v>1777</v>
      </c>
      <c r="G429" t="s">
        <v>15</v>
      </c>
      <c r="H429" t="s">
        <v>1778</v>
      </c>
      <c r="I429" t="s">
        <v>1779</v>
      </c>
      <c r="J429" s="2">
        <v>46094.775788104787</v>
      </c>
      <c r="K429" t="s">
        <v>119</v>
      </c>
    </row>
    <row r="430" spans="1:11" x14ac:dyDescent="0.55000000000000004">
      <c r="A430" t="s">
        <v>1780</v>
      </c>
      <c r="B430">
        <v>100427</v>
      </c>
      <c r="C430" t="s">
        <v>169</v>
      </c>
      <c r="D430" s="1">
        <v>45927</v>
      </c>
      <c r="E430" t="s">
        <v>69</v>
      </c>
      <c r="F430" t="s">
        <v>1781</v>
      </c>
      <c r="G430" t="s">
        <v>22</v>
      </c>
      <c r="H430" t="s">
        <v>1782</v>
      </c>
      <c r="I430" t="s">
        <v>1783</v>
      </c>
      <c r="J430" s="2">
        <v>46063.34384366469</v>
      </c>
    </row>
    <row r="431" spans="1:11" x14ac:dyDescent="0.55000000000000004">
      <c r="A431" t="s">
        <v>1784</v>
      </c>
      <c r="B431">
        <v>100578</v>
      </c>
      <c r="C431" t="s">
        <v>37</v>
      </c>
      <c r="D431" s="1">
        <v>45996</v>
      </c>
      <c r="E431" t="s">
        <v>27</v>
      </c>
      <c r="F431" t="s">
        <v>1785</v>
      </c>
      <c r="G431" t="s">
        <v>22</v>
      </c>
      <c r="H431" t="s">
        <v>1786</v>
      </c>
      <c r="I431" t="s">
        <v>1787</v>
      </c>
      <c r="J431" s="2">
        <v>46066.684121446087</v>
      </c>
    </row>
    <row r="432" spans="1:11" x14ac:dyDescent="0.55000000000000004">
      <c r="A432" t="s">
        <v>1788</v>
      </c>
      <c r="B432">
        <v>101202</v>
      </c>
      <c r="C432" t="s">
        <v>68</v>
      </c>
      <c r="D432" s="1">
        <v>46065</v>
      </c>
      <c r="E432" t="s">
        <v>20</v>
      </c>
      <c r="F432" t="s">
        <v>1789</v>
      </c>
      <c r="G432" t="s">
        <v>15</v>
      </c>
      <c r="H432" t="s">
        <v>1790</v>
      </c>
      <c r="I432" t="s">
        <v>1791</v>
      </c>
      <c r="J432" s="2">
        <v>46091.508427005967</v>
      </c>
    </row>
    <row r="433" spans="1:11" x14ac:dyDescent="0.55000000000000004">
      <c r="A433" t="s">
        <v>1792</v>
      </c>
      <c r="B433">
        <v>100361</v>
      </c>
      <c r="C433" t="s">
        <v>146</v>
      </c>
      <c r="D433" s="1">
        <v>46005</v>
      </c>
      <c r="E433" t="s">
        <v>317</v>
      </c>
      <c r="F433" t="s">
        <v>1793</v>
      </c>
      <c r="G433" t="s">
        <v>15</v>
      </c>
      <c r="H433" t="s">
        <v>1794</v>
      </c>
      <c r="I433" t="s">
        <v>1795</v>
      </c>
      <c r="J433" s="2">
        <v>46083.793149231737</v>
      </c>
    </row>
    <row r="434" spans="1:11" x14ac:dyDescent="0.55000000000000004">
      <c r="A434" t="s">
        <v>1796</v>
      </c>
      <c r="B434">
        <v>101027</v>
      </c>
      <c r="C434" t="s">
        <v>248</v>
      </c>
      <c r="D434" s="1">
        <v>46082</v>
      </c>
      <c r="E434" t="s">
        <v>265</v>
      </c>
      <c r="F434" t="s">
        <v>1797</v>
      </c>
      <c r="G434" t="s">
        <v>22</v>
      </c>
      <c r="H434" t="s">
        <v>1798</v>
      </c>
      <c r="I434" t="s">
        <v>1799</v>
      </c>
      <c r="J434" s="2">
        <v>46056.643843679893</v>
      </c>
    </row>
    <row r="435" spans="1:11" x14ac:dyDescent="0.55000000000000004">
      <c r="A435" t="s">
        <v>1800</v>
      </c>
      <c r="B435">
        <v>100149</v>
      </c>
      <c r="C435" t="s">
        <v>114</v>
      </c>
      <c r="D435" s="1">
        <v>45744</v>
      </c>
      <c r="E435" t="s">
        <v>49</v>
      </c>
      <c r="F435" t="s">
        <v>1801</v>
      </c>
      <c r="G435" t="s">
        <v>15</v>
      </c>
      <c r="H435" t="s">
        <v>1802</v>
      </c>
      <c r="I435" t="s">
        <v>1803</v>
      </c>
      <c r="J435" s="2">
        <v>46092.641760351064</v>
      </c>
    </row>
    <row r="436" spans="1:11" x14ac:dyDescent="0.55000000000000004">
      <c r="A436" t="s">
        <v>1804</v>
      </c>
      <c r="B436">
        <v>100366</v>
      </c>
      <c r="C436" t="s">
        <v>12</v>
      </c>
      <c r="D436" s="1">
        <v>45823</v>
      </c>
      <c r="E436" t="s">
        <v>170</v>
      </c>
      <c r="F436" t="s">
        <v>1805</v>
      </c>
      <c r="G436" t="s">
        <v>15</v>
      </c>
      <c r="H436" t="s">
        <v>1806</v>
      </c>
      <c r="I436" t="s">
        <v>1807</v>
      </c>
      <c r="J436" s="2">
        <v>46081.166760355431</v>
      </c>
    </row>
    <row r="437" spans="1:11" x14ac:dyDescent="0.55000000000000004">
      <c r="A437" t="s">
        <v>1808</v>
      </c>
      <c r="B437">
        <v>101282</v>
      </c>
      <c r="C437" t="s">
        <v>179</v>
      </c>
      <c r="D437" s="1">
        <v>45962</v>
      </c>
      <c r="E437" t="s">
        <v>300</v>
      </c>
      <c r="F437" t="s">
        <v>1809</v>
      </c>
      <c r="G437" t="s">
        <v>15</v>
      </c>
      <c r="H437" t="s">
        <v>1810</v>
      </c>
      <c r="I437" t="s">
        <v>1811</v>
      </c>
      <c r="J437" s="2">
        <v>46072.788982581318</v>
      </c>
    </row>
    <row r="438" spans="1:11" x14ac:dyDescent="0.55000000000000004">
      <c r="A438" t="s">
        <v>1812</v>
      </c>
      <c r="B438">
        <v>101054</v>
      </c>
      <c r="C438" t="s">
        <v>533</v>
      </c>
      <c r="D438" s="1">
        <v>46005</v>
      </c>
      <c r="E438" t="s">
        <v>317</v>
      </c>
      <c r="F438" t="s">
        <v>1813</v>
      </c>
      <c r="G438" t="s">
        <v>15</v>
      </c>
      <c r="H438" t="s">
        <v>1814</v>
      </c>
      <c r="I438" t="s">
        <v>1815</v>
      </c>
      <c r="J438" s="2">
        <v>46060.681343697113</v>
      </c>
    </row>
    <row r="439" spans="1:11" x14ac:dyDescent="0.55000000000000004">
      <c r="A439" t="s">
        <v>1816</v>
      </c>
      <c r="B439">
        <v>101228</v>
      </c>
      <c r="C439" t="s">
        <v>131</v>
      </c>
      <c r="D439" s="1">
        <v>45915</v>
      </c>
      <c r="E439" t="s">
        <v>343</v>
      </c>
      <c r="F439" t="s">
        <v>1817</v>
      </c>
      <c r="G439" t="s">
        <v>15</v>
      </c>
      <c r="H439" t="s">
        <v>1818</v>
      </c>
      <c r="I439" t="s">
        <v>1819</v>
      </c>
      <c r="J439" s="2">
        <v>46079.123704811907</v>
      </c>
    </row>
    <row r="440" spans="1:11" x14ac:dyDescent="0.55000000000000004">
      <c r="A440" t="s">
        <v>1820</v>
      </c>
      <c r="B440">
        <v>100704</v>
      </c>
      <c r="C440" t="s">
        <v>179</v>
      </c>
      <c r="D440" s="1">
        <v>45934</v>
      </c>
      <c r="E440" t="s">
        <v>121</v>
      </c>
      <c r="F440" t="s">
        <v>1821</v>
      </c>
      <c r="G440" t="s">
        <v>15</v>
      </c>
      <c r="H440" t="s">
        <v>1822</v>
      </c>
      <c r="I440" t="s">
        <v>1823</v>
      </c>
      <c r="J440" s="2">
        <v>46089.190371483062</v>
      </c>
      <c r="K440" t="s">
        <v>139</v>
      </c>
    </row>
    <row r="441" spans="1:11" x14ac:dyDescent="0.55000000000000004">
      <c r="A441" t="s">
        <v>909</v>
      </c>
      <c r="B441">
        <v>100060</v>
      </c>
      <c r="C441" t="s">
        <v>146</v>
      </c>
      <c r="D441" s="1">
        <v>45883</v>
      </c>
      <c r="E441" t="s">
        <v>160</v>
      </c>
      <c r="F441" t="s">
        <v>1824</v>
      </c>
      <c r="G441" t="s">
        <v>15</v>
      </c>
      <c r="H441" t="s">
        <v>1825</v>
      </c>
      <c r="I441" t="s">
        <v>1826</v>
      </c>
      <c r="J441" s="2">
        <v>46061.957038153771</v>
      </c>
    </row>
    <row r="442" spans="1:11" x14ac:dyDescent="0.55000000000000004">
      <c r="A442" t="s">
        <v>1827</v>
      </c>
      <c r="B442">
        <v>101488</v>
      </c>
      <c r="C442" t="s">
        <v>114</v>
      </c>
      <c r="D442" s="1">
        <v>45795</v>
      </c>
      <c r="E442" t="s">
        <v>155</v>
      </c>
      <c r="F442" t="s">
        <v>1828</v>
      </c>
      <c r="G442" t="s">
        <v>22</v>
      </c>
      <c r="H442" t="s">
        <v>1829</v>
      </c>
      <c r="I442" t="s">
        <v>1830</v>
      </c>
      <c r="J442" s="2">
        <v>46062.967454824888</v>
      </c>
    </row>
    <row r="443" spans="1:11" x14ac:dyDescent="0.55000000000000004">
      <c r="A443" t="s">
        <v>1831</v>
      </c>
      <c r="B443">
        <v>100058</v>
      </c>
      <c r="C443" t="s">
        <v>131</v>
      </c>
      <c r="D443" s="1">
        <v>45888</v>
      </c>
      <c r="E443" t="s">
        <v>317</v>
      </c>
      <c r="F443" t="s">
        <v>1832</v>
      </c>
      <c r="G443" t="s">
        <v>22</v>
      </c>
      <c r="H443" t="s">
        <v>1833</v>
      </c>
      <c r="I443" t="s">
        <v>1834</v>
      </c>
      <c r="J443" s="2">
        <v>46084.159121496028</v>
      </c>
    </row>
    <row r="444" spans="1:11" x14ac:dyDescent="0.55000000000000004">
      <c r="A444" t="s">
        <v>1835</v>
      </c>
      <c r="B444">
        <v>101422</v>
      </c>
      <c r="C444" t="s">
        <v>82</v>
      </c>
      <c r="D444" s="1">
        <v>45804</v>
      </c>
      <c r="E444" t="s">
        <v>115</v>
      </c>
      <c r="F444" t="s">
        <v>1836</v>
      </c>
      <c r="G444" t="s">
        <v>15</v>
      </c>
      <c r="H444" t="s">
        <v>1837</v>
      </c>
      <c r="I444" t="s">
        <v>1838</v>
      </c>
      <c r="J444" s="2">
        <v>46058.386899277408</v>
      </c>
    </row>
    <row r="445" spans="1:11" x14ac:dyDescent="0.55000000000000004">
      <c r="A445" t="s">
        <v>1839</v>
      </c>
      <c r="B445">
        <v>100115</v>
      </c>
      <c r="C445" t="s">
        <v>248</v>
      </c>
      <c r="D445" s="1">
        <v>45790</v>
      </c>
      <c r="E445" t="s">
        <v>317</v>
      </c>
      <c r="F445" t="s">
        <v>1840</v>
      </c>
      <c r="G445" t="s">
        <v>15</v>
      </c>
      <c r="H445" t="s">
        <v>1841</v>
      </c>
      <c r="I445" t="s">
        <v>1842</v>
      </c>
      <c r="J445" s="2">
        <v>46062.090371503378</v>
      </c>
    </row>
    <row r="446" spans="1:11" x14ac:dyDescent="0.55000000000000004">
      <c r="A446" t="s">
        <v>1843</v>
      </c>
      <c r="B446">
        <v>101306</v>
      </c>
      <c r="C446" t="s">
        <v>146</v>
      </c>
      <c r="D446" s="1">
        <v>45769</v>
      </c>
      <c r="E446" t="s">
        <v>141</v>
      </c>
      <c r="F446" t="s">
        <v>1844</v>
      </c>
      <c r="G446" t="s">
        <v>22</v>
      </c>
      <c r="H446" t="s">
        <v>1845</v>
      </c>
      <c r="I446" t="s">
        <v>1846</v>
      </c>
      <c r="J446" s="2">
        <v>46091.465371507977</v>
      </c>
    </row>
    <row r="447" spans="1:11" x14ac:dyDescent="0.55000000000000004">
      <c r="A447" t="s">
        <v>1847</v>
      </c>
      <c r="B447">
        <v>100208</v>
      </c>
      <c r="C447" t="s">
        <v>26</v>
      </c>
      <c r="D447" s="1">
        <v>45981</v>
      </c>
      <c r="E447" t="s">
        <v>356</v>
      </c>
      <c r="F447" t="s">
        <v>1848</v>
      </c>
      <c r="G447" t="s">
        <v>15</v>
      </c>
      <c r="H447" t="s">
        <v>1849</v>
      </c>
      <c r="I447" t="s">
        <v>1850</v>
      </c>
      <c r="J447" s="2">
        <v>46091.341065956127</v>
      </c>
    </row>
    <row r="448" spans="1:11" x14ac:dyDescent="0.55000000000000004">
      <c r="A448" t="s">
        <v>1851</v>
      </c>
      <c r="B448">
        <v>100829</v>
      </c>
      <c r="C448" t="s">
        <v>99</v>
      </c>
      <c r="D448" s="1">
        <v>45767</v>
      </c>
      <c r="E448" t="s">
        <v>20</v>
      </c>
      <c r="F448" t="s">
        <v>1852</v>
      </c>
      <c r="G448" t="s">
        <v>22</v>
      </c>
      <c r="H448" t="s">
        <v>1853</v>
      </c>
      <c r="I448" t="s">
        <v>1854</v>
      </c>
      <c r="J448" s="2">
        <v>46069.279260404292</v>
      </c>
    </row>
    <row r="449" spans="1:11" x14ac:dyDescent="0.55000000000000004">
      <c r="A449" t="s">
        <v>1855</v>
      </c>
      <c r="B449">
        <v>101119</v>
      </c>
      <c r="C449" t="s">
        <v>99</v>
      </c>
      <c r="D449" s="1">
        <v>46069</v>
      </c>
      <c r="E449" t="s">
        <v>27</v>
      </c>
      <c r="F449" t="s">
        <v>1856</v>
      </c>
      <c r="G449" t="s">
        <v>15</v>
      </c>
      <c r="H449" t="s">
        <v>1857</v>
      </c>
      <c r="I449" t="s">
        <v>1858</v>
      </c>
      <c r="J449" s="2">
        <v>46060.940371519282</v>
      </c>
    </row>
    <row r="450" spans="1:11" x14ac:dyDescent="0.55000000000000004">
      <c r="A450" t="s">
        <v>1859</v>
      </c>
      <c r="B450">
        <v>100698</v>
      </c>
      <c r="C450" t="s">
        <v>63</v>
      </c>
      <c r="D450" s="1">
        <v>46145</v>
      </c>
      <c r="E450" t="s">
        <v>418</v>
      </c>
      <c r="F450" t="s">
        <v>1860</v>
      </c>
      <c r="G450" t="s">
        <v>15</v>
      </c>
      <c r="H450" t="s">
        <v>1861</v>
      </c>
      <c r="I450" t="s">
        <v>1862</v>
      </c>
      <c r="J450" s="2">
        <v>46077.3959270786</v>
      </c>
    </row>
    <row r="451" spans="1:11" x14ac:dyDescent="0.55000000000000004">
      <c r="A451" t="s">
        <v>1863</v>
      </c>
      <c r="B451">
        <v>100159</v>
      </c>
      <c r="C451" t="s">
        <v>194</v>
      </c>
      <c r="D451" s="1">
        <v>46096</v>
      </c>
      <c r="E451" t="s">
        <v>300</v>
      </c>
      <c r="F451" t="s">
        <v>1864</v>
      </c>
      <c r="G451" t="s">
        <v>22</v>
      </c>
      <c r="H451" t="s">
        <v>1865</v>
      </c>
      <c r="I451" t="s">
        <v>1866</v>
      </c>
      <c r="J451" s="2">
        <v>46088.779954860183</v>
      </c>
    </row>
    <row r="452" spans="1:11" x14ac:dyDescent="0.55000000000000004">
      <c r="A452" t="s">
        <v>1867</v>
      </c>
      <c r="B452">
        <v>101100</v>
      </c>
      <c r="C452" t="s">
        <v>169</v>
      </c>
      <c r="D452" s="1">
        <v>45977</v>
      </c>
      <c r="E452" t="s">
        <v>58</v>
      </c>
      <c r="F452" t="s">
        <v>1868</v>
      </c>
      <c r="G452" t="s">
        <v>22</v>
      </c>
      <c r="H452" t="s">
        <v>1869</v>
      </c>
      <c r="I452" t="s">
        <v>1870</v>
      </c>
      <c r="J452" s="2">
        <v>46065.961899308422</v>
      </c>
    </row>
    <row r="453" spans="1:11" x14ac:dyDescent="0.55000000000000004">
      <c r="A453" t="s">
        <v>1871</v>
      </c>
      <c r="B453">
        <v>101459</v>
      </c>
      <c r="C453" t="s">
        <v>533</v>
      </c>
      <c r="D453" s="1">
        <v>45821</v>
      </c>
      <c r="E453" t="s">
        <v>343</v>
      </c>
      <c r="F453" t="s">
        <v>1872</v>
      </c>
      <c r="G453" t="s">
        <v>15</v>
      </c>
      <c r="H453" t="s">
        <v>1873</v>
      </c>
      <c r="I453" t="s">
        <v>1874</v>
      </c>
      <c r="J453" s="2">
        <v>46063.466760424053</v>
      </c>
    </row>
    <row r="454" spans="1:11" x14ac:dyDescent="0.55000000000000004">
      <c r="A454" t="s">
        <v>1875</v>
      </c>
      <c r="B454">
        <v>101078</v>
      </c>
      <c r="C454" t="s">
        <v>32</v>
      </c>
      <c r="D454" s="1">
        <v>46107</v>
      </c>
      <c r="E454" t="s">
        <v>184</v>
      </c>
      <c r="F454" t="s">
        <v>1876</v>
      </c>
      <c r="G454" t="s">
        <v>15</v>
      </c>
      <c r="H454" t="s">
        <v>1877</v>
      </c>
      <c r="I454" t="s">
        <v>1878</v>
      </c>
      <c r="J454" s="2">
        <v>46059.923010428749</v>
      </c>
    </row>
    <row r="455" spans="1:11" x14ac:dyDescent="0.55000000000000004">
      <c r="A455" t="s">
        <v>1879</v>
      </c>
      <c r="B455">
        <v>101251</v>
      </c>
      <c r="C455" t="s">
        <v>179</v>
      </c>
      <c r="D455" s="1">
        <v>46125</v>
      </c>
      <c r="E455" t="s">
        <v>199</v>
      </c>
      <c r="F455" t="s">
        <v>1880</v>
      </c>
      <c r="G455" t="s">
        <v>22</v>
      </c>
      <c r="H455" t="s">
        <v>1881</v>
      </c>
      <c r="I455" t="s">
        <v>1882</v>
      </c>
      <c r="J455" s="2">
        <v>46056.534815988889</v>
      </c>
    </row>
    <row r="456" spans="1:11" x14ac:dyDescent="0.55000000000000004">
      <c r="A456" t="s">
        <v>1883</v>
      </c>
      <c r="B456">
        <v>101128</v>
      </c>
      <c r="C456" t="s">
        <v>63</v>
      </c>
      <c r="D456" s="1">
        <v>45932</v>
      </c>
      <c r="E456" t="s">
        <v>38</v>
      </c>
      <c r="F456" t="s">
        <v>1884</v>
      </c>
      <c r="G456" t="s">
        <v>22</v>
      </c>
      <c r="H456" t="s">
        <v>1885</v>
      </c>
      <c r="I456" t="s">
        <v>1886</v>
      </c>
      <c r="J456" s="2">
        <v>46089.085510437013</v>
      </c>
    </row>
    <row r="457" spans="1:11" x14ac:dyDescent="0.55000000000000004">
      <c r="A457" t="s">
        <v>1887</v>
      </c>
      <c r="B457">
        <v>101192</v>
      </c>
      <c r="C457" t="s">
        <v>82</v>
      </c>
      <c r="D457" s="1">
        <v>45993</v>
      </c>
      <c r="E457" t="s">
        <v>69</v>
      </c>
      <c r="F457" t="s">
        <v>1888</v>
      </c>
      <c r="G457" t="s">
        <v>22</v>
      </c>
      <c r="H457" t="s">
        <v>1889</v>
      </c>
      <c r="I457" t="s">
        <v>1890</v>
      </c>
      <c r="J457" s="2">
        <v>46065.731343774823</v>
      </c>
    </row>
    <row r="458" spans="1:11" x14ac:dyDescent="0.55000000000000004">
      <c r="A458" t="s">
        <v>1891</v>
      </c>
      <c r="B458">
        <v>100626</v>
      </c>
      <c r="C458" t="s">
        <v>194</v>
      </c>
      <c r="D458" s="1">
        <v>46144</v>
      </c>
      <c r="E458" t="s">
        <v>587</v>
      </c>
      <c r="F458" t="s">
        <v>1892</v>
      </c>
      <c r="G458" t="s">
        <v>22</v>
      </c>
      <c r="H458" t="s">
        <v>1893</v>
      </c>
      <c r="I458" t="s">
        <v>1894</v>
      </c>
      <c r="J458" s="2">
        <v>46087.491760445162</v>
      </c>
    </row>
    <row r="459" spans="1:11" x14ac:dyDescent="0.55000000000000004">
      <c r="A459" t="s">
        <v>1895</v>
      </c>
      <c r="B459">
        <v>100062</v>
      </c>
      <c r="C459" t="s">
        <v>26</v>
      </c>
      <c r="D459" s="1">
        <v>46021</v>
      </c>
      <c r="E459" t="s">
        <v>208</v>
      </c>
      <c r="F459" t="s">
        <v>1896</v>
      </c>
      <c r="G459" t="s">
        <v>15</v>
      </c>
      <c r="H459" t="s">
        <v>1897</v>
      </c>
      <c r="I459" t="s">
        <v>1898</v>
      </c>
      <c r="J459" s="2">
        <v>46083.052871560787</v>
      </c>
    </row>
    <row r="460" spans="1:11" x14ac:dyDescent="0.55000000000000004">
      <c r="A460" t="s">
        <v>1899</v>
      </c>
      <c r="B460">
        <v>101158</v>
      </c>
      <c r="C460" t="s">
        <v>194</v>
      </c>
      <c r="D460" s="1">
        <v>45764</v>
      </c>
      <c r="E460" t="s">
        <v>356</v>
      </c>
      <c r="F460" t="s">
        <v>1900</v>
      </c>
      <c r="G460" t="s">
        <v>15</v>
      </c>
      <c r="H460" t="s">
        <v>1901</v>
      </c>
      <c r="I460" t="s">
        <v>1902</v>
      </c>
      <c r="J460" s="2">
        <v>46055.452177120933</v>
      </c>
    </row>
    <row r="461" spans="1:11" x14ac:dyDescent="0.55000000000000004">
      <c r="A461" t="s">
        <v>1903</v>
      </c>
      <c r="B461">
        <v>100357</v>
      </c>
      <c r="C461" t="s">
        <v>82</v>
      </c>
      <c r="D461" s="1">
        <v>46137</v>
      </c>
      <c r="E461" t="s">
        <v>757</v>
      </c>
      <c r="F461" t="s">
        <v>1904</v>
      </c>
      <c r="G461" t="s">
        <v>22</v>
      </c>
      <c r="H461" t="s">
        <v>1905</v>
      </c>
      <c r="I461" t="s">
        <v>1906</v>
      </c>
      <c r="J461" s="2">
        <v>46095.68967712536</v>
      </c>
    </row>
    <row r="462" spans="1:11" x14ac:dyDescent="0.55000000000000004">
      <c r="A462" t="s">
        <v>1907</v>
      </c>
      <c r="C462" t="s">
        <v>169</v>
      </c>
      <c r="D462" s="1">
        <v>45784</v>
      </c>
      <c r="E462" t="s">
        <v>126</v>
      </c>
      <c r="F462" t="s">
        <v>1908</v>
      </c>
      <c r="G462" t="s">
        <v>15</v>
      </c>
      <c r="H462" t="s">
        <v>1909</v>
      </c>
      <c r="I462" t="s">
        <v>1910</v>
      </c>
      <c r="J462" s="2">
        <v>46072.816760462629</v>
      </c>
      <c r="K462" t="s">
        <v>112</v>
      </c>
    </row>
    <row r="463" spans="1:11" x14ac:dyDescent="0.55000000000000004">
      <c r="A463" t="s">
        <v>1911</v>
      </c>
      <c r="C463" t="s">
        <v>179</v>
      </c>
      <c r="D463" s="1">
        <v>45919</v>
      </c>
      <c r="E463" t="s">
        <v>13</v>
      </c>
      <c r="F463" t="s">
        <v>1286</v>
      </c>
      <c r="G463" t="s">
        <v>22</v>
      </c>
      <c r="H463" t="s">
        <v>1912</v>
      </c>
      <c r="I463" t="s">
        <v>1913</v>
      </c>
      <c r="J463" s="2">
        <v>46083.011899355981</v>
      </c>
      <c r="K463" t="s">
        <v>112</v>
      </c>
    </row>
    <row r="464" spans="1:11" x14ac:dyDescent="0.55000000000000004">
      <c r="A464" t="s">
        <v>1914</v>
      </c>
      <c r="B464">
        <v>101085</v>
      </c>
      <c r="C464" t="s">
        <v>179</v>
      </c>
      <c r="D464" s="1">
        <v>45912</v>
      </c>
      <c r="E464" t="s">
        <v>757</v>
      </c>
      <c r="F464" t="s">
        <v>1915</v>
      </c>
      <c r="G464" t="s">
        <v>15</v>
      </c>
      <c r="H464" t="s">
        <v>1916</v>
      </c>
      <c r="I464" t="s">
        <v>1917</v>
      </c>
      <c r="J464" s="2">
        <v>46065.548704915404</v>
      </c>
    </row>
    <row r="465" spans="1:10" x14ac:dyDescent="0.55000000000000004">
      <c r="A465" t="s">
        <v>1918</v>
      </c>
      <c r="B465">
        <v>100067</v>
      </c>
      <c r="C465" t="s">
        <v>88</v>
      </c>
      <c r="D465" s="1">
        <v>45816</v>
      </c>
      <c r="E465" t="s">
        <v>155</v>
      </c>
      <c r="F465" t="s">
        <v>1919</v>
      </c>
      <c r="G465" t="s">
        <v>22</v>
      </c>
      <c r="H465" t="s">
        <v>1920</v>
      </c>
      <c r="I465" t="s">
        <v>1921</v>
      </c>
      <c r="J465" s="2">
        <v>46084.532732697713</v>
      </c>
    </row>
    <row r="466" spans="1:10" x14ac:dyDescent="0.55000000000000004">
      <c r="A466" t="s">
        <v>1922</v>
      </c>
      <c r="B466">
        <v>100896</v>
      </c>
      <c r="C466" t="s">
        <v>48</v>
      </c>
      <c r="D466" s="1">
        <v>45812</v>
      </c>
      <c r="E466" t="s">
        <v>170</v>
      </c>
      <c r="F466" t="s">
        <v>1923</v>
      </c>
      <c r="G466" t="s">
        <v>15</v>
      </c>
      <c r="H466" t="s">
        <v>1924</v>
      </c>
      <c r="I466" t="s">
        <v>1925</v>
      </c>
      <c r="J466" s="2">
        <v>46071.276482701549</v>
      </c>
    </row>
    <row r="467" spans="1:10" x14ac:dyDescent="0.55000000000000004">
      <c r="A467" t="s">
        <v>1926</v>
      </c>
      <c r="B467">
        <v>100930</v>
      </c>
      <c r="C467" t="s">
        <v>533</v>
      </c>
      <c r="D467" s="1">
        <v>45978</v>
      </c>
      <c r="E467" t="s">
        <v>680</v>
      </c>
      <c r="F467" t="s">
        <v>1927</v>
      </c>
      <c r="G467" t="s">
        <v>15</v>
      </c>
      <c r="H467" t="s">
        <v>1928</v>
      </c>
      <c r="I467" t="s">
        <v>1929</v>
      </c>
      <c r="J467" s="2">
        <v>46056.161899372142</v>
      </c>
    </row>
    <row r="468" spans="1:10" x14ac:dyDescent="0.55000000000000004">
      <c r="A468" t="s">
        <v>1930</v>
      </c>
      <c r="B468">
        <v>101333</v>
      </c>
      <c r="C468" t="s">
        <v>37</v>
      </c>
      <c r="D468" s="1">
        <v>45856</v>
      </c>
      <c r="E468" t="s">
        <v>115</v>
      </c>
      <c r="F468" t="s">
        <v>1931</v>
      </c>
      <c r="G468" t="s">
        <v>15</v>
      </c>
      <c r="H468" t="s">
        <v>1932</v>
      </c>
      <c r="I468" t="s">
        <v>1933</v>
      </c>
      <c r="J468" s="2">
        <v>46088.850788266893</v>
      </c>
    </row>
    <row r="469" spans="1:10" x14ac:dyDescent="0.55000000000000004">
      <c r="A469" t="s">
        <v>1934</v>
      </c>
      <c r="B469">
        <v>100681</v>
      </c>
      <c r="C469" t="s">
        <v>82</v>
      </c>
      <c r="D469" s="1">
        <v>45752</v>
      </c>
      <c r="E469" t="s">
        <v>108</v>
      </c>
      <c r="F469" t="s">
        <v>1935</v>
      </c>
      <c r="G469" t="s">
        <v>22</v>
      </c>
      <c r="H469" t="s">
        <v>1936</v>
      </c>
      <c r="I469" t="s">
        <v>1937</v>
      </c>
      <c r="J469" s="2">
        <v>46086.01120493807</v>
      </c>
    </row>
    <row r="470" spans="1:10" x14ac:dyDescent="0.55000000000000004">
      <c r="A470" t="s">
        <v>1938</v>
      </c>
      <c r="B470">
        <v>100837</v>
      </c>
      <c r="C470" t="s">
        <v>179</v>
      </c>
      <c r="D470" s="1">
        <v>46038</v>
      </c>
      <c r="E470" t="s">
        <v>13</v>
      </c>
      <c r="F470" t="s">
        <v>1939</v>
      </c>
      <c r="G470" t="s">
        <v>15</v>
      </c>
      <c r="H470" t="s">
        <v>1940</v>
      </c>
      <c r="I470" t="s">
        <v>1941</v>
      </c>
      <c r="J470" s="2">
        <v>46084.107732719873</v>
      </c>
    </row>
    <row r="471" spans="1:10" x14ac:dyDescent="0.55000000000000004">
      <c r="A471" t="s">
        <v>1942</v>
      </c>
      <c r="B471">
        <v>100800</v>
      </c>
      <c r="C471" t="s">
        <v>99</v>
      </c>
      <c r="D471" s="1">
        <v>45973</v>
      </c>
      <c r="E471" t="s">
        <v>189</v>
      </c>
      <c r="F471" t="s">
        <v>203</v>
      </c>
      <c r="G471" t="s">
        <v>22</v>
      </c>
      <c r="H471" t="s">
        <v>1943</v>
      </c>
      <c r="I471" t="s">
        <v>1944</v>
      </c>
      <c r="J471" s="2">
        <v>46059.543149391073</v>
      </c>
    </row>
    <row r="472" spans="1:10" x14ac:dyDescent="0.55000000000000004">
      <c r="A472" t="s">
        <v>1945</v>
      </c>
      <c r="B472">
        <v>100320</v>
      </c>
      <c r="C472" t="s">
        <v>26</v>
      </c>
      <c r="D472" s="1">
        <v>46152</v>
      </c>
      <c r="E472" t="s">
        <v>38</v>
      </c>
      <c r="F472" t="s">
        <v>1946</v>
      </c>
      <c r="G472" t="s">
        <v>22</v>
      </c>
      <c r="H472" t="s">
        <v>1947</v>
      </c>
      <c r="I472" t="s">
        <v>1948</v>
      </c>
      <c r="J472" s="2">
        <v>46086.77092717278</v>
      </c>
    </row>
    <row r="473" spans="1:10" x14ac:dyDescent="0.55000000000000004">
      <c r="A473" t="s">
        <v>1949</v>
      </c>
      <c r="B473">
        <v>100934</v>
      </c>
      <c r="C473" t="s">
        <v>169</v>
      </c>
      <c r="D473" s="1">
        <v>45964</v>
      </c>
      <c r="E473" t="s">
        <v>528</v>
      </c>
      <c r="F473" t="s">
        <v>1950</v>
      </c>
      <c r="G473" t="s">
        <v>22</v>
      </c>
      <c r="H473" t="s">
        <v>1951</v>
      </c>
      <c r="I473" t="s">
        <v>1952</v>
      </c>
      <c r="J473" s="2">
        <v>46073.558427176707</v>
      </c>
    </row>
    <row r="474" spans="1:10" x14ac:dyDescent="0.55000000000000004">
      <c r="A474" t="s">
        <v>1953</v>
      </c>
      <c r="B474">
        <v>100387</v>
      </c>
      <c r="C474" t="s">
        <v>533</v>
      </c>
      <c r="D474" s="1">
        <v>45740</v>
      </c>
      <c r="E474" t="s">
        <v>38</v>
      </c>
      <c r="F474" t="s">
        <v>1954</v>
      </c>
      <c r="G474" t="s">
        <v>22</v>
      </c>
      <c r="H474" t="s">
        <v>1955</v>
      </c>
      <c r="I474" t="s">
        <v>1956</v>
      </c>
      <c r="J474" s="2">
        <v>46087.884816069469</v>
      </c>
    </row>
    <row r="475" spans="1:10" x14ac:dyDescent="0.55000000000000004">
      <c r="A475" t="s">
        <v>1957</v>
      </c>
      <c r="B475">
        <v>100909</v>
      </c>
      <c r="C475" t="s">
        <v>533</v>
      </c>
      <c r="D475" s="1">
        <v>45822</v>
      </c>
      <c r="E475" t="s">
        <v>27</v>
      </c>
      <c r="F475" t="s">
        <v>1958</v>
      </c>
      <c r="G475" t="s">
        <v>15</v>
      </c>
      <c r="H475" t="s">
        <v>1959</v>
      </c>
      <c r="I475" t="s">
        <v>1960</v>
      </c>
      <c r="J475" s="2">
        <v>46063.030649407287</v>
      </c>
    </row>
    <row r="476" spans="1:10" x14ac:dyDescent="0.55000000000000004">
      <c r="A476" t="s">
        <v>1961</v>
      </c>
      <c r="B476">
        <v>100519</v>
      </c>
      <c r="C476" t="s">
        <v>533</v>
      </c>
      <c r="D476" s="1">
        <v>45779</v>
      </c>
      <c r="E476" t="s">
        <v>189</v>
      </c>
      <c r="F476" t="s">
        <v>1962</v>
      </c>
      <c r="G476" t="s">
        <v>15</v>
      </c>
      <c r="H476" t="s">
        <v>1963</v>
      </c>
      <c r="I476" t="s">
        <v>1964</v>
      </c>
      <c r="J476" s="2">
        <v>46053.82301052221</v>
      </c>
    </row>
    <row r="477" spans="1:10" x14ac:dyDescent="0.55000000000000004">
      <c r="A477" t="s">
        <v>1965</v>
      </c>
      <c r="B477">
        <v>100905</v>
      </c>
      <c r="C477" t="s">
        <v>94</v>
      </c>
      <c r="D477" s="1">
        <v>45999</v>
      </c>
      <c r="E477" t="s">
        <v>295</v>
      </c>
      <c r="F477" t="s">
        <v>1966</v>
      </c>
      <c r="G477" t="s">
        <v>22</v>
      </c>
      <c r="H477" t="s">
        <v>1967</v>
      </c>
      <c r="I477" t="s">
        <v>1968</v>
      </c>
      <c r="J477" s="2">
        <v>46083.060510525902</v>
      </c>
    </row>
    <row r="478" spans="1:10" x14ac:dyDescent="0.55000000000000004">
      <c r="A478" t="s">
        <v>1969</v>
      </c>
      <c r="B478">
        <v>101368</v>
      </c>
      <c r="C478" t="s">
        <v>179</v>
      </c>
      <c r="D478" s="1">
        <v>45911</v>
      </c>
      <c r="E478" t="s">
        <v>184</v>
      </c>
      <c r="F478" t="s">
        <v>1970</v>
      </c>
      <c r="G478" t="s">
        <v>22</v>
      </c>
      <c r="H478" t="s">
        <v>1971</v>
      </c>
      <c r="I478" t="s">
        <v>1972</v>
      </c>
      <c r="J478" s="2">
        <v>46089.384121640913</v>
      </c>
    </row>
    <row r="479" spans="1:10" x14ac:dyDescent="0.55000000000000004">
      <c r="A479" t="s">
        <v>1973</v>
      </c>
      <c r="B479">
        <v>101061</v>
      </c>
      <c r="C479" t="s">
        <v>19</v>
      </c>
      <c r="D479" s="1">
        <v>46124</v>
      </c>
      <c r="E479" t="s">
        <v>155</v>
      </c>
      <c r="F479" t="s">
        <v>1974</v>
      </c>
      <c r="G479" t="s">
        <v>22</v>
      </c>
      <c r="H479" t="s">
        <v>1975</v>
      </c>
      <c r="I479" t="s">
        <v>1976</v>
      </c>
      <c r="J479" s="2">
        <v>46058.973010534333</v>
      </c>
    </row>
    <row r="480" spans="1:10" x14ac:dyDescent="0.55000000000000004">
      <c r="A480" t="s">
        <v>1977</v>
      </c>
      <c r="B480">
        <v>101210</v>
      </c>
      <c r="C480" t="s">
        <v>94</v>
      </c>
      <c r="D480" s="1">
        <v>45863</v>
      </c>
      <c r="E480" t="s">
        <v>155</v>
      </c>
      <c r="F480" t="s">
        <v>1978</v>
      </c>
      <c r="G480" t="s">
        <v>15</v>
      </c>
      <c r="H480" t="s">
        <v>1979</v>
      </c>
      <c r="I480" t="s">
        <v>1980</v>
      </c>
      <c r="J480" s="2">
        <v>46061.002871649907</v>
      </c>
    </row>
    <row r="481" spans="1:11" x14ac:dyDescent="0.55000000000000004">
      <c r="A481" t="s">
        <v>1981</v>
      </c>
      <c r="B481">
        <v>100988</v>
      </c>
      <c r="C481" t="s">
        <v>533</v>
      </c>
      <c r="D481" s="1">
        <v>45998</v>
      </c>
      <c r="E481" t="s">
        <v>69</v>
      </c>
      <c r="F481" t="s">
        <v>1982</v>
      </c>
      <c r="G481" t="s">
        <v>15</v>
      </c>
      <c r="H481" t="s">
        <v>1983</v>
      </c>
      <c r="I481" t="s">
        <v>1984</v>
      </c>
      <c r="J481" s="2">
        <v>46053.297316098979</v>
      </c>
    </row>
    <row r="482" spans="1:11" x14ac:dyDescent="0.55000000000000004">
      <c r="A482" t="s">
        <v>1985</v>
      </c>
      <c r="B482">
        <v>100651</v>
      </c>
      <c r="C482" t="s">
        <v>94</v>
      </c>
      <c r="D482" s="1">
        <v>45917</v>
      </c>
      <c r="E482" t="s">
        <v>115</v>
      </c>
      <c r="F482" t="s">
        <v>1986</v>
      </c>
      <c r="G482" t="s">
        <v>22</v>
      </c>
      <c r="H482" t="s">
        <v>1987</v>
      </c>
      <c r="I482" t="s">
        <v>1988</v>
      </c>
      <c r="J482" s="2">
        <v>46055.913982770253</v>
      </c>
    </row>
    <row r="483" spans="1:11" x14ac:dyDescent="0.55000000000000004">
      <c r="A483" t="s">
        <v>1989</v>
      </c>
      <c r="B483">
        <v>101063</v>
      </c>
      <c r="C483" t="s">
        <v>32</v>
      </c>
      <c r="D483" s="1">
        <v>45865</v>
      </c>
      <c r="E483" t="s">
        <v>495</v>
      </c>
      <c r="F483" t="s">
        <v>1990</v>
      </c>
      <c r="G483" t="s">
        <v>22</v>
      </c>
      <c r="H483" t="s">
        <v>1991</v>
      </c>
      <c r="I483" t="s">
        <v>1992</v>
      </c>
      <c r="J483" s="2">
        <v>46054.181343885291</v>
      </c>
      <c r="K483" t="s">
        <v>119</v>
      </c>
    </row>
    <row r="484" spans="1:11" x14ac:dyDescent="0.55000000000000004">
      <c r="A484" t="s">
        <v>1993</v>
      </c>
      <c r="B484">
        <v>100336</v>
      </c>
      <c r="C484" t="s">
        <v>248</v>
      </c>
      <c r="D484" s="1">
        <v>45943</v>
      </c>
      <c r="E484" t="s">
        <v>43</v>
      </c>
      <c r="F484" t="s">
        <v>1994</v>
      </c>
      <c r="G484" t="s">
        <v>22</v>
      </c>
      <c r="H484" t="s">
        <v>1995</v>
      </c>
      <c r="I484" t="s">
        <v>1996</v>
      </c>
      <c r="J484" s="2">
        <v>46061.957038333458</v>
      </c>
    </row>
    <row r="485" spans="1:11" x14ac:dyDescent="0.55000000000000004">
      <c r="A485" t="s">
        <v>1997</v>
      </c>
      <c r="B485">
        <v>101016</v>
      </c>
      <c r="C485" t="s">
        <v>19</v>
      </c>
      <c r="D485" s="1">
        <v>45861</v>
      </c>
      <c r="E485" t="s">
        <v>467</v>
      </c>
      <c r="F485" t="s">
        <v>1998</v>
      </c>
      <c r="G485" t="s">
        <v>22</v>
      </c>
      <c r="H485" t="s">
        <v>1999</v>
      </c>
      <c r="I485" t="s">
        <v>2000</v>
      </c>
      <c r="J485" s="2">
        <v>46088.808427226308</v>
      </c>
    </row>
    <row r="486" spans="1:11" x14ac:dyDescent="0.55000000000000004">
      <c r="A486" t="s">
        <v>2001</v>
      </c>
      <c r="B486">
        <v>100422</v>
      </c>
      <c r="C486" t="s">
        <v>533</v>
      </c>
      <c r="D486" s="1">
        <v>46114</v>
      </c>
      <c r="E486" t="s">
        <v>69</v>
      </c>
      <c r="F486" t="s">
        <v>2002</v>
      </c>
      <c r="G486" t="s">
        <v>15</v>
      </c>
      <c r="H486" t="s">
        <v>2003</v>
      </c>
      <c r="I486" t="s">
        <v>2004</v>
      </c>
      <c r="J486" s="2">
        <v>46091.441066119107</v>
      </c>
    </row>
    <row r="487" spans="1:11" x14ac:dyDescent="0.55000000000000004">
      <c r="A487" t="s">
        <v>2005</v>
      </c>
      <c r="B487">
        <v>100263</v>
      </c>
      <c r="C487" t="s">
        <v>82</v>
      </c>
      <c r="D487" s="1">
        <v>45937</v>
      </c>
      <c r="E487" t="s">
        <v>27</v>
      </c>
      <c r="F487" t="s">
        <v>2006</v>
      </c>
      <c r="G487" t="s">
        <v>15</v>
      </c>
      <c r="H487" t="s">
        <v>2007</v>
      </c>
      <c r="I487" t="s">
        <v>2008</v>
      </c>
      <c r="J487" s="2">
        <v>46087.193149457024</v>
      </c>
    </row>
    <row r="488" spans="1:11" x14ac:dyDescent="0.55000000000000004">
      <c r="A488" t="s">
        <v>2009</v>
      </c>
      <c r="B488">
        <v>100532</v>
      </c>
      <c r="C488" t="s">
        <v>37</v>
      </c>
      <c r="D488" s="1">
        <v>46143</v>
      </c>
      <c r="E488" t="s">
        <v>115</v>
      </c>
      <c r="F488" t="s">
        <v>2010</v>
      </c>
      <c r="G488" t="s">
        <v>22</v>
      </c>
      <c r="H488" t="s">
        <v>2011</v>
      </c>
      <c r="I488" t="s">
        <v>2012</v>
      </c>
      <c r="J488" s="2">
        <v>46059.127177239352</v>
      </c>
    </row>
    <row r="489" spans="1:11" x14ac:dyDescent="0.55000000000000004">
      <c r="A489" t="s">
        <v>2013</v>
      </c>
      <c r="B489">
        <v>101430</v>
      </c>
      <c r="C489" t="s">
        <v>131</v>
      </c>
      <c r="D489" s="1">
        <v>45764</v>
      </c>
      <c r="E489" t="s">
        <v>356</v>
      </c>
      <c r="F489" t="s">
        <v>2014</v>
      </c>
      <c r="G489" t="s">
        <v>15</v>
      </c>
      <c r="H489" t="s">
        <v>2015</v>
      </c>
      <c r="I489" t="s">
        <v>2016</v>
      </c>
      <c r="J489" s="2">
        <v>46059.692455021643</v>
      </c>
    </row>
    <row r="490" spans="1:11" x14ac:dyDescent="0.55000000000000004">
      <c r="A490" t="s">
        <v>2017</v>
      </c>
      <c r="B490">
        <v>101069</v>
      </c>
      <c r="C490" t="s">
        <v>179</v>
      </c>
      <c r="D490" s="1">
        <v>45937</v>
      </c>
      <c r="E490" t="s">
        <v>126</v>
      </c>
      <c r="F490" t="s">
        <v>2018</v>
      </c>
      <c r="G490" t="s">
        <v>15</v>
      </c>
      <c r="H490" t="s">
        <v>2019</v>
      </c>
      <c r="I490" t="s">
        <v>2020</v>
      </c>
      <c r="J490" s="2">
        <v>46085.835510581062</v>
      </c>
    </row>
    <row r="491" spans="1:11" x14ac:dyDescent="0.55000000000000004">
      <c r="A491" t="s">
        <v>2021</v>
      </c>
      <c r="B491">
        <v>100059</v>
      </c>
      <c r="C491" t="s">
        <v>19</v>
      </c>
      <c r="D491" s="1">
        <v>45956</v>
      </c>
      <c r="E491" t="s">
        <v>115</v>
      </c>
      <c r="F491" t="s">
        <v>2022</v>
      </c>
      <c r="G491" t="s">
        <v>22</v>
      </c>
      <c r="H491" t="s">
        <v>2023</v>
      </c>
      <c r="I491" t="s">
        <v>2024</v>
      </c>
      <c r="J491" s="2">
        <v>46085.69870502947</v>
      </c>
    </row>
    <row r="492" spans="1:11" x14ac:dyDescent="0.55000000000000004">
      <c r="A492" t="s">
        <v>2025</v>
      </c>
      <c r="B492">
        <v>100165</v>
      </c>
      <c r="C492" t="s">
        <v>99</v>
      </c>
      <c r="D492" s="1">
        <v>45993</v>
      </c>
      <c r="E492" t="s">
        <v>587</v>
      </c>
      <c r="F492" t="s">
        <v>2026</v>
      </c>
      <c r="G492" t="s">
        <v>15</v>
      </c>
      <c r="H492" t="s">
        <v>2027</v>
      </c>
      <c r="I492" t="s">
        <v>2028</v>
      </c>
      <c r="J492" s="2">
        <v>46074.406343922958</v>
      </c>
    </row>
    <row r="493" spans="1:11" x14ac:dyDescent="0.55000000000000004">
      <c r="A493" t="s">
        <v>2029</v>
      </c>
      <c r="B493">
        <v>100618</v>
      </c>
      <c r="C493" t="s">
        <v>37</v>
      </c>
      <c r="D493" s="1">
        <v>45812</v>
      </c>
      <c r="E493" t="s">
        <v>20</v>
      </c>
      <c r="F493" t="s">
        <v>2030</v>
      </c>
      <c r="G493" t="s">
        <v>22</v>
      </c>
      <c r="H493" t="s">
        <v>2031</v>
      </c>
      <c r="I493" t="s">
        <v>2032</v>
      </c>
      <c r="J493" s="2">
        <v>46074.793843927662</v>
      </c>
    </row>
    <row r="494" spans="1:11" x14ac:dyDescent="0.55000000000000004">
      <c r="A494" t="s">
        <v>2033</v>
      </c>
      <c r="B494">
        <v>101313</v>
      </c>
      <c r="C494" t="s">
        <v>179</v>
      </c>
      <c r="D494" s="1">
        <v>45939</v>
      </c>
      <c r="E494" t="s">
        <v>528</v>
      </c>
      <c r="F494" t="s">
        <v>2034</v>
      </c>
      <c r="G494" t="s">
        <v>15</v>
      </c>
      <c r="H494" t="s">
        <v>2035</v>
      </c>
      <c r="I494" t="s">
        <v>2036</v>
      </c>
      <c r="J494" s="2">
        <v>46091.964677264943</v>
      </c>
    </row>
    <row r="495" spans="1:11" x14ac:dyDescent="0.55000000000000004">
      <c r="A495" t="s">
        <v>2037</v>
      </c>
      <c r="B495">
        <v>100045</v>
      </c>
      <c r="C495" t="s">
        <v>68</v>
      </c>
      <c r="D495" s="1">
        <v>46103</v>
      </c>
      <c r="E495" t="s">
        <v>126</v>
      </c>
      <c r="F495" t="s">
        <v>2038</v>
      </c>
      <c r="G495" t="s">
        <v>22</v>
      </c>
      <c r="H495" t="s">
        <v>2039</v>
      </c>
      <c r="I495" t="s">
        <v>2040</v>
      </c>
      <c r="J495" s="2">
        <v>46082.884121714029</v>
      </c>
    </row>
    <row r="496" spans="1:11" x14ac:dyDescent="0.55000000000000004">
      <c r="A496" t="s">
        <v>2041</v>
      </c>
      <c r="B496">
        <v>101314</v>
      </c>
      <c r="C496" t="s">
        <v>248</v>
      </c>
      <c r="D496" s="1">
        <v>45964</v>
      </c>
      <c r="E496" t="s">
        <v>170</v>
      </c>
      <c r="F496" t="s">
        <v>2042</v>
      </c>
      <c r="G496" t="s">
        <v>22</v>
      </c>
      <c r="H496" t="s">
        <v>2043</v>
      </c>
      <c r="I496" t="s">
        <v>2044</v>
      </c>
      <c r="J496" s="2">
        <v>46086.167455051233</v>
      </c>
    </row>
    <row r="497" spans="1:10" x14ac:dyDescent="0.55000000000000004">
      <c r="A497" t="s">
        <v>2045</v>
      </c>
      <c r="B497">
        <v>100018</v>
      </c>
      <c r="C497" t="s">
        <v>82</v>
      </c>
      <c r="D497" s="1">
        <v>45786</v>
      </c>
      <c r="E497" t="s">
        <v>343</v>
      </c>
      <c r="F497" t="s">
        <v>2046</v>
      </c>
      <c r="G497" t="s">
        <v>22</v>
      </c>
      <c r="H497" t="s">
        <v>2047</v>
      </c>
      <c r="I497" t="s">
        <v>2048</v>
      </c>
      <c r="J497" s="2">
        <v>46090.016066166732</v>
      </c>
    </row>
    <row r="498" spans="1:10" x14ac:dyDescent="0.55000000000000004">
      <c r="A498" t="s">
        <v>2049</v>
      </c>
      <c r="B498">
        <v>101042</v>
      </c>
      <c r="C498" t="s">
        <v>32</v>
      </c>
      <c r="D498" s="1">
        <v>46007</v>
      </c>
      <c r="E498" t="s">
        <v>495</v>
      </c>
      <c r="F498" t="s">
        <v>2050</v>
      </c>
      <c r="G498" t="s">
        <v>22</v>
      </c>
      <c r="H498" t="s">
        <v>2051</v>
      </c>
      <c r="I498" t="s">
        <v>2052</v>
      </c>
      <c r="J498" s="2">
        <v>46082.263288393413</v>
      </c>
    </row>
    <row r="499" spans="1:10" x14ac:dyDescent="0.55000000000000004">
      <c r="A499" t="s">
        <v>2053</v>
      </c>
      <c r="B499">
        <v>100586</v>
      </c>
      <c r="C499" t="s">
        <v>88</v>
      </c>
      <c r="D499" s="1">
        <v>46080</v>
      </c>
      <c r="E499" t="s">
        <v>170</v>
      </c>
      <c r="F499" t="s">
        <v>2054</v>
      </c>
      <c r="G499" t="s">
        <v>22</v>
      </c>
      <c r="H499" t="s">
        <v>2055</v>
      </c>
      <c r="I499" t="s">
        <v>2056</v>
      </c>
      <c r="J499" s="2">
        <v>46090.379260619527</v>
      </c>
    </row>
    <row r="500" spans="1:10" x14ac:dyDescent="0.55000000000000004">
      <c r="A500" t="s">
        <v>2057</v>
      </c>
      <c r="B500">
        <v>100734</v>
      </c>
      <c r="C500" t="s">
        <v>131</v>
      </c>
      <c r="D500" s="1">
        <v>45927</v>
      </c>
      <c r="E500" t="s">
        <v>562</v>
      </c>
      <c r="F500" t="s">
        <v>2058</v>
      </c>
      <c r="G500" t="s">
        <v>22</v>
      </c>
      <c r="H500" t="s">
        <v>2059</v>
      </c>
      <c r="I500" t="s">
        <v>2060</v>
      </c>
      <c r="J500" s="2">
        <v>46075.011899513011</v>
      </c>
    </row>
    <row r="501" spans="1:10" x14ac:dyDescent="0.55000000000000004">
      <c r="A501" t="s">
        <v>2061</v>
      </c>
      <c r="B501">
        <v>100205</v>
      </c>
      <c r="C501" t="s">
        <v>146</v>
      </c>
      <c r="D501" s="1">
        <v>45736</v>
      </c>
      <c r="E501" t="s">
        <v>562</v>
      </c>
      <c r="F501" t="s">
        <v>2062</v>
      </c>
      <c r="G501" t="s">
        <v>15</v>
      </c>
      <c r="H501" t="s">
        <v>2063</v>
      </c>
      <c r="I501" t="s">
        <v>2064</v>
      </c>
      <c r="J501" s="2">
        <v>46071.78828840662</v>
      </c>
    </row>
    <row r="502" spans="1:10" x14ac:dyDescent="0.55000000000000004">
      <c r="A502" t="s">
        <v>2065</v>
      </c>
      <c r="B502">
        <v>100483</v>
      </c>
      <c r="C502" t="s">
        <v>169</v>
      </c>
      <c r="D502" s="1">
        <v>45770</v>
      </c>
      <c r="E502" t="s">
        <v>208</v>
      </c>
      <c r="F502" t="s">
        <v>725</v>
      </c>
      <c r="G502" t="s">
        <v>22</v>
      </c>
      <c r="H502" t="s">
        <v>2066</v>
      </c>
      <c r="I502" t="s">
        <v>2067</v>
      </c>
      <c r="J502" s="2">
        <v>46083.930649522263</v>
      </c>
    </row>
    <row r="503" spans="1:10" x14ac:dyDescent="0.55000000000000004">
      <c r="A503" t="s">
        <v>2068</v>
      </c>
      <c r="B503">
        <v>100339</v>
      </c>
      <c r="C503" t="s">
        <v>32</v>
      </c>
      <c r="D503" s="1">
        <v>45825</v>
      </c>
      <c r="E503" t="s">
        <v>680</v>
      </c>
      <c r="F503" t="s">
        <v>2069</v>
      </c>
      <c r="G503" t="s">
        <v>15</v>
      </c>
      <c r="H503" t="s">
        <v>2070</v>
      </c>
      <c r="I503" t="s">
        <v>2071</v>
      </c>
      <c r="J503" s="2">
        <v>46082.402177304008</v>
      </c>
    </row>
    <row r="504" spans="1:10" x14ac:dyDescent="0.55000000000000004">
      <c r="A504" t="s">
        <v>2072</v>
      </c>
      <c r="B504">
        <v>100147</v>
      </c>
      <c r="C504" t="s">
        <v>32</v>
      </c>
      <c r="D504" s="1">
        <v>45837</v>
      </c>
      <c r="E504" t="s">
        <v>115</v>
      </c>
      <c r="F504" t="s">
        <v>2073</v>
      </c>
      <c r="G504" t="s">
        <v>15</v>
      </c>
      <c r="H504" t="s">
        <v>2074</v>
      </c>
      <c r="I504" t="s">
        <v>2075</v>
      </c>
      <c r="J504" s="2">
        <v>46058.239677308607</v>
      </c>
    </row>
    <row r="505" spans="1:10" x14ac:dyDescent="0.55000000000000004">
      <c r="A505" t="s">
        <v>2076</v>
      </c>
      <c r="B505">
        <v>101178</v>
      </c>
      <c r="C505" t="s">
        <v>114</v>
      </c>
      <c r="D505" s="1">
        <v>46130</v>
      </c>
      <c r="E505" t="s">
        <v>155</v>
      </c>
      <c r="F505" t="s">
        <v>2077</v>
      </c>
      <c r="G505" t="s">
        <v>15</v>
      </c>
      <c r="H505" t="s">
        <v>2078</v>
      </c>
      <c r="I505" t="s">
        <v>2079</v>
      </c>
      <c r="J505" s="2">
        <v>46053.80287175675</v>
      </c>
    </row>
    <row r="506" spans="1:10" x14ac:dyDescent="0.55000000000000004">
      <c r="A506" t="s">
        <v>2080</v>
      </c>
      <c r="B506">
        <v>100737</v>
      </c>
      <c r="C506" t="s">
        <v>19</v>
      </c>
      <c r="D506" s="1">
        <v>46046</v>
      </c>
      <c r="E506" t="s">
        <v>38</v>
      </c>
      <c r="F506" t="s">
        <v>2081</v>
      </c>
      <c r="G506" t="s">
        <v>15</v>
      </c>
      <c r="H506" t="s">
        <v>2082</v>
      </c>
      <c r="I506" t="s">
        <v>2083</v>
      </c>
      <c r="J506" s="2">
        <v>46067.218149538159</v>
      </c>
    </row>
    <row r="507" spans="1:10" x14ac:dyDescent="0.55000000000000004">
      <c r="A507" t="s">
        <v>2084</v>
      </c>
      <c r="B507">
        <v>101096</v>
      </c>
      <c r="C507" t="s">
        <v>99</v>
      </c>
      <c r="D507" s="1">
        <v>45893</v>
      </c>
      <c r="E507" t="s">
        <v>467</v>
      </c>
      <c r="F507" t="s">
        <v>2085</v>
      </c>
      <c r="G507" t="s">
        <v>22</v>
      </c>
      <c r="H507" t="s">
        <v>2086</v>
      </c>
      <c r="I507" t="s">
        <v>2087</v>
      </c>
      <c r="J507" s="2">
        <v>46086.01953843089</v>
      </c>
    </row>
    <row r="508" spans="1:10" x14ac:dyDescent="0.55000000000000004">
      <c r="A508" t="s">
        <v>2088</v>
      </c>
      <c r="B508">
        <v>100168</v>
      </c>
      <c r="C508" t="s">
        <v>32</v>
      </c>
      <c r="D508" s="1">
        <v>45935</v>
      </c>
      <c r="E508" t="s">
        <v>38</v>
      </c>
      <c r="F508" t="s">
        <v>2089</v>
      </c>
      <c r="G508" t="s">
        <v>15</v>
      </c>
      <c r="H508" t="s">
        <v>2090</v>
      </c>
      <c r="I508" t="s">
        <v>2091</v>
      </c>
      <c r="J508" s="2">
        <v>46093.998705101447</v>
      </c>
    </row>
    <row r="509" spans="1:10" x14ac:dyDescent="0.55000000000000004">
      <c r="A509" t="s">
        <v>2092</v>
      </c>
      <c r="B509">
        <v>100717</v>
      </c>
      <c r="C509" t="s">
        <v>94</v>
      </c>
      <c r="D509" s="1">
        <v>45976</v>
      </c>
      <c r="E509" t="s">
        <v>343</v>
      </c>
      <c r="F509" t="s">
        <v>2093</v>
      </c>
      <c r="G509" t="s">
        <v>22</v>
      </c>
      <c r="H509" t="s">
        <v>2094</v>
      </c>
      <c r="I509" t="s">
        <v>2095</v>
      </c>
      <c r="J509" s="2">
        <v>46054.498010661613</v>
      </c>
    </row>
    <row r="510" spans="1:10" x14ac:dyDescent="0.55000000000000004">
      <c r="A510" t="s">
        <v>2096</v>
      </c>
      <c r="B510">
        <v>101021</v>
      </c>
      <c r="C510" t="s">
        <v>88</v>
      </c>
      <c r="D510" s="1">
        <v>45793</v>
      </c>
      <c r="E510" t="s">
        <v>495</v>
      </c>
      <c r="F510" t="s">
        <v>2097</v>
      </c>
      <c r="G510" t="s">
        <v>15</v>
      </c>
      <c r="H510" t="s">
        <v>2098</v>
      </c>
      <c r="I510" t="s">
        <v>2099</v>
      </c>
      <c r="J510" s="2">
        <v>46096.787593998662</v>
      </c>
    </row>
    <row r="511" spans="1:10" x14ac:dyDescent="0.55000000000000004">
      <c r="A511" t="s">
        <v>2100</v>
      </c>
      <c r="B511">
        <v>100792</v>
      </c>
      <c r="C511" t="s">
        <v>248</v>
      </c>
      <c r="D511" s="1">
        <v>45926</v>
      </c>
      <c r="E511" t="s">
        <v>343</v>
      </c>
      <c r="F511" t="s">
        <v>2101</v>
      </c>
      <c r="G511" t="s">
        <v>22</v>
      </c>
      <c r="H511" t="s">
        <v>2102</v>
      </c>
      <c r="I511" t="s">
        <v>2103</v>
      </c>
      <c r="J511" s="2">
        <v>46085.966066224733</v>
      </c>
    </row>
    <row r="512" spans="1:10" x14ac:dyDescent="0.55000000000000004">
      <c r="A512" t="s">
        <v>2104</v>
      </c>
      <c r="B512">
        <v>100886</v>
      </c>
      <c r="C512" t="s">
        <v>32</v>
      </c>
      <c r="D512" s="1">
        <v>45853</v>
      </c>
      <c r="E512" t="s">
        <v>89</v>
      </c>
      <c r="F512" t="s">
        <v>2105</v>
      </c>
      <c r="G512" t="s">
        <v>22</v>
      </c>
      <c r="H512" t="s">
        <v>2106</v>
      </c>
      <c r="I512" t="s">
        <v>2107</v>
      </c>
      <c r="J512" s="2">
        <v>46074.484816228643</v>
      </c>
    </row>
    <row r="513" spans="1:11" x14ac:dyDescent="0.55000000000000004">
      <c r="A513" t="s">
        <v>2108</v>
      </c>
      <c r="B513">
        <v>100328</v>
      </c>
      <c r="C513" t="s">
        <v>19</v>
      </c>
      <c r="D513" s="1">
        <v>45949</v>
      </c>
      <c r="E513" t="s">
        <v>69</v>
      </c>
      <c r="F513" t="s">
        <v>2109</v>
      </c>
      <c r="G513" t="s">
        <v>22</v>
      </c>
      <c r="H513" t="s">
        <v>2110</v>
      </c>
      <c r="I513" t="s">
        <v>2111</v>
      </c>
      <c r="J513" s="2">
        <v>46074.17648290006</v>
      </c>
    </row>
    <row r="514" spans="1:11" x14ac:dyDescent="0.55000000000000004">
      <c r="A514" t="s">
        <v>2112</v>
      </c>
      <c r="B514">
        <v>100341</v>
      </c>
      <c r="C514" t="s">
        <v>32</v>
      </c>
      <c r="D514" s="1">
        <v>45962</v>
      </c>
      <c r="E514" t="s">
        <v>38</v>
      </c>
      <c r="F514" t="s">
        <v>2113</v>
      </c>
      <c r="G514" t="s">
        <v>15</v>
      </c>
      <c r="H514" t="s">
        <v>2114</v>
      </c>
      <c r="I514" t="s">
        <v>2115</v>
      </c>
      <c r="J514" s="2">
        <v>46060.770927348429</v>
      </c>
    </row>
    <row r="515" spans="1:11" x14ac:dyDescent="0.55000000000000004">
      <c r="A515" t="s">
        <v>2116</v>
      </c>
      <c r="B515">
        <v>100567</v>
      </c>
      <c r="C515" t="s">
        <v>194</v>
      </c>
      <c r="D515" s="1">
        <v>46148</v>
      </c>
      <c r="E515" t="s">
        <v>317</v>
      </c>
      <c r="F515" t="s">
        <v>2117</v>
      </c>
      <c r="G515" t="s">
        <v>22</v>
      </c>
      <c r="H515" t="s">
        <v>2118</v>
      </c>
      <c r="I515" t="s">
        <v>2119</v>
      </c>
      <c r="J515" s="2">
        <v>46081.956344019789</v>
      </c>
    </row>
    <row r="516" spans="1:11" x14ac:dyDescent="0.55000000000000004">
      <c r="A516" t="s">
        <v>2120</v>
      </c>
      <c r="B516">
        <v>101023</v>
      </c>
      <c r="C516" t="s">
        <v>94</v>
      </c>
      <c r="D516" s="1">
        <v>45927</v>
      </c>
      <c r="E516" t="s">
        <v>115</v>
      </c>
      <c r="F516" t="s">
        <v>2121</v>
      </c>
      <c r="G516" t="s">
        <v>15</v>
      </c>
      <c r="H516" t="s">
        <v>2122</v>
      </c>
      <c r="I516" t="s">
        <v>2123</v>
      </c>
      <c r="J516" s="2">
        <v>46067.732732912591</v>
      </c>
    </row>
    <row r="517" spans="1:11" x14ac:dyDescent="0.55000000000000004">
      <c r="A517" t="s">
        <v>2124</v>
      </c>
      <c r="B517">
        <v>100522</v>
      </c>
      <c r="C517" t="s">
        <v>48</v>
      </c>
      <c r="D517" s="1">
        <v>45947</v>
      </c>
      <c r="E517" t="s">
        <v>409</v>
      </c>
      <c r="F517" t="s">
        <v>2125</v>
      </c>
      <c r="G517" t="s">
        <v>22</v>
      </c>
      <c r="H517" t="s">
        <v>2126</v>
      </c>
      <c r="I517" t="s">
        <v>2127</v>
      </c>
      <c r="J517" s="2">
        <v>46066.319538472722</v>
      </c>
    </row>
    <row r="518" spans="1:11" x14ac:dyDescent="0.55000000000000004">
      <c r="A518" t="s">
        <v>2128</v>
      </c>
      <c r="B518">
        <v>100528</v>
      </c>
      <c r="C518" t="s">
        <v>32</v>
      </c>
      <c r="D518" s="1">
        <v>46019</v>
      </c>
      <c r="E518" t="s">
        <v>243</v>
      </c>
      <c r="F518" t="s">
        <v>2129</v>
      </c>
      <c r="G518" t="s">
        <v>15</v>
      </c>
      <c r="H518" t="s">
        <v>2130</v>
      </c>
      <c r="I518" t="s">
        <v>2131</v>
      </c>
      <c r="J518" s="2">
        <v>46094.439677365714</v>
      </c>
    </row>
    <row r="519" spans="1:11" x14ac:dyDescent="0.55000000000000004">
      <c r="A519" t="s">
        <v>2132</v>
      </c>
      <c r="B519">
        <v>101346</v>
      </c>
      <c r="C519" t="s">
        <v>32</v>
      </c>
      <c r="D519" s="1">
        <v>45975</v>
      </c>
      <c r="E519" t="s">
        <v>83</v>
      </c>
      <c r="F519" t="s">
        <v>2133</v>
      </c>
      <c r="G519" t="s">
        <v>22</v>
      </c>
      <c r="H519" t="s">
        <v>2134</v>
      </c>
      <c r="I519" t="s">
        <v>2135</v>
      </c>
      <c r="J519" s="2">
        <v>46074.234121814618</v>
      </c>
    </row>
    <row r="520" spans="1:11" x14ac:dyDescent="0.55000000000000004">
      <c r="A520" t="s">
        <v>2136</v>
      </c>
      <c r="B520">
        <v>100878</v>
      </c>
      <c r="C520" t="s">
        <v>146</v>
      </c>
      <c r="D520" s="1">
        <v>46017</v>
      </c>
      <c r="E520" t="s">
        <v>295</v>
      </c>
      <c r="F520" t="s">
        <v>2137</v>
      </c>
      <c r="G520" t="s">
        <v>22</v>
      </c>
      <c r="H520" t="s">
        <v>2138</v>
      </c>
      <c r="I520" t="s">
        <v>2139</v>
      </c>
      <c r="J520" s="2">
        <v>46090.246621818391</v>
      </c>
      <c r="K520" t="s">
        <v>119</v>
      </c>
    </row>
    <row r="521" spans="1:11" x14ac:dyDescent="0.55000000000000004">
      <c r="A521" t="s">
        <v>2140</v>
      </c>
      <c r="B521">
        <v>100185</v>
      </c>
      <c r="C521" t="s">
        <v>99</v>
      </c>
      <c r="D521" s="1">
        <v>45833</v>
      </c>
      <c r="E521" t="s">
        <v>587</v>
      </c>
      <c r="F521" t="s">
        <v>2141</v>
      </c>
      <c r="G521" t="s">
        <v>22</v>
      </c>
      <c r="H521" t="s">
        <v>2142</v>
      </c>
      <c r="I521" t="s">
        <v>2143</v>
      </c>
      <c r="J521" s="2">
        <v>46075.284121822988</v>
      </c>
    </row>
    <row r="522" spans="1:11" x14ac:dyDescent="0.55000000000000004">
      <c r="A522" t="s">
        <v>2144</v>
      </c>
      <c r="B522">
        <v>100801</v>
      </c>
      <c r="C522" t="s">
        <v>82</v>
      </c>
      <c r="D522" s="1">
        <v>45981</v>
      </c>
      <c r="E522" t="s">
        <v>243</v>
      </c>
      <c r="F522" t="s">
        <v>2145</v>
      </c>
      <c r="G522" t="s">
        <v>22</v>
      </c>
      <c r="H522" t="s">
        <v>2146</v>
      </c>
      <c r="I522" t="s">
        <v>2147</v>
      </c>
      <c r="J522" s="2">
        <v>46067.848010716443</v>
      </c>
    </row>
    <row r="523" spans="1:11" x14ac:dyDescent="0.55000000000000004">
      <c r="A523" t="s">
        <v>2148</v>
      </c>
      <c r="B523">
        <v>101004</v>
      </c>
      <c r="C523" t="s">
        <v>114</v>
      </c>
      <c r="D523" s="1">
        <v>45817</v>
      </c>
      <c r="E523" t="s">
        <v>495</v>
      </c>
      <c r="F523" t="s">
        <v>2149</v>
      </c>
      <c r="G523" t="s">
        <v>15</v>
      </c>
      <c r="H523" t="s">
        <v>2150</v>
      </c>
      <c r="I523" t="s">
        <v>2151</v>
      </c>
      <c r="J523" s="2">
        <v>46092.516066275923</v>
      </c>
    </row>
    <row r="524" spans="1:11" x14ac:dyDescent="0.55000000000000004">
      <c r="A524" t="s">
        <v>2152</v>
      </c>
      <c r="B524">
        <v>100599</v>
      </c>
      <c r="C524" t="s">
        <v>169</v>
      </c>
      <c r="D524" s="1">
        <v>45848</v>
      </c>
      <c r="E524" t="s">
        <v>49</v>
      </c>
      <c r="F524" t="s">
        <v>2153</v>
      </c>
      <c r="G524" t="s">
        <v>22</v>
      </c>
      <c r="H524" t="s">
        <v>2154</v>
      </c>
      <c r="I524" t="s">
        <v>2155</v>
      </c>
      <c r="J524" s="2">
        <v>46058.829260724851</v>
      </c>
    </row>
    <row r="525" spans="1:11" x14ac:dyDescent="0.55000000000000004">
      <c r="A525" t="s">
        <v>2156</v>
      </c>
      <c r="B525">
        <v>100179</v>
      </c>
      <c r="C525" t="s">
        <v>179</v>
      </c>
      <c r="D525" s="1">
        <v>45870</v>
      </c>
      <c r="E525" t="s">
        <v>467</v>
      </c>
      <c r="F525" t="s">
        <v>2157</v>
      </c>
      <c r="G525" t="s">
        <v>22</v>
      </c>
      <c r="H525" t="s">
        <v>2158</v>
      </c>
      <c r="I525" t="s">
        <v>2159</v>
      </c>
      <c r="J525" s="2">
        <v>46071.508427395223</v>
      </c>
    </row>
    <row r="526" spans="1:11" x14ac:dyDescent="0.55000000000000004">
      <c r="A526" t="s">
        <v>2160</v>
      </c>
      <c r="B526">
        <v>101260</v>
      </c>
      <c r="C526" t="s">
        <v>48</v>
      </c>
      <c r="D526" s="1">
        <v>45743</v>
      </c>
      <c r="E526" t="s">
        <v>317</v>
      </c>
      <c r="F526" t="s">
        <v>2161</v>
      </c>
      <c r="G526" t="s">
        <v>15</v>
      </c>
      <c r="H526" t="s">
        <v>2162</v>
      </c>
      <c r="I526" t="s">
        <v>2163</v>
      </c>
      <c r="J526" s="2">
        <v>46055.388288510287</v>
      </c>
    </row>
    <row r="527" spans="1:11" x14ac:dyDescent="0.55000000000000004">
      <c r="A527" t="s">
        <v>2164</v>
      </c>
      <c r="B527">
        <v>101139</v>
      </c>
      <c r="C527" t="s">
        <v>131</v>
      </c>
      <c r="D527" s="1">
        <v>45839</v>
      </c>
      <c r="E527" t="s">
        <v>69</v>
      </c>
      <c r="F527" t="s">
        <v>2165</v>
      </c>
      <c r="G527" t="s">
        <v>15</v>
      </c>
      <c r="H527" t="s">
        <v>2166</v>
      </c>
      <c r="I527" t="s">
        <v>2167</v>
      </c>
      <c r="J527" s="2">
        <v>46091.655649625893</v>
      </c>
    </row>
    <row r="528" spans="1:11" x14ac:dyDescent="0.55000000000000004">
      <c r="A528" t="s">
        <v>2168</v>
      </c>
      <c r="B528">
        <v>100021</v>
      </c>
      <c r="C528" t="s">
        <v>19</v>
      </c>
      <c r="D528" s="1">
        <v>46012</v>
      </c>
      <c r="E528" t="s">
        <v>155</v>
      </c>
      <c r="F528" t="s">
        <v>2169</v>
      </c>
      <c r="G528" t="s">
        <v>22</v>
      </c>
      <c r="H528" t="s">
        <v>2170</v>
      </c>
      <c r="I528" t="s">
        <v>2171</v>
      </c>
      <c r="J528" s="2">
        <v>46064.627871852652</v>
      </c>
    </row>
    <row r="529" spans="1:11" x14ac:dyDescent="0.55000000000000004">
      <c r="A529" t="s">
        <v>2172</v>
      </c>
      <c r="B529">
        <v>101352</v>
      </c>
      <c r="C529" t="s">
        <v>533</v>
      </c>
      <c r="D529" s="1">
        <v>45866</v>
      </c>
      <c r="E529" t="s">
        <v>121</v>
      </c>
      <c r="F529" t="s">
        <v>2173</v>
      </c>
      <c r="G529" t="s">
        <v>22</v>
      </c>
      <c r="H529" t="s">
        <v>2174</v>
      </c>
      <c r="I529" t="s">
        <v>2175</v>
      </c>
      <c r="J529" s="2">
        <v>46083.394538523207</v>
      </c>
    </row>
    <row r="530" spans="1:11" x14ac:dyDescent="0.55000000000000004">
      <c r="A530" t="s">
        <v>2176</v>
      </c>
      <c r="B530">
        <v>101474</v>
      </c>
      <c r="C530" t="s">
        <v>68</v>
      </c>
      <c r="D530" s="1">
        <v>45958</v>
      </c>
      <c r="E530" t="s">
        <v>587</v>
      </c>
      <c r="F530" t="s">
        <v>2177</v>
      </c>
      <c r="G530" t="s">
        <v>15</v>
      </c>
      <c r="H530" t="s">
        <v>2178</v>
      </c>
      <c r="I530" t="s">
        <v>2179</v>
      </c>
      <c r="J530" s="2">
        <v>46094.80287186116</v>
      </c>
    </row>
    <row r="531" spans="1:11" x14ac:dyDescent="0.55000000000000004">
      <c r="A531" t="s">
        <v>2180</v>
      </c>
      <c r="B531">
        <v>101423</v>
      </c>
      <c r="C531" t="s">
        <v>63</v>
      </c>
      <c r="D531" s="1">
        <v>45898</v>
      </c>
      <c r="E531" t="s">
        <v>89</v>
      </c>
      <c r="F531" t="s">
        <v>2181</v>
      </c>
      <c r="G531" t="s">
        <v>22</v>
      </c>
      <c r="H531" t="s">
        <v>2182</v>
      </c>
      <c r="I531" t="s">
        <v>2183</v>
      </c>
      <c r="J531" s="2">
        <v>46062.113288531727</v>
      </c>
    </row>
    <row r="532" spans="1:11" x14ac:dyDescent="0.55000000000000004">
      <c r="A532" t="s">
        <v>2184</v>
      </c>
      <c r="B532">
        <v>100256</v>
      </c>
      <c r="C532" t="s">
        <v>114</v>
      </c>
      <c r="D532" s="1">
        <v>46089</v>
      </c>
      <c r="E532" t="s">
        <v>43</v>
      </c>
      <c r="F532" t="s">
        <v>2185</v>
      </c>
      <c r="G532" t="s">
        <v>22</v>
      </c>
      <c r="H532" t="s">
        <v>2186</v>
      </c>
      <c r="I532" t="s">
        <v>2187</v>
      </c>
      <c r="J532" s="2">
        <v>46063.836205203123</v>
      </c>
    </row>
    <row r="533" spans="1:11" x14ac:dyDescent="0.55000000000000004">
      <c r="A533" t="s">
        <v>2188</v>
      </c>
      <c r="B533">
        <v>100748</v>
      </c>
      <c r="C533" t="s">
        <v>146</v>
      </c>
      <c r="D533" s="1">
        <v>45890</v>
      </c>
      <c r="E533" t="s">
        <v>89</v>
      </c>
      <c r="F533" t="s">
        <v>2189</v>
      </c>
      <c r="G533" t="s">
        <v>15</v>
      </c>
      <c r="H533" t="s">
        <v>2190</v>
      </c>
      <c r="I533" t="s">
        <v>2191</v>
      </c>
      <c r="J533" s="2">
        <v>46092.118149652058</v>
      </c>
    </row>
    <row r="534" spans="1:11" x14ac:dyDescent="0.55000000000000004">
      <c r="A534" t="s">
        <v>2192</v>
      </c>
      <c r="B534">
        <v>100442</v>
      </c>
      <c r="C534" t="s">
        <v>68</v>
      </c>
      <c r="D534" s="1">
        <v>45919</v>
      </c>
      <c r="E534" t="s">
        <v>356</v>
      </c>
      <c r="F534" t="s">
        <v>2193</v>
      </c>
      <c r="G534" t="s">
        <v>22</v>
      </c>
      <c r="H534" t="s">
        <v>2194</v>
      </c>
      <c r="I534" t="s">
        <v>2195</v>
      </c>
      <c r="J534" s="2">
        <v>46097.745927433738</v>
      </c>
    </row>
    <row r="535" spans="1:11" x14ac:dyDescent="0.55000000000000004">
      <c r="A535" t="s">
        <v>2196</v>
      </c>
      <c r="B535">
        <v>100040</v>
      </c>
      <c r="C535" t="s">
        <v>82</v>
      </c>
      <c r="D535" s="1">
        <v>46149</v>
      </c>
      <c r="E535" t="s">
        <v>20</v>
      </c>
      <c r="F535" t="s">
        <v>2197</v>
      </c>
      <c r="G535" t="s">
        <v>22</v>
      </c>
      <c r="H535" t="s">
        <v>2198</v>
      </c>
      <c r="I535" t="s">
        <v>2199</v>
      </c>
      <c r="J535" s="2">
        <v>46066.985510771578</v>
      </c>
    </row>
    <row r="536" spans="1:11" x14ac:dyDescent="0.55000000000000004">
      <c r="A536" t="s">
        <v>2200</v>
      </c>
      <c r="B536">
        <v>101038</v>
      </c>
      <c r="C536" t="s">
        <v>37</v>
      </c>
      <c r="D536" s="1">
        <v>46084</v>
      </c>
      <c r="E536" t="s">
        <v>58</v>
      </c>
      <c r="F536" t="s">
        <v>2201</v>
      </c>
      <c r="G536" t="s">
        <v>15</v>
      </c>
      <c r="H536" t="s">
        <v>2202</v>
      </c>
      <c r="I536" t="s">
        <v>2203</v>
      </c>
      <c r="J536" s="2">
        <v>46070.329955219968</v>
      </c>
    </row>
    <row r="537" spans="1:11" x14ac:dyDescent="0.55000000000000004">
      <c r="A537" t="s">
        <v>2204</v>
      </c>
      <c r="B537">
        <v>100676</v>
      </c>
      <c r="C537" t="s">
        <v>99</v>
      </c>
      <c r="D537" s="1">
        <v>45850</v>
      </c>
      <c r="E537" t="s">
        <v>38</v>
      </c>
      <c r="F537" t="s">
        <v>2205</v>
      </c>
      <c r="G537" t="s">
        <v>22</v>
      </c>
      <c r="H537" t="s">
        <v>2206</v>
      </c>
      <c r="I537" t="s">
        <v>2207</v>
      </c>
      <c r="J537" s="2">
        <v>46085.160510779569</v>
      </c>
      <c r="K537" t="s">
        <v>139</v>
      </c>
    </row>
    <row r="538" spans="1:11" x14ac:dyDescent="0.55000000000000004">
      <c r="A538" t="s">
        <v>2208</v>
      </c>
      <c r="B538">
        <v>101382</v>
      </c>
      <c r="C538" t="s">
        <v>146</v>
      </c>
      <c r="D538" s="1">
        <v>45955</v>
      </c>
      <c r="E538" t="s">
        <v>189</v>
      </c>
      <c r="F538" t="s">
        <v>2209</v>
      </c>
      <c r="G538" t="s">
        <v>22</v>
      </c>
      <c r="H538" t="s">
        <v>2210</v>
      </c>
      <c r="I538" t="s">
        <v>2211</v>
      </c>
      <c r="J538" s="2">
        <v>46073.432733005779</v>
      </c>
    </row>
    <row r="539" spans="1:11" x14ac:dyDescent="0.55000000000000004">
      <c r="A539" t="s">
        <v>2212</v>
      </c>
      <c r="B539">
        <v>100512</v>
      </c>
      <c r="C539" t="s">
        <v>32</v>
      </c>
      <c r="D539" s="1">
        <v>45772</v>
      </c>
      <c r="E539" t="s">
        <v>189</v>
      </c>
      <c r="F539" t="s">
        <v>2213</v>
      </c>
      <c r="G539" t="s">
        <v>22</v>
      </c>
      <c r="H539" t="s">
        <v>2214</v>
      </c>
      <c r="I539" t="s">
        <v>2215</v>
      </c>
      <c r="J539" s="2">
        <v>46078.823705232011</v>
      </c>
    </row>
    <row r="540" spans="1:11" x14ac:dyDescent="0.55000000000000004">
      <c r="A540" t="s">
        <v>2216</v>
      </c>
      <c r="B540">
        <v>100887</v>
      </c>
      <c r="C540" t="s">
        <v>146</v>
      </c>
      <c r="D540" s="1">
        <v>46146</v>
      </c>
      <c r="E540" t="s">
        <v>418</v>
      </c>
      <c r="F540" t="s">
        <v>2217</v>
      </c>
      <c r="G540" t="s">
        <v>15</v>
      </c>
      <c r="H540" t="s">
        <v>2218</v>
      </c>
      <c r="I540" t="s">
        <v>2219</v>
      </c>
      <c r="J540" s="2">
        <v>46086.55217745882</v>
      </c>
    </row>
    <row r="541" spans="1:11" x14ac:dyDescent="0.55000000000000004">
      <c r="A541" t="s">
        <v>2220</v>
      </c>
      <c r="B541">
        <v>100412</v>
      </c>
      <c r="C541" t="s">
        <v>68</v>
      </c>
      <c r="D541" s="1">
        <v>45788</v>
      </c>
      <c r="E541" t="s">
        <v>213</v>
      </c>
      <c r="F541" t="s">
        <v>2221</v>
      </c>
      <c r="G541" t="s">
        <v>22</v>
      </c>
      <c r="H541" t="s">
        <v>2222</v>
      </c>
      <c r="I541" t="s">
        <v>2223</v>
      </c>
      <c r="J541" s="2">
        <v>46052.86051079609</v>
      </c>
    </row>
    <row r="542" spans="1:11" x14ac:dyDescent="0.55000000000000004">
      <c r="A542" t="s">
        <v>2224</v>
      </c>
      <c r="B542">
        <v>100594</v>
      </c>
      <c r="C542" t="s">
        <v>19</v>
      </c>
      <c r="D542" s="1">
        <v>45828</v>
      </c>
      <c r="E542" t="s">
        <v>265</v>
      </c>
      <c r="F542" t="s">
        <v>2225</v>
      </c>
      <c r="G542" t="s">
        <v>15</v>
      </c>
      <c r="H542" t="s">
        <v>2226</v>
      </c>
      <c r="I542" t="s">
        <v>2227</v>
      </c>
      <c r="J542" s="2">
        <v>46063.714677467447</v>
      </c>
    </row>
    <row r="543" spans="1:11" x14ac:dyDescent="0.55000000000000004">
      <c r="A543" t="s">
        <v>2228</v>
      </c>
      <c r="B543">
        <v>100479</v>
      </c>
      <c r="C543" t="s">
        <v>48</v>
      </c>
      <c r="D543" s="1">
        <v>45784</v>
      </c>
      <c r="E543" t="s">
        <v>356</v>
      </c>
      <c r="F543" t="s">
        <v>2229</v>
      </c>
      <c r="G543" t="s">
        <v>22</v>
      </c>
      <c r="H543" t="s">
        <v>2230</v>
      </c>
      <c r="I543" t="s">
        <v>2231</v>
      </c>
      <c r="J543" s="2">
        <v>46097.415371915733</v>
      </c>
    </row>
    <row r="544" spans="1:11" x14ac:dyDescent="0.55000000000000004">
      <c r="A544" t="s">
        <v>2232</v>
      </c>
      <c r="B544">
        <v>100127</v>
      </c>
      <c r="C544" t="s">
        <v>131</v>
      </c>
      <c r="D544" s="1">
        <v>45809</v>
      </c>
      <c r="E544" t="s">
        <v>69</v>
      </c>
      <c r="F544" t="s">
        <v>2233</v>
      </c>
      <c r="G544" t="s">
        <v>15</v>
      </c>
      <c r="H544" t="s">
        <v>2234</v>
      </c>
      <c r="I544" t="s">
        <v>2235</v>
      </c>
      <c r="J544" s="2">
        <v>46076.148705253538</v>
      </c>
    </row>
    <row r="545" spans="1:10" x14ac:dyDescent="0.55000000000000004">
      <c r="A545" t="s">
        <v>2236</v>
      </c>
      <c r="B545">
        <v>101373</v>
      </c>
      <c r="C545" t="s">
        <v>68</v>
      </c>
      <c r="D545" s="1">
        <v>46134</v>
      </c>
      <c r="E545" t="s">
        <v>58</v>
      </c>
      <c r="F545" t="s">
        <v>2237</v>
      </c>
      <c r="G545" t="s">
        <v>15</v>
      </c>
      <c r="H545" t="s">
        <v>2238</v>
      </c>
      <c r="I545" t="s">
        <v>2239</v>
      </c>
      <c r="J545" s="2">
        <v>46076.632038590717</v>
      </c>
    </row>
    <row r="546" spans="1:10" x14ac:dyDescent="0.55000000000000004">
      <c r="A546" t="s">
        <v>2240</v>
      </c>
      <c r="B546">
        <v>100921</v>
      </c>
      <c r="C546" t="s">
        <v>114</v>
      </c>
      <c r="D546" s="1">
        <v>45760</v>
      </c>
      <c r="E546" t="s">
        <v>334</v>
      </c>
      <c r="F546" t="s">
        <v>2241</v>
      </c>
      <c r="G546" t="s">
        <v>22</v>
      </c>
      <c r="H546" t="s">
        <v>2242</v>
      </c>
      <c r="I546" t="s">
        <v>2243</v>
      </c>
      <c r="J546" s="2">
        <v>46086.473010816808</v>
      </c>
    </row>
    <row r="547" spans="1:10" x14ac:dyDescent="0.55000000000000004">
      <c r="A547" t="s">
        <v>2244</v>
      </c>
      <c r="B547">
        <v>100314</v>
      </c>
      <c r="C547" t="s">
        <v>32</v>
      </c>
      <c r="D547" s="1">
        <v>46150</v>
      </c>
      <c r="E547" t="s">
        <v>141</v>
      </c>
      <c r="F547" t="s">
        <v>2245</v>
      </c>
      <c r="G547" t="s">
        <v>15</v>
      </c>
      <c r="H547" t="s">
        <v>2246</v>
      </c>
      <c r="I547" t="s">
        <v>2247</v>
      </c>
      <c r="J547" s="2">
        <v>46073.116066376228</v>
      </c>
    </row>
    <row r="548" spans="1:10" x14ac:dyDescent="0.55000000000000004">
      <c r="A548" t="s">
        <v>2248</v>
      </c>
      <c r="B548">
        <v>100828</v>
      </c>
      <c r="C548" t="s">
        <v>194</v>
      </c>
      <c r="D548" s="1">
        <v>46109</v>
      </c>
      <c r="E548" t="s">
        <v>115</v>
      </c>
      <c r="F548" t="s">
        <v>2249</v>
      </c>
      <c r="G548" t="s">
        <v>22</v>
      </c>
      <c r="H548" t="s">
        <v>2250</v>
      </c>
      <c r="I548" t="s">
        <v>2251</v>
      </c>
      <c r="J548" s="2">
        <v>46091.004955268872</v>
      </c>
    </row>
    <row r="549" spans="1:10" x14ac:dyDescent="0.55000000000000004">
      <c r="A549" t="s">
        <v>2252</v>
      </c>
      <c r="B549">
        <v>100580</v>
      </c>
      <c r="C549" t="s">
        <v>248</v>
      </c>
      <c r="D549" s="1">
        <v>45974</v>
      </c>
      <c r="E549" t="s">
        <v>49</v>
      </c>
      <c r="F549" t="s">
        <v>2253</v>
      </c>
      <c r="G549" t="s">
        <v>22</v>
      </c>
      <c r="H549" t="s">
        <v>2254</v>
      </c>
      <c r="I549" t="s">
        <v>2255</v>
      </c>
      <c r="J549" s="2">
        <v>46086.851483050588</v>
      </c>
    </row>
    <row r="550" spans="1:10" x14ac:dyDescent="0.55000000000000004">
      <c r="A550" t="s">
        <v>2256</v>
      </c>
      <c r="B550">
        <v>101108</v>
      </c>
      <c r="C550" t="s">
        <v>12</v>
      </c>
      <c r="D550" s="1">
        <v>46113</v>
      </c>
      <c r="E550" t="s">
        <v>343</v>
      </c>
      <c r="F550" t="s">
        <v>2257</v>
      </c>
      <c r="G550" t="s">
        <v>22</v>
      </c>
      <c r="H550" t="s">
        <v>2258</v>
      </c>
      <c r="I550" t="s">
        <v>2259</v>
      </c>
      <c r="J550" s="2">
        <v>46057.321621944029</v>
      </c>
    </row>
    <row r="551" spans="1:10" x14ac:dyDescent="0.55000000000000004">
      <c r="A551" t="s">
        <v>2260</v>
      </c>
      <c r="B551">
        <v>101272</v>
      </c>
      <c r="C551" t="s">
        <v>248</v>
      </c>
      <c r="D551" s="1">
        <v>45916</v>
      </c>
      <c r="E551" t="s">
        <v>317</v>
      </c>
      <c r="F551" t="s">
        <v>2261</v>
      </c>
      <c r="G551" t="s">
        <v>15</v>
      </c>
      <c r="H551" t="s">
        <v>2262</v>
      </c>
      <c r="I551" t="s">
        <v>2263</v>
      </c>
      <c r="J551" s="2">
        <v>46090.410510837617</v>
      </c>
    </row>
    <row r="552" spans="1:10" x14ac:dyDescent="0.55000000000000004">
      <c r="A552" t="s">
        <v>2264</v>
      </c>
      <c r="B552">
        <v>100272</v>
      </c>
      <c r="C552" t="s">
        <v>94</v>
      </c>
      <c r="D552" s="1">
        <v>45898</v>
      </c>
      <c r="E552" t="s">
        <v>115</v>
      </c>
      <c r="F552" t="s">
        <v>2265</v>
      </c>
      <c r="G552" t="s">
        <v>22</v>
      </c>
      <c r="H552" t="s">
        <v>2266</v>
      </c>
      <c r="I552" t="s">
        <v>2267</v>
      </c>
      <c r="J552" s="2">
        <v>46060.575788619048</v>
      </c>
    </row>
    <row r="553" spans="1:10" x14ac:dyDescent="0.55000000000000004">
      <c r="A553" t="s">
        <v>2268</v>
      </c>
      <c r="B553">
        <v>100596</v>
      </c>
      <c r="C553" t="s">
        <v>179</v>
      </c>
      <c r="D553" s="1">
        <v>46136</v>
      </c>
      <c r="E553" t="s">
        <v>155</v>
      </c>
      <c r="F553" t="s">
        <v>2269</v>
      </c>
      <c r="G553" t="s">
        <v>15</v>
      </c>
      <c r="H553" t="s">
        <v>2270</v>
      </c>
      <c r="I553" t="s">
        <v>2271</v>
      </c>
      <c r="J553" s="2">
        <v>46059.763983068056</v>
      </c>
    </row>
    <row r="554" spans="1:10" x14ac:dyDescent="0.55000000000000004">
      <c r="A554" t="s">
        <v>2272</v>
      </c>
      <c r="B554">
        <v>100978</v>
      </c>
      <c r="C554" t="s">
        <v>19</v>
      </c>
      <c r="D554" s="1">
        <v>46084</v>
      </c>
      <c r="E554" t="s">
        <v>199</v>
      </c>
      <c r="F554" t="s">
        <v>2273</v>
      </c>
      <c r="G554" t="s">
        <v>15</v>
      </c>
      <c r="H554" t="s">
        <v>2274</v>
      </c>
      <c r="I554" t="s">
        <v>2275</v>
      </c>
      <c r="J554" s="2">
        <v>46087.03551085059</v>
      </c>
    </row>
    <row r="555" spans="1:10" x14ac:dyDescent="0.55000000000000004">
      <c r="A555" t="s">
        <v>2276</v>
      </c>
      <c r="B555">
        <v>100763</v>
      </c>
      <c r="C555" t="s">
        <v>131</v>
      </c>
      <c r="D555" s="1">
        <v>46083</v>
      </c>
      <c r="E555" t="s">
        <v>343</v>
      </c>
      <c r="F555" t="s">
        <v>2277</v>
      </c>
      <c r="G555" t="s">
        <v>22</v>
      </c>
      <c r="H555" t="s">
        <v>2278</v>
      </c>
      <c r="I555" t="s">
        <v>2279</v>
      </c>
      <c r="J555" s="2">
        <v>46056.527177521042</v>
      </c>
    </row>
    <row r="556" spans="1:10" x14ac:dyDescent="0.55000000000000004">
      <c r="A556" t="s">
        <v>2280</v>
      </c>
      <c r="B556">
        <v>100656</v>
      </c>
      <c r="C556" t="s">
        <v>146</v>
      </c>
      <c r="D556" s="1">
        <v>46137</v>
      </c>
      <c r="E556" t="s">
        <v>115</v>
      </c>
      <c r="F556" t="s">
        <v>2281</v>
      </c>
      <c r="G556" t="s">
        <v>22</v>
      </c>
      <c r="H556" t="s">
        <v>2282</v>
      </c>
      <c r="I556" t="s">
        <v>2283</v>
      </c>
      <c r="J556" s="2">
        <v>46083.295927525753</v>
      </c>
    </row>
    <row r="557" spans="1:10" x14ac:dyDescent="0.55000000000000004">
      <c r="A557" t="s">
        <v>2284</v>
      </c>
      <c r="B557">
        <v>100202</v>
      </c>
      <c r="C557" t="s">
        <v>146</v>
      </c>
      <c r="D557" s="1">
        <v>46135</v>
      </c>
      <c r="E557" t="s">
        <v>208</v>
      </c>
      <c r="F557" t="s">
        <v>2285</v>
      </c>
      <c r="G557" t="s">
        <v>15</v>
      </c>
      <c r="H557" t="s">
        <v>2286</v>
      </c>
      <c r="I557" t="s">
        <v>2287</v>
      </c>
      <c r="J557" s="2">
        <v>46053.209121974673</v>
      </c>
    </row>
    <row r="558" spans="1:10" x14ac:dyDescent="0.55000000000000004">
      <c r="A558" t="s">
        <v>2288</v>
      </c>
      <c r="B558">
        <v>100662</v>
      </c>
      <c r="C558" t="s">
        <v>63</v>
      </c>
      <c r="D558" s="1">
        <v>46102</v>
      </c>
      <c r="E558" t="s">
        <v>20</v>
      </c>
      <c r="F558" t="s">
        <v>2289</v>
      </c>
      <c r="G558" t="s">
        <v>15</v>
      </c>
      <c r="H558" t="s">
        <v>2290</v>
      </c>
      <c r="I558" t="s">
        <v>2291</v>
      </c>
      <c r="J558" s="2">
        <v>46066.12370531186</v>
      </c>
    </row>
    <row r="559" spans="1:10" x14ac:dyDescent="0.55000000000000004">
      <c r="A559" t="s">
        <v>2292</v>
      </c>
      <c r="B559">
        <v>100239</v>
      </c>
      <c r="C559" t="s">
        <v>146</v>
      </c>
      <c r="D559" s="1">
        <v>45882</v>
      </c>
      <c r="E559" t="s">
        <v>680</v>
      </c>
      <c r="F559" t="s">
        <v>2293</v>
      </c>
      <c r="G559" t="s">
        <v>15</v>
      </c>
      <c r="H559" t="s">
        <v>2294</v>
      </c>
      <c r="I559" t="s">
        <v>2295</v>
      </c>
      <c r="J559" s="2">
        <v>46063.251483093758</v>
      </c>
    </row>
    <row r="560" spans="1:10" x14ac:dyDescent="0.55000000000000004">
      <c r="A560" t="s">
        <v>2296</v>
      </c>
      <c r="B560">
        <v>100072</v>
      </c>
      <c r="C560" t="s">
        <v>169</v>
      </c>
      <c r="D560" s="1">
        <v>46106</v>
      </c>
      <c r="E560" t="s">
        <v>467</v>
      </c>
      <c r="F560" t="s">
        <v>2297</v>
      </c>
      <c r="G560" t="s">
        <v>15</v>
      </c>
      <c r="H560" t="s">
        <v>2298</v>
      </c>
      <c r="I560" t="s">
        <v>2299</v>
      </c>
      <c r="J560" s="2">
        <v>46092.991066431663</v>
      </c>
    </row>
    <row r="561" spans="1:11" x14ac:dyDescent="0.55000000000000004">
      <c r="A561" t="s">
        <v>2300</v>
      </c>
      <c r="B561">
        <v>100901</v>
      </c>
      <c r="C561" t="s">
        <v>114</v>
      </c>
      <c r="D561" s="1">
        <v>45962</v>
      </c>
      <c r="E561" t="s">
        <v>467</v>
      </c>
      <c r="F561" t="s">
        <v>2301</v>
      </c>
      <c r="G561" t="s">
        <v>22</v>
      </c>
      <c r="H561" t="s">
        <v>2302</v>
      </c>
      <c r="I561" t="s">
        <v>2303</v>
      </c>
      <c r="J561" s="2">
        <v>46068.745233102098</v>
      </c>
    </row>
    <row r="562" spans="1:11" x14ac:dyDescent="0.55000000000000004">
      <c r="A562" t="s">
        <v>2304</v>
      </c>
      <c r="B562">
        <v>100987</v>
      </c>
      <c r="C562" t="s">
        <v>82</v>
      </c>
      <c r="D562" s="1">
        <v>45926</v>
      </c>
      <c r="E562" t="s">
        <v>199</v>
      </c>
      <c r="F562" t="s">
        <v>2305</v>
      </c>
      <c r="G562" t="s">
        <v>15</v>
      </c>
      <c r="H562" t="s">
        <v>2306</v>
      </c>
      <c r="I562" t="s">
        <v>2307</v>
      </c>
      <c r="J562" s="2">
        <v>46077.656344217823</v>
      </c>
    </row>
    <row r="563" spans="1:11" x14ac:dyDescent="0.55000000000000004">
      <c r="A563" t="s">
        <v>2308</v>
      </c>
      <c r="B563">
        <v>100295</v>
      </c>
      <c r="C563" t="s">
        <v>146</v>
      </c>
      <c r="D563" s="1">
        <v>46151</v>
      </c>
      <c r="E563" t="s">
        <v>409</v>
      </c>
      <c r="F563" t="s">
        <v>2309</v>
      </c>
      <c r="G563" t="s">
        <v>22</v>
      </c>
      <c r="H563" t="s">
        <v>2310</v>
      </c>
      <c r="I563" t="s">
        <v>2311</v>
      </c>
      <c r="J563" s="2">
        <v>46062.527177554999</v>
      </c>
    </row>
    <row r="564" spans="1:11" x14ac:dyDescent="0.55000000000000004">
      <c r="A564" t="s">
        <v>2312</v>
      </c>
      <c r="B564">
        <v>100237</v>
      </c>
      <c r="C564" t="s">
        <v>99</v>
      </c>
      <c r="D564" s="1">
        <v>45876</v>
      </c>
      <c r="E564" t="s">
        <v>58</v>
      </c>
      <c r="F564" t="s">
        <v>2313</v>
      </c>
      <c r="G564" t="s">
        <v>15</v>
      </c>
      <c r="H564" t="s">
        <v>2314</v>
      </c>
      <c r="I564" t="s">
        <v>2315</v>
      </c>
      <c r="J564" s="2">
        <v>46091.002177558868</v>
      </c>
    </row>
    <row r="565" spans="1:11" x14ac:dyDescent="0.55000000000000004">
      <c r="A565" t="s">
        <v>2316</v>
      </c>
      <c r="B565">
        <v>100033</v>
      </c>
      <c r="C565" t="s">
        <v>131</v>
      </c>
      <c r="D565" s="1">
        <v>45754</v>
      </c>
      <c r="E565" t="s">
        <v>115</v>
      </c>
      <c r="F565" t="s">
        <v>2317</v>
      </c>
      <c r="G565" t="s">
        <v>15</v>
      </c>
      <c r="H565" t="s">
        <v>2318</v>
      </c>
      <c r="I565" t="s">
        <v>2319</v>
      </c>
      <c r="J565" s="2">
        <v>46085.593844229443</v>
      </c>
    </row>
    <row r="566" spans="1:11" x14ac:dyDescent="0.55000000000000004">
      <c r="A566" t="s">
        <v>2320</v>
      </c>
      <c r="B566">
        <v>101385</v>
      </c>
      <c r="C566" t="s">
        <v>19</v>
      </c>
      <c r="D566" s="1">
        <v>45830</v>
      </c>
      <c r="E566" t="s">
        <v>155</v>
      </c>
      <c r="F566" t="s">
        <v>2321</v>
      </c>
      <c r="G566" t="s">
        <v>22</v>
      </c>
      <c r="H566" t="s">
        <v>2322</v>
      </c>
      <c r="I566" t="s">
        <v>2323</v>
      </c>
      <c r="J566" s="2">
        <v>46055.049399789583</v>
      </c>
      <c r="K566" t="s">
        <v>139</v>
      </c>
    </row>
    <row r="567" spans="1:11" x14ac:dyDescent="0.55000000000000004">
      <c r="A567" t="s">
        <v>2324</v>
      </c>
      <c r="B567">
        <v>100898</v>
      </c>
      <c r="C567" t="s">
        <v>82</v>
      </c>
      <c r="D567" s="1">
        <v>46051</v>
      </c>
      <c r="E567" t="s">
        <v>343</v>
      </c>
      <c r="F567" t="s">
        <v>2325</v>
      </c>
      <c r="G567" t="s">
        <v>22</v>
      </c>
      <c r="H567" t="s">
        <v>2326</v>
      </c>
      <c r="I567" t="s">
        <v>2327</v>
      </c>
      <c r="J567" s="2">
        <v>46082.884816460821</v>
      </c>
    </row>
    <row r="568" spans="1:11" x14ac:dyDescent="0.55000000000000004">
      <c r="A568" t="s">
        <v>2328</v>
      </c>
      <c r="B568">
        <v>100585</v>
      </c>
      <c r="C568" t="s">
        <v>131</v>
      </c>
      <c r="D568" s="1">
        <v>45738</v>
      </c>
      <c r="E568" t="s">
        <v>317</v>
      </c>
      <c r="F568" t="s">
        <v>2329</v>
      </c>
      <c r="G568" t="s">
        <v>22</v>
      </c>
      <c r="H568" t="s">
        <v>2330</v>
      </c>
      <c r="I568" t="s">
        <v>2331</v>
      </c>
      <c r="J568" s="2">
        <v>46092.080649798707</v>
      </c>
    </row>
    <row r="569" spans="1:11" x14ac:dyDescent="0.55000000000000004">
      <c r="A569" t="s">
        <v>2332</v>
      </c>
      <c r="B569">
        <v>101173</v>
      </c>
      <c r="C569" t="s">
        <v>12</v>
      </c>
      <c r="D569" s="1">
        <v>45916</v>
      </c>
      <c r="E569" t="s">
        <v>300</v>
      </c>
      <c r="F569" t="s">
        <v>2333</v>
      </c>
      <c r="G569" t="s">
        <v>15</v>
      </c>
      <c r="H569" t="s">
        <v>2334</v>
      </c>
      <c r="I569" t="s">
        <v>2335</v>
      </c>
      <c r="J569" s="2">
        <v>46058.368149803318</v>
      </c>
    </row>
    <row r="570" spans="1:11" x14ac:dyDescent="0.55000000000000004">
      <c r="A570" t="s">
        <v>2336</v>
      </c>
      <c r="B570">
        <v>100002</v>
      </c>
      <c r="C570" t="s">
        <v>82</v>
      </c>
      <c r="D570" s="1">
        <v>45752</v>
      </c>
      <c r="E570" t="s">
        <v>13</v>
      </c>
      <c r="F570" t="s">
        <v>2337</v>
      </c>
      <c r="G570" t="s">
        <v>15</v>
      </c>
      <c r="H570" t="s">
        <v>2338</v>
      </c>
      <c r="I570" t="s">
        <v>2339</v>
      </c>
      <c r="J570" s="2">
        <v>46064.608427585721</v>
      </c>
    </row>
    <row r="571" spans="1:11" x14ac:dyDescent="0.55000000000000004">
      <c r="A571" t="s">
        <v>2340</v>
      </c>
      <c r="B571">
        <v>100574</v>
      </c>
      <c r="C571" t="s">
        <v>533</v>
      </c>
      <c r="D571" s="1">
        <v>46103</v>
      </c>
      <c r="E571" t="s">
        <v>38</v>
      </c>
      <c r="F571" t="s">
        <v>2341</v>
      </c>
      <c r="G571" t="s">
        <v>22</v>
      </c>
      <c r="H571" t="s">
        <v>2342</v>
      </c>
      <c r="I571" t="s">
        <v>2343</v>
      </c>
      <c r="J571" s="2">
        <v>46085.471622033903</v>
      </c>
    </row>
    <row r="572" spans="1:11" x14ac:dyDescent="0.55000000000000004">
      <c r="A572" t="s">
        <v>2344</v>
      </c>
      <c r="B572">
        <v>100076</v>
      </c>
      <c r="C572" t="s">
        <v>82</v>
      </c>
      <c r="D572" s="1">
        <v>46068</v>
      </c>
      <c r="E572" t="s">
        <v>38</v>
      </c>
      <c r="F572" t="s">
        <v>2345</v>
      </c>
      <c r="G572" t="s">
        <v>15</v>
      </c>
      <c r="H572" t="s">
        <v>2346</v>
      </c>
      <c r="I572" t="s">
        <v>2347</v>
      </c>
      <c r="J572" s="2">
        <v>46061.952177593143</v>
      </c>
    </row>
    <row r="573" spans="1:11" x14ac:dyDescent="0.55000000000000004">
      <c r="A573" t="s">
        <v>2348</v>
      </c>
      <c r="B573">
        <v>100565</v>
      </c>
      <c r="C573" t="s">
        <v>94</v>
      </c>
      <c r="D573" s="1">
        <v>46114</v>
      </c>
      <c r="E573" t="s">
        <v>317</v>
      </c>
      <c r="F573" t="s">
        <v>2349</v>
      </c>
      <c r="G573" t="s">
        <v>22</v>
      </c>
      <c r="H573" t="s">
        <v>2350</v>
      </c>
      <c r="I573" t="s">
        <v>2351</v>
      </c>
      <c r="J573" s="2">
        <v>46054.093844263691</v>
      </c>
    </row>
    <row r="574" spans="1:11" x14ac:dyDescent="0.55000000000000004">
      <c r="A574" t="s">
        <v>2352</v>
      </c>
      <c r="B574">
        <v>100177</v>
      </c>
      <c r="C574" t="s">
        <v>94</v>
      </c>
      <c r="D574" s="1">
        <v>45785</v>
      </c>
      <c r="E574" t="s">
        <v>115</v>
      </c>
      <c r="F574" t="s">
        <v>2353</v>
      </c>
      <c r="G574" t="s">
        <v>22</v>
      </c>
      <c r="H574" t="s">
        <v>2354</v>
      </c>
      <c r="I574" t="s">
        <v>2355</v>
      </c>
      <c r="J574" s="2">
        <v>46065.266066490483</v>
      </c>
    </row>
    <row r="575" spans="1:11" x14ac:dyDescent="0.55000000000000004">
      <c r="A575" t="s">
        <v>2356</v>
      </c>
      <c r="B575">
        <v>101183</v>
      </c>
      <c r="C575" t="s">
        <v>48</v>
      </c>
      <c r="D575" s="1">
        <v>46005</v>
      </c>
      <c r="E575" t="s">
        <v>495</v>
      </c>
      <c r="F575" t="s">
        <v>2357</v>
      </c>
      <c r="G575" t="s">
        <v>22</v>
      </c>
      <c r="H575" t="s">
        <v>2358</v>
      </c>
      <c r="I575" t="s">
        <v>2359</v>
      </c>
      <c r="J575" s="2">
        <v>46074.159816494517</v>
      </c>
    </row>
    <row r="576" spans="1:11" x14ac:dyDescent="0.55000000000000004">
      <c r="A576" t="s">
        <v>2360</v>
      </c>
      <c r="B576">
        <v>100160</v>
      </c>
      <c r="C576" t="s">
        <v>94</v>
      </c>
      <c r="D576" s="1">
        <v>46154</v>
      </c>
      <c r="E576" t="s">
        <v>160</v>
      </c>
      <c r="F576" t="s">
        <v>2361</v>
      </c>
      <c r="G576" t="s">
        <v>15</v>
      </c>
      <c r="H576" t="s">
        <v>2362</v>
      </c>
      <c r="I576" t="s">
        <v>2363</v>
      </c>
      <c r="J576" s="2">
        <v>46072.963983165209</v>
      </c>
    </row>
    <row r="577" spans="1:11" x14ac:dyDescent="0.55000000000000004">
      <c r="A577" t="s">
        <v>2364</v>
      </c>
      <c r="B577">
        <v>100944</v>
      </c>
      <c r="C577" t="s">
        <v>32</v>
      </c>
      <c r="D577" s="1">
        <v>45916</v>
      </c>
      <c r="E577" t="s">
        <v>757</v>
      </c>
      <c r="F577" t="s">
        <v>2365</v>
      </c>
      <c r="G577" t="s">
        <v>15</v>
      </c>
      <c r="H577" t="s">
        <v>2366</v>
      </c>
      <c r="I577" t="s">
        <v>2367</v>
      </c>
      <c r="J577" s="2">
        <v>46095.341760947558</v>
      </c>
    </row>
    <row r="578" spans="1:11" x14ac:dyDescent="0.55000000000000004">
      <c r="A578" t="s">
        <v>2368</v>
      </c>
      <c r="B578">
        <v>101265</v>
      </c>
      <c r="C578" t="s">
        <v>99</v>
      </c>
      <c r="D578" s="1">
        <v>45740</v>
      </c>
      <c r="E578" t="s">
        <v>199</v>
      </c>
      <c r="F578" t="s">
        <v>2369</v>
      </c>
      <c r="G578" t="s">
        <v>22</v>
      </c>
      <c r="H578" t="s">
        <v>2370</v>
      </c>
      <c r="I578" t="s">
        <v>2371</v>
      </c>
      <c r="J578" s="2">
        <v>46083.441066507658</v>
      </c>
    </row>
    <row r="579" spans="1:11" x14ac:dyDescent="0.55000000000000004">
      <c r="A579" t="s">
        <v>2372</v>
      </c>
      <c r="B579">
        <v>100807</v>
      </c>
      <c r="C579" t="s">
        <v>169</v>
      </c>
      <c r="D579" s="1">
        <v>45743</v>
      </c>
      <c r="E579" t="s">
        <v>160</v>
      </c>
      <c r="F579" t="s">
        <v>2373</v>
      </c>
      <c r="G579" t="s">
        <v>15</v>
      </c>
      <c r="H579" t="s">
        <v>2374</v>
      </c>
      <c r="I579" t="s">
        <v>2375</v>
      </c>
      <c r="J579" s="2">
        <v>46095.091760956697</v>
      </c>
    </row>
    <row r="580" spans="1:11" x14ac:dyDescent="0.55000000000000004">
      <c r="A580" t="s">
        <v>2376</v>
      </c>
      <c r="B580">
        <v>101405</v>
      </c>
      <c r="C580" t="s">
        <v>63</v>
      </c>
      <c r="D580" s="1">
        <v>45811</v>
      </c>
      <c r="E580" t="s">
        <v>20</v>
      </c>
      <c r="F580" t="s">
        <v>2377</v>
      </c>
      <c r="G580" t="s">
        <v>22</v>
      </c>
      <c r="H580" t="s">
        <v>2378</v>
      </c>
      <c r="I580" t="s">
        <v>2379</v>
      </c>
      <c r="J580" s="2">
        <v>46060.391066516873</v>
      </c>
    </row>
    <row r="581" spans="1:11" x14ac:dyDescent="0.55000000000000004">
      <c r="A581" t="s">
        <v>2380</v>
      </c>
      <c r="B581">
        <v>100101</v>
      </c>
      <c r="C581" t="s">
        <v>194</v>
      </c>
      <c r="D581" s="1">
        <v>45863</v>
      </c>
      <c r="E581" t="s">
        <v>170</v>
      </c>
      <c r="F581" t="s">
        <v>2381</v>
      </c>
      <c r="G581" t="s">
        <v>22</v>
      </c>
      <c r="H581" t="s">
        <v>2382</v>
      </c>
      <c r="I581" t="s">
        <v>2383</v>
      </c>
      <c r="J581" s="2">
        <v>46061.436899854001</v>
      </c>
    </row>
    <row r="582" spans="1:11" x14ac:dyDescent="0.55000000000000004">
      <c r="A582" t="s">
        <v>2384</v>
      </c>
      <c r="B582">
        <v>101485</v>
      </c>
      <c r="C582" t="s">
        <v>131</v>
      </c>
      <c r="D582" s="1">
        <v>46102</v>
      </c>
      <c r="E582" t="s">
        <v>418</v>
      </c>
      <c r="F582" t="s">
        <v>2385</v>
      </c>
      <c r="G582" t="s">
        <v>22</v>
      </c>
      <c r="H582" t="s">
        <v>2386</v>
      </c>
      <c r="I582" t="s">
        <v>2387</v>
      </c>
      <c r="J582" s="2">
        <v>46052.746622080209</v>
      </c>
    </row>
    <row r="583" spans="1:11" x14ac:dyDescent="0.55000000000000004">
      <c r="A583" t="s">
        <v>2388</v>
      </c>
      <c r="B583">
        <v>100312</v>
      </c>
      <c r="C583" t="s">
        <v>26</v>
      </c>
      <c r="D583" s="1">
        <v>46151</v>
      </c>
      <c r="E583" t="s">
        <v>38</v>
      </c>
      <c r="F583" t="s">
        <v>2389</v>
      </c>
      <c r="G583" t="s">
        <v>22</v>
      </c>
      <c r="H583" t="s">
        <v>2390</v>
      </c>
      <c r="I583" t="s">
        <v>2391</v>
      </c>
      <c r="J583" s="2">
        <v>46094.926483195231</v>
      </c>
    </row>
    <row r="584" spans="1:11" x14ac:dyDescent="0.55000000000000004">
      <c r="A584" t="s">
        <v>2392</v>
      </c>
      <c r="B584">
        <v>100439</v>
      </c>
      <c r="C584" t="s">
        <v>179</v>
      </c>
      <c r="D584" s="1">
        <v>45772</v>
      </c>
      <c r="E584" t="s">
        <v>20</v>
      </c>
      <c r="F584" t="s">
        <v>2393</v>
      </c>
      <c r="G584" t="s">
        <v>22</v>
      </c>
      <c r="H584" t="s">
        <v>2394</v>
      </c>
      <c r="I584" t="s">
        <v>2395</v>
      </c>
      <c r="J584" s="2">
        <v>46070.153566532543</v>
      </c>
    </row>
    <row r="585" spans="1:11" x14ac:dyDescent="0.55000000000000004">
      <c r="A585" t="s">
        <v>2396</v>
      </c>
      <c r="B585">
        <v>100304</v>
      </c>
      <c r="C585" t="s">
        <v>533</v>
      </c>
      <c r="D585" s="1">
        <v>46126</v>
      </c>
      <c r="E585" t="s">
        <v>317</v>
      </c>
      <c r="F585" t="s">
        <v>2397</v>
      </c>
      <c r="G585" t="s">
        <v>15</v>
      </c>
      <c r="H585" t="s">
        <v>2398</v>
      </c>
      <c r="I585" t="s">
        <v>2399</v>
      </c>
      <c r="J585" s="2">
        <v>46056.847316537162</v>
      </c>
    </row>
    <row r="586" spans="1:11" x14ac:dyDescent="0.55000000000000004">
      <c r="A586" t="s">
        <v>2400</v>
      </c>
      <c r="B586">
        <v>100920</v>
      </c>
      <c r="C586" t="s">
        <v>179</v>
      </c>
      <c r="D586" s="1">
        <v>45759</v>
      </c>
      <c r="E586" t="s">
        <v>170</v>
      </c>
      <c r="F586" t="s">
        <v>2401</v>
      </c>
      <c r="G586" t="s">
        <v>22</v>
      </c>
      <c r="H586" t="s">
        <v>2402</v>
      </c>
      <c r="I586" t="s">
        <v>2403</v>
      </c>
      <c r="J586" s="2">
        <v>46062.943149874292</v>
      </c>
    </row>
    <row r="587" spans="1:11" x14ac:dyDescent="0.55000000000000004">
      <c r="A587" t="s">
        <v>2404</v>
      </c>
      <c r="B587">
        <v>100703</v>
      </c>
      <c r="D587" s="1">
        <v>45899</v>
      </c>
      <c r="E587" t="s">
        <v>587</v>
      </c>
      <c r="F587" t="s">
        <v>2405</v>
      </c>
      <c r="G587" t="s">
        <v>15</v>
      </c>
      <c r="H587" t="s">
        <v>2406</v>
      </c>
      <c r="I587" t="s">
        <v>2407</v>
      </c>
      <c r="J587" s="2">
        <v>46054.187594322531</v>
      </c>
      <c r="K587" t="s">
        <v>217</v>
      </c>
    </row>
    <row r="588" spans="1:11" x14ac:dyDescent="0.55000000000000004">
      <c r="A588" t="s">
        <v>2408</v>
      </c>
      <c r="B588">
        <v>100856</v>
      </c>
      <c r="C588" t="s">
        <v>88</v>
      </c>
      <c r="D588" s="1">
        <v>46117</v>
      </c>
      <c r="E588" t="s">
        <v>184</v>
      </c>
      <c r="F588" t="s">
        <v>2409</v>
      </c>
      <c r="G588" t="s">
        <v>15</v>
      </c>
      <c r="H588" t="s">
        <v>2410</v>
      </c>
      <c r="I588" t="s">
        <v>2411</v>
      </c>
      <c r="J588" s="2">
        <v>46070.334122104083</v>
      </c>
    </row>
    <row r="589" spans="1:11" x14ac:dyDescent="0.55000000000000004">
      <c r="A589" t="s">
        <v>2412</v>
      </c>
      <c r="B589">
        <v>100535</v>
      </c>
      <c r="C589" t="s">
        <v>179</v>
      </c>
      <c r="D589" s="1">
        <v>45807</v>
      </c>
      <c r="E589" t="s">
        <v>20</v>
      </c>
      <c r="F589" t="s">
        <v>2413</v>
      </c>
      <c r="G589" t="s">
        <v>15</v>
      </c>
      <c r="H589" t="s">
        <v>2414</v>
      </c>
      <c r="I589" t="s">
        <v>2415</v>
      </c>
      <c r="J589" s="2">
        <v>46066.933427664073</v>
      </c>
    </row>
    <row r="590" spans="1:11" x14ac:dyDescent="0.55000000000000004">
      <c r="A590" t="s">
        <v>2416</v>
      </c>
      <c r="B590">
        <v>100231</v>
      </c>
      <c r="C590" t="s">
        <v>12</v>
      </c>
      <c r="D590" s="1">
        <v>46012</v>
      </c>
      <c r="E590" t="s">
        <v>295</v>
      </c>
      <c r="F590" t="s">
        <v>2417</v>
      </c>
      <c r="G590" t="s">
        <v>22</v>
      </c>
      <c r="H590" t="s">
        <v>2418</v>
      </c>
      <c r="I590" t="s">
        <v>2419</v>
      </c>
      <c r="J590" s="2">
        <v>46065.128566556763</v>
      </c>
    </row>
    <row r="591" spans="1:11" x14ac:dyDescent="0.55000000000000004">
      <c r="A591" t="s">
        <v>2420</v>
      </c>
      <c r="B591">
        <v>100123</v>
      </c>
      <c r="C591" t="s">
        <v>114</v>
      </c>
      <c r="D591" s="1">
        <v>46122</v>
      </c>
      <c r="E591" t="s">
        <v>69</v>
      </c>
      <c r="F591" t="s">
        <v>2421</v>
      </c>
      <c r="G591" t="s">
        <v>15</v>
      </c>
      <c r="H591" t="s">
        <v>2422</v>
      </c>
      <c r="I591" t="s">
        <v>2423</v>
      </c>
      <c r="J591" s="2">
        <v>46066.18412211605</v>
      </c>
      <c r="K591" t="s">
        <v>139</v>
      </c>
    </row>
    <row r="592" spans="1:11" x14ac:dyDescent="0.55000000000000004">
      <c r="A592" t="s">
        <v>2424</v>
      </c>
      <c r="B592">
        <v>101064</v>
      </c>
      <c r="C592" t="s">
        <v>26</v>
      </c>
      <c r="D592" s="1">
        <v>45832</v>
      </c>
      <c r="E592" t="s">
        <v>587</v>
      </c>
      <c r="F592" t="s">
        <v>2425</v>
      </c>
      <c r="G592" t="s">
        <v>15</v>
      </c>
      <c r="H592" t="s">
        <v>2426</v>
      </c>
      <c r="I592" t="s">
        <v>2427</v>
      </c>
      <c r="J592" s="2">
        <v>46093.367455453183</v>
      </c>
    </row>
    <row r="593" spans="1:11" x14ac:dyDescent="0.55000000000000004">
      <c r="A593" t="s">
        <v>2428</v>
      </c>
      <c r="B593">
        <v>100121</v>
      </c>
      <c r="C593" t="s">
        <v>94</v>
      </c>
      <c r="D593" s="1">
        <v>45897</v>
      </c>
      <c r="E593" t="s">
        <v>184</v>
      </c>
      <c r="F593" t="s">
        <v>2429</v>
      </c>
      <c r="G593" t="s">
        <v>22</v>
      </c>
      <c r="H593" t="s">
        <v>2430</v>
      </c>
      <c r="I593" t="s">
        <v>2431</v>
      </c>
      <c r="J593" s="2">
        <v>46070.226483235732</v>
      </c>
    </row>
    <row r="594" spans="1:11" x14ac:dyDescent="0.55000000000000004">
      <c r="A594" t="s">
        <v>2432</v>
      </c>
      <c r="B594">
        <v>100254</v>
      </c>
      <c r="C594" t="s">
        <v>63</v>
      </c>
      <c r="D594" s="1">
        <v>45829</v>
      </c>
      <c r="E594" t="s">
        <v>467</v>
      </c>
      <c r="F594" t="s">
        <v>2433</v>
      </c>
      <c r="G594" t="s">
        <v>15</v>
      </c>
      <c r="H594" t="s">
        <v>2434</v>
      </c>
      <c r="I594" t="s">
        <v>2435</v>
      </c>
      <c r="J594" s="2">
        <v>46078.50564990854</v>
      </c>
    </row>
    <row r="595" spans="1:11" x14ac:dyDescent="0.55000000000000004">
      <c r="A595" t="s">
        <v>2436</v>
      </c>
      <c r="C595" t="s">
        <v>63</v>
      </c>
      <c r="D595" s="1">
        <v>46047</v>
      </c>
      <c r="E595" t="s">
        <v>409</v>
      </c>
      <c r="F595" t="s">
        <v>2437</v>
      </c>
      <c r="G595" t="s">
        <v>22</v>
      </c>
      <c r="H595" t="s">
        <v>2438</v>
      </c>
      <c r="I595" t="s">
        <v>2439</v>
      </c>
      <c r="J595" s="2">
        <v>46095.413983246362</v>
      </c>
      <c r="K595" t="s">
        <v>112</v>
      </c>
    </row>
    <row r="596" spans="1:11" x14ac:dyDescent="0.55000000000000004">
      <c r="A596" t="s">
        <v>2440</v>
      </c>
      <c r="B596">
        <v>101015</v>
      </c>
      <c r="C596" t="s">
        <v>248</v>
      </c>
      <c r="D596" s="1">
        <v>46082</v>
      </c>
      <c r="E596" t="s">
        <v>265</v>
      </c>
      <c r="F596" t="s">
        <v>2441</v>
      </c>
      <c r="G596" t="s">
        <v>15</v>
      </c>
      <c r="H596" t="s">
        <v>2442</v>
      </c>
      <c r="I596" t="s">
        <v>2443</v>
      </c>
      <c r="J596" s="2">
        <v>46094.400788806677</v>
      </c>
    </row>
    <row r="597" spans="1:11" x14ac:dyDescent="0.55000000000000004">
      <c r="A597" t="s">
        <v>2444</v>
      </c>
      <c r="B597">
        <v>100576</v>
      </c>
      <c r="C597" t="s">
        <v>99</v>
      </c>
      <c r="D597" s="1">
        <v>45807</v>
      </c>
      <c r="E597" t="s">
        <v>295</v>
      </c>
      <c r="F597" t="s">
        <v>2445</v>
      </c>
      <c r="G597" t="s">
        <v>15</v>
      </c>
      <c r="H597" t="s">
        <v>2446</v>
      </c>
      <c r="I597" t="s">
        <v>2447</v>
      </c>
      <c r="J597" s="2">
        <v>46078.106344366148</v>
      </c>
    </row>
    <row r="598" spans="1:11" x14ac:dyDescent="0.55000000000000004">
      <c r="A598" t="s">
        <v>2448</v>
      </c>
      <c r="B598">
        <v>100152</v>
      </c>
      <c r="C598" t="s">
        <v>19</v>
      </c>
      <c r="D598" s="1">
        <v>45743</v>
      </c>
      <c r="E598" t="s">
        <v>409</v>
      </c>
      <c r="F598" t="s">
        <v>2449</v>
      </c>
      <c r="G598" t="s">
        <v>15</v>
      </c>
      <c r="H598" t="s">
        <v>2450</v>
      </c>
      <c r="I598" t="s">
        <v>2451</v>
      </c>
      <c r="J598" s="2">
        <v>46083.968844371659</v>
      </c>
    </row>
    <row r="599" spans="1:11" x14ac:dyDescent="0.55000000000000004">
      <c r="A599" t="s">
        <v>2452</v>
      </c>
      <c r="B599">
        <v>100155</v>
      </c>
      <c r="C599" t="s">
        <v>82</v>
      </c>
      <c r="D599" s="1">
        <v>46116</v>
      </c>
      <c r="E599" t="s">
        <v>89</v>
      </c>
      <c r="F599" t="s">
        <v>2453</v>
      </c>
      <c r="G599" t="s">
        <v>15</v>
      </c>
      <c r="H599" t="s">
        <v>2454</v>
      </c>
      <c r="I599" t="s">
        <v>2455</v>
      </c>
      <c r="J599" s="2">
        <v>46052.75217770903</v>
      </c>
    </row>
    <row r="600" spans="1:11" x14ac:dyDescent="0.55000000000000004">
      <c r="A600" t="s">
        <v>2456</v>
      </c>
      <c r="B600">
        <v>101479</v>
      </c>
      <c r="C600" t="s">
        <v>37</v>
      </c>
      <c r="D600" s="1">
        <v>45924</v>
      </c>
      <c r="E600" t="s">
        <v>184</v>
      </c>
      <c r="F600" t="s">
        <v>2457</v>
      </c>
      <c r="G600" t="s">
        <v>22</v>
      </c>
      <c r="H600" t="s">
        <v>2458</v>
      </c>
      <c r="I600" t="s">
        <v>2459</v>
      </c>
      <c r="J600" s="2">
        <v>46087.660511046517</v>
      </c>
      <c r="K600" t="s">
        <v>119</v>
      </c>
    </row>
    <row r="601" spans="1:11" x14ac:dyDescent="0.55000000000000004">
      <c r="A601" t="s">
        <v>2460</v>
      </c>
      <c r="B601">
        <v>100590</v>
      </c>
      <c r="C601" t="s">
        <v>68</v>
      </c>
      <c r="D601" s="1">
        <v>45834</v>
      </c>
      <c r="E601" t="s">
        <v>343</v>
      </c>
      <c r="F601" t="s">
        <v>2461</v>
      </c>
      <c r="G601" t="s">
        <v>22</v>
      </c>
      <c r="H601" t="s">
        <v>2462</v>
      </c>
      <c r="I601" t="s">
        <v>2463</v>
      </c>
      <c r="J601" s="2">
        <v>46056.734122161259</v>
      </c>
    </row>
    <row r="602" spans="1:11" x14ac:dyDescent="0.55000000000000004">
      <c r="A602" t="s">
        <v>2464</v>
      </c>
      <c r="B602">
        <v>100075</v>
      </c>
      <c r="C602" t="s">
        <v>131</v>
      </c>
      <c r="D602" s="1">
        <v>45930</v>
      </c>
      <c r="E602" t="s">
        <v>13</v>
      </c>
      <c r="F602" t="s">
        <v>2465</v>
      </c>
      <c r="G602" t="s">
        <v>15</v>
      </c>
      <c r="H602" t="s">
        <v>2466</v>
      </c>
      <c r="I602" t="s">
        <v>2467</v>
      </c>
      <c r="J602" s="2">
        <v>46078.823011054679</v>
      </c>
    </row>
    <row r="603" spans="1:11" x14ac:dyDescent="0.55000000000000004">
      <c r="A603" t="s">
        <v>2468</v>
      </c>
      <c r="B603">
        <v>100503</v>
      </c>
      <c r="C603" t="s">
        <v>179</v>
      </c>
      <c r="D603" s="1">
        <v>45850</v>
      </c>
      <c r="E603" t="s">
        <v>170</v>
      </c>
      <c r="F603" t="s">
        <v>2469</v>
      </c>
      <c r="G603" t="s">
        <v>22</v>
      </c>
      <c r="H603" t="s">
        <v>2470</v>
      </c>
      <c r="I603" t="s">
        <v>2471</v>
      </c>
      <c r="J603" s="2">
        <v>46065.897316614923</v>
      </c>
    </row>
    <row r="604" spans="1:11" x14ac:dyDescent="0.55000000000000004">
      <c r="A604" t="s">
        <v>2472</v>
      </c>
      <c r="B604">
        <v>100410</v>
      </c>
      <c r="C604" t="s">
        <v>146</v>
      </c>
      <c r="D604" s="1">
        <v>45777</v>
      </c>
      <c r="E604" t="s">
        <v>115</v>
      </c>
      <c r="F604" t="s">
        <v>2473</v>
      </c>
      <c r="G604" t="s">
        <v>22</v>
      </c>
      <c r="H604" t="s">
        <v>2474</v>
      </c>
      <c r="I604" t="s">
        <v>2475</v>
      </c>
      <c r="J604" s="2">
        <v>46062.715372175036</v>
      </c>
    </row>
    <row r="605" spans="1:11" x14ac:dyDescent="0.55000000000000004">
      <c r="A605" t="s">
        <v>2476</v>
      </c>
      <c r="B605">
        <v>100066</v>
      </c>
      <c r="C605" t="s">
        <v>12</v>
      </c>
      <c r="D605" s="1">
        <v>45858</v>
      </c>
      <c r="E605" t="s">
        <v>300</v>
      </c>
      <c r="F605" t="s">
        <v>2477</v>
      </c>
      <c r="G605" t="s">
        <v>22</v>
      </c>
      <c r="H605" t="s">
        <v>2478</v>
      </c>
      <c r="I605" t="s">
        <v>2479</v>
      </c>
      <c r="J605" s="2">
        <v>46087.720233290078</v>
      </c>
    </row>
    <row r="606" spans="1:11" x14ac:dyDescent="0.55000000000000004">
      <c r="A606" t="s">
        <v>2480</v>
      </c>
      <c r="B606">
        <v>101191</v>
      </c>
      <c r="C606" t="s">
        <v>63</v>
      </c>
      <c r="D606" s="1">
        <v>46082</v>
      </c>
      <c r="E606" t="s">
        <v>49</v>
      </c>
      <c r="F606" t="s">
        <v>2481</v>
      </c>
      <c r="G606" t="s">
        <v>15</v>
      </c>
      <c r="H606" t="s">
        <v>2482</v>
      </c>
      <c r="I606" t="s">
        <v>2483</v>
      </c>
      <c r="J606" s="2">
        <v>46065.354261071647</v>
      </c>
    </row>
    <row r="607" spans="1:11" x14ac:dyDescent="0.55000000000000004">
      <c r="A607" t="s">
        <v>2484</v>
      </c>
      <c r="B607">
        <v>100489</v>
      </c>
      <c r="C607" t="s">
        <v>12</v>
      </c>
      <c r="D607" s="1">
        <v>46052</v>
      </c>
      <c r="E607" t="s">
        <v>334</v>
      </c>
      <c r="F607" t="s">
        <v>2485</v>
      </c>
      <c r="G607" t="s">
        <v>22</v>
      </c>
      <c r="H607" t="s">
        <v>2486</v>
      </c>
      <c r="I607" t="s">
        <v>2487</v>
      </c>
      <c r="J607" s="2">
        <v>46083.530649964297</v>
      </c>
    </row>
    <row r="608" spans="1:11" x14ac:dyDescent="0.55000000000000004">
      <c r="A608" t="s">
        <v>2488</v>
      </c>
      <c r="B608">
        <v>100798</v>
      </c>
      <c r="C608" t="s">
        <v>169</v>
      </c>
      <c r="D608" s="1">
        <v>45933</v>
      </c>
      <c r="E608" t="s">
        <v>121</v>
      </c>
      <c r="F608" t="s">
        <v>2489</v>
      </c>
      <c r="G608" t="s">
        <v>15</v>
      </c>
      <c r="H608" t="s">
        <v>2490</v>
      </c>
      <c r="I608" t="s">
        <v>2491</v>
      </c>
      <c r="J608" s="2">
        <v>46071.404261079297</v>
      </c>
    </row>
    <row r="609" spans="1:11" x14ac:dyDescent="0.55000000000000004">
      <c r="A609" t="s">
        <v>2492</v>
      </c>
      <c r="B609">
        <v>100052</v>
      </c>
      <c r="C609" t="s">
        <v>26</v>
      </c>
      <c r="D609" s="1">
        <v>45810</v>
      </c>
      <c r="E609" t="s">
        <v>467</v>
      </c>
      <c r="F609" t="s">
        <v>2493</v>
      </c>
      <c r="G609" t="s">
        <v>22</v>
      </c>
      <c r="H609" t="s">
        <v>2494</v>
      </c>
      <c r="I609" t="s">
        <v>2495</v>
      </c>
      <c r="J609" s="2">
        <v>46068.975094416623</v>
      </c>
    </row>
    <row r="610" spans="1:11" x14ac:dyDescent="0.55000000000000004">
      <c r="A610" t="s">
        <v>2496</v>
      </c>
      <c r="B610">
        <v>100188</v>
      </c>
      <c r="C610" t="s">
        <v>114</v>
      </c>
      <c r="D610" s="1">
        <v>45837</v>
      </c>
      <c r="E610" t="s">
        <v>587</v>
      </c>
      <c r="F610" t="s">
        <v>2497</v>
      </c>
      <c r="G610" t="s">
        <v>15</v>
      </c>
      <c r="H610" t="s">
        <v>2498</v>
      </c>
      <c r="I610" t="s">
        <v>2499</v>
      </c>
      <c r="J610" s="2">
        <v>46077.766761087463</v>
      </c>
    </row>
    <row r="611" spans="1:11" x14ac:dyDescent="0.55000000000000004">
      <c r="A611" t="s">
        <v>2500</v>
      </c>
      <c r="B611">
        <v>100687</v>
      </c>
      <c r="C611" t="s">
        <v>82</v>
      </c>
      <c r="D611" s="1">
        <v>45801</v>
      </c>
      <c r="E611" t="s">
        <v>409</v>
      </c>
      <c r="F611" t="s">
        <v>2501</v>
      </c>
      <c r="G611" t="s">
        <v>15</v>
      </c>
      <c r="H611" t="s">
        <v>2502</v>
      </c>
      <c r="I611" t="s">
        <v>2503</v>
      </c>
      <c r="J611" s="2">
        <v>46077.650094425408</v>
      </c>
    </row>
    <row r="612" spans="1:11" x14ac:dyDescent="0.55000000000000004">
      <c r="A612" t="s">
        <v>2504</v>
      </c>
      <c r="B612">
        <v>101336</v>
      </c>
      <c r="C612" t="s">
        <v>146</v>
      </c>
      <c r="D612" s="1">
        <v>46004</v>
      </c>
      <c r="E612" t="s">
        <v>199</v>
      </c>
      <c r="F612" t="s">
        <v>2505</v>
      </c>
      <c r="G612" t="s">
        <v>15</v>
      </c>
      <c r="H612" t="s">
        <v>2506</v>
      </c>
      <c r="I612" t="s">
        <v>2507</v>
      </c>
      <c r="J612" s="2">
        <v>46096.293149985591</v>
      </c>
    </row>
    <row r="613" spans="1:11" x14ac:dyDescent="0.55000000000000004">
      <c r="A613" t="s">
        <v>2508</v>
      </c>
      <c r="B613">
        <v>101317</v>
      </c>
      <c r="C613" t="s">
        <v>94</v>
      </c>
      <c r="D613" s="1">
        <v>45942</v>
      </c>
      <c r="E613" t="s">
        <v>58</v>
      </c>
      <c r="F613" t="s">
        <v>2509</v>
      </c>
      <c r="G613" t="s">
        <v>15</v>
      </c>
      <c r="H613" t="s">
        <v>2510</v>
      </c>
      <c r="I613" t="s">
        <v>2511</v>
      </c>
      <c r="J613" s="2">
        <v>46085.594538879763</v>
      </c>
    </row>
    <row r="614" spans="1:11" x14ac:dyDescent="0.55000000000000004">
      <c r="A614" t="s">
        <v>2512</v>
      </c>
      <c r="B614">
        <v>100480</v>
      </c>
      <c r="C614" t="s">
        <v>114</v>
      </c>
      <c r="D614" s="1">
        <v>45826</v>
      </c>
      <c r="E614" t="s">
        <v>38</v>
      </c>
      <c r="F614" t="s">
        <v>2513</v>
      </c>
      <c r="G614" t="s">
        <v>22</v>
      </c>
      <c r="H614" t="s">
        <v>2514</v>
      </c>
      <c r="I614" t="s">
        <v>2515</v>
      </c>
      <c r="J614" s="2">
        <v>46058.93967777332</v>
      </c>
    </row>
    <row r="615" spans="1:11" x14ac:dyDescent="0.55000000000000004">
      <c r="A615" t="s">
        <v>2516</v>
      </c>
      <c r="B615">
        <v>100291</v>
      </c>
      <c r="C615" t="s">
        <v>99</v>
      </c>
      <c r="D615" s="1">
        <v>45850</v>
      </c>
      <c r="E615" t="s">
        <v>108</v>
      </c>
      <c r="F615" t="s">
        <v>2517</v>
      </c>
      <c r="G615" t="s">
        <v>22</v>
      </c>
      <c r="H615" t="s">
        <v>2518</v>
      </c>
      <c r="I615" t="s">
        <v>2519</v>
      </c>
      <c r="J615" s="2">
        <v>46091.767455555702</v>
      </c>
    </row>
    <row r="616" spans="1:11" x14ac:dyDescent="0.55000000000000004">
      <c r="A616" t="s">
        <v>2520</v>
      </c>
      <c r="B616">
        <v>100587</v>
      </c>
      <c r="C616" t="s">
        <v>19</v>
      </c>
      <c r="D616" s="1">
        <v>45800</v>
      </c>
      <c r="E616" t="s">
        <v>495</v>
      </c>
      <c r="F616" t="s">
        <v>2521</v>
      </c>
      <c r="G616" t="s">
        <v>15</v>
      </c>
      <c r="H616" t="s">
        <v>2522</v>
      </c>
      <c r="I616" t="s">
        <v>2523</v>
      </c>
      <c r="J616" s="2">
        <v>46073.047316670767</v>
      </c>
    </row>
    <row r="617" spans="1:11" x14ac:dyDescent="0.55000000000000004">
      <c r="A617" t="s">
        <v>2524</v>
      </c>
      <c r="B617">
        <v>100728</v>
      </c>
      <c r="C617" t="s">
        <v>19</v>
      </c>
      <c r="D617" s="1">
        <v>45802</v>
      </c>
      <c r="E617" t="s">
        <v>115</v>
      </c>
      <c r="F617" t="s">
        <v>1785</v>
      </c>
      <c r="G617" t="s">
        <v>15</v>
      </c>
      <c r="H617" t="s">
        <v>2525</v>
      </c>
      <c r="I617" t="s">
        <v>2526</v>
      </c>
      <c r="J617" s="2">
        <v>46095.165372230913</v>
      </c>
    </row>
    <row r="618" spans="1:11" x14ac:dyDescent="0.55000000000000004">
      <c r="A618" t="s">
        <v>2527</v>
      </c>
      <c r="B618">
        <v>100105</v>
      </c>
      <c r="C618" t="s">
        <v>37</v>
      </c>
      <c r="D618" s="1">
        <v>45870</v>
      </c>
      <c r="E618" t="s">
        <v>189</v>
      </c>
      <c r="F618" t="s">
        <v>2528</v>
      </c>
      <c r="G618" t="s">
        <v>15</v>
      </c>
      <c r="H618" t="s">
        <v>2529</v>
      </c>
      <c r="I618" t="s">
        <v>2530</v>
      </c>
      <c r="J618" s="2">
        <v>46093.494538902291</v>
      </c>
    </row>
    <row r="619" spans="1:11" x14ac:dyDescent="0.55000000000000004">
      <c r="A619" t="s">
        <v>2531</v>
      </c>
      <c r="B619">
        <v>100953</v>
      </c>
      <c r="C619" t="s">
        <v>88</v>
      </c>
      <c r="D619" s="1">
        <v>46047</v>
      </c>
      <c r="E619" t="s">
        <v>49</v>
      </c>
      <c r="F619" t="s">
        <v>2532</v>
      </c>
      <c r="G619" t="s">
        <v>22</v>
      </c>
      <c r="H619" t="s">
        <v>2533</v>
      </c>
      <c r="I619" t="s">
        <v>2534</v>
      </c>
      <c r="J619" s="2">
        <v>46082.138288906877</v>
      </c>
    </row>
    <row r="620" spans="1:11" x14ac:dyDescent="0.55000000000000004">
      <c r="A620" t="s">
        <v>2535</v>
      </c>
      <c r="B620">
        <v>100699</v>
      </c>
      <c r="C620" t="s">
        <v>179</v>
      </c>
      <c r="D620" s="1">
        <v>46129</v>
      </c>
      <c r="E620" t="s">
        <v>38</v>
      </c>
      <c r="F620" t="s">
        <v>2536</v>
      </c>
      <c r="G620" t="s">
        <v>22</v>
      </c>
      <c r="H620" t="s">
        <v>2537</v>
      </c>
      <c r="I620" t="s">
        <v>2538</v>
      </c>
      <c r="J620" s="2">
        <v>46077.185511133692</v>
      </c>
    </row>
    <row r="621" spans="1:11" x14ac:dyDescent="0.55000000000000004">
      <c r="A621" t="s">
        <v>2539</v>
      </c>
      <c r="B621">
        <v>100299</v>
      </c>
      <c r="C621" t="s">
        <v>99</v>
      </c>
      <c r="D621" s="1">
        <v>46112</v>
      </c>
      <c r="E621" t="s">
        <v>184</v>
      </c>
      <c r="F621" t="s">
        <v>2540</v>
      </c>
      <c r="G621" t="s">
        <v>15</v>
      </c>
      <c r="H621" t="s">
        <v>2541</v>
      </c>
      <c r="I621" t="s">
        <v>2542</v>
      </c>
      <c r="J621" s="2">
        <v>46069.096622249512</v>
      </c>
    </row>
    <row r="622" spans="1:11" x14ac:dyDescent="0.55000000000000004">
      <c r="A622" t="s">
        <v>2543</v>
      </c>
      <c r="C622" t="s">
        <v>12</v>
      </c>
      <c r="D622" s="1">
        <v>45857</v>
      </c>
      <c r="E622" t="s">
        <v>270</v>
      </c>
      <c r="F622" t="s">
        <v>2544</v>
      </c>
      <c r="G622" t="s">
        <v>22</v>
      </c>
      <c r="H622" t="s">
        <v>2545</v>
      </c>
      <c r="I622" t="s">
        <v>2546</v>
      </c>
      <c r="J622" s="2">
        <v>46063.849400031977</v>
      </c>
      <c r="K622" t="s">
        <v>112</v>
      </c>
    </row>
    <row r="623" spans="1:11" x14ac:dyDescent="0.55000000000000004">
      <c r="A623" t="s">
        <v>2547</v>
      </c>
      <c r="B623">
        <v>100055</v>
      </c>
      <c r="C623" t="s">
        <v>12</v>
      </c>
      <c r="D623" s="1">
        <v>45829</v>
      </c>
      <c r="E623" t="s">
        <v>757</v>
      </c>
      <c r="F623" t="s">
        <v>2548</v>
      </c>
      <c r="G623" t="s">
        <v>22</v>
      </c>
      <c r="H623" t="s">
        <v>2549</v>
      </c>
      <c r="I623" t="s">
        <v>2550</v>
      </c>
      <c r="J623" s="2">
        <v>46079.090372259358</v>
      </c>
    </row>
    <row r="624" spans="1:11" x14ac:dyDescent="0.55000000000000004">
      <c r="A624" t="s">
        <v>2551</v>
      </c>
      <c r="B624">
        <v>100046</v>
      </c>
      <c r="C624" t="s">
        <v>48</v>
      </c>
      <c r="D624" s="1">
        <v>45948</v>
      </c>
      <c r="E624" t="s">
        <v>170</v>
      </c>
      <c r="F624" t="s">
        <v>2552</v>
      </c>
      <c r="G624" t="s">
        <v>15</v>
      </c>
      <c r="H624" t="s">
        <v>2553</v>
      </c>
      <c r="I624" t="s">
        <v>2554</v>
      </c>
      <c r="J624" s="2">
        <v>46067.827177819629</v>
      </c>
    </row>
    <row r="625" spans="1:11" x14ac:dyDescent="0.55000000000000004">
      <c r="A625" t="s">
        <v>2555</v>
      </c>
      <c r="B625">
        <v>100280</v>
      </c>
      <c r="C625" t="s">
        <v>88</v>
      </c>
      <c r="D625" s="1">
        <v>45778</v>
      </c>
      <c r="E625" t="s">
        <v>528</v>
      </c>
      <c r="F625" t="s">
        <v>2556</v>
      </c>
      <c r="G625" t="s">
        <v>15</v>
      </c>
      <c r="H625" t="s">
        <v>2557</v>
      </c>
      <c r="I625" t="s">
        <v>2558</v>
      </c>
      <c r="J625" s="2">
        <v>46072.15842782455</v>
      </c>
    </row>
    <row r="626" spans="1:11" x14ac:dyDescent="0.55000000000000004">
      <c r="A626" t="s">
        <v>2559</v>
      </c>
      <c r="B626">
        <v>101408</v>
      </c>
      <c r="C626" t="s">
        <v>169</v>
      </c>
      <c r="D626" s="1">
        <v>45962</v>
      </c>
      <c r="E626" t="s">
        <v>115</v>
      </c>
      <c r="F626" t="s">
        <v>2560</v>
      </c>
      <c r="G626" t="s">
        <v>22</v>
      </c>
      <c r="H626" t="s">
        <v>2561</v>
      </c>
      <c r="I626" t="s">
        <v>2562</v>
      </c>
      <c r="J626" s="2">
        <v>46060.459122274013</v>
      </c>
    </row>
    <row r="627" spans="1:11" x14ac:dyDescent="0.55000000000000004">
      <c r="A627" t="s">
        <v>2563</v>
      </c>
      <c r="B627">
        <v>101194</v>
      </c>
      <c r="C627" t="s">
        <v>88</v>
      </c>
      <c r="D627" s="1">
        <v>45778</v>
      </c>
      <c r="E627" t="s">
        <v>356</v>
      </c>
      <c r="F627" t="s">
        <v>2564</v>
      </c>
      <c r="G627" t="s">
        <v>15</v>
      </c>
      <c r="H627" t="s">
        <v>2565</v>
      </c>
      <c r="I627" t="s">
        <v>2566</v>
      </c>
      <c r="J627" s="2">
        <v>46092.584122278138</v>
      </c>
    </row>
    <row r="628" spans="1:11" x14ac:dyDescent="0.55000000000000004">
      <c r="A628" t="s">
        <v>2567</v>
      </c>
      <c r="B628">
        <v>101279</v>
      </c>
      <c r="C628" t="s">
        <v>88</v>
      </c>
      <c r="D628" s="1">
        <v>46056</v>
      </c>
      <c r="E628" t="s">
        <v>170</v>
      </c>
      <c r="F628" t="s">
        <v>2568</v>
      </c>
      <c r="G628" t="s">
        <v>22</v>
      </c>
      <c r="H628" t="s">
        <v>2569</v>
      </c>
      <c r="I628" t="s">
        <v>2570</v>
      </c>
      <c r="J628" s="2">
        <v>46064.875788949059</v>
      </c>
    </row>
    <row r="629" spans="1:11" x14ac:dyDescent="0.55000000000000004">
      <c r="A629" t="s">
        <v>2571</v>
      </c>
      <c r="B629">
        <v>100309</v>
      </c>
      <c r="C629" t="s">
        <v>48</v>
      </c>
      <c r="D629" s="1">
        <v>45925</v>
      </c>
      <c r="E629" t="s">
        <v>121</v>
      </c>
      <c r="F629" t="s">
        <v>2572</v>
      </c>
      <c r="G629" t="s">
        <v>22</v>
      </c>
      <c r="H629" t="s">
        <v>2573</v>
      </c>
      <c r="I629" t="s">
        <v>2574</v>
      </c>
      <c r="J629" s="2">
        <v>46060.808427843818</v>
      </c>
    </row>
    <row r="630" spans="1:11" x14ac:dyDescent="0.55000000000000004">
      <c r="A630" t="s">
        <v>2575</v>
      </c>
      <c r="B630">
        <v>100183</v>
      </c>
      <c r="C630" t="s">
        <v>114</v>
      </c>
      <c r="D630" s="1">
        <v>45815</v>
      </c>
      <c r="E630" t="s">
        <v>115</v>
      </c>
      <c r="F630" t="s">
        <v>2576</v>
      </c>
      <c r="G630" t="s">
        <v>15</v>
      </c>
      <c r="H630" t="s">
        <v>2577</v>
      </c>
      <c r="I630" t="s">
        <v>2578</v>
      </c>
      <c r="J630" s="2">
        <v>46071.308427847827</v>
      </c>
    </row>
    <row r="631" spans="1:11" x14ac:dyDescent="0.55000000000000004">
      <c r="A631" t="s">
        <v>2579</v>
      </c>
      <c r="B631">
        <v>100369</v>
      </c>
      <c r="C631" t="s">
        <v>68</v>
      </c>
      <c r="D631" s="1">
        <v>46105</v>
      </c>
      <c r="E631" t="s">
        <v>356</v>
      </c>
      <c r="F631" t="s">
        <v>2580</v>
      </c>
      <c r="G631" t="s">
        <v>15</v>
      </c>
      <c r="H631" t="s">
        <v>2581</v>
      </c>
      <c r="I631" t="s">
        <v>2582</v>
      </c>
      <c r="J631" s="2">
        <v>46089.457733408657</v>
      </c>
    </row>
    <row r="632" spans="1:11" x14ac:dyDescent="0.55000000000000004">
      <c r="A632" t="s">
        <v>2583</v>
      </c>
      <c r="B632">
        <v>101215</v>
      </c>
      <c r="C632" t="s">
        <v>37</v>
      </c>
      <c r="D632" s="1">
        <v>46050</v>
      </c>
      <c r="E632" t="s">
        <v>334</v>
      </c>
      <c r="F632" t="s">
        <v>2584</v>
      </c>
      <c r="G632" t="s">
        <v>22</v>
      </c>
      <c r="H632" t="s">
        <v>2585</v>
      </c>
      <c r="I632" t="s">
        <v>2586</v>
      </c>
      <c r="J632" s="2">
        <v>46065.973011191549</v>
      </c>
      <c r="K632" t="s">
        <v>139</v>
      </c>
    </row>
    <row r="633" spans="1:11" x14ac:dyDescent="0.55000000000000004">
      <c r="A633" t="s">
        <v>2587</v>
      </c>
      <c r="B633">
        <v>101106</v>
      </c>
      <c r="C633" t="s">
        <v>37</v>
      </c>
      <c r="D633" s="1">
        <v>46043</v>
      </c>
      <c r="E633" t="s">
        <v>189</v>
      </c>
      <c r="F633" t="s">
        <v>2588</v>
      </c>
      <c r="G633" t="s">
        <v>22</v>
      </c>
      <c r="H633" t="s">
        <v>2589</v>
      </c>
      <c r="I633" t="s">
        <v>2590</v>
      </c>
      <c r="J633" s="2">
        <v>46068.163288973927</v>
      </c>
    </row>
    <row r="634" spans="1:11" x14ac:dyDescent="0.55000000000000004">
      <c r="A634" t="s">
        <v>2591</v>
      </c>
      <c r="B634">
        <v>101256</v>
      </c>
      <c r="C634" t="s">
        <v>88</v>
      </c>
      <c r="D634" s="1">
        <v>45772</v>
      </c>
      <c r="E634" t="s">
        <v>528</v>
      </c>
      <c r="F634" t="s">
        <v>2592</v>
      </c>
      <c r="G634" t="s">
        <v>22</v>
      </c>
      <c r="H634" t="s">
        <v>2593</v>
      </c>
      <c r="I634" t="s">
        <v>2594</v>
      </c>
      <c r="J634" s="2">
        <v>46057.852177867149</v>
      </c>
    </row>
    <row r="635" spans="1:11" x14ac:dyDescent="0.55000000000000004">
      <c r="A635" t="s">
        <v>2595</v>
      </c>
      <c r="B635">
        <v>101378</v>
      </c>
      <c r="C635" t="s">
        <v>146</v>
      </c>
      <c r="D635" s="1">
        <v>46151</v>
      </c>
      <c r="E635" t="s">
        <v>155</v>
      </c>
      <c r="F635" t="s">
        <v>2596</v>
      </c>
      <c r="G635" t="s">
        <v>15</v>
      </c>
      <c r="H635" t="s">
        <v>2597</v>
      </c>
      <c r="I635" t="s">
        <v>2598</v>
      </c>
      <c r="J635" s="2">
        <v>46088.668150094309</v>
      </c>
    </row>
    <row r="636" spans="1:11" x14ac:dyDescent="0.55000000000000004">
      <c r="A636" t="s">
        <v>2599</v>
      </c>
      <c r="B636">
        <v>100289</v>
      </c>
      <c r="C636" t="s">
        <v>63</v>
      </c>
      <c r="D636" s="1">
        <v>45750</v>
      </c>
      <c r="E636" t="s">
        <v>155</v>
      </c>
      <c r="F636" t="s">
        <v>2600</v>
      </c>
      <c r="G636" t="s">
        <v>22</v>
      </c>
      <c r="H636" t="s">
        <v>2601</v>
      </c>
      <c r="I636" t="s">
        <v>2602</v>
      </c>
      <c r="J636" s="2">
        <v>46076.621622321341</v>
      </c>
    </row>
    <row r="637" spans="1:11" x14ac:dyDescent="0.55000000000000004">
      <c r="A637" t="s">
        <v>2603</v>
      </c>
      <c r="B637">
        <v>101335</v>
      </c>
      <c r="C637" t="s">
        <v>12</v>
      </c>
      <c r="D637" s="1">
        <v>45787</v>
      </c>
      <c r="E637" t="s">
        <v>189</v>
      </c>
      <c r="F637" t="s">
        <v>2604</v>
      </c>
      <c r="G637" t="s">
        <v>22</v>
      </c>
      <c r="H637" t="s">
        <v>2605</v>
      </c>
      <c r="I637" t="s">
        <v>2606</v>
      </c>
      <c r="J637" s="2">
        <v>46057.80634454752</v>
      </c>
    </row>
    <row r="638" spans="1:11" x14ac:dyDescent="0.55000000000000004">
      <c r="A638" t="s">
        <v>2607</v>
      </c>
      <c r="B638">
        <v>100537</v>
      </c>
      <c r="C638" t="s">
        <v>99</v>
      </c>
      <c r="D638" s="1">
        <v>46025</v>
      </c>
      <c r="E638" t="s">
        <v>208</v>
      </c>
      <c r="F638" t="s">
        <v>2608</v>
      </c>
      <c r="G638" t="s">
        <v>15</v>
      </c>
      <c r="H638" t="s">
        <v>2609</v>
      </c>
      <c r="I638" t="s">
        <v>2610</v>
      </c>
      <c r="J638" s="2">
        <v>46092.320927884932</v>
      </c>
    </row>
    <row r="639" spans="1:11" x14ac:dyDescent="0.55000000000000004">
      <c r="A639" t="s">
        <v>2611</v>
      </c>
      <c r="B639">
        <v>100603</v>
      </c>
      <c r="C639" t="s">
        <v>169</v>
      </c>
      <c r="D639" s="1">
        <v>45920</v>
      </c>
      <c r="E639" t="s">
        <v>334</v>
      </c>
      <c r="F639" t="s">
        <v>1128</v>
      </c>
      <c r="G639" t="s">
        <v>15</v>
      </c>
      <c r="H639" t="s">
        <v>2612</v>
      </c>
      <c r="I639" t="s">
        <v>2613</v>
      </c>
      <c r="J639" s="2">
        <v>46079.076483445133</v>
      </c>
      <c r="K639" t="s">
        <v>119</v>
      </c>
    </row>
    <row r="640" spans="1:11" x14ac:dyDescent="0.55000000000000004">
      <c r="A640" t="s">
        <v>2614</v>
      </c>
      <c r="B640">
        <v>100900</v>
      </c>
      <c r="C640" t="s">
        <v>114</v>
      </c>
      <c r="D640" s="1">
        <v>45794</v>
      </c>
      <c r="E640" t="s">
        <v>300</v>
      </c>
      <c r="F640" t="s">
        <v>2615</v>
      </c>
      <c r="G640" t="s">
        <v>15</v>
      </c>
      <c r="H640" t="s">
        <v>2616</v>
      </c>
      <c r="I640" t="s">
        <v>2617</v>
      </c>
      <c r="J640" s="2">
        <v>46053.448705671981</v>
      </c>
    </row>
    <row r="641" spans="1:11" x14ac:dyDescent="0.55000000000000004">
      <c r="A641" t="s">
        <v>2618</v>
      </c>
      <c r="B641">
        <v>100902</v>
      </c>
      <c r="C641" t="s">
        <v>99</v>
      </c>
      <c r="D641" s="1">
        <v>45761</v>
      </c>
      <c r="E641" t="s">
        <v>38</v>
      </c>
      <c r="F641" t="s">
        <v>2619</v>
      </c>
      <c r="G641" t="s">
        <v>15</v>
      </c>
      <c r="H641" t="s">
        <v>2620</v>
      </c>
      <c r="I641" t="s">
        <v>2621</v>
      </c>
      <c r="J641" s="2">
        <v>46066.766761231323</v>
      </c>
    </row>
    <row r="642" spans="1:11" x14ac:dyDescent="0.55000000000000004">
      <c r="A642" t="s">
        <v>2622</v>
      </c>
      <c r="B642">
        <v>101081</v>
      </c>
      <c r="C642" t="s">
        <v>99</v>
      </c>
      <c r="D642" s="1">
        <v>46135</v>
      </c>
      <c r="E642" t="s">
        <v>300</v>
      </c>
      <c r="F642" t="s">
        <v>2623</v>
      </c>
      <c r="G642" t="s">
        <v>22</v>
      </c>
      <c r="H642" t="s">
        <v>2624</v>
      </c>
      <c r="I642" t="s">
        <v>2625</v>
      </c>
      <c r="J642" s="2">
        <v>46063.928566791517</v>
      </c>
    </row>
    <row r="643" spans="1:11" x14ac:dyDescent="0.55000000000000004">
      <c r="A643" t="s">
        <v>2626</v>
      </c>
      <c r="B643">
        <v>100196</v>
      </c>
      <c r="C643" t="s">
        <v>99</v>
      </c>
      <c r="D643" s="1">
        <v>45913</v>
      </c>
      <c r="E643" t="s">
        <v>38</v>
      </c>
      <c r="F643" t="s">
        <v>2627</v>
      </c>
      <c r="G643" t="s">
        <v>22</v>
      </c>
      <c r="H643" t="s">
        <v>2628</v>
      </c>
      <c r="I643" t="s">
        <v>2629</v>
      </c>
      <c r="J643" s="2">
        <v>46063.847316795473</v>
      </c>
    </row>
    <row r="644" spans="1:11" x14ac:dyDescent="0.55000000000000004">
      <c r="A644" t="s">
        <v>2630</v>
      </c>
      <c r="B644">
        <v>101123</v>
      </c>
      <c r="C644" t="s">
        <v>19</v>
      </c>
      <c r="D644" s="1">
        <v>45984</v>
      </c>
      <c r="E644" t="s">
        <v>38</v>
      </c>
      <c r="F644" t="s">
        <v>2631</v>
      </c>
      <c r="G644" t="s">
        <v>15</v>
      </c>
      <c r="H644" t="s">
        <v>2632</v>
      </c>
      <c r="I644" t="s">
        <v>2633</v>
      </c>
      <c r="J644" s="2">
        <v>46052.333427911493</v>
      </c>
    </row>
    <row r="645" spans="1:11" x14ac:dyDescent="0.55000000000000004">
      <c r="A645" t="s">
        <v>2634</v>
      </c>
      <c r="B645">
        <v>101396</v>
      </c>
      <c r="C645" t="s">
        <v>248</v>
      </c>
      <c r="D645" s="1">
        <v>45732</v>
      </c>
      <c r="E645" t="s">
        <v>155</v>
      </c>
      <c r="F645" t="s">
        <v>2635</v>
      </c>
      <c r="G645" t="s">
        <v>22</v>
      </c>
      <c r="H645" t="s">
        <v>2636</v>
      </c>
      <c r="I645" t="s">
        <v>2637</v>
      </c>
      <c r="J645" s="2">
        <v>46057.578566805139</v>
      </c>
    </row>
    <row r="646" spans="1:11" x14ac:dyDescent="0.55000000000000004">
      <c r="A646" t="s">
        <v>2638</v>
      </c>
      <c r="B646">
        <v>100122</v>
      </c>
      <c r="C646" t="s">
        <v>248</v>
      </c>
      <c r="D646" s="1">
        <v>46141</v>
      </c>
      <c r="E646" t="s">
        <v>243</v>
      </c>
      <c r="F646" t="s">
        <v>2639</v>
      </c>
      <c r="G646" t="s">
        <v>22</v>
      </c>
      <c r="H646" t="s">
        <v>2640</v>
      </c>
      <c r="I646" t="s">
        <v>2641</v>
      </c>
      <c r="J646" s="2">
        <v>46074.949400143378</v>
      </c>
    </row>
    <row r="647" spans="1:11" x14ac:dyDescent="0.55000000000000004">
      <c r="A647" t="s">
        <v>2642</v>
      </c>
      <c r="B647">
        <v>101148</v>
      </c>
      <c r="C647" t="s">
        <v>248</v>
      </c>
      <c r="D647" s="1">
        <v>45737</v>
      </c>
      <c r="E647" t="s">
        <v>160</v>
      </c>
      <c r="F647" t="s">
        <v>2643</v>
      </c>
      <c r="G647" t="s">
        <v>15</v>
      </c>
      <c r="H647" t="s">
        <v>2644</v>
      </c>
      <c r="I647" t="s">
        <v>2645</v>
      </c>
      <c r="J647" s="2">
        <v>46078.319539036973</v>
      </c>
    </row>
    <row r="648" spans="1:11" x14ac:dyDescent="0.55000000000000004">
      <c r="A648" t="s">
        <v>2646</v>
      </c>
      <c r="B648">
        <v>100197</v>
      </c>
      <c r="C648" t="s">
        <v>82</v>
      </c>
      <c r="D648" s="1">
        <v>46013</v>
      </c>
      <c r="E648" t="s">
        <v>141</v>
      </c>
      <c r="F648" t="s">
        <v>2647</v>
      </c>
      <c r="G648" t="s">
        <v>22</v>
      </c>
      <c r="H648" t="s">
        <v>2648</v>
      </c>
      <c r="I648" t="s">
        <v>2649</v>
      </c>
      <c r="J648" s="2">
        <v>46076.182733486108</v>
      </c>
    </row>
    <row r="649" spans="1:11" x14ac:dyDescent="0.55000000000000004">
      <c r="A649" t="s">
        <v>2650</v>
      </c>
      <c r="B649">
        <v>100573</v>
      </c>
      <c r="C649" t="s">
        <v>26</v>
      </c>
      <c r="D649" s="1">
        <v>46047</v>
      </c>
      <c r="E649" t="s">
        <v>115</v>
      </c>
      <c r="F649" t="s">
        <v>2651</v>
      </c>
      <c r="G649" t="s">
        <v>15</v>
      </c>
      <c r="H649" t="s">
        <v>2652</v>
      </c>
      <c r="I649" t="s">
        <v>2653</v>
      </c>
      <c r="J649" s="2">
        <v>46076.26537237905</v>
      </c>
      <c r="K649" t="s">
        <v>139</v>
      </c>
    </row>
    <row r="650" spans="1:11" x14ac:dyDescent="0.55000000000000004">
      <c r="A650" t="s">
        <v>2654</v>
      </c>
      <c r="B650">
        <v>101105</v>
      </c>
      <c r="C650" t="s">
        <v>19</v>
      </c>
      <c r="D650" s="1">
        <v>45974</v>
      </c>
      <c r="E650" t="s">
        <v>317</v>
      </c>
      <c r="F650" t="s">
        <v>2655</v>
      </c>
      <c r="G650" t="s">
        <v>15</v>
      </c>
      <c r="H650" t="s">
        <v>2656</v>
      </c>
      <c r="I650" t="s">
        <v>2657</v>
      </c>
      <c r="J650" s="2">
        <v>46067.525094605997</v>
      </c>
    </row>
    <row r="651" spans="1:11" x14ac:dyDescent="0.55000000000000004">
      <c r="A651" t="s">
        <v>2658</v>
      </c>
      <c r="B651">
        <v>101334</v>
      </c>
      <c r="C651" t="s">
        <v>88</v>
      </c>
      <c r="D651" s="1">
        <v>46006</v>
      </c>
      <c r="E651" t="s">
        <v>757</v>
      </c>
      <c r="F651" t="s">
        <v>2659</v>
      </c>
      <c r="G651" t="s">
        <v>15</v>
      </c>
      <c r="H651" t="s">
        <v>2660</v>
      </c>
      <c r="I651" t="s">
        <v>2661</v>
      </c>
      <c r="J651" s="2">
        <v>46064.320233499711</v>
      </c>
    </row>
    <row r="652" spans="1:11" x14ac:dyDescent="0.55000000000000004">
      <c r="A652" t="s">
        <v>2662</v>
      </c>
      <c r="B652">
        <v>101345</v>
      </c>
      <c r="C652" t="s">
        <v>26</v>
      </c>
      <c r="D652" s="1">
        <v>46103</v>
      </c>
      <c r="E652" t="s">
        <v>343</v>
      </c>
      <c r="F652" t="s">
        <v>2663</v>
      </c>
      <c r="G652" t="s">
        <v>15</v>
      </c>
      <c r="H652" t="s">
        <v>2664</v>
      </c>
      <c r="I652" t="s">
        <v>2665</v>
      </c>
      <c r="J652" s="2">
        <v>46060.771622392487</v>
      </c>
    </row>
    <row r="653" spans="1:11" x14ac:dyDescent="0.55000000000000004">
      <c r="A653" t="s">
        <v>2666</v>
      </c>
      <c r="B653">
        <v>100277</v>
      </c>
      <c r="C653" t="s">
        <v>169</v>
      </c>
      <c r="D653" s="1">
        <v>46141</v>
      </c>
      <c r="E653" t="s">
        <v>265</v>
      </c>
      <c r="F653" t="s">
        <v>2667</v>
      </c>
      <c r="G653" t="s">
        <v>22</v>
      </c>
      <c r="H653" t="s">
        <v>2668</v>
      </c>
      <c r="I653" t="s">
        <v>2669</v>
      </c>
      <c r="J653" s="2">
        <v>46096.263983507437</v>
      </c>
    </row>
    <row r="654" spans="1:11" x14ac:dyDescent="0.55000000000000004">
      <c r="A654" t="s">
        <v>2670</v>
      </c>
      <c r="B654">
        <v>100464</v>
      </c>
      <c r="C654" t="s">
        <v>179</v>
      </c>
      <c r="D654" s="1">
        <v>46052</v>
      </c>
      <c r="E654" t="s">
        <v>43</v>
      </c>
      <c r="F654" t="s">
        <v>2671</v>
      </c>
      <c r="G654" t="s">
        <v>15</v>
      </c>
      <c r="H654" t="s">
        <v>2672</v>
      </c>
      <c r="I654" t="s">
        <v>2673</v>
      </c>
      <c r="J654" s="2">
        <v>46059.57995573376</v>
      </c>
    </row>
    <row r="655" spans="1:11" x14ac:dyDescent="0.55000000000000004">
      <c r="A655" t="s">
        <v>2674</v>
      </c>
      <c r="B655">
        <v>101017</v>
      </c>
      <c r="C655" t="s">
        <v>68</v>
      </c>
      <c r="D655" s="1">
        <v>46093</v>
      </c>
      <c r="E655" t="s">
        <v>141</v>
      </c>
      <c r="F655" t="s">
        <v>2675</v>
      </c>
      <c r="G655" t="s">
        <v>22</v>
      </c>
      <c r="H655" t="s">
        <v>2676</v>
      </c>
      <c r="I655" t="s">
        <v>2677</v>
      </c>
      <c r="J655" s="2">
        <v>46071.623011294207</v>
      </c>
    </row>
    <row r="656" spans="1:11" x14ac:dyDescent="0.55000000000000004">
      <c r="A656" t="s">
        <v>2678</v>
      </c>
      <c r="B656">
        <v>100871</v>
      </c>
      <c r="C656" t="s">
        <v>19</v>
      </c>
      <c r="D656" s="1">
        <v>45853</v>
      </c>
      <c r="E656" t="s">
        <v>58</v>
      </c>
      <c r="F656" t="s">
        <v>2679</v>
      </c>
      <c r="G656" t="s">
        <v>15</v>
      </c>
      <c r="H656" t="s">
        <v>2680</v>
      </c>
      <c r="I656" t="s">
        <v>2681</v>
      </c>
      <c r="J656" s="2">
        <v>46064.316066854517</v>
      </c>
    </row>
    <row r="657" spans="1:10" x14ac:dyDescent="0.55000000000000004">
      <c r="A657" t="s">
        <v>2682</v>
      </c>
      <c r="B657">
        <v>101496</v>
      </c>
      <c r="C657" t="s">
        <v>48</v>
      </c>
      <c r="D657" s="1">
        <v>45789</v>
      </c>
      <c r="E657" t="s">
        <v>265</v>
      </c>
      <c r="F657" t="s">
        <v>2683</v>
      </c>
      <c r="G657" t="s">
        <v>15</v>
      </c>
      <c r="H657" t="s">
        <v>2684</v>
      </c>
      <c r="I657" t="s">
        <v>2685</v>
      </c>
      <c r="J657" s="2">
        <v>46069.026483526053</v>
      </c>
    </row>
    <row r="658" spans="1:10" x14ac:dyDescent="0.55000000000000004">
      <c r="A658" t="s">
        <v>2686</v>
      </c>
      <c r="B658">
        <v>100943</v>
      </c>
      <c r="C658" t="s">
        <v>37</v>
      </c>
      <c r="D658" s="1">
        <v>46141</v>
      </c>
      <c r="E658" t="s">
        <v>409</v>
      </c>
      <c r="F658" t="s">
        <v>2687</v>
      </c>
      <c r="G658" t="s">
        <v>15</v>
      </c>
      <c r="H658" t="s">
        <v>2688</v>
      </c>
      <c r="I658" t="s">
        <v>2689</v>
      </c>
      <c r="J658" s="2">
        <v>46076.05842797552</v>
      </c>
    </row>
    <row r="659" spans="1:10" x14ac:dyDescent="0.55000000000000004">
      <c r="A659" t="s">
        <v>2690</v>
      </c>
      <c r="B659">
        <v>100352</v>
      </c>
      <c r="C659" t="s">
        <v>82</v>
      </c>
      <c r="D659" s="1">
        <v>45890</v>
      </c>
      <c r="E659" t="s">
        <v>265</v>
      </c>
      <c r="F659" t="s">
        <v>2691</v>
      </c>
      <c r="G659" t="s">
        <v>15</v>
      </c>
      <c r="H659" t="s">
        <v>2692</v>
      </c>
      <c r="I659" t="s">
        <v>2693</v>
      </c>
      <c r="J659" s="2">
        <v>46084.694539093784</v>
      </c>
    </row>
    <row r="660" spans="1:10" x14ac:dyDescent="0.55000000000000004">
      <c r="A660" t="s">
        <v>2694</v>
      </c>
      <c r="B660">
        <v>100926</v>
      </c>
      <c r="C660" t="s">
        <v>88</v>
      </c>
      <c r="D660" s="1">
        <v>45930</v>
      </c>
      <c r="E660" t="s">
        <v>184</v>
      </c>
      <c r="F660" t="s">
        <v>2695</v>
      </c>
      <c r="G660" t="s">
        <v>22</v>
      </c>
      <c r="H660" t="s">
        <v>2696</v>
      </c>
      <c r="I660" t="s">
        <v>2697</v>
      </c>
      <c r="J660" s="2">
        <v>46094.768844654704</v>
      </c>
    </row>
    <row r="661" spans="1:10" x14ac:dyDescent="0.55000000000000004">
      <c r="A661" t="s">
        <v>2698</v>
      </c>
      <c r="B661">
        <v>101121</v>
      </c>
      <c r="C661" t="s">
        <v>99</v>
      </c>
      <c r="D661" s="1">
        <v>45776</v>
      </c>
      <c r="E661" t="s">
        <v>334</v>
      </c>
      <c r="F661" t="s">
        <v>2699</v>
      </c>
      <c r="G661" t="s">
        <v>15</v>
      </c>
      <c r="H661" t="s">
        <v>2700</v>
      </c>
      <c r="I661" t="s">
        <v>2701</v>
      </c>
      <c r="J661" s="2">
        <v>46063.809122436913</v>
      </c>
    </row>
    <row r="662" spans="1:10" x14ac:dyDescent="0.55000000000000004">
      <c r="A662" t="s">
        <v>2702</v>
      </c>
      <c r="B662">
        <v>101024</v>
      </c>
      <c r="C662" t="s">
        <v>68</v>
      </c>
      <c r="D662" s="1">
        <v>45743</v>
      </c>
      <c r="E662" t="s">
        <v>562</v>
      </c>
      <c r="F662" t="s">
        <v>2703</v>
      </c>
      <c r="G662" t="s">
        <v>15</v>
      </c>
      <c r="H662" t="s">
        <v>2704</v>
      </c>
      <c r="I662" t="s">
        <v>2705</v>
      </c>
      <c r="J662" s="2">
        <v>46085.338983554051</v>
      </c>
    </row>
    <row r="663" spans="1:10" x14ac:dyDescent="0.55000000000000004">
      <c r="A663" t="s">
        <v>2706</v>
      </c>
      <c r="B663">
        <v>100949</v>
      </c>
      <c r="C663" t="s">
        <v>32</v>
      </c>
      <c r="D663" s="1">
        <v>46004</v>
      </c>
      <c r="E663" t="s">
        <v>334</v>
      </c>
      <c r="F663" t="s">
        <v>2707</v>
      </c>
      <c r="G663" t="s">
        <v>22</v>
      </c>
      <c r="H663" t="s">
        <v>2708</v>
      </c>
      <c r="I663" t="s">
        <v>2709</v>
      </c>
      <c r="J663" s="2">
        <v>46088.522316895462</v>
      </c>
    </row>
    <row r="664" spans="1:10" x14ac:dyDescent="0.55000000000000004">
      <c r="A664" t="s">
        <v>2710</v>
      </c>
      <c r="B664">
        <v>100595</v>
      </c>
      <c r="C664" t="s">
        <v>32</v>
      </c>
      <c r="D664" s="1">
        <v>45790</v>
      </c>
      <c r="E664" t="s">
        <v>38</v>
      </c>
      <c r="F664" t="s">
        <v>2711</v>
      </c>
      <c r="G664" t="s">
        <v>15</v>
      </c>
      <c r="H664" t="s">
        <v>2712</v>
      </c>
      <c r="I664" t="s">
        <v>2713</v>
      </c>
      <c r="J664" s="2">
        <v>46083.974400233972</v>
      </c>
    </row>
    <row r="665" spans="1:10" x14ac:dyDescent="0.55000000000000004">
      <c r="A665" t="s">
        <v>287</v>
      </c>
      <c r="B665">
        <v>101475</v>
      </c>
      <c r="C665" t="s">
        <v>63</v>
      </c>
      <c r="D665" s="1">
        <v>46013</v>
      </c>
      <c r="E665" t="s">
        <v>356</v>
      </c>
      <c r="F665" t="s">
        <v>2714</v>
      </c>
      <c r="G665" t="s">
        <v>22</v>
      </c>
      <c r="H665" t="s">
        <v>2715</v>
      </c>
      <c r="I665" t="s">
        <v>2716</v>
      </c>
      <c r="J665" s="2">
        <v>46061.398011349913</v>
      </c>
    </row>
    <row r="666" spans="1:10" x14ac:dyDescent="0.55000000000000004">
      <c r="A666" t="s">
        <v>2717</v>
      </c>
      <c r="B666">
        <v>101444</v>
      </c>
      <c r="C666" t="s">
        <v>48</v>
      </c>
      <c r="D666" s="1">
        <v>45768</v>
      </c>
      <c r="E666" t="s">
        <v>467</v>
      </c>
      <c r="F666" t="s">
        <v>2718</v>
      </c>
      <c r="G666" t="s">
        <v>22</v>
      </c>
      <c r="H666" t="s">
        <v>2719</v>
      </c>
      <c r="I666" t="s">
        <v>2720</v>
      </c>
      <c r="J666" s="2">
        <v>46094.561205799997</v>
      </c>
    </row>
    <row r="667" spans="1:10" x14ac:dyDescent="0.55000000000000004">
      <c r="A667" t="s">
        <v>2721</v>
      </c>
      <c r="B667">
        <v>100830</v>
      </c>
      <c r="C667" t="s">
        <v>37</v>
      </c>
      <c r="D667" s="1">
        <v>45973</v>
      </c>
      <c r="E667" t="s">
        <v>243</v>
      </c>
      <c r="F667" t="s">
        <v>2722</v>
      </c>
      <c r="G667" t="s">
        <v>15</v>
      </c>
      <c r="H667" t="s">
        <v>2723</v>
      </c>
      <c r="I667" t="s">
        <v>2724</v>
      </c>
      <c r="J667" s="2">
        <v>46092.139678026768</v>
      </c>
    </row>
    <row r="668" spans="1:10" x14ac:dyDescent="0.55000000000000004">
      <c r="A668" t="s">
        <v>2725</v>
      </c>
      <c r="B668">
        <v>100226</v>
      </c>
      <c r="C668" t="s">
        <v>179</v>
      </c>
      <c r="D668" s="1">
        <v>45823</v>
      </c>
      <c r="E668" t="s">
        <v>213</v>
      </c>
      <c r="F668" t="s">
        <v>2726</v>
      </c>
      <c r="G668" t="s">
        <v>22</v>
      </c>
      <c r="H668" t="s">
        <v>2727</v>
      </c>
      <c r="I668" t="s">
        <v>2728</v>
      </c>
      <c r="J668" s="2">
        <v>46078.273705810381</v>
      </c>
    </row>
    <row r="669" spans="1:10" x14ac:dyDescent="0.55000000000000004">
      <c r="A669" t="s">
        <v>2729</v>
      </c>
      <c r="B669">
        <v>100301</v>
      </c>
      <c r="C669" t="s">
        <v>248</v>
      </c>
      <c r="D669" s="1">
        <v>46097</v>
      </c>
      <c r="E669" t="s">
        <v>270</v>
      </c>
      <c r="F669" t="s">
        <v>2730</v>
      </c>
      <c r="G669" t="s">
        <v>15</v>
      </c>
      <c r="H669" t="s">
        <v>2731</v>
      </c>
      <c r="I669" t="s">
        <v>2732</v>
      </c>
      <c r="J669" s="2">
        <v>46091.75287248227</v>
      </c>
    </row>
    <row r="670" spans="1:10" x14ac:dyDescent="0.55000000000000004">
      <c r="A670" t="s">
        <v>2733</v>
      </c>
      <c r="B670">
        <v>101362</v>
      </c>
      <c r="C670" t="s">
        <v>88</v>
      </c>
      <c r="D670" s="1">
        <v>45781</v>
      </c>
      <c r="E670" t="s">
        <v>58</v>
      </c>
      <c r="F670" t="s">
        <v>2734</v>
      </c>
      <c r="G670" t="s">
        <v>22</v>
      </c>
      <c r="H670" t="s">
        <v>2735</v>
      </c>
      <c r="I670" t="s">
        <v>2736</v>
      </c>
      <c r="J670" s="2">
        <v>46083.427872486587</v>
      </c>
    </row>
    <row r="671" spans="1:10" x14ac:dyDescent="0.55000000000000004">
      <c r="A671" t="s">
        <v>2737</v>
      </c>
      <c r="B671">
        <v>100017</v>
      </c>
      <c r="C671" t="s">
        <v>114</v>
      </c>
      <c r="D671" s="1">
        <v>46047</v>
      </c>
      <c r="E671" t="s">
        <v>58</v>
      </c>
      <c r="F671" t="s">
        <v>2738</v>
      </c>
      <c r="G671" t="s">
        <v>15</v>
      </c>
      <c r="H671" t="s">
        <v>2739</v>
      </c>
      <c r="I671" t="s">
        <v>2740</v>
      </c>
      <c r="J671" s="2">
        <v>46052.800094713573</v>
      </c>
    </row>
    <row r="672" spans="1:10" x14ac:dyDescent="0.55000000000000004">
      <c r="A672" t="s">
        <v>2741</v>
      </c>
      <c r="B672">
        <v>100458</v>
      </c>
      <c r="C672" t="s">
        <v>169</v>
      </c>
      <c r="D672" s="1">
        <v>46135</v>
      </c>
      <c r="E672" t="s">
        <v>757</v>
      </c>
      <c r="F672" t="s">
        <v>2742</v>
      </c>
      <c r="G672" t="s">
        <v>15</v>
      </c>
      <c r="H672" t="s">
        <v>2743</v>
      </c>
      <c r="I672" t="s">
        <v>2744</v>
      </c>
      <c r="J672" s="2">
        <v>46093.07023360741</v>
      </c>
    </row>
    <row r="673" spans="1:11" x14ac:dyDescent="0.55000000000000004">
      <c r="A673" t="s">
        <v>2745</v>
      </c>
      <c r="B673">
        <v>100502</v>
      </c>
      <c r="C673" t="s">
        <v>533</v>
      </c>
      <c r="D673" s="1">
        <v>45911</v>
      </c>
      <c r="E673" t="s">
        <v>418</v>
      </c>
      <c r="F673" t="s">
        <v>2746</v>
      </c>
      <c r="G673" t="s">
        <v>22</v>
      </c>
      <c r="H673" t="s">
        <v>2747</v>
      </c>
      <c r="I673" t="s">
        <v>2748</v>
      </c>
      <c r="J673" s="2">
        <v>46074.886900279147</v>
      </c>
    </row>
    <row r="674" spans="1:11" x14ac:dyDescent="0.55000000000000004">
      <c r="A674" t="s">
        <v>2749</v>
      </c>
      <c r="B674">
        <v>100661</v>
      </c>
      <c r="C674" t="s">
        <v>26</v>
      </c>
      <c r="D674" s="1">
        <v>45797</v>
      </c>
      <c r="E674" t="s">
        <v>243</v>
      </c>
      <c r="F674" t="s">
        <v>2750</v>
      </c>
      <c r="G674" t="s">
        <v>22</v>
      </c>
      <c r="H674" t="s">
        <v>2751</v>
      </c>
      <c r="I674" t="s">
        <v>2752</v>
      </c>
      <c r="J674" s="2">
        <v>46061.82231695074</v>
      </c>
    </row>
    <row r="675" spans="1:11" x14ac:dyDescent="0.55000000000000004">
      <c r="A675" t="s">
        <v>2753</v>
      </c>
      <c r="B675">
        <v>101270</v>
      </c>
      <c r="C675" t="s">
        <v>131</v>
      </c>
      <c r="D675" s="1">
        <v>46137</v>
      </c>
      <c r="E675" t="s">
        <v>89</v>
      </c>
      <c r="F675" t="s">
        <v>2754</v>
      </c>
      <c r="G675" t="s">
        <v>22</v>
      </c>
      <c r="H675" t="s">
        <v>2755</v>
      </c>
      <c r="I675" t="s">
        <v>2756</v>
      </c>
      <c r="J675" s="2">
        <v>46060.158428065581</v>
      </c>
    </row>
    <row r="676" spans="1:11" x14ac:dyDescent="0.55000000000000004">
      <c r="A676" t="s">
        <v>2757</v>
      </c>
      <c r="B676">
        <v>100246</v>
      </c>
      <c r="C676" t="s">
        <v>194</v>
      </c>
      <c r="D676" s="1">
        <v>46049</v>
      </c>
      <c r="E676" t="s">
        <v>38</v>
      </c>
      <c r="F676" t="s">
        <v>2758</v>
      </c>
      <c r="G676" t="s">
        <v>15</v>
      </c>
      <c r="H676" t="s">
        <v>2759</v>
      </c>
      <c r="I676" t="s">
        <v>2760</v>
      </c>
      <c r="J676" s="2">
        <v>46067.200094736043</v>
      </c>
    </row>
    <row r="677" spans="1:11" x14ac:dyDescent="0.55000000000000004">
      <c r="A677" t="s">
        <v>2761</v>
      </c>
      <c r="B677">
        <v>100568</v>
      </c>
      <c r="C677" t="s">
        <v>131</v>
      </c>
      <c r="D677" s="1">
        <v>45906</v>
      </c>
      <c r="E677" t="s">
        <v>317</v>
      </c>
      <c r="F677" t="s">
        <v>2762</v>
      </c>
      <c r="G677" t="s">
        <v>22</v>
      </c>
      <c r="H677" t="s">
        <v>2763</v>
      </c>
      <c r="I677" t="s">
        <v>2764</v>
      </c>
      <c r="J677" s="2">
        <v>46069.939678073133</v>
      </c>
    </row>
    <row r="678" spans="1:11" x14ac:dyDescent="0.55000000000000004">
      <c r="A678" t="s">
        <v>2765</v>
      </c>
      <c r="B678">
        <v>101151</v>
      </c>
      <c r="C678" t="s">
        <v>169</v>
      </c>
      <c r="D678" s="1">
        <v>46010</v>
      </c>
      <c r="E678" t="s">
        <v>108</v>
      </c>
      <c r="F678" t="s">
        <v>2766</v>
      </c>
      <c r="G678" t="s">
        <v>22</v>
      </c>
      <c r="H678" t="s">
        <v>2767</v>
      </c>
      <c r="I678" t="s">
        <v>2768</v>
      </c>
      <c r="J678" s="2">
        <v>46089.90426141036</v>
      </c>
    </row>
    <row r="679" spans="1:11" x14ac:dyDescent="0.55000000000000004">
      <c r="A679" t="s">
        <v>2769</v>
      </c>
      <c r="B679">
        <v>101129</v>
      </c>
      <c r="C679" t="s">
        <v>99</v>
      </c>
      <c r="D679" s="1">
        <v>45969</v>
      </c>
      <c r="E679" t="s">
        <v>170</v>
      </c>
      <c r="F679" t="s">
        <v>2770</v>
      </c>
      <c r="G679" t="s">
        <v>22</v>
      </c>
      <c r="H679" t="s">
        <v>2771</v>
      </c>
      <c r="I679" t="s">
        <v>2772</v>
      </c>
      <c r="J679" s="2">
        <v>46086.308428080927</v>
      </c>
    </row>
    <row r="680" spans="1:11" x14ac:dyDescent="0.55000000000000004">
      <c r="A680" t="s">
        <v>2773</v>
      </c>
      <c r="B680">
        <v>101290</v>
      </c>
      <c r="C680" t="s">
        <v>179</v>
      </c>
      <c r="D680" s="1">
        <v>45767</v>
      </c>
      <c r="E680" t="s">
        <v>270</v>
      </c>
      <c r="F680" t="s">
        <v>2774</v>
      </c>
      <c r="G680" t="s">
        <v>22</v>
      </c>
      <c r="H680" t="s">
        <v>2775</v>
      </c>
      <c r="I680" t="s">
        <v>2776</v>
      </c>
      <c r="J680" s="2">
        <v>46065.829261418912</v>
      </c>
    </row>
    <row r="681" spans="1:11" x14ac:dyDescent="0.55000000000000004">
      <c r="A681" t="s">
        <v>2777</v>
      </c>
      <c r="B681">
        <v>100087</v>
      </c>
      <c r="C681" t="s">
        <v>12</v>
      </c>
      <c r="D681" s="1">
        <v>45778</v>
      </c>
      <c r="E681" t="s">
        <v>115</v>
      </c>
      <c r="F681" t="s">
        <v>2778</v>
      </c>
      <c r="G681" t="s">
        <v>15</v>
      </c>
      <c r="H681" t="s">
        <v>2779</v>
      </c>
      <c r="I681" t="s">
        <v>2780</v>
      </c>
      <c r="J681" s="2">
        <v>46087.806344756013</v>
      </c>
    </row>
    <row r="682" spans="1:11" x14ac:dyDescent="0.55000000000000004">
      <c r="A682" t="s">
        <v>2781</v>
      </c>
      <c r="B682">
        <v>100195</v>
      </c>
      <c r="C682" t="s">
        <v>114</v>
      </c>
      <c r="D682" s="1">
        <v>45963</v>
      </c>
      <c r="E682" t="s">
        <v>495</v>
      </c>
      <c r="F682" t="s">
        <v>2782</v>
      </c>
      <c r="G682" t="s">
        <v>15</v>
      </c>
      <c r="H682" t="s">
        <v>2783</v>
      </c>
      <c r="I682" t="s">
        <v>2784</v>
      </c>
      <c r="J682" s="2">
        <v>46083.777178093718</v>
      </c>
    </row>
    <row r="683" spans="1:11" x14ac:dyDescent="0.55000000000000004">
      <c r="A683" t="s">
        <v>2785</v>
      </c>
      <c r="B683">
        <v>100529</v>
      </c>
      <c r="C683" t="s">
        <v>169</v>
      </c>
      <c r="D683" s="1">
        <v>45885</v>
      </c>
      <c r="E683" t="s">
        <v>300</v>
      </c>
      <c r="F683" t="s">
        <v>2786</v>
      </c>
      <c r="G683" t="s">
        <v>22</v>
      </c>
      <c r="H683" t="s">
        <v>2787</v>
      </c>
      <c r="I683" t="s">
        <v>2788</v>
      </c>
      <c r="J683" s="2">
        <v>46091.91745587653</v>
      </c>
    </row>
    <row r="684" spans="1:11" x14ac:dyDescent="0.55000000000000004">
      <c r="A684" t="s">
        <v>2789</v>
      </c>
      <c r="B684">
        <v>100010</v>
      </c>
      <c r="C684" t="s">
        <v>37</v>
      </c>
      <c r="D684" s="1">
        <v>46045</v>
      </c>
      <c r="E684" t="s">
        <v>208</v>
      </c>
      <c r="F684" t="s">
        <v>2790</v>
      </c>
      <c r="G684" t="s">
        <v>15</v>
      </c>
      <c r="H684" t="s">
        <v>2791</v>
      </c>
      <c r="I684" t="s">
        <v>2792</v>
      </c>
      <c r="J684" s="2">
        <v>46073.96537254758</v>
      </c>
    </row>
    <row r="685" spans="1:11" x14ac:dyDescent="0.55000000000000004">
      <c r="A685" t="s">
        <v>2793</v>
      </c>
      <c r="B685">
        <v>101428</v>
      </c>
      <c r="C685" t="s">
        <v>12</v>
      </c>
      <c r="D685" s="1">
        <v>45732</v>
      </c>
      <c r="E685" t="s">
        <v>343</v>
      </c>
      <c r="F685" t="s">
        <v>2794</v>
      </c>
      <c r="G685" t="s">
        <v>22</v>
      </c>
      <c r="H685" t="s">
        <v>2795</v>
      </c>
      <c r="I685" t="s">
        <v>2796</v>
      </c>
      <c r="J685" s="2">
        <v>46096.41190033</v>
      </c>
    </row>
    <row r="686" spans="1:11" x14ac:dyDescent="0.55000000000000004">
      <c r="A686" t="s">
        <v>2797</v>
      </c>
      <c r="B686">
        <v>100282</v>
      </c>
      <c r="C686" t="s">
        <v>94</v>
      </c>
      <c r="D686" s="1">
        <v>46091</v>
      </c>
      <c r="E686" t="s">
        <v>300</v>
      </c>
      <c r="F686" t="s">
        <v>2798</v>
      </c>
      <c r="G686" t="s">
        <v>22</v>
      </c>
      <c r="H686" t="s">
        <v>2799</v>
      </c>
      <c r="I686" t="s">
        <v>2800</v>
      </c>
      <c r="J686" s="2">
        <v>46073.127178112023</v>
      </c>
      <c r="K686" t="s">
        <v>119</v>
      </c>
    </row>
    <row r="687" spans="1:11" x14ac:dyDescent="0.55000000000000004">
      <c r="A687" t="s">
        <v>2801</v>
      </c>
      <c r="B687">
        <v>100610</v>
      </c>
      <c r="C687" t="s">
        <v>146</v>
      </c>
      <c r="D687" s="1">
        <v>45840</v>
      </c>
      <c r="E687" t="s">
        <v>680</v>
      </c>
      <c r="F687" t="s">
        <v>2802</v>
      </c>
      <c r="G687" t="s">
        <v>15</v>
      </c>
      <c r="H687" t="s">
        <v>2803</v>
      </c>
      <c r="I687" t="s">
        <v>2804</v>
      </c>
      <c r="J687" s="2">
        <v>46062.199400339501</v>
      </c>
    </row>
    <row r="688" spans="1:11" x14ac:dyDescent="0.55000000000000004">
      <c r="A688" t="s">
        <v>2805</v>
      </c>
      <c r="B688">
        <v>100286</v>
      </c>
      <c r="C688" t="s">
        <v>63</v>
      </c>
      <c r="D688" s="1">
        <v>45945</v>
      </c>
      <c r="E688" t="s">
        <v>20</v>
      </c>
      <c r="F688" t="s">
        <v>2806</v>
      </c>
      <c r="G688" t="s">
        <v>15</v>
      </c>
      <c r="H688" t="s">
        <v>2807</v>
      </c>
      <c r="I688" t="s">
        <v>2808</v>
      </c>
      <c r="J688" s="2">
        <v>46089.729955900228</v>
      </c>
    </row>
    <row r="689" spans="1:10" x14ac:dyDescent="0.55000000000000004">
      <c r="A689" t="s">
        <v>2809</v>
      </c>
      <c r="B689">
        <v>100348</v>
      </c>
      <c r="C689" t="s">
        <v>131</v>
      </c>
      <c r="D689" s="1">
        <v>46063</v>
      </c>
      <c r="E689" t="s">
        <v>115</v>
      </c>
      <c r="F689" t="s">
        <v>2810</v>
      </c>
      <c r="G689" t="s">
        <v>22</v>
      </c>
      <c r="H689" t="s">
        <v>2811</v>
      </c>
      <c r="I689" t="s">
        <v>2812</v>
      </c>
      <c r="J689" s="2">
        <v>46055.125094794457</v>
      </c>
    </row>
    <row r="690" spans="1:10" x14ac:dyDescent="0.55000000000000004">
      <c r="A690" t="s">
        <v>2813</v>
      </c>
      <c r="B690">
        <v>100264</v>
      </c>
      <c r="C690" t="s">
        <v>114</v>
      </c>
      <c r="D690" s="1">
        <v>45775</v>
      </c>
      <c r="E690" t="s">
        <v>317</v>
      </c>
      <c r="F690" t="s">
        <v>2814</v>
      </c>
      <c r="G690" t="s">
        <v>22</v>
      </c>
      <c r="H690" t="s">
        <v>2815</v>
      </c>
      <c r="I690" t="s">
        <v>2816</v>
      </c>
      <c r="J690" s="2">
        <v>46067.757039243901</v>
      </c>
    </row>
    <row r="691" spans="1:10" x14ac:dyDescent="0.55000000000000004">
      <c r="A691" t="s">
        <v>2817</v>
      </c>
      <c r="B691">
        <v>100363</v>
      </c>
      <c r="C691" t="s">
        <v>99</v>
      </c>
      <c r="D691" s="1">
        <v>45949</v>
      </c>
      <c r="E691" t="s">
        <v>43</v>
      </c>
      <c r="F691" t="s">
        <v>2818</v>
      </c>
      <c r="G691" t="s">
        <v>22</v>
      </c>
      <c r="H691" t="s">
        <v>2819</v>
      </c>
      <c r="I691" t="s">
        <v>2820</v>
      </c>
      <c r="J691" s="2">
        <v>46073.241067028473</v>
      </c>
    </row>
    <row r="692" spans="1:10" x14ac:dyDescent="0.55000000000000004">
      <c r="A692" t="s">
        <v>2821</v>
      </c>
      <c r="B692">
        <v>101337</v>
      </c>
      <c r="C692" t="s">
        <v>194</v>
      </c>
      <c r="D692" s="1">
        <v>45827</v>
      </c>
      <c r="E692" t="s">
        <v>170</v>
      </c>
      <c r="F692" t="s">
        <v>2822</v>
      </c>
      <c r="G692" t="s">
        <v>22</v>
      </c>
      <c r="H692" t="s">
        <v>2823</v>
      </c>
      <c r="I692" t="s">
        <v>2824</v>
      </c>
      <c r="J692" s="2">
        <v>46082.032733699627</v>
      </c>
    </row>
    <row r="693" spans="1:10" x14ac:dyDescent="0.55000000000000004">
      <c r="A693" t="s">
        <v>2825</v>
      </c>
      <c r="B693">
        <v>101252</v>
      </c>
      <c r="C693" t="s">
        <v>32</v>
      </c>
      <c r="D693" s="1">
        <v>45942</v>
      </c>
      <c r="E693" t="s">
        <v>343</v>
      </c>
      <c r="F693" t="s">
        <v>2826</v>
      </c>
      <c r="G693" t="s">
        <v>15</v>
      </c>
      <c r="H693" t="s">
        <v>2827</v>
      </c>
      <c r="I693" t="s">
        <v>2828</v>
      </c>
      <c r="J693" s="2">
        <v>46061.059122593673</v>
      </c>
    </row>
    <row r="694" spans="1:10" x14ac:dyDescent="0.55000000000000004">
      <c r="A694" t="s">
        <v>2829</v>
      </c>
      <c r="B694">
        <v>100999</v>
      </c>
      <c r="C694" t="s">
        <v>63</v>
      </c>
      <c r="D694" s="1">
        <v>45789</v>
      </c>
      <c r="E694" t="s">
        <v>121</v>
      </c>
      <c r="F694" t="s">
        <v>2830</v>
      </c>
      <c r="G694" t="s">
        <v>22</v>
      </c>
      <c r="H694" t="s">
        <v>2831</v>
      </c>
      <c r="I694" t="s">
        <v>2832</v>
      </c>
      <c r="J694" s="2">
        <v>46068.011205931347</v>
      </c>
    </row>
    <row r="695" spans="1:10" x14ac:dyDescent="0.55000000000000004">
      <c r="A695" t="s">
        <v>2833</v>
      </c>
      <c r="B695">
        <v>101091</v>
      </c>
      <c r="C695" t="s">
        <v>131</v>
      </c>
      <c r="D695" s="1">
        <v>45999</v>
      </c>
      <c r="E695" t="s">
        <v>121</v>
      </c>
      <c r="F695" t="s">
        <v>2834</v>
      </c>
      <c r="G695" t="s">
        <v>15</v>
      </c>
      <c r="H695" t="s">
        <v>2835</v>
      </c>
      <c r="I695" t="s">
        <v>2836</v>
      </c>
      <c r="J695" s="2">
        <v>46053.845233713968</v>
      </c>
    </row>
    <row r="696" spans="1:10" x14ac:dyDescent="0.55000000000000004">
      <c r="A696" t="s">
        <v>2837</v>
      </c>
      <c r="B696">
        <v>100957</v>
      </c>
      <c r="C696" t="s">
        <v>146</v>
      </c>
      <c r="D696" s="1">
        <v>46140</v>
      </c>
      <c r="E696" t="s">
        <v>343</v>
      </c>
      <c r="F696" t="s">
        <v>2838</v>
      </c>
      <c r="G696" t="s">
        <v>22</v>
      </c>
      <c r="H696" t="s">
        <v>2839</v>
      </c>
      <c r="I696" t="s">
        <v>2840</v>
      </c>
      <c r="J696" s="2">
        <v>46063.730650384859</v>
      </c>
    </row>
    <row r="697" spans="1:10" x14ac:dyDescent="0.55000000000000004">
      <c r="A697" t="s">
        <v>2841</v>
      </c>
      <c r="B697">
        <v>101031</v>
      </c>
      <c r="C697" t="s">
        <v>19</v>
      </c>
      <c r="D697" s="1">
        <v>45964</v>
      </c>
      <c r="E697" t="s">
        <v>495</v>
      </c>
      <c r="F697" t="s">
        <v>2842</v>
      </c>
      <c r="G697" t="s">
        <v>22</v>
      </c>
      <c r="H697" t="s">
        <v>2843</v>
      </c>
      <c r="I697" t="s">
        <v>2844</v>
      </c>
      <c r="J697" s="2">
        <v>46075.327178166553</v>
      </c>
    </row>
    <row r="698" spans="1:10" x14ac:dyDescent="0.55000000000000004">
      <c r="A698" t="s">
        <v>2845</v>
      </c>
      <c r="B698">
        <v>101240</v>
      </c>
      <c r="C698" t="s">
        <v>68</v>
      </c>
      <c r="D698" s="1">
        <v>45817</v>
      </c>
      <c r="E698" t="s">
        <v>317</v>
      </c>
      <c r="F698" t="s">
        <v>2846</v>
      </c>
      <c r="G698" t="s">
        <v>22</v>
      </c>
      <c r="H698" t="s">
        <v>2847</v>
      </c>
      <c r="I698" t="s">
        <v>2848</v>
      </c>
      <c r="J698" s="2">
        <v>46061.37578928288</v>
      </c>
    </row>
    <row r="699" spans="1:10" x14ac:dyDescent="0.55000000000000004">
      <c r="A699" t="s">
        <v>2849</v>
      </c>
      <c r="B699">
        <v>100802</v>
      </c>
      <c r="C699" t="s">
        <v>12</v>
      </c>
      <c r="D699" s="1">
        <v>46054</v>
      </c>
      <c r="E699" t="s">
        <v>409</v>
      </c>
      <c r="F699" t="s">
        <v>2850</v>
      </c>
      <c r="G699" t="s">
        <v>15</v>
      </c>
      <c r="H699" t="s">
        <v>2851</v>
      </c>
      <c r="I699" t="s">
        <v>2852</v>
      </c>
      <c r="J699" s="2">
        <v>46055.331344843347</v>
      </c>
    </row>
    <row r="700" spans="1:10" x14ac:dyDescent="0.55000000000000004">
      <c r="A700" t="s">
        <v>2853</v>
      </c>
      <c r="B700">
        <v>101259</v>
      </c>
      <c r="C700" t="s">
        <v>99</v>
      </c>
      <c r="D700" s="1">
        <v>45745</v>
      </c>
      <c r="E700" t="s">
        <v>334</v>
      </c>
      <c r="F700" t="s">
        <v>2854</v>
      </c>
      <c r="G700" t="s">
        <v>15</v>
      </c>
      <c r="H700" t="s">
        <v>2855</v>
      </c>
      <c r="I700" t="s">
        <v>2856</v>
      </c>
      <c r="J700" s="2">
        <v>46065.636900402773</v>
      </c>
    </row>
    <row r="701" spans="1:10" x14ac:dyDescent="0.55000000000000004">
      <c r="A701" t="s">
        <v>2857</v>
      </c>
      <c r="B701">
        <v>100624</v>
      </c>
      <c r="C701" t="s">
        <v>32</v>
      </c>
      <c r="D701" s="1">
        <v>45861</v>
      </c>
      <c r="E701" t="s">
        <v>38</v>
      </c>
      <c r="F701" t="s">
        <v>2858</v>
      </c>
      <c r="G701" t="s">
        <v>22</v>
      </c>
      <c r="H701" t="s">
        <v>2859</v>
      </c>
      <c r="I701" t="s">
        <v>2860</v>
      </c>
      <c r="J701" s="2">
        <v>46080.380650407642</v>
      </c>
    </row>
    <row r="702" spans="1:10" x14ac:dyDescent="0.55000000000000004">
      <c r="A702" t="s">
        <v>2861</v>
      </c>
      <c r="B702">
        <v>101381</v>
      </c>
      <c r="C702" t="s">
        <v>37</v>
      </c>
      <c r="D702" s="1">
        <v>46111</v>
      </c>
      <c r="E702" t="s">
        <v>38</v>
      </c>
      <c r="F702" t="s">
        <v>2862</v>
      </c>
      <c r="G702" t="s">
        <v>15</v>
      </c>
      <c r="H702" t="s">
        <v>2863</v>
      </c>
      <c r="I702" t="s">
        <v>2864</v>
      </c>
      <c r="J702" s="2">
        <v>46060.531344855881</v>
      </c>
    </row>
    <row r="703" spans="1:10" x14ac:dyDescent="0.55000000000000004">
      <c r="A703" t="s">
        <v>2865</v>
      </c>
      <c r="B703">
        <v>101427</v>
      </c>
      <c r="C703" t="s">
        <v>88</v>
      </c>
      <c r="D703" s="1">
        <v>45921</v>
      </c>
      <c r="E703" t="s">
        <v>20</v>
      </c>
      <c r="F703" t="s">
        <v>2866</v>
      </c>
      <c r="G703" t="s">
        <v>15</v>
      </c>
      <c r="H703" t="s">
        <v>2867</v>
      </c>
      <c r="I703" t="s">
        <v>2868</v>
      </c>
      <c r="J703" s="2">
        <v>46066.488983749237</v>
      </c>
    </row>
    <row r="704" spans="1:10" x14ac:dyDescent="0.55000000000000004">
      <c r="A704" t="s">
        <v>2869</v>
      </c>
      <c r="B704">
        <v>100955</v>
      </c>
      <c r="C704" t="s">
        <v>82</v>
      </c>
      <c r="D704" s="1">
        <v>45748</v>
      </c>
      <c r="E704" t="s">
        <v>265</v>
      </c>
      <c r="F704" t="s">
        <v>2870</v>
      </c>
      <c r="G704" t="s">
        <v>15</v>
      </c>
      <c r="H704" t="s">
        <v>2871</v>
      </c>
      <c r="I704" t="s">
        <v>2872</v>
      </c>
      <c r="J704" s="2">
        <v>46066.159122642923</v>
      </c>
    </row>
    <row r="705" spans="1:11" x14ac:dyDescent="0.55000000000000004">
      <c r="A705" t="s">
        <v>2873</v>
      </c>
      <c r="B705">
        <v>100778</v>
      </c>
      <c r="C705" t="s">
        <v>179</v>
      </c>
      <c r="D705" s="1">
        <v>45853</v>
      </c>
      <c r="E705" t="s">
        <v>43</v>
      </c>
      <c r="F705" t="s">
        <v>2874</v>
      </c>
      <c r="G705" t="s">
        <v>22</v>
      </c>
      <c r="H705" t="s">
        <v>2875</v>
      </c>
      <c r="I705" t="s">
        <v>2876</v>
      </c>
      <c r="J705" s="2">
        <v>46093.832733759031</v>
      </c>
      <c r="K705" t="s">
        <v>139</v>
      </c>
    </row>
    <row r="706" spans="1:11" x14ac:dyDescent="0.55000000000000004">
      <c r="A706" t="s">
        <v>2877</v>
      </c>
      <c r="B706">
        <v>101383</v>
      </c>
      <c r="C706" t="s">
        <v>32</v>
      </c>
      <c r="D706" s="1">
        <v>46118</v>
      </c>
      <c r="E706" t="s">
        <v>155</v>
      </c>
      <c r="F706" t="s">
        <v>2878</v>
      </c>
      <c r="G706" t="s">
        <v>15</v>
      </c>
      <c r="H706" t="s">
        <v>2879</v>
      </c>
      <c r="I706" t="s">
        <v>2880</v>
      </c>
      <c r="J706" s="2">
        <v>46068.179261542296</v>
      </c>
    </row>
    <row r="707" spans="1:11" x14ac:dyDescent="0.55000000000000004">
      <c r="A707" t="s">
        <v>2881</v>
      </c>
      <c r="B707">
        <v>101450</v>
      </c>
      <c r="C707" t="s">
        <v>19</v>
      </c>
      <c r="D707" s="1">
        <v>45886</v>
      </c>
      <c r="E707" t="s">
        <v>27</v>
      </c>
      <c r="F707" t="s">
        <v>2882</v>
      </c>
      <c r="G707" t="s">
        <v>15</v>
      </c>
      <c r="H707" t="s">
        <v>2883</v>
      </c>
      <c r="I707" t="s">
        <v>2884</v>
      </c>
      <c r="J707" s="2">
        <v>46072.774400435992</v>
      </c>
    </row>
    <row r="708" spans="1:11" x14ac:dyDescent="0.55000000000000004">
      <c r="A708" t="s">
        <v>2885</v>
      </c>
      <c r="B708">
        <v>100251</v>
      </c>
      <c r="C708" t="s">
        <v>179</v>
      </c>
      <c r="D708" s="1">
        <v>45974</v>
      </c>
      <c r="E708" t="s">
        <v>409</v>
      </c>
      <c r="F708" t="s">
        <v>2886</v>
      </c>
      <c r="G708" t="s">
        <v>22</v>
      </c>
      <c r="H708" t="s">
        <v>2887</v>
      </c>
      <c r="I708" t="s">
        <v>2888</v>
      </c>
      <c r="J708" s="2">
        <v>46097.335511550911</v>
      </c>
    </row>
    <row r="709" spans="1:11" x14ac:dyDescent="0.55000000000000004">
      <c r="A709" t="s">
        <v>2889</v>
      </c>
      <c r="B709">
        <v>101115</v>
      </c>
      <c r="C709" t="s">
        <v>88</v>
      </c>
      <c r="D709" s="1">
        <v>45927</v>
      </c>
      <c r="E709" t="s">
        <v>343</v>
      </c>
      <c r="F709" t="s">
        <v>2890</v>
      </c>
      <c r="G709" t="s">
        <v>15</v>
      </c>
      <c r="H709" t="s">
        <v>2891</v>
      </c>
      <c r="I709" t="s">
        <v>2892</v>
      </c>
      <c r="J709" s="2">
        <v>46062.839678222997</v>
      </c>
    </row>
    <row r="710" spans="1:11" x14ac:dyDescent="0.55000000000000004">
      <c r="A710" t="s">
        <v>2893</v>
      </c>
      <c r="B710">
        <v>100274</v>
      </c>
      <c r="C710" t="s">
        <v>63</v>
      </c>
      <c r="D710" s="1">
        <v>45953</v>
      </c>
      <c r="E710" t="s">
        <v>126</v>
      </c>
      <c r="F710" t="s">
        <v>2894</v>
      </c>
      <c r="G710" t="s">
        <v>22</v>
      </c>
      <c r="H710" t="s">
        <v>2895</v>
      </c>
      <c r="I710" t="s">
        <v>2896</v>
      </c>
      <c r="J710" s="2">
        <v>46080.606344896667</v>
      </c>
    </row>
    <row r="711" spans="1:11" x14ac:dyDescent="0.55000000000000004">
      <c r="A711" t="s">
        <v>2897</v>
      </c>
      <c r="B711">
        <v>100749</v>
      </c>
      <c r="C711" t="s">
        <v>32</v>
      </c>
      <c r="D711" s="1">
        <v>46067</v>
      </c>
      <c r="E711" t="s">
        <v>680</v>
      </c>
      <c r="F711" t="s">
        <v>2898</v>
      </c>
      <c r="G711" t="s">
        <v>15</v>
      </c>
      <c r="H711" t="s">
        <v>2899</v>
      </c>
      <c r="I711" t="s">
        <v>2900</v>
      </c>
      <c r="J711" s="2">
        <v>46064.266067125129</v>
      </c>
    </row>
    <row r="712" spans="1:11" x14ac:dyDescent="0.55000000000000004">
      <c r="A712" t="s">
        <v>2901</v>
      </c>
      <c r="B712">
        <v>100984</v>
      </c>
      <c r="C712" t="s">
        <v>48</v>
      </c>
      <c r="D712" s="1">
        <v>45892</v>
      </c>
      <c r="E712" t="s">
        <v>184</v>
      </c>
      <c r="F712" t="s">
        <v>2902</v>
      </c>
      <c r="G712" t="s">
        <v>15</v>
      </c>
      <c r="H712" t="s">
        <v>2903</v>
      </c>
      <c r="I712" t="s">
        <v>2904</v>
      </c>
      <c r="J712" s="2">
        <v>46071.607039353163</v>
      </c>
    </row>
    <row r="713" spans="1:11" x14ac:dyDescent="0.55000000000000004">
      <c r="A713" t="s">
        <v>2905</v>
      </c>
      <c r="B713">
        <v>100851</v>
      </c>
      <c r="C713" t="s">
        <v>82</v>
      </c>
      <c r="D713" s="1">
        <v>45785</v>
      </c>
      <c r="E713" t="s">
        <v>208</v>
      </c>
      <c r="F713" t="s">
        <v>2906</v>
      </c>
      <c r="G713" t="s">
        <v>22</v>
      </c>
      <c r="H713" t="s">
        <v>2907</v>
      </c>
      <c r="I713" t="s">
        <v>2908</v>
      </c>
      <c r="J713" s="2">
        <v>46081.471622691482</v>
      </c>
    </row>
    <row r="714" spans="1:11" x14ac:dyDescent="0.55000000000000004">
      <c r="A714" t="s">
        <v>2909</v>
      </c>
      <c r="B714">
        <v>100495</v>
      </c>
      <c r="C714" t="s">
        <v>12</v>
      </c>
      <c r="D714" s="1">
        <v>45744</v>
      </c>
      <c r="E714" t="s">
        <v>108</v>
      </c>
      <c r="F714" t="s">
        <v>2910</v>
      </c>
      <c r="G714" t="s">
        <v>15</v>
      </c>
      <c r="H714" t="s">
        <v>2911</v>
      </c>
      <c r="I714" t="s">
        <v>2912</v>
      </c>
      <c r="J714" s="2">
        <v>46052.575789362862</v>
      </c>
    </row>
    <row r="715" spans="1:11" x14ac:dyDescent="0.55000000000000004">
      <c r="A715" t="s">
        <v>2913</v>
      </c>
      <c r="B715">
        <v>100848</v>
      </c>
      <c r="C715" t="s">
        <v>131</v>
      </c>
      <c r="D715" s="1">
        <v>46041</v>
      </c>
      <c r="E715" t="s">
        <v>69</v>
      </c>
      <c r="F715" t="s">
        <v>2914</v>
      </c>
      <c r="G715" t="s">
        <v>15</v>
      </c>
      <c r="H715" t="s">
        <v>2915</v>
      </c>
      <c r="I715" t="s">
        <v>2916</v>
      </c>
      <c r="J715" s="2">
        <v>46089.757039370183</v>
      </c>
    </row>
    <row r="716" spans="1:11" x14ac:dyDescent="0.55000000000000004">
      <c r="A716" t="s">
        <v>2917</v>
      </c>
      <c r="B716">
        <v>101389</v>
      </c>
      <c r="C716" t="s">
        <v>48</v>
      </c>
      <c r="D716" s="1">
        <v>45861</v>
      </c>
      <c r="E716" t="s">
        <v>334</v>
      </c>
      <c r="F716" t="s">
        <v>2918</v>
      </c>
      <c r="G716" t="s">
        <v>22</v>
      </c>
      <c r="H716" t="s">
        <v>2919</v>
      </c>
      <c r="I716" t="s">
        <v>2920</v>
      </c>
      <c r="J716" s="2">
        <v>46080.138983821067</v>
      </c>
    </row>
    <row r="717" spans="1:11" x14ac:dyDescent="0.55000000000000004">
      <c r="A717" t="s">
        <v>499</v>
      </c>
      <c r="B717">
        <v>100276</v>
      </c>
      <c r="C717" t="s">
        <v>169</v>
      </c>
      <c r="D717" s="1">
        <v>45863</v>
      </c>
      <c r="E717" t="s">
        <v>155</v>
      </c>
      <c r="F717" t="s">
        <v>2921</v>
      </c>
      <c r="G717" t="s">
        <v>22</v>
      </c>
      <c r="H717" t="s">
        <v>2922</v>
      </c>
      <c r="I717" t="s">
        <v>2923</v>
      </c>
      <c r="J717" s="2">
        <v>46094.20217827001</v>
      </c>
    </row>
    <row r="718" spans="1:11" x14ac:dyDescent="0.55000000000000004">
      <c r="A718" t="s">
        <v>2924</v>
      </c>
      <c r="B718">
        <v>100666</v>
      </c>
      <c r="C718" t="s">
        <v>179</v>
      </c>
      <c r="D718" s="1">
        <v>45902</v>
      </c>
      <c r="E718" t="s">
        <v>20</v>
      </c>
      <c r="F718" t="s">
        <v>2925</v>
      </c>
      <c r="G718" t="s">
        <v>22</v>
      </c>
      <c r="H718" t="s">
        <v>2926</v>
      </c>
      <c r="I718" t="s">
        <v>2927</v>
      </c>
      <c r="J718" s="2">
        <v>46086.119539385902</v>
      </c>
    </row>
    <row r="719" spans="1:11" x14ac:dyDescent="0.55000000000000004">
      <c r="A719" t="s">
        <v>2928</v>
      </c>
      <c r="B719">
        <v>101057</v>
      </c>
      <c r="C719" t="s">
        <v>131</v>
      </c>
      <c r="D719" s="1">
        <v>45983</v>
      </c>
      <c r="E719" t="s">
        <v>38</v>
      </c>
      <c r="F719" t="s">
        <v>2929</v>
      </c>
      <c r="G719" t="s">
        <v>22</v>
      </c>
      <c r="H719" t="s">
        <v>2930</v>
      </c>
      <c r="I719" t="s">
        <v>2931</v>
      </c>
      <c r="J719" s="2">
        <v>46085.828567168697</v>
      </c>
    </row>
    <row r="720" spans="1:11" x14ac:dyDescent="0.55000000000000004">
      <c r="A720" t="s">
        <v>2932</v>
      </c>
      <c r="B720">
        <v>100941</v>
      </c>
      <c r="C720" t="s">
        <v>19</v>
      </c>
      <c r="D720" s="1">
        <v>45787</v>
      </c>
      <c r="E720" t="s">
        <v>38</v>
      </c>
      <c r="F720" t="s">
        <v>2933</v>
      </c>
      <c r="G720" t="s">
        <v>22</v>
      </c>
      <c r="H720" t="s">
        <v>2934</v>
      </c>
      <c r="I720" t="s">
        <v>2935</v>
      </c>
      <c r="J720" s="2">
        <v>46083.873011618161</v>
      </c>
    </row>
    <row r="721" spans="1:10" x14ac:dyDescent="0.55000000000000004">
      <c r="A721" t="s">
        <v>2936</v>
      </c>
      <c r="B721">
        <v>101284</v>
      </c>
      <c r="C721" t="s">
        <v>533</v>
      </c>
      <c r="D721" s="1">
        <v>45958</v>
      </c>
      <c r="E721" t="s">
        <v>343</v>
      </c>
      <c r="F721" t="s">
        <v>2937</v>
      </c>
      <c r="G721" t="s">
        <v>15</v>
      </c>
      <c r="H721" t="s">
        <v>452</v>
      </c>
      <c r="I721" t="s">
        <v>2938</v>
      </c>
      <c r="J721" s="2">
        <v>46092.933428289893</v>
      </c>
    </row>
    <row r="722" spans="1:10" x14ac:dyDescent="0.55000000000000004">
      <c r="A722" t="s">
        <v>2939</v>
      </c>
      <c r="B722">
        <v>100803</v>
      </c>
      <c r="C722" t="s">
        <v>32</v>
      </c>
      <c r="D722" s="1">
        <v>46129</v>
      </c>
      <c r="E722" t="s">
        <v>334</v>
      </c>
      <c r="F722" t="s">
        <v>2940</v>
      </c>
      <c r="G722" t="s">
        <v>15</v>
      </c>
      <c r="H722" t="s">
        <v>2941</v>
      </c>
      <c r="I722" t="s">
        <v>2942</v>
      </c>
      <c r="J722" s="2">
        <v>46055.835511628757</v>
      </c>
    </row>
    <row r="723" spans="1:10" x14ac:dyDescent="0.55000000000000004">
      <c r="A723" t="s">
        <v>2943</v>
      </c>
      <c r="B723">
        <v>100470</v>
      </c>
      <c r="C723" t="s">
        <v>37</v>
      </c>
      <c r="D723" s="1">
        <v>45751</v>
      </c>
      <c r="E723" t="s">
        <v>208</v>
      </c>
      <c r="F723" t="s">
        <v>2944</v>
      </c>
      <c r="G723" t="s">
        <v>22</v>
      </c>
      <c r="H723" t="s">
        <v>2945</v>
      </c>
      <c r="I723" t="s">
        <v>2946</v>
      </c>
      <c r="J723" s="2">
        <v>46071.929261634679</v>
      </c>
    </row>
    <row r="724" spans="1:10" x14ac:dyDescent="0.55000000000000004">
      <c r="A724" t="s">
        <v>2947</v>
      </c>
      <c r="B724">
        <v>100650</v>
      </c>
      <c r="C724" t="s">
        <v>37</v>
      </c>
      <c r="D724" s="1">
        <v>45995</v>
      </c>
      <c r="E724" t="s">
        <v>213</v>
      </c>
      <c r="F724" t="s">
        <v>2948</v>
      </c>
      <c r="G724" t="s">
        <v>22</v>
      </c>
      <c r="H724" t="s">
        <v>2949</v>
      </c>
      <c r="I724" t="s">
        <v>2950</v>
      </c>
      <c r="J724" s="2">
        <v>46092.977872752432</v>
      </c>
    </row>
    <row r="725" spans="1:10" x14ac:dyDescent="0.55000000000000004">
      <c r="A725" t="s">
        <v>2951</v>
      </c>
      <c r="B725">
        <v>100370</v>
      </c>
      <c r="C725" t="s">
        <v>194</v>
      </c>
      <c r="D725" s="1">
        <v>45733</v>
      </c>
      <c r="E725" t="s">
        <v>757</v>
      </c>
      <c r="F725" t="s">
        <v>2952</v>
      </c>
      <c r="G725" t="s">
        <v>15</v>
      </c>
      <c r="H725" t="s">
        <v>2953</v>
      </c>
      <c r="I725" t="s">
        <v>2954</v>
      </c>
      <c r="J725" s="2">
        <v>46060.98481720296</v>
      </c>
    </row>
    <row r="726" spans="1:10" x14ac:dyDescent="0.55000000000000004">
      <c r="A726" t="s">
        <v>2955</v>
      </c>
      <c r="B726">
        <v>100443</v>
      </c>
      <c r="C726" t="s">
        <v>63</v>
      </c>
      <c r="D726" s="1">
        <v>45902</v>
      </c>
      <c r="E726" t="s">
        <v>83</v>
      </c>
      <c r="F726" t="s">
        <v>2956</v>
      </c>
      <c r="G726" t="s">
        <v>15</v>
      </c>
      <c r="H726" t="s">
        <v>2957</v>
      </c>
      <c r="I726" t="s">
        <v>2958</v>
      </c>
      <c r="J726" s="2">
        <v>46073.986206097288</v>
      </c>
    </row>
    <row r="727" spans="1:10" x14ac:dyDescent="0.55000000000000004">
      <c r="A727" t="s">
        <v>2959</v>
      </c>
      <c r="B727">
        <v>100108</v>
      </c>
      <c r="C727" t="s">
        <v>169</v>
      </c>
      <c r="D727" s="1">
        <v>45773</v>
      </c>
      <c r="E727" t="s">
        <v>356</v>
      </c>
      <c r="F727" t="s">
        <v>2960</v>
      </c>
      <c r="G727" t="s">
        <v>15</v>
      </c>
      <c r="H727" t="s">
        <v>2961</v>
      </c>
      <c r="I727" t="s">
        <v>2962</v>
      </c>
      <c r="J727" s="2">
        <v>46062.690372768593</v>
      </c>
    </row>
    <row r="728" spans="1:10" x14ac:dyDescent="0.55000000000000004">
      <c r="A728" t="s">
        <v>2963</v>
      </c>
      <c r="B728">
        <v>101411</v>
      </c>
      <c r="C728" t="s">
        <v>179</v>
      </c>
      <c r="D728" s="1">
        <v>46070</v>
      </c>
      <c r="E728" t="s">
        <v>20</v>
      </c>
      <c r="F728" t="s">
        <v>2964</v>
      </c>
      <c r="G728" t="s">
        <v>22</v>
      </c>
      <c r="H728" t="s">
        <v>2965</v>
      </c>
      <c r="I728" t="s">
        <v>2966</v>
      </c>
      <c r="J728" s="2">
        <v>46090.849400553001</v>
      </c>
    </row>
    <row r="729" spans="1:10" x14ac:dyDescent="0.55000000000000004">
      <c r="A729" t="s">
        <v>2967</v>
      </c>
      <c r="B729">
        <v>101238</v>
      </c>
      <c r="C729" t="s">
        <v>63</v>
      </c>
      <c r="D729" s="1">
        <v>45981</v>
      </c>
      <c r="E729" t="s">
        <v>317</v>
      </c>
      <c r="F729" t="s">
        <v>2968</v>
      </c>
      <c r="G729" t="s">
        <v>22</v>
      </c>
      <c r="H729" t="s">
        <v>2969</v>
      </c>
      <c r="I729" t="s">
        <v>2970</v>
      </c>
      <c r="J729" s="2">
        <v>46085.547317225333</v>
      </c>
    </row>
    <row r="730" spans="1:10" x14ac:dyDescent="0.55000000000000004">
      <c r="A730" t="s">
        <v>2971</v>
      </c>
      <c r="B730">
        <v>100012</v>
      </c>
      <c r="C730" t="s">
        <v>12</v>
      </c>
      <c r="D730" s="1">
        <v>45830</v>
      </c>
      <c r="E730" t="s">
        <v>317</v>
      </c>
      <c r="F730" t="s">
        <v>2972</v>
      </c>
      <c r="G730" t="s">
        <v>15</v>
      </c>
      <c r="H730" t="s">
        <v>2973</v>
      </c>
      <c r="I730" t="s">
        <v>2974</v>
      </c>
      <c r="J730" s="2">
        <v>46066.193150563493</v>
      </c>
    </row>
    <row r="731" spans="1:10" x14ac:dyDescent="0.55000000000000004">
      <c r="A731" t="s">
        <v>2975</v>
      </c>
      <c r="B731">
        <v>100349</v>
      </c>
      <c r="C731" t="s">
        <v>131</v>
      </c>
      <c r="D731" s="1">
        <v>46137</v>
      </c>
      <c r="E731" t="s">
        <v>300</v>
      </c>
      <c r="F731" t="s">
        <v>2976</v>
      </c>
      <c r="G731" t="s">
        <v>22</v>
      </c>
      <c r="H731" t="s">
        <v>2977</v>
      </c>
      <c r="I731" t="s">
        <v>2978</v>
      </c>
      <c r="J731" s="2">
        <v>46096.693845012742</v>
      </c>
    </row>
    <row r="732" spans="1:10" x14ac:dyDescent="0.55000000000000004">
      <c r="A732" t="s">
        <v>2979</v>
      </c>
      <c r="B732">
        <v>101323</v>
      </c>
      <c r="C732" t="s">
        <v>169</v>
      </c>
      <c r="D732" s="1">
        <v>45760</v>
      </c>
      <c r="E732" t="s">
        <v>141</v>
      </c>
      <c r="F732" t="s">
        <v>2980</v>
      </c>
      <c r="G732" t="s">
        <v>22</v>
      </c>
      <c r="H732" t="s">
        <v>2981</v>
      </c>
      <c r="I732" t="s">
        <v>2982</v>
      </c>
      <c r="J732" s="2">
        <v>46090.445233905863</v>
      </c>
    </row>
    <row r="733" spans="1:10" x14ac:dyDescent="0.55000000000000004">
      <c r="A733" t="s">
        <v>2983</v>
      </c>
      <c r="B733">
        <v>100518</v>
      </c>
      <c r="C733" t="s">
        <v>82</v>
      </c>
      <c r="D733" s="1">
        <v>45966</v>
      </c>
      <c r="E733" t="s">
        <v>587</v>
      </c>
      <c r="F733" t="s">
        <v>2984</v>
      </c>
      <c r="G733" t="s">
        <v>15</v>
      </c>
      <c r="H733" t="s">
        <v>2985</v>
      </c>
      <c r="I733" t="s">
        <v>2986</v>
      </c>
      <c r="J733" s="2">
        <v>46095.54523390987</v>
      </c>
    </row>
    <row r="734" spans="1:10" x14ac:dyDescent="0.55000000000000004">
      <c r="A734" t="s">
        <v>2987</v>
      </c>
      <c r="B734">
        <v>100862</v>
      </c>
      <c r="C734" t="s">
        <v>19</v>
      </c>
      <c r="D734" s="1">
        <v>46066</v>
      </c>
      <c r="E734" t="s">
        <v>69</v>
      </c>
      <c r="F734" t="s">
        <v>2988</v>
      </c>
      <c r="G734" t="s">
        <v>15</v>
      </c>
      <c r="H734" t="s">
        <v>2989</v>
      </c>
      <c r="I734" t="s">
        <v>2990</v>
      </c>
      <c r="J734" s="2">
        <v>46081.748706136808</v>
      </c>
    </row>
    <row r="735" spans="1:10" x14ac:dyDescent="0.55000000000000004">
      <c r="A735" t="s">
        <v>2991</v>
      </c>
      <c r="B735">
        <v>100379</v>
      </c>
      <c r="C735" t="s">
        <v>114</v>
      </c>
      <c r="D735" s="1">
        <v>45739</v>
      </c>
      <c r="E735" t="s">
        <v>317</v>
      </c>
      <c r="F735" t="s">
        <v>2992</v>
      </c>
      <c r="G735" t="s">
        <v>15</v>
      </c>
      <c r="H735" t="s">
        <v>2993</v>
      </c>
      <c r="I735" t="s">
        <v>2994</v>
      </c>
      <c r="J735" s="2">
        <v>46078.607733919373</v>
      </c>
    </row>
    <row r="736" spans="1:10" x14ac:dyDescent="0.55000000000000004">
      <c r="A736" t="s">
        <v>2995</v>
      </c>
      <c r="B736">
        <v>100677</v>
      </c>
      <c r="C736" t="s">
        <v>88</v>
      </c>
      <c r="D736" s="1">
        <v>46044</v>
      </c>
      <c r="E736" t="s">
        <v>38</v>
      </c>
      <c r="F736" t="s">
        <v>2996</v>
      </c>
      <c r="G736" t="s">
        <v>15</v>
      </c>
      <c r="H736" t="s">
        <v>2997</v>
      </c>
      <c r="I736" t="s">
        <v>2998</v>
      </c>
      <c r="J736" s="2">
        <v>46091.584122813001</v>
      </c>
    </row>
    <row r="737" spans="1:10" x14ac:dyDescent="0.55000000000000004">
      <c r="A737" t="s">
        <v>2999</v>
      </c>
      <c r="B737">
        <v>101208</v>
      </c>
      <c r="C737" t="s">
        <v>19</v>
      </c>
      <c r="D737" s="1">
        <v>46036</v>
      </c>
      <c r="E737" t="s">
        <v>108</v>
      </c>
      <c r="F737" t="s">
        <v>3000</v>
      </c>
      <c r="G737" t="s">
        <v>22</v>
      </c>
      <c r="H737" t="s">
        <v>3001</v>
      </c>
      <c r="I737" t="s">
        <v>3002</v>
      </c>
      <c r="J737" s="2">
        <v>46075.781345040094</v>
      </c>
    </row>
    <row r="738" spans="1:10" x14ac:dyDescent="0.55000000000000004">
      <c r="A738" t="s">
        <v>3003</v>
      </c>
      <c r="B738">
        <v>100545</v>
      </c>
      <c r="C738" t="s">
        <v>179</v>
      </c>
      <c r="D738" s="1">
        <v>45898</v>
      </c>
      <c r="E738" t="s">
        <v>317</v>
      </c>
      <c r="F738" t="s">
        <v>3004</v>
      </c>
      <c r="G738" t="s">
        <v>15</v>
      </c>
      <c r="H738" t="s">
        <v>3005</v>
      </c>
      <c r="I738" t="s">
        <v>3006</v>
      </c>
      <c r="J738" s="2">
        <v>46077.443150600528</v>
      </c>
    </row>
    <row r="739" spans="1:10" x14ac:dyDescent="0.55000000000000004">
      <c r="A739" t="s">
        <v>3007</v>
      </c>
      <c r="B739">
        <v>100355</v>
      </c>
      <c r="C739" t="s">
        <v>12</v>
      </c>
      <c r="D739" s="1">
        <v>46035</v>
      </c>
      <c r="E739" t="s">
        <v>20</v>
      </c>
      <c r="F739" t="s">
        <v>3008</v>
      </c>
      <c r="G739" t="s">
        <v>15</v>
      </c>
      <c r="H739" t="s">
        <v>3009</v>
      </c>
      <c r="I739" t="s">
        <v>3010</v>
      </c>
      <c r="J739" s="2">
        <v>46090.357039494222</v>
      </c>
    </row>
    <row r="740" spans="1:10" x14ac:dyDescent="0.55000000000000004">
      <c r="A740" t="s">
        <v>3011</v>
      </c>
      <c r="B740">
        <v>100042</v>
      </c>
      <c r="C740" t="s">
        <v>114</v>
      </c>
      <c r="D740" s="1">
        <v>46119</v>
      </c>
      <c r="E740" t="s">
        <v>356</v>
      </c>
      <c r="F740" t="s">
        <v>3012</v>
      </c>
      <c r="G740" t="s">
        <v>15</v>
      </c>
      <c r="H740" t="s">
        <v>3013</v>
      </c>
      <c r="I740" t="s">
        <v>3014</v>
      </c>
      <c r="J740" s="2">
        <v>46069.400095056597</v>
      </c>
    </row>
    <row r="741" spans="1:10" x14ac:dyDescent="0.55000000000000004">
      <c r="A741" t="s">
        <v>3015</v>
      </c>
      <c r="B741">
        <v>100579</v>
      </c>
      <c r="C741" t="s">
        <v>26</v>
      </c>
      <c r="D741" s="1">
        <v>45752</v>
      </c>
      <c r="E741" t="s">
        <v>155</v>
      </c>
      <c r="F741" t="s">
        <v>3016</v>
      </c>
      <c r="G741" t="s">
        <v>22</v>
      </c>
      <c r="H741" t="s">
        <v>3017</v>
      </c>
      <c r="I741" t="s">
        <v>3018</v>
      </c>
      <c r="J741" s="2">
        <v>46087.723706172641</v>
      </c>
    </row>
    <row r="742" spans="1:10" x14ac:dyDescent="0.55000000000000004">
      <c r="A742" t="s">
        <v>3019</v>
      </c>
      <c r="B742">
        <v>100123</v>
      </c>
      <c r="C742" t="s">
        <v>19</v>
      </c>
      <c r="D742" s="1">
        <v>45773</v>
      </c>
      <c r="E742" t="s">
        <v>155</v>
      </c>
      <c r="F742" t="s">
        <v>3020</v>
      </c>
      <c r="G742" t="s">
        <v>15</v>
      </c>
      <c r="H742" t="s">
        <v>3021</v>
      </c>
      <c r="I742" t="s">
        <v>3022</v>
      </c>
      <c r="J742" s="2">
        <v>46091.819539510077</v>
      </c>
    </row>
    <row r="743" spans="1:10" x14ac:dyDescent="0.55000000000000004">
      <c r="A743" t="s">
        <v>3023</v>
      </c>
      <c r="B743">
        <v>101167</v>
      </c>
      <c r="C743" t="s">
        <v>26</v>
      </c>
      <c r="D743" s="1">
        <v>45877</v>
      </c>
      <c r="E743" t="s">
        <v>757</v>
      </c>
      <c r="F743" t="s">
        <v>3024</v>
      </c>
      <c r="G743" t="s">
        <v>15</v>
      </c>
      <c r="H743" t="s">
        <v>3025</v>
      </c>
      <c r="I743" t="s">
        <v>3026</v>
      </c>
      <c r="J743" s="2">
        <v>46084.542456181603</v>
      </c>
    </row>
    <row r="744" spans="1:10" x14ac:dyDescent="0.55000000000000004">
      <c r="A744" t="s">
        <v>3027</v>
      </c>
      <c r="B744">
        <v>100700</v>
      </c>
      <c r="C744" t="s">
        <v>32</v>
      </c>
      <c r="D744" s="1">
        <v>45999</v>
      </c>
      <c r="E744" t="s">
        <v>418</v>
      </c>
      <c r="F744" t="s">
        <v>3028</v>
      </c>
      <c r="G744" t="s">
        <v>15</v>
      </c>
      <c r="H744" t="s">
        <v>3029</v>
      </c>
      <c r="I744" t="s">
        <v>3030</v>
      </c>
      <c r="J744" s="2">
        <v>46057.762595075219</v>
      </c>
    </row>
    <row r="745" spans="1:10" x14ac:dyDescent="0.55000000000000004">
      <c r="A745" t="s">
        <v>3031</v>
      </c>
      <c r="B745">
        <v>101020</v>
      </c>
      <c r="C745" t="s">
        <v>12</v>
      </c>
      <c r="D745" s="1">
        <v>46037</v>
      </c>
      <c r="E745" t="s">
        <v>317</v>
      </c>
      <c r="F745" t="s">
        <v>3032</v>
      </c>
      <c r="G745" t="s">
        <v>22</v>
      </c>
      <c r="H745" t="s">
        <v>3033</v>
      </c>
      <c r="I745" t="s">
        <v>3034</v>
      </c>
      <c r="J745" s="2">
        <v>46058.620928412631</v>
      </c>
    </row>
    <row r="746" spans="1:10" x14ac:dyDescent="0.55000000000000004">
      <c r="A746" t="s">
        <v>3035</v>
      </c>
      <c r="B746">
        <v>100959</v>
      </c>
      <c r="C746" t="s">
        <v>68</v>
      </c>
      <c r="D746" s="1">
        <v>45910</v>
      </c>
      <c r="E746" t="s">
        <v>170</v>
      </c>
      <c r="F746" t="s">
        <v>3036</v>
      </c>
      <c r="G746" t="s">
        <v>15</v>
      </c>
      <c r="H746" t="s">
        <v>3037</v>
      </c>
      <c r="I746" t="s">
        <v>3038</v>
      </c>
      <c r="J746" s="2">
        <v>46085.579261750063</v>
      </c>
    </row>
    <row r="747" spans="1:10" x14ac:dyDescent="0.55000000000000004">
      <c r="A747" t="s">
        <v>3039</v>
      </c>
      <c r="B747">
        <v>101124</v>
      </c>
      <c r="C747" t="s">
        <v>82</v>
      </c>
      <c r="D747" s="1">
        <v>45780</v>
      </c>
      <c r="E747" t="s">
        <v>160</v>
      </c>
      <c r="F747" t="s">
        <v>3040</v>
      </c>
      <c r="G747" t="s">
        <v>22</v>
      </c>
      <c r="H747" t="s">
        <v>3041</v>
      </c>
      <c r="I747" t="s">
        <v>3042</v>
      </c>
      <c r="J747" s="2">
        <v>46056.808428421537</v>
      </c>
    </row>
    <row r="748" spans="1:10" x14ac:dyDescent="0.55000000000000004">
      <c r="A748" t="s">
        <v>3043</v>
      </c>
      <c r="B748">
        <v>100248</v>
      </c>
      <c r="C748" t="s">
        <v>248</v>
      </c>
      <c r="D748" s="1">
        <v>45873</v>
      </c>
      <c r="E748" t="s">
        <v>115</v>
      </c>
      <c r="F748" t="s">
        <v>3044</v>
      </c>
      <c r="G748" t="s">
        <v>15</v>
      </c>
      <c r="H748" t="s">
        <v>3045</v>
      </c>
      <c r="I748" t="s">
        <v>3046</v>
      </c>
      <c r="J748" s="2">
        <v>46087.77162287083</v>
      </c>
    </row>
    <row r="749" spans="1:10" x14ac:dyDescent="0.55000000000000004">
      <c r="A749" t="s">
        <v>3047</v>
      </c>
      <c r="B749">
        <v>101231</v>
      </c>
      <c r="C749" t="s">
        <v>19</v>
      </c>
      <c r="D749" s="1">
        <v>45986</v>
      </c>
      <c r="E749" t="s">
        <v>115</v>
      </c>
      <c r="F749" t="s">
        <v>3048</v>
      </c>
      <c r="G749" t="s">
        <v>15</v>
      </c>
      <c r="H749" t="s">
        <v>3049</v>
      </c>
      <c r="I749" t="s">
        <v>3050</v>
      </c>
      <c r="J749" s="2">
        <v>46093.829261764397</v>
      </c>
    </row>
    <row r="750" spans="1:10" x14ac:dyDescent="0.55000000000000004">
      <c r="A750" t="s">
        <v>3051</v>
      </c>
      <c r="B750">
        <v>101051</v>
      </c>
      <c r="C750" t="s">
        <v>63</v>
      </c>
      <c r="D750" s="1">
        <v>45877</v>
      </c>
      <c r="E750" t="s">
        <v>69</v>
      </c>
      <c r="F750" t="s">
        <v>3052</v>
      </c>
      <c r="G750" t="s">
        <v>22</v>
      </c>
      <c r="H750" t="s">
        <v>3053</v>
      </c>
      <c r="I750" t="s">
        <v>3054</v>
      </c>
      <c r="J750" s="2">
        <v>46075.868845102581</v>
      </c>
    </row>
    <row r="751" spans="1:10" x14ac:dyDescent="0.55000000000000004">
      <c r="A751" t="s">
        <v>3055</v>
      </c>
      <c r="B751">
        <v>101219</v>
      </c>
      <c r="C751" t="s">
        <v>88</v>
      </c>
      <c r="D751" s="1">
        <v>45754</v>
      </c>
      <c r="E751" t="s">
        <v>317</v>
      </c>
      <c r="F751" t="s">
        <v>3056</v>
      </c>
      <c r="G751" t="s">
        <v>15</v>
      </c>
      <c r="H751" t="s">
        <v>3057</v>
      </c>
      <c r="I751" t="s">
        <v>3058</v>
      </c>
      <c r="J751" s="2">
        <v>46063.495928441007</v>
      </c>
    </row>
    <row r="752" spans="1:10" x14ac:dyDescent="0.55000000000000004">
      <c r="A752" t="s">
        <v>3059</v>
      </c>
      <c r="B752">
        <v>100077</v>
      </c>
      <c r="C752" t="s">
        <v>48</v>
      </c>
      <c r="D752" s="1">
        <v>46134</v>
      </c>
      <c r="E752" t="s">
        <v>69</v>
      </c>
      <c r="F752" t="s">
        <v>3060</v>
      </c>
      <c r="G752" t="s">
        <v>15</v>
      </c>
      <c r="H752" t="s">
        <v>3061</v>
      </c>
      <c r="I752" t="s">
        <v>3062</v>
      </c>
      <c r="J752" s="2">
        <v>46093.411900668347</v>
      </c>
    </row>
    <row r="753" spans="1:11" x14ac:dyDescent="0.55000000000000004">
      <c r="A753" t="s">
        <v>3063</v>
      </c>
      <c r="B753">
        <v>101376</v>
      </c>
      <c r="C753" t="s">
        <v>88</v>
      </c>
      <c r="D753" s="1">
        <v>46035</v>
      </c>
      <c r="E753" t="s">
        <v>208</v>
      </c>
      <c r="F753" t="s">
        <v>3064</v>
      </c>
      <c r="G753" t="s">
        <v>22</v>
      </c>
      <c r="H753" t="s">
        <v>3065</v>
      </c>
      <c r="I753" t="s">
        <v>3066</v>
      </c>
      <c r="J753" s="2">
        <v>46083.589678450313</v>
      </c>
    </row>
    <row r="754" spans="1:11" x14ac:dyDescent="0.55000000000000004">
      <c r="A754" t="s">
        <v>3067</v>
      </c>
      <c r="B754">
        <v>101351</v>
      </c>
      <c r="C754" t="s">
        <v>169</v>
      </c>
      <c r="D754" s="1">
        <v>45848</v>
      </c>
      <c r="E754" t="s">
        <v>115</v>
      </c>
      <c r="F754" t="s">
        <v>2563</v>
      </c>
      <c r="G754" t="s">
        <v>22</v>
      </c>
      <c r="H754" t="s">
        <v>3068</v>
      </c>
      <c r="I754" t="s">
        <v>3069</v>
      </c>
      <c r="J754" s="2">
        <v>46085.21190067743</v>
      </c>
    </row>
    <row r="755" spans="1:11" x14ac:dyDescent="0.55000000000000004">
      <c r="A755" t="s">
        <v>3070</v>
      </c>
      <c r="B755">
        <v>100406</v>
      </c>
      <c r="C755" t="s">
        <v>194</v>
      </c>
      <c r="D755" s="1">
        <v>45769</v>
      </c>
      <c r="E755" t="s">
        <v>89</v>
      </c>
      <c r="F755" t="s">
        <v>3071</v>
      </c>
      <c r="G755" t="s">
        <v>15</v>
      </c>
      <c r="H755" t="s">
        <v>3072</v>
      </c>
      <c r="I755" t="s">
        <v>3073</v>
      </c>
      <c r="J755" s="2">
        <v>46070.54037290495</v>
      </c>
    </row>
    <row r="756" spans="1:11" x14ac:dyDescent="0.55000000000000004">
      <c r="A756" t="s">
        <v>3074</v>
      </c>
      <c r="B756">
        <v>100384</v>
      </c>
      <c r="C756" t="s">
        <v>248</v>
      </c>
      <c r="D756" s="1">
        <v>46044</v>
      </c>
      <c r="E756" t="s">
        <v>418</v>
      </c>
      <c r="F756" t="s">
        <v>3075</v>
      </c>
      <c r="G756" t="s">
        <v>22</v>
      </c>
      <c r="H756" t="s">
        <v>3076</v>
      </c>
      <c r="I756" t="s">
        <v>3077</v>
      </c>
      <c r="J756" s="2">
        <v>46089.095234021588</v>
      </c>
    </row>
    <row r="757" spans="1:11" x14ac:dyDescent="0.55000000000000004">
      <c r="A757" t="s">
        <v>3078</v>
      </c>
      <c r="B757">
        <v>100693</v>
      </c>
      <c r="C757" t="s">
        <v>248</v>
      </c>
      <c r="D757" s="1">
        <v>46055</v>
      </c>
      <c r="E757" t="s">
        <v>356</v>
      </c>
      <c r="F757" t="s">
        <v>3079</v>
      </c>
      <c r="G757" t="s">
        <v>22</v>
      </c>
      <c r="H757" t="s">
        <v>3080</v>
      </c>
      <c r="I757" t="s">
        <v>3081</v>
      </c>
      <c r="J757" s="2">
        <v>46089.700789582457</v>
      </c>
    </row>
    <row r="758" spans="1:11" x14ac:dyDescent="0.55000000000000004">
      <c r="A758" t="s">
        <v>3082</v>
      </c>
      <c r="B758">
        <v>100857</v>
      </c>
      <c r="C758" t="s">
        <v>26</v>
      </c>
      <c r="D758" s="1">
        <v>45762</v>
      </c>
      <c r="E758" t="s">
        <v>265</v>
      </c>
      <c r="F758" t="s">
        <v>3083</v>
      </c>
      <c r="G758" t="s">
        <v>22</v>
      </c>
      <c r="H758" t="s">
        <v>3084</v>
      </c>
      <c r="I758" t="s">
        <v>3085</v>
      </c>
      <c r="J758" s="2">
        <v>46068.15148403179</v>
      </c>
    </row>
    <row r="759" spans="1:11" x14ac:dyDescent="0.55000000000000004">
      <c r="A759" t="s">
        <v>3086</v>
      </c>
      <c r="B759">
        <v>100319</v>
      </c>
      <c r="D759" s="1">
        <v>46121</v>
      </c>
      <c r="E759" t="s">
        <v>356</v>
      </c>
      <c r="F759" t="s">
        <v>3087</v>
      </c>
      <c r="G759" t="s">
        <v>15</v>
      </c>
      <c r="H759" t="s">
        <v>3088</v>
      </c>
      <c r="I759" t="s">
        <v>3089</v>
      </c>
      <c r="J759" s="2">
        <v>46056.8764840359</v>
      </c>
      <c r="K759" t="s">
        <v>217</v>
      </c>
    </row>
    <row r="760" spans="1:11" x14ac:dyDescent="0.55000000000000004">
      <c r="A760" t="s">
        <v>3090</v>
      </c>
      <c r="B760">
        <v>100026</v>
      </c>
      <c r="C760" t="s">
        <v>48</v>
      </c>
      <c r="D760" s="1">
        <v>46027</v>
      </c>
      <c r="E760" t="s">
        <v>121</v>
      </c>
      <c r="F760" t="s">
        <v>3091</v>
      </c>
      <c r="G760" t="s">
        <v>22</v>
      </c>
      <c r="H760" t="s">
        <v>3092</v>
      </c>
      <c r="I760" t="s">
        <v>3093</v>
      </c>
      <c r="J760" s="2">
        <v>46083.904956263017</v>
      </c>
    </row>
    <row r="761" spans="1:11" x14ac:dyDescent="0.55000000000000004">
      <c r="A761" t="s">
        <v>3094</v>
      </c>
      <c r="B761">
        <v>101433</v>
      </c>
      <c r="C761" t="s">
        <v>19</v>
      </c>
      <c r="D761" s="1">
        <v>45968</v>
      </c>
      <c r="E761" t="s">
        <v>334</v>
      </c>
      <c r="F761" t="s">
        <v>3095</v>
      </c>
      <c r="G761" t="s">
        <v>15</v>
      </c>
      <c r="H761" t="s">
        <v>3096</v>
      </c>
      <c r="I761" t="s">
        <v>3097</v>
      </c>
      <c r="J761" s="2">
        <v>46082.280650711422</v>
      </c>
    </row>
    <row r="762" spans="1:11" x14ac:dyDescent="0.55000000000000004">
      <c r="A762" t="s">
        <v>3098</v>
      </c>
      <c r="B762">
        <v>101250</v>
      </c>
      <c r="C762" t="s">
        <v>94</v>
      </c>
      <c r="D762" s="1">
        <v>46028</v>
      </c>
      <c r="E762" t="s">
        <v>38</v>
      </c>
      <c r="F762" t="s">
        <v>3099</v>
      </c>
      <c r="G762" t="s">
        <v>15</v>
      </c>
      <c r="H762" t="s">
        <v>3100</v>
      </c>
      <c r="I762" t="s">
        <v>3101</v>
      </c>
      <c r="J762" s="2">
        <v>46061.738984049633</v>
      </c>
    </row>
    <row r="763" spans="1:11" x14ac:dyDescent="0.55000000000000004">
      <c r="A763" t="s">
        <v>3102</v>
      </c>
      <c r="B763">
        <v>101283</v>
      </c>
      <c r="C763" t="s">
        <v>94</v>
      </c>
      <c r="D763" s="1">
        <v>45754</v>
      </c>
      <c r="E763" t="s">
        <v>69</v>
      </c>
      <c r="F763" t="s">
        <v>3103</v>
      </c>
      <c r="G763" t="s">
        <v>15</v>
      </c>
      <c r="H763" t="s">
        <v>3104</v>
      </c>
      <c r="I763" t="s">
        <v>3105</v>
      </c>
      <c r="J763" s="2">
        <v>46069.991067387848</v>
      </c>
    </row>
    <row r="764" spans="1:11" x14ac:dyDescent="0.55000000000000004">
      <c r="A764" t="s">
        <v>2113</v>
      </c>
      <c r="B764">
        <v>101179</v>
      </c>
      <c r="D764" s="1">
        <v>45977</v>
      </c>
      <c r="E764" t="s">
        <v>270</v>
      </c>
      <c r="F764" t="s">
        <v>3106</v>
      </c>
      <c r="G764" t="s">
        <v>15</v>
      </c>
      <c r="H764" t="s">
        <v>3107</v>
      </c>
      <c r="I764" t="s">
        <v>3108</v>
      </c>
      <c r="J764" s="2">
        <v>46091.952178503903</v>
      </c>
      <c r="K764" t="s">
        <v>217</v>
      </c>
    </row>
    <row r="765" spans="1:11" x14ac:dyDescent="0.55000000000000004">
      <c r="A765" t="s">
        <v>3109</v>
      </c>
      <c r="B765">
        <v>100774</v>
      </c>
      <c r="C765" t="s">
        <v>37</v>
      </c>
      <c r="D765" s="1">
        <v>46086</v>
      </c>
      <c r="E765" t="s">
        <v>43</v>
      </c>
      <c r="F765" t="s">
        <v>3110</v>
      </c>
      <c r="G765" t="s">
        <v>22</v>
      </c>
      <c r="H765" t="s">
        <v>3111</v>
      </c>
      <c r="I765" t="s">
        <v>3112</v>
      </c>
      <c r="J765" s="2">
        <v>46079.406345174793</v>
      </c>
    </row>
    <row r="766" spans="1:11" x14ac:dyDescent="0.55000000000000004">
      <c r="A766" t="s">
        <v>3113</v>
      </c>
      <c r="B766">
        <v>100960</v>
      </c>
      <c r="C766" t="s">
        <v>131</v>
      </c>
      <c r="D766" s="1">
        <v>45740</v>
      </c>
      <c r="E766" t="s">
        <v>49</v>
      </c>
      <c r="F766" t="s">
        <v>3114</v>
      </c>
      <c r="G766" t="s">
        <v>15</v>
      </c>
      <c r="H766" t="s">
        <v>3115</v>
      </c>
      <c r="I766" t="s">
        <v>3116</v>
      </c>
      <c r="J766" s="2">
        <v>46052.093150734479</v>
      </c>
    </row>
    <row r="767" spans="1:11" x14ac:dyDescent="0.55000000000000004">
      <c r="A767" t="s">
        <v>3117</v>
      </c>
      <c r="B767">
        <v>101009</v>
      </c>
      <c r="C767" t="s">
        <v>26</v>
      </c>
      <c r="D767" s="1">
        <v>46114</v>
      </c>
      <c r="E767" t="s">
        <v>270</v>
      </c>
      <c r="F767" t="s">
        <v>3118</v>
      </c>
      <c r="G767" t="s">
        <v>15</v>
      </c>
      <c r="H767" t="s">
        <v>3119</v>
      </c>
      <c r="I767" t="s">
        <v>3120</v>
      </c>
      <c r="J767" s="2">
        <v>46052.169539628187</v>
      </c>
    </row>
    <row r="768" spans="1:11" x14ac:dyDescent="0.55000000000000004">
      <c r="A768" t="s">
        <v>3121</v>
      </c>
      <c r="B768">
        <v>100620</v>
      </c>
      <c r="C768" t="s">
        <v>48</v>
      </c>
      <c r="D768" s="1">
        <v>46136</v>
      </c>
      <c r="E768" t="s">
        <v>757</v>
      </c>
      <c r="F768" t="s">
        <v>3122</v>
      </c>
      <c r="G768" t="s">
        <v>15</v>
      </c>
      <c r="H768" t="s">
        <v>3123</v>
      </c>
      <c r="I768" t="s">
        <v>3124</v>
      </c>
      <c r="J768" s="2">
        <v>46057.645928521932</v>
      </c>
    </row>
    <row r="769" spans="1:11" x14ac:dyDescent="0.55000000000000004">
      <c r="A769" t="s">
        <v>3125</v>
      </c>
      <c r="B769">
        <v>100171</v>
      </c>
      <c r="C769" t="s">
        <v>179</v>
      </c>
      <c r="D769" s="1">
        <v>46085</v>
      </c>
      <c r="E769" t="s">
        <v>170</v>
      </c>
      <c r="F769" t="s">
        <v>3126</v>
      </c>
      <c r="G769" t="s">
        <v>22</v>
      </c>
      <c r="H769" t="s">
        <v>3127</v>
      </c>
      <c r="I769" t="s">
        <v>3128</v>
      </c>
      <c r="J769" s="2">
        <v>46070.362595193546</v>
      </c>
    </row>
    <row r="770" spans="1:11" x14ac:dyDescent="0.55000000000000004">
      <c r="A770" t="s">
        <v>3129</v>
      </c>
      <c r="B770">
        <v>100377</v>
      </c>
      <c r="C770" t="s">
        <v>99</v>
      </c>
      <c r="D770" s="1">
        <v>46009</v>
      </c>
      <c r="E770" t="s">
        <v>199</v>
      </c>
      <c r="F770" t="s">
        <v>3130</v>
      </c>
      <c r="G770" t="s">
        <v>15</v>
      </c>
      <c r="H770" t="s">
        <v>3131</v>
      </c>
      <c r="I770" t="s">
        <v>3132</v>
      </c>
      <c r="J770" s="2">
        <v>46064.786900753978</v>
      </c>
    </row>
    <row r="771" spans="1:11" x14ac:dyDescent="0.55000000000000004">
      <c r="A771" t="s">
        <v>3133</v>
      </c>
      <c r="B771">
        <v>101307</v>
      </c>
      <c r="C771" t="s">
        <v>63</v>
      </c>
      <c r="D771" s="1">
        <v>45758</v>
      </c>
      <c r="E771" t="s">
        <v>69</v>
      </c>
      <c r="F771" t="s">
        <v>3134</v>
      </c>
      <c r="G771" t="s">
        <v>22</v>
      </c>
      <c r="H771" t="s">
        <v>3135</v>
      </c>
      <c r="I771" t="s">
        <v>3136</v>
      </c>
      <c r="J771" s="2">
        <v>46067.866067424839</v>
      </c>
    </row>
    <row r="772" spans="1:11" x14ac:dyDescent="0.55000000000000004">
      <c r="A772" t="s">
        <v>3137</v>
      </c>
      <c r="B772">
        <v>101074</v>
      </c>
      <c r="C772" t="s">
        <v>12</v>
      </c>
      <c r="D772" s="1">
        <v>45919</v>
      </c>
      <c r="E772" t="s">
        <v>409</v>
      </c>
      <c r="F772" t="s">
        <v>3138</v>
      </c>
      <c r="G772" t="s">
        <v>15</v>
      </c>
      <c r="H772" t="s">
        <v>3139</v>
      </c>
      <c r="I772" t="s">
        <v>3140</v>
      </c>
      <c r="J772" s="2">
        <v>46062.454956318797</v>
      </c>
    </row>
    <row r="773" spans="1:11" x14ac:dyDescent="0.55000000000000004">
      <c r="A773" t="s">
        <v>3141</v>
      </c>
      <c r="B773">
        <v>101006</v>
      </c>
      <c r="C773" t="s">
        <v>114</v>
      </c>
      <c r="D773" s="1">
        <v>45903</v>
      </c>
      <c r="E773" t="s">
        <v>38</v>
      </c>
      <c r="F773" t="s">
        <v>3142</v>
      </c>
      <c r="G773" t="s">
        <v>15</v>
      </c>
      <c r="H773" t="s">
        <v>3143</v>
      </c>
      <c r="I773" t="s">
        <v>3144</v>
      </c>
      <c r="J773" s="2">
        <v>46056.066067435517</v>
      </c>
    </row>
    <row r="774" spans="1:11" x14ac:dyDescent="0.55000000000000004">
      <c r="A774" t="s">
        <v>3145</v>
      </c>
      <c r="B774">
        <v>101245</v>
      </c>
      <c r="C774" t="s">
        <v>26</v>
      </c>
      <c r="D774" s="1">
        <v>46091</v>
      </c>
      <c r="E774" t="s">
        <v>317</v>
      </c>
      <c r="F774" t="s">
        <v>3146</v>
      </c>
      <c r="G774" t="s">
        <v>15</v>
      </c>
      <c r="H774" t="s">
        <v>3147</v>
      </c>
      <c r="I774" t="s">
        <v>3148</v>
      </c>
      <c r="J774" s="2">
        <v>46077.244539662257</v>
      </c>
    </row>
    <row r="775" spans="1:11" x14ac:dyDescent="0.55000000000000004">
      <c r="A775" t="s">
        <v>3149</v>
      </c>
      <c r="B775">
        <v>101343</v>
      </c>
      <c r="C775" t="s">
        <v>32</v>
      </c>
      <c r="D775" s="1">
        <v>45989</v>
      </c>
      <c r="E775" t="s">
        <v>83</v>
      </c>
      <c r="F775" t="s">
        <v>3150</v>
      </c>
      <c r="G775" t="s">
        <v>15</v>
      </c>
      <c r="H775" t="s">
        <v>3151</v>
      </c>
      <c r="I775" t="s">
        <v>3152</v>
      </c>
      <c r="J775" s="2">
        <v>46074.254956333913</v>
      </c>
    </row>
    <row r="776" spans="1:11" x14ac:dyDescent="0.55000000000000004">
      <c r="A776" t="s">
        <v>3153</v>
      </c>
      <c r="B776">
        <v>101198</v>
      </c>
      <c r="C776" t="s">
        <v>88</v>
      </c>
      <c r="D776" s="1">
        <v>45980</v>
      </c>
      <c r="E776" t="s">
        <v>270</v>
      </c>
      <c r="F776" t="s">
        <v>3154</v>
      </c>
      <c r="G776" t="s">
        <v>22</v>
      </c>
      <c r="H776" t="s">
        <v>3155</v>
      </c>
      <c r="I776" t="s">
        <v>3156</v>
      </c>
      <c r="J776" s="2">
        <v>46068.86328967219</v>
      </c>
    </row>
    <row r="777" spans="1:11" x14ac:dyDescent="0.55000000000000004">
      <c r="A777" t="s">
        <v>3157</v>
      </c>
      <c r="C777" t="s">
        <v>63</v>
      </c>
      <c r="D777" s="1">
        <v>46141</v>
      </c>
      <c r="E777" t="s">
        <v>108</v>
      </c>
      <c r="F777" t="s">
        <v>3158</v>
      </c>
      <c r="G777" t="s">
        <v>22</v>
      </c>
      <c r="H777" t="s">
        <v>3159</v>
      </c>
      <c r="I777" t="s">
        <v>3160</v>
      </c>
      <c r="J777" s="2">
        <v>46092.632039676479</v>
      </c>
      <c r="K777" t="s">
        <v>112</v>
      </c>
    </row>
    <row r="778" spans="1:11" x14ac:dyDescent="0.55000000000000004">
      <c r="A778" t="s">
        <v>3161</v>
      </c>
      <c r="B778">
        <v>101126</v>
      </c>
      <c r="C778" t="s">
        <v>179</v>
      </c>
      <c r="D778" s="1">
        <v>45823</v>
      </c>
      <c r="E778" t="s">
        <v>141</v>
      </c>
      <c r="F778" t="s">
        <v>3162</v>
      </c>
      <c r="G778" t="s">
        <v>15</v>
      </c>
      <c r="H778" t="s">
        <v>3163</v>
      </c>
      <c r="I778" t="s">
        <v>3164</v>
      </c>
      <c r="J778" s="2">
        <v>46080.586900793402</v>
      </c>
    </row>
    <row r="779" spans="1:11" x14ac:dyDescent="0.55000000000000004">
      <c r="A779" t="s">
        <v>3165</v>
      </c>
      <c r="C779" t="s">
        <v>114</v>
      </c>
      <c r="D779" s="1">
        <v>45986</v>
      </c>
      <c r="E779" t="s">
        <v>115</v>
      </c>
      <c r="F779" t="s">
        <v>3166</v>
      </c>
      <c r="G779" t="s">
        <v>15</v>
      </c>
      <c r="H779" t="s">
        <v>3167</v>
      </c>
      <c r="I779" t="s">
        <v>3168</v>
      </c>
      <c r="J779" s="2">
        <v>46079.153567464593</v>
      </c>
      <c r="K779" t="s">
        <v>112</v>
      </c>
    </row>
    <row r="780" spans="1:11" x14ac:dyDescent="0.55000000000000004">
      <c r="A780" t="s">
        <v>3169</v>
      </c>
      <c r="B780">
        <v>100894</v>
      </c>
      <c r="C780" t="s">
        <v>146</v>
      </c>
      <c r="D780" s="1">
        <v>45799</v>
      </c>
      <c r="E780" t="s">
        <v>58</v>
      </c>
      <c r="F780" t="s">
        <v>3170</v>
      </c>
      <c r="G780" t="s">
        <v>22</v>
      </c>
      <c r="H780" t="s">
        <v>3171</v>
      </c>
      <c r="I780" t="s">
        <v>3172</v>
      </c>
      <c r="J780" s="2">
        <v>46056.716067469468</v>
      </c>
    </row>
    <row r="781" spans="1:11" x14ac:dyDescent="0.55000000000000004">
      <c r="A781" t="s">
        <v>3173</v>
      </c>
      <c r="B781">
        <v>101377</v>
      </c>
      <c r="C781" t="s">
        <v>68</v>
      </c>
      <c r="D781" s="1">
        <v>45828</v>
      </c>
      <c r="E781" t="s">
        <v>155</v>
      </c>
      <c r="F781" t="s">
        <v>3174</v>
      </c>
      <c r="G781" t="s">
        <v>15</v>
      </c>
      <c r="H781" t="s">
        <v>3175</v>
      </c>
      <c r="I781" t="s">
        <v>3176</v>
      </c>
      <c r="J781" s="2">
        <v>46063.829261918101</v>
      </c>
    </row>
    <row r="782" spans="1:11" x14ac:dyDescent="0.55000000000000004">
      <c r="A782" t="s">
        <v>3177</v>
      </c>
      <c r="B782">
        <v>100636</v>
      </c>
      <c r="C782" t="s">
        <v>169</v>
      </c>
      <c r="D782" s="1">
        <v>45942</v>
      </c>
      <c r="E782" t="s">
        <v>300</v>
      </c>
      <c r="F782" t="s">
        <v>3178</v>
      </c>
      <c r="G782" t="s">
        <v>22</v>
      </c>
      <c r="H782" t="s">
        <v>3179</v>
      </c>
      <c r="I782" t="s">
        <v>3180</v>
      </c>
      <c r="J782" s="2">
        <v>46068.313984145323</v>
      </c>
    </row>
    <row r="783" spans="1:11" x14ac:dyDescent="0.55000000000000004">
      <c r="A783" t="s">
        <v>3181</v>
      </c>
      <c r="B783">
        <v>101472</v>
      </c>
      <c r="C783" t="s">
        <v>26</v>
      </c>
      <c r="D783" s="1">
        <v>45799</v>
      </c>
      <c r="E783" t="s">
        <v>356</v>
      </c>
      <c r="F783" t="s">
        <v>3182</v>
      </c>
      <c r="G783" t="s">
        <v>15</v>
      </c>
      <c r="H783" t="s">
        <v>3183</v>
      </c>
      <c r="I783" t="s">
        <v>3184</v>
      </c>
      <c r="J783" s="2">
        <v>46067.21745637212</v>
      </c>
    </row>
    <row r="784" spans="1:11" x14ac:dyDescent="0.55000000000000004">
      <c r="A784" t="s">
        <v>3185</v>
      </c>
      <c r="B784">
        <v>101160</v>
      </c>
      <c r="C784" t="s">
        <v>68</v>
      </c>
      <c r="D784" s="1">
        <v>46126</v>
      </c>
      <c r="E784" t="s">
        <v>115</v>
      </c>
      <c r="F784" t="s">
        <v>3186</v>
      </c>
      <c r="G784" t="s">
        <v>22</v>
      </c>
      <c r="H784" t="s">
        <v>3187</v>
      </c>
      <c r="I784" t="s">
        <v>3188</v>
      </c>
      <c r="J784" s="2">
        <v>46079.098011931979</v>
      </c>
    </row>
    <row r="785" spans="1:10" x14ac:dyDescent="0.55000000000000004">
      <c r="A785" t="s">
        <v>3189</v>
      </c>
      <c r="B785">
        <v>100903</v>
      </c>
      <c r="C785" t="s">
        <v>48</v>
      </c>
      <c r="D785" s="1">
        <v>46048</v>
      </c>
      <c r="E785" t="s">
        <v>317</v>
      </c>
      <c r="F785" t="s">
        <v>3190</v>
      </c>
      <c r="G785" t="s">
        <v>22</v>
      </c>
      <c r="H785" t="s">
        <v>3191</v>
      </c>
      <c r="I785" t="s">
        <v>3192</v>
      </c>
      <c r="J785" s="2">
        <v>46086.496623047373</v>
      </c>
    </row>
    <row r="786" spans="1:10" x14ac:dyDescent="0.55000000000000004">
      <c r="A786" t="s">
        <v>3193</v>
      </c>
      <c r="B786">
        <v>100031</v>
      </c>
      <c r="C786" t="s">
        <v>114</v>
      </c>
      <c r="D786" s="1">
        <v>45814</v>
      </c>
      <c r="E786" t="s">
        <v>155</v>
      </c>
      <c r="F786" t="s">
        <v>3194</v>
      </c>
      <c r="G786" t="s">
        <v>15</v>
      </c>
      <c r="H786" t="s">
        <v>3195</v>
      </c>
      <c r="I786" t="s">
        <v>3196</v>
      </c>
      <c r="J786" s="2">
        <v>46076.929261941557</v>
      </c>
    </row>
    <row r="787" spans="1:10" x14ac:dyDescent="0.55000000000000004">
      <c r="A787" t="s">
        <v>3197</v>
      </c>
      <c r="B787">
        <v>100772</v>
      </c>
      <c r="C787" t="s">
        <v>114</v>
      </c>
      <c r="D787" s="1">
        <v>45957</v>
      </c>
      <c r="E787" t="s">
        <v>356</v>
      </c>
      <c r="F787" t="s">
        <v>3198</v>
      </c>
      <c r="G787" t="s">
        <v>15</v>
      </c>
      <c r="H787" t="s">
        <v>3199</v>
      </c>
      <c r="I787" t="s">
        <v>3200</v>
      </c>
      <c r="J787" s="2">
        <v>46062.696623057833</v>
      </c>
    </row>
    <row r="788" spans="1:10" x14ac:dyDescent="0.55000000000000004">
      <c r="A788" t="s">
        <v>3201</v>
      </c>
      <c r="B788">
        <v>100041</v>
      </c>
      <c r="C788" t="s">
        <v>169</v>
      </c>
      <c r="D788" s="1">
        <v>45908</v>
      </c>
      <c r="E788" t="s">
        <v>20</v>
      </c>
      <c r="F788" t="s">
        <v>3202</v>
      </c>
      <c r="G788" t="s">
        <v>22</v>
      </c>
      <c r="H788" t="s">
        <v>3203</v>
      </c>
      <c r="I788" t="s">
        <v>3204</v>
      </c>
      <c r="J788" s="2">
        <v>46063.515373063579</v>
      </c>
    </row>
    <row r="789" spans="1:10" x14ac:dyDescent="0.55000000000000004">
      <c r="A789" t="s">
        <v>3205</v>
      </c>
      <c r="B789">
        <v>100667</v>
      </c>
      <c r="C789" t="s">
        <v>146</v>
      </c>
      <c r="D789" s="1">
        <v>45886</v>
      </c>
      <c r="E789" t="s">
        <v>155</v>
      </c>
      <c r="F789" t="s">
        <v>3206</v>
      </c>
      <c r="G789" t="s">
        <v>22</v>
      </c>
      <c r="H789" t="s">
        <v>3207</v>
      </c>
      <c r="I789" t="s">
        <v>3208</v>
      </c>
      <c r="J789" s="2">
        <v>46066.5396786239</v>
      </c>
    </row>
    <row r="790" spans="1:10" x14ac:dyDescent="0.55000000000000004">
      <c r="A790" t="s">
        <v>3209</v>
      </c>
      <c r="B790">
        <v>100070</v>
      </c>
      <c r="C790" t="s">
        <v>88</v>
      </c>
      <c r="D790" s="1">
        <v>45895</v>
      </c>
      <c r="E790" t="s">
        <v>155</v>
      </c>
      <c r="F790" t="s">
        <v>3210</v>
      </c>
      <c r="G790" t="s">
        <v>22</v>
      </c>
      <c r="H790" t="s">
        <v>3211</v>
      </c>
      <c r="I790" t="s">
        <v>3212</v>
      </c>
      <c r="J790" s="2">
        <v>46056.325789739109</v>
      </c>
    </row>
    <row r="791" spans="1:10" x14ac:dyDescent="0.55000000000000004">
      <c r="A791" t="s">
        <v>3213</v>
      </c>
      <c r="B791">
        <v>100665</v>
      </c>
      <c r="C791" t="s">
        <v>19</v>
      </c>
      <c r="D791" s="1">
        <v>45880</v>
      </c>
      <c r="E791" t="s">
        <v>680</v>
      </c>
      <c r="F791" t="s">
        <v>3214</v>
      </c>
      <c r="G791" t="s">
        <v>22</v>
      </c>
      <c r="H791" t="s">
        <v>3215</v>
      </c>
      <c r="I791" t="s">
        <v>3216</v>
      </c>
      <c r="J791" s="2">
        <v>46053.586206409644</v>
      </c>
    </row>
    <row r="792" spans="1:10" x14ac:dyDescent="0.55000000000000004">
      <c r="A792" t="s">
        <v>3217</v>
      </c>
      <c r="B792">
        <v>101111</v>
      </c>
      <c r="C792" t="s">
        <v>19</v>
      </c>
      <c r="D792" s="1">
        <v>45752</v>
      </c>
      <c r="E792" t="s">
        <v>317</v>
      </c>
      <c r="F792" t="s">
        <v>3218</v>
      </c>
      <c r="G792" t="s">
        <v>15</v>
      </c>
      <c r="H792" t="s">
        <v>3219</v>
      </c>
      <c r="I792" t="s">
        <v>3220</v>
      </c>
      <c r="J792" s="2">
        <v>46078.711206414308</v>
      </c>
    </row>
    <row r="793" spans="1:10" x14ac:dyDescent="0.55000000000000004">
      <c r="A793" t="s">
        <v>3221</v>
      </c>
      <c r="B793">
        <v>100358</v>
      </c>
      <c r="C793" t="s">
        <v>179</v>
      </c>
      <c r="D793" s="1">
        <v>46048</v>
      </c>
      <c r="E793" t="s">
        <v>69</v>
      </c>
      <c r="F793" t="s">
        <v>3222</v>
      </c>
      <c r="G793" t="s">
        <v>22</v>
      </c>
      <c r="H793" t="s">
        <v>3223</v>
      </c>
      <c r="I793" t="s">
        <v>3224</v>
      </c>
      <c r="J793" s="2">
        <v>46092.282039752492</v>
      </c>
    </row>
    <row r="794" spans="1:10" x14ac:dyDescent="0.55000000000000004">
      <c r="A794" t="s">
        <v>3225</v>
      </c>
      <c r="B794">
        <v>100053</v>
      </c>
      <c r="C794" t="s">
        <v>12</v>
      </c>
      <c r="D794" s="1">
        <v>46043</v>
      </c>
      <c r="E794" t="s">
        <v>587</v>
      </c>
      <c r="F794" t="s">
        <v>3226</v>
      </c>
      <c r="G794" t="s">
        <v>22</v>
      </c>
      <c r="H794" t="s">
        <v>3227</v>
      </c>
      <c r="I794" t="s">
        <v>3228</v>
      </c>
      <c r="J794" s="2">
        <v>46085.713984201757</v>
      </c>
    </row>
    <row r="795" spans="1:10" x14ac:dyDescent="0.55000000000000004">
      <c r="A795" t="s">
        <v>3229</v>
      </c>
      <c r="B795">
        <v>101407</v>
      </c>
      <c r="C795" t="s">
        <v>131</v>
      </c>
      <c r="D795" s="1">
        <v>46007</v>
      </c>
      <c r="E795" t="s">
        <v>141</v>
      </c>
      <c r="F795" t="s">
        <v>3230</v>
      </c>
      <c r="G795" t="s">
        <v>22</v>
      </c>
      <c r="H795" t="s">
        <v>3231</v>
      </c>
      <c r="I795" t="s">
        <v>3232</v>
      </c>
      <c r="J795" s="2">
        <v>46085.048706428053</v>
      </c>
    </row>
    <row r="796" spans="1:10" x14ac:dyDescent="0.55000000000000004">
      <c r="A796" t="s">
        <v>3233</v>
      </c>
      <c r="B796">
        <v>100767</v>
      </c>
      <c r="C796" t="s">
        <v>169</v>
      </c>
      <c r="D796" s="1">
        <v>46040</v>
      </c>
      <c r="E796" t="s">
        <v>343</v>
      </c>
      <c r="F796" t="s">
        <v>3234</v>
      </c>
      <c r="G796" t="s">
        <v>22</v>
      </c>
      <c r="H796" t="s">
        <v>3235</v>
      </c>
      <c r="I796" t="s">
        <v>3236</v>
      </c>
      <c r="J796" s="2">
        <v>46088.138289766131</v>
      </c>
    </row>
    <row r="797" spans="1:10" x14ac:dyDescent="0.55000000000000004">
      <c r="A797" t="s">
        <v>3237</v>
      </c>
      <c r="B797">
        <v>101146</v>
      </c>
      <c r="C797" t="s">
        <v>63</v>
      </c>
      <c r="D797" s="1">
        <v>45929</v>
      </c>
      <c r="E797" t="s">
        <v>295</v>
      </c>
      <c r="F797" t="s">
        <v>3238</v>
      </c>
      <c r="G797" t="s">
        <v>22</v>
      </c>
      <c r="H797" t="s">
        <v>3239</v>
      </c>
      <c r="I797" t="s">
        <v>3240</v>
      </c>
      <c r="J797" s="2">
        <v>46075.308428659737</v>
      </c>
    </row>
    <row r="798" spans="1:10" x14ac:dyDescent="0.55000000000000004">
      <c r="A798" t="s">
        <v>3241</v>
      </c>
      <c r="B798">
        <v>101185</v>
      </c>
      <c r="C798" t="s">
        <v>88</v>
      </c>
      <c r="D798" s="1">
        <v>46019</v>
      </c>
      <c r="E798" t="s">
        <v>115</v>
      </c>
      <c r="F798" t="s">
        <v>3242</v>
      </c>
      <c r="G798" t="s">
        <v>22</v>
      </c>
      <c r="H798" t="s">
        <v>3243</v>
      </c>
      <c r="I798" t="s">
        <v>3244</v>
      </c>
      <c r="J798" s="2">
        <v>46071.116761997313</v>
      </c>
    </row>
    <row r="799" spans="1:10" x14ac:dyDescent="0.55000000000000004">
      <c r="A799" t="s">
        <v>3245</v>
      </c>
      <c r="B799">
        <v>100083</v>
      </c>
      <c r="C799" t="s">
        <v>68</v>
      </c>
      <c r="D799" s="1">
        <v>45815</v>
      </c>
      <c r="E799" t="s">
        <v>680</v>
      </c>
      <c r="F799" t="s">
        <v>3246</v>
      </c>
      <c r="G799" t="s">
        <v>15</v>
      </c>
      <c r="H799" t="s">
        <v>3247</v>
      </c>
      <c r="I799" t="s">
        <v>3248</v>
      </c>
      <c r="J799" s="2">
        <v>46088.450789779847</v>
      </c>
    </row>
    <row r="800" spans="1:10" x14ac:dyDescent="0.55000000000000004">
      <c r="A800" t="s">
        <v>3249</v>
      </c>
      <c r="B800">
        <v>100258</v>
      </c>
      <c r="C800" t="s">
        <v>68</v>
      </c>
      <c r="D800" s="1">
        <v>45975</v>
      </c>
      <c r="E800" t="s">
        <v>83</v>
      </c>
      <c r="F800" t="s">
        <v>3250</v>
      </c>
      <c r="G800" t="s">
        <v>15</v>
      </c>
      <c r="H800" t="s">
        <v>3251</v>
      </c>
      <c r="I800" t="s">
        <v>3252</v>
      </c>
      <c r="J800" s="2">
        <v>46097.163984230567</v>
      </c>
    </row>
    <row r="801" spans="1:11" x14ac:dyDescent="0.55000000000000004">
      <c r="A801" t="s">
        <v>3253</v>
      </c>
      <c r="B801">
        <v>101131</v>
      </c>
      <c r="C801" t="s">
        <v>32</v>
      </c>
      <c r="D801" s="1">
        <v>45944</v>
      </c>
      <c r="E801" t="s">
        <v>38</v>
      </c>
      <c r="F801" t="s">
        <v>3254</v>
      </c>
      <c r="G801" t="s">
        <v>22</v>
      </c>
      <c r="H801" t="s">
        <v>3255</v>
      </c>
      <c r="I801" t="s">
        <v>3256</v>
      </c>
      <c r="J801" s="2">
        <v>46051.938289790778</v>
      </c>
    </row>
    <row r="802" spans="1:11" x14ac:dyDescent="0.55000000000000004">
      <c r="A802" t="s">
        <v>3257</v>
      </c>
      <c r="B802">
        <v>100770</v>
      </c>
      <c r="C802" t="s">
        <v>114</v>
      </c>
      <c r="D802" s="1">
        <v>45834</v>
      </c>
      <c r="E802" t="s">
        <v>69</v>
      </c>
      <c r="F802" t="s">
        <v>3258</v>
      </c>
      <c r="G802" t="s">
        <v>22</v>
      </c>
      <c r="H802" t="s">
        <v>3259</v>
      </c>
      <c r="I802" t="s">
        <v>3260</v>
      </c>
      <c r="J802" s="2">
        <v>46062.048706462287</v>
      </c>
    </row>
    <row r="803" spans="1:11" x14ac:dyDescent="0.55000000000000004">
      <c r="A803" t="s">
        <v>3261</v>
      </c>
      <c r="B803">
        <v>100284</v>
      </c>
      <c r="C803" t="s">
        <v>12</v>
      </c>
      <c r="D803" s="1">
        <v>46153</v>
      </c>
      <c r="E803" t="s">
        <v>467</v>
      </c>
      <c r="F803" t="s">
        <v>3262</v>
      </c>
      <c r="G803" t="s">
        <v>22</v>
      </c>
      <c r="H803" t="s">
        <v>3263</v>
      </c>
      <c r="I803" t="s">
        <v>3264</v>
      </c>
      <c r="J803" s="2">
        <v>46062.086900913317</v>
      </c>
    </row>
    <row r="804" spans="1:11" x14ac:dyDescent="0.55000000000000004">
      <c r="A804" t="s">
        <v>3265</v>
      </c>
      <c r="B804">
        <v>100809</v>
      </c>
      <c r="C804" t="s">
        <v>194</v>
      </c>
      <c r="D804" s="1">
        <v>45745</v>
      </c>
      <c r="E804" t="s">
        <v>115</v>
      </c>
      <c r="F804" t="s">
        <v>3266</v>
      </c>
      <c r="G804" t="s">
        <v>22</v>
      </c>
      <c r="H804" t="s">
        <v>3267</v>
      </c>
      <c r="I804" t="s">
        <v>3268</v>
      </c>
      <c r="J804" s="2">
        <v>46077.835512031299</v>
      </c>
    </row>
    <row r="805" spans="1:11" x14ac:dyDescent="0.55000000000000004">
      <c r="A805" t="s">
        <v>3269</v>
      </c>
      <c r="B805">
        <v>100779</v>
      </c>
      <c r="C805" t="s">
        <v>19</v>
      </c>
      <c r="D805" s="1">
        <v>45795</v>
      </c>
      <c r="E805" t="s">
        <v>300</v>
      </c>
      <c r="F805" t="s">
        <v>3270</v>
      </c>
      <c r="G805" t="s">
        <v>15</v>
      </c>
      <c r="H805" t="s">
        <v>3271</v>
      </c>
      <c r="I805" t="s">
        <v>3272</v>
      </c>
      <c r="J805" s="2">
        <v>46065.768150924952</v>
      </c>
    </row>
    <row r="806" spans="1:11" x14ac:dyDescent="0.55000000000000004">
      <c r="A806" t="s">
        <v>3273</v>
      </c>
      <c r="B806">
        <v>100345</v>
      </c>
      <c r="C806" t="s">
        <v>194</v>
      </c>
      <c r="D806" s="1">
        <v>45746</v>
      </c>
      <c r="E806" t="s">
        <v>20</v>
      </c>
      <c r="F806" t="s">
        <v>3274</v>
      </c>
      <c r="G806" t="s">
        <v>22</v>
      </c>
      <c r="H806" t="s">
        <v>3275</v>
      </c>
      <c r="I806" t="s">
        <v>3276</v>
      </c>
      <c r="J806" s="2">
        <v>46092.894539818299</v>
      </c>
    </row>
    <row r="807" spans="1:11" x14ac:dyDescent="0.55000000000000004">
      <c r="A807" t="s">
        <v>3277</v>
      </c>
      <c r="B807">
        <v>101410</v>
      </c>
      <c r="C807" t="s">
        <v>63</v>
      </c>
      <c r="D807" s="1">
        <v>46029</v>
      </c>
      <c r="E807" t="s">
        <v>89</v>
      </c>
      <c r="F807" t="s">
        <v>3278</v>
      </c>
      <c r="G807" t="s">
        <v>22</v>
      </c>
      <c r="H807" t="s">
        <v>3279</v>
      </c>
      <c r="I807" t="s">
        <v>3280</v>
      </c>
      <c r="J807" s="2">
        <v>46056.770928712023</v>
      </c>
    </row>
    <row r="808" spans="1:11" x14ac:dyDescent="0.55000000000000004">
      <c r="A808" t="s">
        <v>3281</v>
      </c>
      <c r="B808">
        <v>100465</v>
      </c>
      <c r="D808" s="1">
        <v>46087</v>
      </c>
      <c r="E808" t="s">
        <v>20</v>
      </c>
      <c r="F808" t="s">
        <v>3282</v>
      </c>
      <c r="G808" t="s">
        <v>15</v>
      </c>
      <c r="H808" t="s">
        <v>3283</v>
      </c>
      <c r="I808" t="s">
        <v>3284</v>
      </c>
      <c r="J808" s="2">
        <v>46081.514678716863</v>
      </c>
      <c r="K808" t="s">
        <v>217</v>
      </c>
    </row>
    <row r="809" spans="1:11" x14ac:dyDescent="0.55000000000000004">
      <c r="A809" t="s">
        <v>3285</v>
      </c>
      <c r="B809">
        <v>100216</v>
      </c>
      <c r="C809" t="s">
        <v>26</v>
      </c>
      <c r="D809" s="1">
        <v>45761</v>
      </c>
      <c r="E809" t="s">
        <v>20</v>
      </c>
      <c r="F809" t="s">
        <v>3286</v>
      </c>
      <c r="G809" t="s">
        <v>22</v>
      </c>
      <c r="H809" t="s">
        <v>3287</v>
      </c>
      <c r="I809" t="s">
        <v>3288</v>
      </c>
      <c r="J809" s="2">
        <v>46053.553567610848</v>
      </c>
    </row>
    <row r="810" spans="1:11" x14ac:dyDescent="0.55000000000000004">
      <c r="A810" t="s">
        <v>3289</v>
      </c>
      <c r="B810">
        <v>100335</v>
      </c>
      <c r="C810" t="s">
        <v>63</v>
      </c>
      <c r="D810" s="1">
        <v>45815</v>
      </c>
      <c r="E810" t="s">
        <v>20</v>
      </c>
      <c r="F810" t="s">
        <v>3290</v>
      </c>
      <c r="G810" t="s">
        <v>22</v>
      </c>
      <c r="H810" t="s">
        <v>1680</v>
      </c>
      <c r="I810" t="s">
        <v>3291</v>
      </c>
      <c r="J810" s="2">
        <v>46070.841067616449</v>
      </c>
    </row>
    <row r="811" spans="1:11" x14ac:dyDescent="0.55000000000000004">
      <c r="A811" t="s">
        <v>3292</v>
      </c>
      <c r="B811">
        <v>101469</v>
      </c>
      <c r="C811" t="s">
        <v>63</v>
      </c>
      <c r="D811" s="1">
        <v>45756</v>
      </c>
      <c r="E811" t="s">
        <v>467</v>
      </c>
      <c r="F811" t="s">
        <v>3293</v>
      </c>
      <c r="G811" t="s">
        <v>15</v>
      </c>
      <c r="H811" t="s">
        <v>3294</v>
      </c>
      <c r="I811" t="s">
        <v>3295</v>
      </c>
      <c r="J811" s="2">
        <v>46065.47092873435</v>
      </c>
    </row>
    <row r="812" spans="1:11" x14ac:dyDescent="0.55000000000000004">
      <c r="A812" t="s">
        <v>3296</v>
      </c>
      <c r="B812">
        <v>100266</v>
      </c>
      <c r="C812" t="s">
        <v>48</v>
      </c>
      <c r="D812" s="1">
        <v>46123</v>
      </c>
      <c r="E812" t="s">
        <v>38</v>
      </c>
      <c r="F812" t="s">
        <v>3297</v>
      </c>
      <c r="G812" t="s">
        <v>15</v>
      </c>
      <c r="H812" t="s">
        <v>3298</v>
      </c>
      <c r="I812" t="s">
        <v>3299</v>
      </c>
      <c r="J812" s="2">
        <v>46063.287595406327</v>
      </c>
    </row>
    <row r="813" spans="1:11" x14ac:dyDescent="0.55000000000000004">
      <c r="A813" t="s">
        <v>3300</v>
      </c>
      <c r="B813">
        <v>101439</v>
      </c>
      <c r="C813" t="s">
        <v>169</v>
      </c>
      <c r="D813" s="1">
        <v>46155</v>
      </c>
      <c r="E813" t="s">
        <v>126</v>
      </c>
      <c r="F813" t="s">
        <v>3301</v>
      </c>
      <c r="G813" t="s">
        <v>15</v>
      </c>
      <c r="H813" t="s">
        <v>3302</v>
      </c>
      <c r="I813" t="s">
        <v>3303</v>
      </c>
      <c r="J813" s="2">
        <v>46062.921623188573</v>
      </c>
    </row>
    <row r="814" spans="1:11" x14ac:dyDescent="0.55000000000000004">
      <c r="A814" t="s">
        <v>3304</v>
      </c>
      <c r="B814">
        <v>101369</v>
      </c>
      <c r="C814" t="s">
        <v>63</v>
      </c>
      <c r="D814" s="1">
        <v>46153</v>
      </c>
      <c r="E814" t="s">
        <v>155</v>
      </c>
      <c r="F814" t="s">
        <v>3305</v>
      </c>
      <c r="G814" t="s">
        <v>15</v>
      </c>
      <c r="H814" t="s">
        <v>3306</v>
      </c>
      <c r="I814" t="s">
        <v>3307</v>
      </c>
      <c r="J814" s="2">
        <v>46064.345928749113</v>
      </c>
    </row>
    <row r="815" spans="1:11" x14ac:dyDescent="0.55000000000000004">
      <c r="A815" t="s">
        <v>3308</v>
      </c>
      <c r="B815">
        <v>100472</v>
      </c>
      <c r="C815" t="s">
        <v>63</v>
      </c>
      <c r="D815" s="1">
        <v>46130</v>
      </c>
      <c r="E815" t="s">
        <v>58</v>
      </c>
      <c r="F815" t="s">
        <v>3309</v>
      </c>
      <c r="G815" t="s">
        <v>15</v>
      </c>
      <c r="H815" t="s">
        <v>3310</v>
      </c>
      <c r="I815" t="s">
        <v>3311</v>
      </c>
      <c r="J815" s="2">
        <v>46091.436206532242</v>
      </c>
    </row>
    <row r="816" spans="1:11" x14ac:dyDescent="0.55000000000000004">
      <c r="A816" t="s">
        <v>3312</v>
      </c>
      <c r="B816">
        <v>101275</v>
      </c>
      <c r="C816" t="s">
        <v>114</v>
      </c>
      <c r="D816" s="1">
        <v>45989</v>
      </c>
      <c r="E816" t="s">
        <v>115</v>
      </c>
      <c r="F816" t="s">
        <v>3313</v>
      </c>
      <c r="G816" t="s">
        <v>15</v>
      </c>
      <c r="H816" t="s">
        <v>3314</v>
      </c>
      <c r="I816" t="s">
        <v>3315</v>
      </c>
      <c r="J816" s="2">
        <v>46071.091067647452</v>
      </c>
    </row>
    <row r="817" spans="1:10" x14ac:dyDescent="0.55000000000000004">
      <c r="A817" t="s">
        <v>3316</v>
      </c>
      <c r="B817">
        <v>101267</v>
      </c>
      <c r="C817" t="s">
        <v>131</v>
      </c>
      <c r="D817" s="1">
        <v>45791</v>
      </c>
      <c r="E817" t="s">
        <v>155</v>
      </c>
      <c r="F817" t="s">
        <v>3317</v>
      </c>
      <c r="G817" t="s">
        <v>22</v>
      </c>
      <c r="H817" t="s">
        <v>3318</v>
      </c>
      <c r="I817" t="s">
        <v>3319</v>
      </c>
      <c r="J817" s="2">
        <v>46075.302873208457</v>
      </c>
    </row>
    <row r="818" spans="1:10" x14ac:dyDescent="0.55000000000000004">
      <c r="A818" t="s">
        <v>3320</v>
      </c>
      <c r="B818">
        <v>100658</v>
      </c>
      <c r="C818" t="s">
        <v>63</v>
      </c>
      <c r="D818" s="1">
        <v>45803</v>
      </c>
      <c r="E818" t="s">
        <v>27</v>
      </c>
      <c r="F818" t="s">
        <v>3321</v>
      </c>
      <c r="G818" t="s">
        <v>22</v>
      </c>
      <c r="H818" t="s">
        <v>3322</v>
      </c>
      <c r="I818" t="s">
        <v>3323</v>
      </c>
      <c r="J818" s="2">
        <v>46086.313289879967</v>
      </c>
    </row>
    <row r="819" spans="1:10" x14ac:dyDescent="0.55000000000000004">
      <c r="A819" t="s">
        <v>3324</v>
      </c>
      <c r="B819">
        <v>101380</v>
      </c>
      <c r="C819" t="s">
        <v>37</v>
      </c>
      <c r="D819" s="1">
        <v>46113</v>
      </c>
      <c r="E819" t="s">
        <v>115</v>
      </c>
      <c r="F819" t="s">
        <v>3325</v>
      </c>
      <c r="G819" t="s">
        <v>15</v>
      </c>
      <c r="H819" t="s">
        <v>3326</v>
      </c>
      <c r="I819" t="s">
        <v>3327</v>
      </c>
      <c r="J819" s="2">
        <v>46053.543845441047</v>
      </c>
    </row>
    <row r="820" spans="1:10" x14ac:dyDescent="0.55000000000000004">
      <c r="A820" t="s">
        <v>3328</v>
      </c>
      <c r="B820">
        <v>101449</v>
      </c>
      <c r="C820" t="s">
        <v>194</v>
      </c>
      <c r="D820" s="1">
        <v>45889</v>
      </c>
      <c r="E820" t="s">
        <v>115</v>
      </c>
      <c r="F820" t="s">
        <v>3329</v>
      </c>
      <c r="G820" t="s">
        <v>15</v>
      </c>
      <c r="H820" t="s">
        <v>3330</v>
      </c>
      <c r="I820" t="s">
        <v>3331</v>
      </c>
      <c r="J820" s="2">
        <v>46092.141762114632</v>
      </c>
    </row>
    <row r="821" spans="1:10" x14ac:dyDescent="0.55000000000000004">
      <c r="A821" t="s">
        <v>3332</v>
      </c>
      <c r="B821">
        <v>101060</v>
      </c>
      <c r="C821" t="s">
        <v>533</v>
      </c>
      <c r="D821" s="1">
        <v>45771</v>
      </c>
      <c r="E821" t="s">
        <v>69</v>
      </c>
      <c r="F821" t="s">
        <v>3333</v>
      </c>
      <c r="G821" t="s">
        <v>22</v>
      </c>
      <c r="H821" t="s">
        <v>3334</v>
      </c>
      <c r="I821" t="s">
        <v>3335</v>
      </c>
      <c r="J821" s="2">
        <v>46095.466762122524</v>
      </c>
    </row>
    <row r="822" spans="1:10" x14ac:dyDescent="0.55000000000000004">
      <c r="A822" t="s">
        <v>3336</v>
      </c>
      <c r="B822">
        <v>101132</v>
      </c>
      <c r="C822" t="s">
        <v>533</v>
      </c>
      <c r="D822" s="1">
        <v>45748</v>
      </c>
      <c r="E822" t="s">
        <v>184</v>
      </c>
      <c r="F822" t="s">
        <v>3337</v>
      </c>
      <c r="G822" t="s">
        <v>22</v>
      </c>
      <c r="H822" t="s">
        <v>3338</v>
      </c>
      <c r="I822" t="s">
        <v>3339</v>
      </c>
      <c r="J822" s="2">
        <v>46090.386206573959</v>
      </c>
    </row>
    <row r="823" spans="1:10" x14ac:dyDescent="0.55000000000000004">
      <c r="A823" t="s">
        <v>3340</v>
      </c>
      <c r="B823">
        <v>100606</v>
      </c>
      <c r="C823" t="s">
        <v>12</v>
      </c>
      <c r="D823" s="1">
        <v>45765</v>
      </c>
      <c r="E823" t="s">
        <v>141</v>
      </c>
      <c r="F823" t="s">
        <v>3341</v>
      </c>
      <c r="G823" t="s">
        <v>15</v>
      </c>
      <c r="H823" t="s">
        <v>3342</v>
      </c>
      <c r="I823" t="s">
        <v>3343</v>
      </c>
      <c r="J823" s="2">
        <v>46089.890373245908</v>
      </c>
    </row>
    <row r="824" spans="1:10" x14ac:dyDescent="0.55000000000000004">
      <c r="A824" t="s">
        <v>3344</v>
      </c>
      <c r="B824">
        <v>101190</v>
      </c>
      <c r="C824" t="s">
        <v>248</v>
      </c>
      <c r="D824" s="1">
        <v>46032</v>
      </c>
      <c r="E824" t="s">
        <v>115</v>
      </c>
      <c r="F824" t="s">
        <v>3345</v>
      </c>
      <c r="G824" t="s">
        <v>22</v>
      </c>
      <c r="H824" t="s">
        <v>3346</v>
      </c>
      <c r="I824" t="s">
        <v>3347</v>
      </c>
      <c r="J824" s="2">
        <v>46096.617456584041</v>
      </c>
    </row>
    <row r="825" spans="1:10" x14ac:dyDescent="0.55000000000000004">
      <c r="A825" t="s">
        <v>3348</v>
      </c>
      <c r="B825">
        <v>100027</v>
      </c>
      <c r="C825" t="s">
        <v>114</v>
      </c>
      <c r="D825" s="1">
        <v>46114</v>
      </c>
      <c r="E825" t="s">
        <v>467</v>
      </c>
      <c r="F825" t="s">
        <v>3349</v>
      </c>
      <c r="G825" t="s">
        <v>22</v>
      </c>
      <c r="H825" t="s">
        <v>3350</v>
      </c>
      <c r="I825" t="s">
        <v>3351</v>
      </c>
      <c r="J825" s="2">
        <v>46087.034123255187</v>
      </c>
    </row>
    <row r="826" spans="1:10" x14ac:dyDescent="0.55000000000000004">
      <c r="A826" t="s">
        <v>3352</v>
      </c>
      <c r="B826">
        <v>101144</v>
      </c>
      <c r="C826" t="s">
        <v>99</v>
      </c>
      <c r="D826" s="1">
        <v>45855</v>
      </c>
      <c r="E826" t="s">
        <v>184</v>
      </c>
      <c r="F826" t="s">
        <v>3353</v>
      </c>
      <c r="G826" t="s">
        <v>15</v>
      </c>
      <c r="H826" t="s">
        <v>3354</v>
      </c>
      <c r="I826" t="s">
        <v>3355</v>
      </c>
      <c r="J826" s="2">
        <v>46064.437595483381</v>
      </c>
    </row>
    <row r="827" spans="1:10" x14ac:dyDescent="0.55000000000000004">
      <c r="A827" t="s">
        <v>3356</v>
      </c>
      <c r="B827">
        <v>100637</v>
      </c>
      <c r="C827" t="s">
        <v>248</v>
      </c>
      <c r="D827" s="1">
        <v>45876</v>
      </c>
      <c r="E827" t="s">
        <v>38</v>
      </c>
      <c r="F827" t="s">
        <v>3357</v>
      </c>
      <c r="G827" t="s">
        <v>15</v>
      </c>
      <c r="H827" t="s">
        <v>3358</v>
      </c>
      <c r="I827" t="s">
        <v>3359</v>
      </c>
      <c r="J827" s="2">
        <v>46091.441762154827</v>
      </c>
    </row>
    <row r="828" spans="1:10" x14ac:dyDescent="0.55000000000000004">
      <c r="A828" t="s">
        <v>3360</v>
      </c>
      <c r="B828">
        <v>101361</v>
      </c>
      <c r="C828" t="s">
        <v>82</v>
      </c>
      <c r="D828" s="1">
        <v>46094</v>
      </c>
      <c r="E828" t="s">
        <v>467</v>
      </c>
      <c r="F828" t="s">
        <v>3361</v>
      </c>
      <c r="G828" t="s">
        <v>15</v>
      </c>
      <c r="H828" t="s">
        <v>3362</v>
      </c>
      <c r="I828" t="s">
        <v>3363</v>
      </c>
      <c r="J828" s="2">
        <v>46068.788289937373</v>
      </c>
    </row>
    <row r="829" spans="1:10" x14ac:dyDescent="0.55000000000000004">
      <c r="A829" t="s">
        <v>3364</v>
      </c>
      <c r="B829">
        <v>100478</v>
      </c>
      <c r="C829" t="s">
        <v>533</v>
      </c>
      <c r="D829" s="1">
        <v>45824</v>
      </c>
      <c r="E829" t="s">
        <v>757</v>
      </c>
      <c r="F829" t="s">
        <v>3365</v>
      </c>
      <c r="G829" t="s">
        <v>15</v>
      </c>
      <c r="H829" t="s">
        <v>3366</v>
      </c>
      <c r="I829" t="s">
        <v>3367</v>
      </c>
      <c r="J829" s="2">
        <v>46065.422317720971</v>
      </c>
    </row>
    <row r="830" spans="1:10" x14ac:dyDescent="0.55000000000000004">
      <c r="A830" t="s">
        <v>3368</v>
      </c>
      <c r="B830">
        <v>100169</v>
      </c>
      <c r="C830" t="s">
        <v>94</v>
      </c>
      <c r="D830" s="1">
        <v>45789</v>
      </c>
      <c r="E830" t="s">
        <v>334</v>
      </c>
      <c r="F830" t="s">
        <v>3369</v>
      </c>
      <c r="G830" t="s">
        <v>15</v>
      </c>
      <c r="H830" t="s">
        <v>3370</v>
      </c>
      <c r="I830" t="s">
        <v>3371</v>
      </c>
      <c r="J830" s="2">
        <v>46064.552873281958</v>
      </c>
    </row>
    <row r="831" spans="1:10" x14ac:dyDescent="0.55000000000000004">
      <c r="A831" t="s">
        <v>3372</v>
      </c>
      <c r="B831">
        <v>101374</v>
      </c>
      <c r="C831" t="s">
        <v>19</v>
      </c>
      <c r="D831" s="1">
        <v>46122</v>
      </c>
      <c r="E831" t="s">
        <v>49</v>
      </c>
      <c r="F831" t="s">
        <v>3373</v>
      </c>
      <c r="G831" t="s">
        <v>15</v>
      </c>
      <c r="H831" t="s">
        <v>3374</v>
      </c>
      <c r="I831" t="s">
        <v>3375</v>
      </c>
      <c r="J831" s="2">
        <v>46092.279956620558</v>
      </c>
    </row>
    <row r="832" spans="1:10" x14ac:dyDescent="0.55000000000000004">
      <c r="A832" t="s">
        <v>3376</v>
      </c>
      <c r="B832">
        <v>100414</v>
      </c>
      <c r="C832" t="s">
        <v>19</v>
      </c>
      <c r="D832" s="1">
        <v>45791</v>
      </c>
      <c r="E832" t="s">
        <v>58</v>
      </c>
      <c r="F832" t="s">
        <v>3377</v>
      </c>
      <c r="G832" t="s">
        <v>22</v>
      </c>
      <c r="H832" t="s">
        <v>3378</v>
      </c>
      <c r="I832" t="s">
        <v>3379</v>
      </c>
      <c r="J832" s="2">
        <v>46054.11467884772</v>
      </c>
    </row>
    <row r="833" spans="1:11" x14ac:dyDescent="0.55000000000000004">
      <c r="A833" t="s">
        <v>3380</v>
      </c>
      <c r="B833">
        <v>101295</v>
      </c>
      <c r="C833" t="s">
        <v>194</v>
      </c>
      <c r="D833" s="1">
        <v>46015</v>
      </c>
      <c r="E833" t="s">
        <v>58</v>
      </c>
      <c r="F833" t="s">
        <v>3381</v>
      </c>
      <c r="G833" t="s">
        <v>15</v>
      </c>
      <c r="H833" t="s">
        <v>3382</v>
      </c>
      <c r="I833" t="s">
        <v>3383</v>
      </c>
      <c r="J833" s="2">
        <v>46093.069539962962</v>
      </c>
    </row>
    <row r="834" spans="1:11" x14ac:dyDescent="0.55000000000000004">
      <c r="A834" t="s">
        <v>3384</v>
      </c>
      <c r="B834">
        <v>100695</v>
      </c>
      <c r="C834" t="s">
        <v>63</v>
      </c>
      <c r="D834" s="1">
        <v>45823</v>
      </c>
      <c r="E834" t="s">
        <v>317</v>
      </c>
      <c r="F834" t="s">
        <v>3385</v>
      </c>
      <c r="G834" t="s">
        <v>22</v>
      </c>
      <c r="H834" t="s">
        <v>3386</v>
      </c>
      <c r="I834" t="s">
        <v>3387</v>
      </c>
      <c r="J834" s="2">
        <v>46054.596623301142</v>
      </c>
    </row>
    <row r="835" spans="1:11" x14ac:dyDescent="0.55000000000000004">
      <c r="A835" t="s">
        <v>3388</v>
      </c>
      <c r="B835">
        <v>100684</v>
      </c>
      <c r="C835" t="s">
        <v>179</v>
      </c>
      <c r="D835" s="1">
        <v>45956</v>
      </c>
      <c r="E835" t="s">
        <v>184</v>
      </c>
      <c r="F835" t="s">
        <v>3389</v>
      </c>
      <c r="G835" t="s">
        <v>15</v>
      </c>
      <c r="H835" t="s">
        <v>3390</v>
      </c>
      <c r="I835" t="s">
        <v>3391</v>
      </c>
      <c r="J835" s="2">
        <v>46072.176484416967</v>
      </c>
    </row>
    <row r="836" spans="1:11" x14ac:dyDescent="0.55000000000000004">
      <c r="A836" t="s">
        <v>3392</v>
      </c>
      <c r="B836">
        <v>100344</v>
      </c>
      <c r="C836" t="s">
        <v>26</v>
      </c>
      <c r="D836" s="1">
        <v>45784</v>
      </c>
      <c r="E836" t="s">
        <v>199</v>
      </c>
      <c r="F836" t="s">
        <v>3393</v>
      </c>
      <c r="G836" t="s">
        <v>15</v>
      </c>
      <c r="H836" t="s">
        <v>3394</v>
      </c>
      <c r="I836" t="s">
        <v>3395</v>
      </c>
      <c r="J836" s="2">
        <v>46076.461206646207</v>
      </c>
    </row>
    <row r="837" spans="1:11" x14ac:dyDescent="0.55000000000000004">
      <c r="A837" t="s">
        <v>3396</v>
      </c>
      <c r="B837">
        <v>100863</v>
      </c>
      <c r="C837" t="s">
        <v>99</v>
      </c>
      <c r="D837" s="1">
        <v>45938</v>
      </c>
      <c r="E837" t="s">
        <v>115</v>
      </c>
      <c r="F837" t="s">
        <v>3397</v>
      </c>
      <c r="G837" t="s">
        <v>22</v>
      </c>
      <c r="H837" t="s">
        <v>3398</v>
      </c>
      <c r="I837" t="s">
        <v>3399</v>
      </c>
      <c r="J837" s="2">
        <v>46066.350095544782</v>
      </c>
    </row>
    <row r="838" spans="1:11" x14ac:dyDescent="0.55000000000000004">
      <c r="A838" t="s">
        <v>3400</v>
      </c>
      <c r="C838" t="s">
        <v>26</v>
      </c>
      <c r="D838" s="1">
        <v>46035</v>
      </c>
      <c r="E838" t="s">
        <v>757</v>
      </c>
      <c r="F838" t="s">
        <v>3401</v>
      </c>
      <c r="G838" t="s">
        <v>22</v>
      </c>
      <c r="H838" t="s">
        <v>3402</v>
      </c>
      <c r="I838" t="s">
        <v>3403</v>
      </c>
      <c r="J838" s="2">
        <v>46066.798012219268</v>
      </c>
      <c r="K838" t="s">
        <v>112</v>
      </c>
    </row>
    <row r="839" spans="1:11" x14ac:dyDescent="0.55000000000000004">
      <c r="A839" t="s">
        <v>3404</v>
      </c>
      <c r="B839">
        <v>101261</v>
      </c>
      <c r="C839" t="s">
        <v>99</v>
      </c>
      <c r="D839" s="1">
        <v>45939</v>
      </c>
      <c r="E839" t="s">
        <v>467</v>
      </c>
      <c r="F839" t="s">
        <v>3405</v>
      </c>
      <c r="G839" t="s">
        <v>15</v>
      </c>
      <c r="H839" t="s">
        <v>3406</v>
      </c>
      <c r="I839" t="s">
        <v>3407</v>
      </c>
      <c r="J839" s="2">
        <v>46068.592456669467</v>
      </c>
    </row>
    <row r="840" spans="1:11" x14ac:dyDescent="0.55000000000000004">
      <c r="A840" t="s">
        <v>3408</v>
      </c>
      <c r="B840">
        <v>100446</v>
      </c>
      <c r="C840" t="s">
        <v>533</v>
      </c>
      <c r="D840" s="1">
        <v>45860</v>
      </c>
      <c r="E840" t="s">
        <v>418</v>
      </c>
      <c r="F840" t="s">
        <v>3409</v>
      </c>
      <c r="G840" t="s">
        <v>15</v>
      </c>
      <c r="H840" t="s">
        <v>3410</v>
      </c>
      <c r="I840" t="s">
        <v>3411</v>
      </c>
      <c r="J840" s="2">
        <v>46096.604956676347</v>
      </c>
    </row>
    <row r="841" spans="1:11" x14ac:dyDescent="0.55000000000000004">
      <c r="A841" t="s">
        <v>3412</v>
      </c>
      <c r="B841">
        <v>100279</v>
      </c>
      <c r="C841" t="s">
        <v>12</v>
      </c>
      <c r="D841" s="1">
        <v>46157</v>
      </c>
      <c r="E841" t="s">
        <v>69</v>
      </c>
      <c r="F841" t="s">
        <v>3413</v>
      </c>
      <c r="G841" t="s">
        <v>15</v>
      </c>
      <c r="H841" t="s">
        <v>3414</v>
      </c>
      <c r="I841" t="s">
        <v>3415</v>
      </c>
      <c r="J841" s="2">
        <v>46086.2021789028</v>
      </c>
    </row>
    <row r="842" spans="1:11" x14ac:dyDescent="0.55000000000000004">
      <c r="A842" t="s">
        <v>3416</v>
      </c>
      <c r="B842">
        <v>101075</v>
      </c>
      <c r="C842" t="s">
        <v>99</v>
      </c>
      <c r="D842" s="1">
        <v>46079</v>
      </c>
      <c r="E842" t="s">
        <v>356</v>
      </c>
      <c r="F842" t="s">
        <v>3417</v>
      </c>
      <c r="G842" t="s">
        <v>15</v>
      </c>
      <c r="H842" t="s">
        <v>3418</v>
      </c>
      <c r="I842" t="s">
        <v>3419</v>
      </c>
      <c r="J842" s="2">
        <v>46092.80634557375</v>
      </c>
    </row>
    <row r="843" spans="1:11" x14ac:dyDescent="0.55000000000000004">
      <c r="A843" t="s">
        <v>3420</v>
      </c>
      <c r="B843">
        <v>100499</v>
      </c>
      <c r="C843" t="s">
        <v>82</v>
      </c>
      <c r="D843" s="1">
        <v>46124</v>
      </c>
      <c r="E843" t="s">
        <v>418</v>
      </c>
      <c r="F843" t="s">
        <v>3421</v>
      </c>
      <c r="G843" t="s">
        <v>22</v>
      </c>
      <c r="H843" t="s">
        <v>3422</v>
      </c>
      <c r="I843" t="s">
        <v>3423</v>
      </c>
      <c r="J843" s="2">
        <v>46055.038290022683</v>
      </c>
    </row>
    <row r="844" spans="1:11" x14ac:dyDescent="0.55000000000000004">
      <c r="A844" t="s">
        <v>3424</v>
      </c>
      <c r="B844">
        <v>100225</v>
      </c>
      <c r="C844" t="s">
        <v>19</v>
      </c>
      <c r="D844" s="1">
        <v>45990</v>
      </c>
      <c r="E844" t="s">
        <v>467</v>
      </c>
      <c r="F844" t="s">
        <v>3425</v>
      </c>
      <c r="G844" t="s">
        <v>15</v>
      </c>
      <c r="H844" t="s">
        <v>3426</v>
      </c>
      <c r="I844" t="s">
        <v>3427</v>
      </c>
      <c r="J844" s="2">
        <v>46095.134123360433</v>
      </c>
    </row>
    <row r="845" spans="1:11" x14ac:dyDescent="0.55000000000000004">
      <c r="A845" t="s">
        <v>3428</v>
      </c>
      <c r="B845">
        <v>100617</v>
      </c>
      <c r="C845" t="s">
        <v>533</v>
      </c>
      <c r="D845" s="1">
        <v>45928</v>
      </c>
      <c r="E845" t="s">
        <v>58</v>
      </c>
      <c r="F845" t="s">
        <v>3429</v>
      </c>
      <c r="G845" t="s">
        <v>22</v>
      </c>
      <c r="H845" t="s">
        <v>3430</v>
      </c>
      <c r="I845" t="s">
        <v>3431</v>
      </c>
      <c r="J845" s="2">
        <v>46068.695234476218</v>
      </c>
    </row>
    <row r="846" spans="1:11" x14ac:dyDescent="0.55000000000000004">
      <c r="A846" t="s">
        <v>3432</v>
      </c>
      <c r="B846">
        <v>100819</v>
      </c>
      <c r="C846" t="s">
        <v>12</v>
      </c>
      <c r="D846" s="1">
        <v>45822</v>
      </c>
      <c r="E846" t="s">
        <v>562</v>
      </c>
      <c r="F846" t="s">
        <v>3433</v>
      </c>
      <c r="G846" t="s">
        <v>22</v>
      </c>
      <c r="H846" t="s">
        <v>3434</v>
      </c>
      <c r="I846" t="s">
        <v>3435</v>
      </c>
      <c r="J846" s="2">
        <v>46070.554956702603</v>
      </c>
    </row>
    <row r="847" spans="1:11" x14ac:dyDescent="0.55000000000000004">
      <c r="A847" t="s">
        <v>3436</v>
      </c>
      <c r="B847">
        <v>100559</v>
      </c>
      <c r="C847" t="s">
        <v>68</v>
      </c>
      <c r="D847" s="1">
        <v>46098</v>
      </c>
      <c r="E847" t="s">
        <v>334</v>
      </c>
      <c r="F847" t="s">
        <v>3437</v>
      </c>
      <c r="G847" t="s">
        <v>22</v>
      </c>
      <c r="H847" t="s">
        <v>3438</v>
      </c>
      <c r="I847" t="s">
        <v>3439</v>
      </c>
      <c r="J847" s="2">
        <v>46054.95842892948</v>
      </c>
    </row>
    <row r="848" spans="1:11" x14ac:dyDescent="0.55000000000000004">
      <c r="A848" t="s">
        <v>3440</v>
      </c>
      <c r="B848">
        <v>100752</v>
      </c>
      <c r="C848" t="s">
        <v>146</v>
      </c>
      <c r="D848" s="1">
        <v>46024</v>
      </c>
      <c r="E848" t="s">
        <v>89</v>
      </c>
      <c r="F848" t="s">
        <v>3441</v>
      </c>
      <c r="G848" t="s">
        <v>15</v>
      </c>
      <c r="H848" t="s">
        <v>3442</v>
      </c>
      <c r="I848" t="s">
        <v>3443</v>
      </c>
      <c r="J848" s="2">
        <v>46065.666762267458</v>
      </c>
    </row>
    <row r="849" spans="1:10" x14ac:dyDescent="0.55000000000000004">
      <c r="A849" t="s">
        <v>3444</v>
      </c>
      <c r="B849">
        <v>101329</v>
      </c>
      <c r="C849" t="s">
        <v>179</v>
      </c>
      <c r="D849" s="1">
        <v>45866</v>
      </c>
      <c r="E849" t="s">
        <v>89</v>
      </c>
      <c r="F849" t="s">
        <v>3445</v>
      </c>
      <c r="G849" t="s">
        <v>22</v>
      </c>
      <c r="H849" t="s">
        <v>3446</v>
      </c>
      <c r="I849" t="s">
        <v>3447</v>
      </c>
      <c r="J849" s="2">
        <v>46079.29037338325</v>
      </c>
    </row>
    <row r="850" spans="1:10" x14ac:dyDescent="0.55000000000000004">
      <c r="A850" t="s">
        <v>3448</v>
      </c>
      <c r="B850">
        <v>100551</v>
      </c>
      <c r="C850" t="s">
        <v>12</v>
      </c>
      <c r="D850" s="1">
        <v>45746</v>
      </c>
      <c r="E850" t="s">
        <v>199</v>
      </c>
      <c r="F850" t="s">
        <v>3449</v>
      </c>
      <c r="G850" t="s">
        <v>22</v>
      </c>
      <c r="H850" t="s">
        <v>3450</v>
      </c>
      <c r="I850" t="s">
        <v>3451</v>
      </c>
      <c r="J850" s="2">
        <v>46060.707734500887</v>
      </c>
    </row>
    <row r="851" spans="1:10" x14ac:dyDescent="0.55000000000000004">
      <c r="A851" t="s">
        <v>3452</v>
      </c>
      <c r="B851">
        <v>101421</v>
      </c>
      <c r="C851" t="s">
        <v>169</v>
      </c>
      <c r="D851" s="1">
        <v>45926</v>
      </c>
      <c r="E851" t="s">
        <v>69</v>
      </c>
      <c r="F851" t="s">
        <v>3453</v>
      </c>
      <c r="G851" t="s">
        <v>22</v>
      </c>
      <c r="H851" t="s">
        <v>3454</v>
      </c>
      <c r="I851" t="s">
        <v>3455</v>
      </c>
      <c r="J851" s="2">
        <v>46075.160512286471</v>
      </c>
    </row>
    <row r="852" spans="1:10" x14ac:dyDescent="0.55000000000000004">
      <c r="A852" t="s">
        <v>3456</v>
      </c>
      <c r="B852">
        <v>100399</v>
      </c>
      <c r="C852" t="s">
        <v>63</v>
      </c>
      <c r="D852" s="1">
        <v>45760</v>
      </c>
      <c r="E852" t="s">
        <v>587</v>
      </c>
      <c r="F852" t="s">
        <v>3457</v>
      </c>
      <c r="G852" t="s">
        <v>22</v>
      </c>
      <c r="H852" t="s">
        <v>3458</v>
      </c>
      <c r="I852" t="s">
        <v>3459</v>
      </c>
      <c r="J852" s="2">
        <v>46060.625790069083</v>
      </c>
    </row>
    <row r="853" spans="1:10" x14ac:dyDescent="0.55000000000000004">
      <c r="A853" t="s">
        <v>3460</v>
      </c>
      <c r="B853">
        <v>100771</v>
      </c>
      <c r="C853" t="s">
        <v>131</v>
      </c>
      <c r="D853" s="1">
        <v>45888</v>
      </c>
      <c r="E853" t="s">
        <v>20</v>
      </c>
      <c r="F853" t="s">
        <v>3461</v>
      </c>
      <c r="G853" t="s">
        <v>15</v>
      </c>
      <c r="H853" t="s">
        <v>3462</v>
      </c>
      <c r="I853" t="s">
        <v>3463</v>
      </c>
      <c r="J853" s="2">
        <v>46095.980651185819</v>
      </c>
    </row>
    <row r="854" spans="1:10" x14ac:dyDescent="0.55000000000000004">
      <c r="A854" t="s">
        <v>3464</v>
      </c>
      <c r="B854">
        <v>101109</v>
      </c>
      <c r="C854" t="s">
        <v>169</v>
      </c>
      <c r="D854" s="1">
        <v>45751</v>
      </c>
      <c r="E854" t="s">
        <v>757</v>
      </c>
      <c r="F854" t="s">
        <v>3465</v>
      </c>
      <c r="G854" t="s">
        <v>22</v>
      </c>
      <c r="H854" t="s">
        <v>3466</v>
      </c>
      <c r="I854" t="s">
        <v>3467</v>
      </c>
      <c r="J854" s="2">
        <v>46080.717456747232</v>
      </c>
    </row>
    <row r="855" spans="1:10" x14ac:dyDescent="0.55000000000000004">
      <c r="A855" t="s">
        <v>3468</v>
      </c>
      <c r="B855">
        <v>100360</v>
      </c>
      <c r="C855" t="s">
        <v>19</v>
      </c>
      <c r="D855" s="1">
        <v>46033</v>
      </c>
      <c r="E855" t="s">
        <v>20</v>
      </c>
      <c r="F855" t="s">
        <v>3469</v>
      </c>
      <c r="G855" t="s">
        <v>22</v>
      </c>
      <c r="H855" t="s">
        <v>3470</v>
      </c>
      <c r="I855" t="s">
        <v>3471</v>
      </c>
      <c r="J855" s="2">
        <v>46061.191067863278</v>
      </c>
    </row>
    <row r="856" spans="1:10" x14ac:dyDescent="0.55000000000000004">
      <c r="A856" t="s">
        <v>3472</v>
      </c>
      <c r="B856">
        <v>101390</v>
      </c>
      <c r="C856" t="s">
        <v>169</v>
      </c>
      <c r="D856" s="1">
        <v>46025</v>
      </c>
      <c r="E856" t="s">
        <v>69</v>
      </c>
      <c r="F856" t="s">
        <v>3473</v>
      </c>
      <c r="G856" t="s">
        <v>15</v>
      </c>
      <c r="H856" t="s">
        <v>3474</v>
      </c>
      <c r="I856" t="s">
        <v>3475</v>
      </c>
      <c r="J856" s="2">
        <v>46052.786206757613</v>
      </c>
    </row>
    <row r="857" spans="1:10" x14ac:dyDescent="0.55000000000000004">
      <c r="A857" t="s">
        <v>3476</v>
      </c>
      <c r="B857">
        <v>101171</v>
      </c>
      <c r="C857" t="s">
        <v>248</v>
      </c>
      <c r="D857" s="1">
        <v>45904</v>
      </c>
      <c r="E857" t="s">
        <v>467</v>
      </c>
      <c r="F857" t="s">
        <v>3477</v>
      </c>
      <c r="G857" t="s">
        <v>15</v>
      </c>
      <c r="H857" t="s">
        <v>3478</v>
      </c>
      <c r="I857" t="s">
        <v>3479</v>
      </c>
      <c r="J857" s="2">
        <v>46058.320234540079</v>
      </c>
    </row>
    <row r="858" spans="1:10" x14ac:dyDescent="0.55000000000000004">
      <c r="A858" t="s">
        <v>3480</v>
      </c>
      <c r="B858">
        <v>101045</v>
      </c>
      <c r="C858" t="s">
        <v>63</v>
      </c>
      <c r="D858" s="1">
        <v>45955</v>
      </c>
      <c r="E858" t="s">
        <v>69</v>
      </c>
      <c r="F858" t="s">
        <v>3481</v>
      </c>
      <c r="G858" t="s">
        <v>15</v>
      </c>
      <c r="H858" t="s">
        <v>3482</v>
      </c>
      <c r="I858" t="s">
        <v>3483</v>
      </c>
      <c r="J858" s="2">
        <v>46063.441762321912</v>
      </c>
    </row>
    <row r="859" spans="1:10" x14ac:dyDescent="0.55000000000000004">
      <c r="A859" t="s">
        <v>2841</v>
      </c>
      <c r="B859">
        <v>100962</v>
      </c>
      <c r="C859" t="s">
        <v>68</v>
      </c>
      <c r="D859" s="1">
        <v>45867</v>
      </c>
      <c r="E859" t="s">
        <v>20</v>
      </c>
      <c r="F859" t="s">
        <v>3484</v>
      </c>
      <c r="G859" t="s">
        <v>22</v>
      </c>
      <c r="H859" t="s">
        <v>3485</v>
      </c>
      <c r="I859" t="s">
        <v>3486</v>
      </c>
      <c r="J859" s="2">
        <v>46082.857734549099</v>
      </c>
    </row>
    <row r="860" spans="1:10" x14ac:dyDescent="0.55000000000000004">
      <c r="A860" t="s">
        <v>3487</v>
      </c>
      <c r="B860">
        <v>101302</v>
      </c>
      <c r="C860" t="s">
        <v>131</v>
      </c>
      <c r="D860" s="1">
        <v>46099</v>
      </c>
      <c r="E860" t="s">
        <v>343</v>
      </c>
      <c r="F860" t="s">
        <v>3488</v>
      </c>
      <c r="G860" t="s">
        <v>22</v>
      </c>
      <c r="H860" t="s">
        <v>3489</v>
      </c>
      <c r="I860" t="s">
        <v>3490</v>
      </c>
      <c r="J860" s="2">
        <v>46092.940373442907</v>
      </c>
    </row>
    <row r="861" spans="1:10" x14ac:dyDescent="0.55000000000000004">
      <c r="A861" t="s">
        <v>3491</v>
      </c>
      <c r="B861">
        <v>100020</v>
      </c>
      <c r="C861" t="s">
        <v>82</v>
      </c>
      <c r="D861" s="1">
        <v>45975</v>
      </c>
      <c r="E861" t="s">
        <v>356</v>
      </c>
      <c r="F861" t="s">
        <v>3492</v>
      </c>
      <c r="G861" t="s">
        <v>15</v>
      </c>
      <c r="H861" t="s">
        <v>3493</v>
      </c>
      <c r="I861" t="s">
        <v>3494</v>
      </c>
      <c r="J861" s="2">
        <v>46056.316762335693</v>
      </c>
    </row>
    <row r="862" spans="1:10" x14ac:dyDescent="0.55000000000000004">
      <c r="A862" t="s">
        <v>3495</v>
      </c>
      <c r="B862">
        <v>101386</v>
      </c>
      <c r="C862" t="s">
        <v>82</v>
      </c>
      <c r="D862" s="1">
        <v>46143</v>
      </c>
      <c r="E862" t="s">
        <v>89</v>
      </c>
      <c r="F862" t="s">
        <v>3496</v>
      </c>
      <c r="G862" t="s">
        <v>22</v>
      </c>
      <c r="H862" t="s">
        <v>3497</v>
      </c>
      <c r="I862" t="s">
        <v>3498</v>
      </c>
      <c r="J862" s="2">
        <v>46085.157040117629</v>
      </c>
    </row>
    <row r="863" spans="1:10" x14ac:dyDescent="0.55000000000000004">
      <c r="A863" t="s">
        <v>3499</v>
      </c>
      <c r="B863">
        <v>100598</v>
      </c>
      <c r="C863" t="s">
        <v>179</v>
      </c>
      <c r="D863" s="1">
        <v>45860</v>
      </c>
      <c r="E863" t="s">
        <v>43</v>
      </c>
      <c r="F863" t="s">
        <v>3500</v>
      </c>
      <c r="G863" t="s">
        <v>15</v>
      </c>
      <c r="H863" t="s">
        <v>3501</v>
      </c>
      <c r="I863" t="s">
        <v>3502</v>
      </c>
      <c r="J863" s="2">
        <v>46056.745929010664</v>
      </c>
    </row>
    <row r="864" spans="1:10" x14ac:dyDescent="0.55000000000000004">
      <c r="A864" t="s">
        <v>3503</v>
      </c>
      <c r="B864">
        <v>101235</v>
      </c>
      <c r="C864" t="s">
        <v>82</v>
      </c>
      <c r="D864" s="1">
        <v>45827</v>
      </c>
      <c r="E864" t="s">
        <v>680</v>
      </c>
      <c r="F864" t="s">
        <v>3504</v>
      </c>
      <c r="G864" t="s">
        <v>22</v>
      </c>
      <c r="H864" t="s">
        <v>3505</v>
      </c>
      <c r="I864" t="s">
        <v>3506</v>
      </c>
      <c r="J864" s="2">
        <v>46056.98829012669</v>
      </c>
    </row>
    <row r="865" spans="1:11" x14ac:dyDescent="0.55000000000000004">
      <c r="A865" t="s">
        <v>3507</v>
      </c>
      <c r="B865">
        <v>100398</v>
      </c>
      <c r="C865" t="s">
        <v>99</v>
      </c>
      <c r="D865" s="1">
        <v>46125</v>
      </c>
      <c r="E865" t="s">
        <v>170</v>
      </c>
      <c r="F865" t="s">
        <v>3508</v>
      </c>
      <c r="G865" t="s">
        <v>15</v>
      </c>
      <c r="H865" t="s">
        <v>3509</v>
      </c>
      <c r="I865" t="s">
        <v>3510</v>
      </c>
      <c r="J865" s="2">
        <v>46074.088290131091</v>
      </c>
    </row>
    <row r="866" spans="1:11" x14ac:dyDescent="0.55000000000000004">
      <c r="A866" t="s">
        <v>3511</v>
      </c>
      <c r="B866">
        <v>101241</v>
      </c>
      <c r="C866" t="s">
        <v>114</v>
      </c>
      <c r="D866" s="1">
        <v>45855</v>
      </c>
      <c r="E866" t="s">
        <v>317</v>
      </c>
      <c r="F866" t="s">
        <v>3512</v>
      </c>
      <c r="G866" t="s">
        <v>22</v>
      </c>
      <c r="H866" t="s">
        <v>3513</v>
      </c>
      <c r="I866" t="s">
        <v>3514</v>
      </c>
      <c r="J866" s="2">
        <v>46070.162595691887</v>
      </c>
    </row>
    <row r="867" spans="1:11" x14ac:dyDescent="0.55000000000000004">
      <c r="A867" t="s">
        <v>3515</v>
      </c>
      <c r="B867">
        <v>100852</v>
      </c>
      <c r="C867" t="s">
        <v>169</v>
      </c>
      <c r="D867" s="1">
        <v>46157</v>
      </c>
      <c r="E867" t="s">
        <v>317</v>
      </c>
      <c r="F867" t="s">
        <v>3516</v>
      </c>
      <c r="G867" t="s">
        <v>15</v>
      </c>
      <c r="H867" t="s">
        <v>3517</v>
      </c>
      <c r="I867" t="s">
        <v>3518</v>
      </c>
      <c r="J867" s="2">
        <v>46071.366762362821</v>
      </c>
    </row>
    <row r="868" spans="1:11" x14ac:dyDescent="0.55000000000000004">
      <c r="A868" t="s">
        <v>3519</v>
      </c>
      <c r="B868">
        <v>100211</v>
      </c>
      <c r="C868" t="s">
        <v>68</v>
      </c>
      <c r="D868" s="1">
        <v>46062</v>
      </c>
      <c r="E868" t="s">
        <v>20</v>
      </c>
      <c r="F868" t="s">
        <v>3520</v>
      </c>
      <c r="G868" t="s">
        <v>15</v>
      </c>
      <c r="H868" t="s">
        <v>3521</v>
      </c>
      <c r="I868" t="s">
        <v>3522</v>
      </c>
      <c r="J868" s="2">
        <v>46072.407040145888</v>
      </c>
    </row>
    <row r="869" spans="1:11" x14ac:dyDescent="0.55000000000000004">
      <c r="A869" t="s">
        <v>3523</v>
      </c>
      <c r="B869">
        <v>100063</v>
      </c>
      <c r="C869" t="s">
        <v>533</v>
      </c>
      <c r="D869" s="1">
        <v>45808</v>
      </c>
      <c r="E869" t="s">
        <v>155</v>
      </c>
      <c r="F869" t="s">
        <v>3524</v>
      </c>
      <c r="G869" t="s">
        <v>15</v>
      </c>
      <c r="H869" t="s">
        <v>3525</v>
      </c>
      <c r="I869" t="s">
        <v>3526</v>
      </c>
      <c r="J869" s="2">
        <v>46078.08620681685</v>
      </c>
    </row>
    <row r="870" spans="1:11" x14ac:dyDescent="0.55000000000000004">
      <c r="A870" t="s">
        <v>3527</v>
      </c>
      <c r="B870">
        <v>100730</v>
      </c>
      <c r="C870" t="s">
        <v>19</v>
      </c>
      <c r="D870" s="1">
        <v>46018</v>
      </c>
      <c r="E870" t="s">
        <v>334</v>
      </c>
      <c r="F870" t="s">
        <v>3528</v>
      </c>
      <c r="G870" t="s">
        <v>15</v>
      </c>
      <c r="H870" t="s">
        <v>3529</v>
      </c>
      <c r="I870" t="s">
        <v>3530</v>
      </c>
      <c r="J870" s="2">
        <v>46087.358429043197</v>
      </c>
      <c r="K870" t="s">
        <v>139</v>
      </c>
    </row>
    <row r="871" spans="1:11" x14ac:dyDescent="0.55000000000000004">
      <c r="A871" t="s">
        <v>3531</v>
      </c>
      <c r="B871">
        <v>100477</v>
      </c>
      <c r="C871" t="s">
        <v>114</v>
      </c>
      <c r="D871" s="1">
        <v>45746</v>
      </c>
      <c r="E871" t="s">
        <v>467</v>
      </c>
      <c r="F871" t="s">
        <v>3532</v>
      </c>
      <c r="G871" t="s">
        <v>15</v>
      </c>
      <c r="H871" t="s">
        <v>3533</v>
      </c>
      <c r="I871" t="s">
        <v>3534</v>
      </c>
      <c r="J871" s="2">
        <v>46056.68620682515</v>
      </c>
    </row>
    <row r="872" spans="1:11" x14ac:dyDescent="0.55000000000000004">
      <c r="A872" t="s">
        <v>3535</v>
      </c>
      <c r="B872">
        <v>100555</v>
      </c>
      <c r="C872" t="s">
        <v>19</v>
      </c>
      <c r="D872" s="1">
        <v>46132</v>
      </c>
      <c r="E872" t="s">
        <v>155</v>
      </c>
      <c r="F872" t="s">
        <v>3536</v>
      </c>
      <c r="G872" t="s">
        <v>15</v>
      </c>
      <c r="H872" t="s">
        <v>3537</v>
      </c>
      <c r="I872" t="s">
        <v>3538</v>
      </c>
      <c r="J872" s="2">
        <v>46076.890373495691</v>
      </c>
    </row>
    <row r="873" spans="1:11" x14ac:dyDescent="0.55000000000000004">
      <c r="A873" t="s">
        <v>3539</v>
      </c>
      <c r="B873">
        <v>101304</v>
      </c>
      <c r="C873" t="s">
        <v>68</v>
      </c>
      <c r="D873" s="1">
        <v>45764</v>
      </c>
      <c r="E873" t="s">
        <v>295</v>
      </c>
      <c r="F873" t="s">
        <v>3540</v>
      </c>
      <c r="G873" t="s">
        <v>22</v>
      </c>
      <c r="H873" t="s">
        <v>3541</v>
      </c>
      <c r="I873" t="s">
        <v>3542</v>
      </c>
      <c r="J873" s="2">
        <v>46089.410512389353</v>
      </c>
    </row>
    <row r="874" spans="1:11" x14ac:dyDescent="0.55000000000000004">
      <c r="A874" t="s">
        <v>3543</v>
      </c>
      <c r="B874">
        <v>100417</v>
      </c>
      <c r="C874" t="s">
        <v>533</v>
      </c>
      <c r="D874" s="1">
        <v>46024</v>
      </c>
      <c r="E874" t="s">
        <v>343</v>
      </c>
      <c r="F874" t="s">
        <v>3544</v>
      </c>
      <c r="G874" t="s">
        <v>22</v>
      </c>
      <c r="H874" t="s">
        <v>3545</v>
      </c>
      <c r="I874" t="s">
        <v>3546</v>
      </c>
      <c r="J874" s="2">
        <v>46092.407734615823</v>
      </c>
    </row>
    <row r="875" spans="1:11" x14ac:dyDescent="0.55000000000000004">
      <c r="A875" t="s">
        <v>3547</v>
      </c>
      <c r="B875">
        <v>100965</v>
      </c>
      <c r="C875" t="s">
        <v>99</v>
      </c>
      <c r="D875" s="1">
        <v>45794</v>
      </c>
      <c r="E875" t="s">
        <v>467</v>
      </c>
      <c r="F875" t="s">
        <v>3548</v>
      </c>
      <c r="G875" t="s">
        <v>22</v>
      </c>
      <c r="H875" t="s">
        <v>3549</v>
      </c>
      <c r="I875" t="s">
        <v>3550</v>
      </c>
      <c r="J875" s="2">
        <v>46082.144540175737</v>
      </c>
    </row>
    <row r="876" spans="1:11" x14ac:dyDescent="0.55000000000000004">
      <c r="A876" t="s">
        <v>3551</v>
      </c>
      <c r="B876">
        <v>101418</v>
      </c>
      <c r="C876" t="s">
        <v>248</v>
      </c>
      <c r="D876" s="1">
        <v>45805</v>
      </c>
      <c r="E876" t="s">
        <v>115</v>
      </c>
      <c r="F876" t="s">
        <v>3552</v>
      </c>
      <c r="G876" t="s">
        <v>15</v>
      </c>
      <c r="H876" t="s">
        <v>3553</v>
      </c>
      <c r="I876" t="s">
        <v>3554</v>
      </c>
      <c r="J876" s="2">
        <v>46080.12092906933</v>
      </c>
    </row>
    <row r="877" spans="1:11" x14ac:dyDescent="0.55000000000000004">
      <c r="A877" t="s">
        <v>3555</v>
      </c>
      <c r="B877">
        <v>101136</v>
      </c>
      <c r="C877" t="s">
        <v>94</v>
      </c>
      <c r="D877" s="1">
        <v>45862</v>
      </c>
      <c r="E877" t="s">
        <v>83</v>
      </c>
      <c r="F877" t="s">
        <v>3556</v>
      </c>
      <c r="G877" t="s">
        <v>15</v>
      </c>
      <c r="H877" t="s">
        <v>3557</v>
      </c>
      <c r="I877" t="s">
        <v>3558</v>
      </c>
      <c r="J877" s="2">
        <v>46076.970234629604</v>
      </c>
    </row>
    <row r="878" spans="1:11" x14ac:dyDescent="0.55000000000000004">
      <c r="A878" t="s">
        <v>3559</v>
      </c>
      <c r="B878">
        <v>100723</v>
      </c>
      <c r="C878" t="s">
        <v>94</v>
      </c>
      <c r="D878" s="1">
        <v>45975</v>
      </c>
      <c r="E878" t="s">
        <v>562</v>
      </c>
      <c r="F878" t="s">
        <v>3560</v>
      </c>
      <c r="G878" t="s">
        <v>22</v>
      </c>
      <c r="H878" t="s">
        <v>3561</v>
      </c>
      <c r="I878" t="s">
        <v>3562</v>
      </c>
      <c r="J878" s="2">
        <v>46067.22301241252</v>
      </c>
    </row>
    <row r="879" spans="1:11" x14ac:dyDescent="0.55000000000000004">
      <c r="A879" t="s">
        <v>3563</v>
      </c>
      <c r="B879">
        <v>100156</v>
      </c>
      <c r="C879" t="s">
        <v>68</v>
      </c>
      <c r="D879" s="1">
        <v>45742</v>
      </c>
      <c r="E879" t="s">
        <v>184</v>
      </c>
      <c r="F879" t="s">
        <v>3564</v>
      </c>
      <c r="G879" t="s">
        <v>15</v>
      </c>
      <c r="H879" t="s">
        <v>3565</v>
      </c>
      <c r="I879" t="s">
        <v>3566</v>
      </c>
      <c r="J879" s="2">
        <v>46080.960512417812</v>
      </c>
    </row>
    <row r="880" spans="1:11" x14ac:dyDescent="0.55000000000000004">
      <c r="A880" t="s">
        <v>3567</v>
      </c>
      <c r="B880">
        <v>100710</v>
      </c>
      <c r="C880" t="s">
        <v>179</v>
      </c>
      <c r="D880" s="1">
        <v>45890</v>
      </c>
      <c r="E880" t="s">
        <v>13</v>
      </c>
      <c r="F880" t="s">
        <v>3568</v>
      </c>
      <c r="G880" t="s">
        <v>15</v>
      </c>
      <c r="H880" t="s">
        <v>3569</v>
      </c>
      <c r="I880" t="s">
        <v>3570</v>
      </c>
      <c r="J880" s="2">
        <v>46069.193845755253</v>
      </c>
    </row>
    <row r="881" spans="1:11" x14ac:dyDescent="0.55000000000000004">
      <c r="A881" t="s">
        <v>3571</v>
      </c>
      <c r="B881">
        <v>101026</v>
      </c>
      <c r="C881" t="s">
        <v>37</v>
      </c>
      <c r="D881" s="1">
        <v>45933</v>
      </c>
      <c r="E881" t="s">
        <v>295</v>
      </c>
      <c r="F881" t="s">
        <v>3572</v>
      </c>
      <c r="G881" t="s">
        <v>15</v>
      </c>
      <c r="H881" t="s">
        <v>3573</v>
      </c>
      <c r="I881" t="s">
        <v>3574</v>
      </c>
      <c r="J881" s="2">
        <v>46078.447317981911</v>
      </c>
    </row>
    <row r="882" spans="1:11" x14ac:dyDescent="0.55000000000000004">
      <c r="A882" t="s">
        <v>3575</v>
      </c>
      <c r="B882">
        <v>101048</v>
      </c>
      <c r="C882" t="s">
        <v>48</v>
      </c>
      <c r="D882" s="1">
        <v>45956</v>
      </c>
      <c r="E882" t="s">
        <v>83</v>
      </c>
      <c r="F882" t="s">
        <v>3576</v>
      </c>
      <c r="G882" t="s">
        <v>22</v>
      </c>
      <c r="H882" t="s">
        <v>3577</v>
      </c>
      <c r="I882" t="s">
        <v>3578</v>
      </c>
      <c r="J882" s="2">
        <v>46092.047317987082</v>
      </c>
    </row>
    <row r="883" spans="1:11" x14ac:dyDescent="0.55000000000000004">
      <c r="A883" t="s">
        <v>3579</v>
      </c>
      <c r="B883">
        <v>101201</v>
      </c>
      <c r="C883" t="s">
        <v>19</v>
      </c>
      <c r="D883" s="1">
        <v>46109</v>
      </c>
      <c r="E883" t="s">
        <v>58</v>
      </c>
      <c r="F883" t="s">
        <v>3580</v>
      </c>
      <c r="G883" t="s">
        <v>15</v>
      </c>
      <c r="H883" t="s">
        <v>3581</v>
      </c>
      <c r="I883" t="s">
        <v>3582</v>
      </c>
      <c r="J883" s="2">
        <v>46086.752873546437</v>
      </c>
    </row>
    <row r="884" spans="1:11" x14ac:dyDescent="0.55000000000000004">
      <c r="A884" t="s">
        <v>3583</v>
      </c>
      <c r="B884">
        <v>101406</v>
      </c>
      <c r="C884" t="s">
        <v>32</v>
      </c>
      <c r="D884" s="1">
        <v>45991</v>
      </c>
      <c r="E884" t="s">
        <v>20</v>
      </c>
      <c r="F884" t="s">
        <v>3584</v>
      </c>
      <c r="G884" t="s">
        <v>22</v>
      </c>
      <c r="H884" t="s">
        <v>3585</v>
      </c>
      <c r="I884" t="s">
        <v>3586</v>
      </c>
      <c r="J884" s="2">
        <v>46058.967456884318</v>
      </c>
      <c r="K884" t="s">
        <v>119</v>
      </c>
    </row>
    <row r="885" spans="1:11" x14ac:dyDescent="0.55000000000000004">
      <c r="A885" t="s">
        <v>3587</v>
      </c>
      <c r="B885">
        <v>100082</v>
      </c>
      <c r="C885" t="s">
        <v>169</v>
      </c>
      <c r="D885" s="1">
        <v>45964</v>
      </c>
      <c r="E885" t="s">
        <v>108</v>
      </c>
      <c r="F885" t="s">
        <v>3588</v>
      </c>
      <c r="G885" t="s">
        <v>22</v>
      </c>
      <c r="H885" t="s">
        <v>3589</v>
      </c>
      <c r="I885" t="s">
        <v>3590</v>
      </c>
      <c r="J885" s="2">
        <v>46056.552873555709</v>
      </c>
    </row>
    <row r="886" spans="1:11" x14ac:dyDescent="0.55000000000000004">
      <c r="A886" t="s">
        <v>3591</v>
      </c>
      <c r="B886">
        <v>100553</v>
      </c>
      <c r="C886" t="s">
        <v>37</v>
      </c>
      <c r="D886" s="1">
        <v>45937</v>
      </c>
      <c r="E886" t="s">
        <v>317</v>
      </c>
      <c r="F886" t="s">
        <v>3592</v>
      </c>
      <c r="G886" t="s">
        <v>22</v>
      </c>
      <c r="H886" t="s">
        <v>3593</v>
      </c>
      <c r="I886" t="s">
        <v>3594</v>
      </c>
      <c r="J886" s="2">
        <v>46076.92717911589</v>
      </c>
    </row>
    <row r="887" spans="1:11" x14ac:dyDescent="0.55000000000000004">
      <c r="A887" t="s">
        <v>3595</v>
      </c>
      <c r="B887">
        <v>101364</v>
      </c>
      <c r="D887" s="1">
        <v>45788</v>
      </c>
      <c r="E887" t="s">
        <v>115</v>
      </c>
      <c r="F887" t="s">
        <v>3596</v>
      </c>
      <c r="G887" t="s">
        <v>15</v>
      </c>
      <c r="H887" t="s">
        <v>3597</v>
      </c>
      <c r="I887" t="s">
        <v>3598</v>
      </c>
      <c r="J887" s="2">
        <v>46058.770929121107</v>
      </c>
      <c r="K887" t="s">
        <v>217</v>
      </c>
    </row>
    <row r="888" spans="1:11" x14ac:dyDescent="0.55000000000000004">
      <c r="A888" t="s">
        <v>3599</v>
      </c>
      <c r="B888">
        <v>100986</v>
      </c>
      <c r="C888" t="s">
        <v>94</v>
      </c>
      <c r="D888" s="1">
        <v>46137</v>
      </c>
      <c r="E888" t="s">
        <v>757</v>
      </c>
      <c r="F888" t="s">
        <v>3600</v>
      </c>
      <c r="G888" t="s">
        <v>15</v>
      </c>
      <c r="H888" t="s">
        <v>3601</v>
      </c>
      <c r="I888" t="s">
        <v>3602</v>
      </c>
      <c r="J888" s="2">
        <v>46081.499401347988</v>
      </c>
    </row>
    <row r="889" spans="1:11" x14ac:dyDescent="0.55000000000000004">
      <c r="A889" t="s">
        <v>3603</v>
      </c>
      <c r="B889">
        <v>100278</v>
      </c>
      <c r="C889" t="s">
        <v>26</v>
      </c>
      <c r="D889" s="1">
        <v>46155</v>
      </c>
      <c r="E889" t="s">
        <v>356</v>
      </c>
      <c r="F889" t="s">
        <v>3604</v>
      </c>
      <c r="G889" t="s">
        <v>15</v>
      </c>
      <c r="H889" t="s">
        <v>3605</v>
      </c>
      <c r="I889" t="s">
        <v>3606</v>
      </c>
      <c r="J889" s="2">
        <v>46071.223706907869</v>
      </c>
    </row>
    <row r="890" spans="1:11" x14ac:dyDescent="0.55000000000000004">
      <c r="A890" t="s">
        <v>3607</v>
      </c>
      <c r="B890">
        <v>100981</v>
      </c>
      <c r="D890" s="1">
        <v>45933</v>
      </c>
      <c r="E890" t="s">
        <v>409</v>
      </c>
      <c r="F890" t="s">
        <v>3608</v>
      </c>
      <c r="G890" t="s">
        <v>15</v>
      </c>
      <c r="H890" t="s">
        <v>3609</v>
      </c>
      <c r="I890" t="s">
        <v>3610</v>
      </c>
      <c r="J890" s="2">
        <v>46095.952179136038</v>
      </c>
      <c r="K890" t="s">
        <v>217</v>
      </c>
    </row>
    <row r="891" spans="1:11" x14ac:dyDescent="0.55000000000000004">
      <c r="A891" t="s">
        <v>3611</v>
      </c>
      <c r="B891">
        <v>101491</v>
      </c>
      <c r="C891" t="s">
        <v>99</v>
      </c>
      <c r="D891" s="1">
        <v>46052</v>
      </c>
      <c r="E891" t="s">
        <v>155</v>
      </c>
      <c r="F891" t="s">
        <v>3612</v>
      </c>
      <c r="G891" t="s">
        <v>22</v>
      </c>
      <c r="H891" t="s">
        <v>3613</v>
      </c>
      <c r="I891" t="s">
        <v>3614</v>
      </c>
      <c r="J891" s="2">
        <v>46085.373706920022</v>
      </c>
    </row>
    <row r="892" spans="1:11" x14ac:dyDescent="0.55000000000000004">
      <c r="A892" t="s">
        <v>3615</v>
      </c>
      <c r="B892">
        <v>100730</v>
      </c>
      <c r="C892" t="s">
        <v>48</v>
      </c>
      <c r="D892" s="1">
        <v>45757</v>
      </c>
      <c r="E892" t="s">
        <v>89</v>
      </c>
      <c r="F892" t="s">
        <v>3616</v>
      </c>
      <c r="G892" t="s">
        <v>22</v>
      </c>
      <c r="H892" t="s">
        <v>3617</v>
      </c>
      <c r="I892" t="s">
        <v>3618</v>
      </c>
      <c r="J892" s="2">
        <v>46088.61954025914</v>
      </c>
    </row>
    <row r="893" spans="1:11" x14ac:dyDescent="0.55000000000000004">
      <c r="A893" t="s">
        <v>3619</v>
      </c>
      <c r="B893">
        <v>101079</v>
      </c>
      <c r="C893" t="s">
        <v>63</v>
      </c>
      <c r="D893" s="1">
        <v>45819</v>
      </c>
      <c r="E893" t="s">
        <v>243</v>
      </c>
      <c r="F893" t="s">
        <v>3620</v>
      </c>
      <c r="G893" t="s">
        <v>22</v>
      </c>
      <c r="H893" t="s">
        <v>3621</v>
      </c>
      <c r="I893" t="s">
        <v>3622</v>
      </c>
      <c r="J893" s="2">
        <v>46054.043151376369</v>
      </c>
    </row>
    <row r="894" spans="1:11" x14ac:dyDescent="0.55000000000000004">
      <c r="A894" t="s">
        <v>3623</v>
      </c>
      <c r="B894">
        <v>100450</v>
      </c>
      <c r="C894" t="s">
        <v>533</v>
      </c>
      <c r="D894" s="1">
        <v>45846</v>
      </c>
      <c r="E894" t="s">
        <v>562</v>
      </c>
      <c r="F894" t="s">
        <v>3624</v>
      </c>
      <c r="G894" t="s">
        <v>22</v>
      </c>
      <c r="H894" t="s">
        <v>3625</v>
      </c>
      <c r="I894" t="s">
        <v>3626</v>
      </c>
      <c r="J894" s="2">
        <v>46066.202873603797</v>
      </c>
    </row>
    <row r="895" spans="1:11" x14ac:dyDescent="0.55000000000000004">
      <c r="A895" t="s">
        <v>3627</v>
      </c>
      <c r="B895">
        <v>100281</v>
      </c>
      <c r="C895" t="s">
        <v>114</v>
      </c>
      <c r="D895" s="1">
        <v>45952</v>
      </c>
      <c r="E895" t="s">
        <v>38</v>
      </c>
      <c r="F895" t="s">
        <v>3628</v>
      </c>
      <c r="G895" t="s">
        <v>15</v>
      </c>
      <c r="H895" t="s">
        <v>3629</v>
      </c>
      <c r="I895" t="s">
        <v>3630</v>
      </c>
      <c r="J895" s="2">
        <v>46078.783429165269</v>
      </c>
    </row>
    <row r="896" spans="1:11" x14ac:dyDescent="0.55000000000000004">
      <c r="A896" t="s">
        <v>3631</v>
      </c>
      <c r="B896">
        <v>100244</v>
      </c>
      <c r="C896" t="s">
        <v>248</v>
      </c>
      <c r="D896" s="1">
        <v>45946</v>
      </c>
      <c r="E896" t="s">
        <v>69</v>
      </c>
      <c r="F896" t="s">
        <v>3632</v>
      </c>
      <c r="G896" t="s">
        <v>15</v>
      </c>
      <c r="H896" t="s">
        <v>3633</v>
      </c>
      <c r="I896" t="s">
        <v>3634</v>
      </c>
      <c r="J896" s="2">
        <v>46096.333429171689</v>
      </c>
    </row>
    <row r="897" spans="1:10" x14ac:dyDescent="0.55000000000000004">
      <c r="A897" t="s">
        <v>3635</v>
      </c>
      <c r="B897">
        <v>100641</v>
      </c>
      <c r="C897" t="s">
        <v>32</v>
      </c>
      <c r="D897" s="1">
        <v>45852</v>
      </c>
      <c r="E897" t="s">
        <v>208</v>
      </c>
      <c r="F897" t="s">
        <v>3636</v>
      </c>
      <c r="G897" t="s">
        <v>22</v>
      </c>
      <c r="H897" t="s">
        <v>3637</v>
      </c>
      <c r="I897" t="s">
        <v>3638</v>
      </c>
      <c r="J897" s="2">
        <v>46092.731345846267</v>
      </c>
    </row>
    <row r="898" spans="1:10" x14ac:dyDescent="0.55000000000000004">
      <c r="A898" t="s">
        <v>3639</v>
      </c>
      <c r="B898">
        <v>100496</v>
      </c>
      <c r="C898" t="s">
        <v>19</v>
      </c>
      <c r="D898" s="1">
        <v>45800</v>
      </c>
      <c r="E898" t="s">
        <v>757</v>
      </c>
      <c r="F898" t="s">
        <v>3640</v>
      </c>
      <c r="G898" t="s">
        <v>15</v>
      </c>
      <c r="H898" t="s">
        <v>3641</v>
      </c>
      <c r="I898" t="s">
        <v>3642</v>
      </c>
      <c r="J898" s="2">
        <v>46052.200790296032</v>
      </c>
    </row>
    <row r="899" spans="1:10" x14ac:dyDescent="0.55000000000000004">
      <c r="A899" t="s">
        <v>3643</v>
      </c>
      <c r="B899">
        <v>100533</v>
      </c>
      <c r="C899" t="s">
        <v>94</v>
      </c>
      <c r="D899" s="1">
        <v>46108</v>
      </c>
      <c r="E899" t="s">
        <v>343</v>
      </c>
      <c r="F899" t="s">
        <v>3644</v>
      </c>
      <c r="G899" t="s">
        <v>15</v>
      </c>
      <c r="H899" t="s">
        <v>3645</v>
      </c>
      <c r="I899" t="s">
        <v>3646</v>
      </c>
      <c r="J899" s="2">
        <v>46094.273012522579</v>
      </c>
    </row>
    <row r="900" spans="1:10" x14ac:dyDescent="0.55000000000000004">
      <c r="A900" t="s">
        <v>3647</v>
      </c>
      <c r="B900">
        <v>100796</v>
      </c>
      <c r="C900" t="s">
        <v>194</v>
      </c>
      <c r="D900" s="1">
        <v>45973</v>
      </c>
      <c r="E900" t="s">
        <v>27</v>
      </c>
      <c r="F900" t="s">
        <v>3648</v>
      </c>
      <c r="G900" t="s">
        <v>15</v>
      </c>
      <c r="H900" t="s">
        <v>3649</v>
      </c>
      <c r="I900" t="s">
        <v>3650</v>
      </c>
      <c r="J900" s="2">
        <v>46097.385512526736</v>
      </c>
    </row>
    <row r="901" spans="1:10" x14ac:dyDescent="0.55000000000000004">
      <c r="A901" t="s">
        <v>3651</v>
      </c>
      <c r="B901">
        <v>100784</v>
      </c>
      <c r="C901" t="s">
        <v>82</v>
      </c>
      <c r="D901" s="1">
        <v>46049</v>
      </c>
      <c r="E901" t="s">
        <v>58</v>
      </c>
      <c r="F901" t="s">
        <v>3652</v>
      </c>
      <c r="G901" t="s">
        <v>22</v>
      </c>
      <c r="H901" t="s">
        <v>3653</v>
      </c>
      <c r="I901" t="s">
        <v>3654</v>
      </c>
      <c r="J901" s="2">
        <v>46088.950790308707</v>
      </c>
    </row>
    <row r="902" spans="1:10" x14ac:dyDescent="0.55000000000000004">
      <c r="A902" t="s">
        <v>3655</v>
      </c>
      <c r="B902">
        <v>101420</v>
      </c>
      <c r="C902" t="s">
        <v>12</v>
      </c>
      <c r="D902" s="1">
        <v>46029</v>
      </c>
      <c r="E902" t="s">
        <v>20</v>
      </c>
      <c r="F902" t="s">
        <v>3656</v>
      </c>
      <c r="G902" t="s">
        <v>15</v>
      </c>
      <c r="H902" t="s">
        <v>3657</v>
      </c>
      <c r="I902" t="s">
        <v>3658</v>
      </c>
      <c r="J902" s="2">
        <v>46065.045234757657</v>
      </c>
    </row>
    <row r="903" spans="1:10" x14ac:dyDescent="0.55000000000000004">
      <c r="A903" t="s">
        <v>3659</v>
      </c>
      <c r="B903">
        <v>100652</v>
      </c>
      <c r="C903" t="s">
        <v>169</v>
      </c>
      <c r="D903" s="1">
        <v>45971</v>
      </c>
      <c r="E903" t="s">
        <v>155</v>
      </c>
      <c r="F903" t="s">
        <v>3660</v>
      </c>
      <c r="G903" t="s">
        <v>22</v>
      </c>
      <c r="H903" t="s">
        <v>3661</v>
      </c>
      <c r="I903" t="s">
        <v>3662</v>
      </c>
      <c r="J903" s="2">
        <v>46051.991762539568</v>
      </c>
    </row>
    <row r="904" spans="1:10" x14ac:dyDescent="0.55000000000000004">
      <c r="A904" t="s">
        <v>3663</v>
      </c>
      <c r="B904">
        <v>100860</v>
      </c>
      <c r="C904" t="s">
        <v>94</v>
      </c>
      <c r="D904" s="1">
        <v>45804</v>
      </c>
      <c r="E904" t="s">
        <v>295</v>
      </c>
      <c r="F904" t="s">
        <v>3664</v>
      </c>
      <c r="G904" t="s">
        <v>15</v>
      </c>
      <c r="H904" t="s">
        <v>3665</v>
      </c>
      <c r="I904" t="s">
        <v>3666</v>
      </c>
      <c r="J904" s="2">
        <v>46089.036206988887</v>
      </c>
    </row>
    <row r="905" spans="1:10" x14ac:dyDescent="0.55000000000000004">
      <c r="A905" t="s">
        <v>3667</v>
      </c>
      <c r="B905">
        <v>100253</v>
      </c>
      <c r="C905" t="s">
        <v>32</v>
      </c>
      <c r="D905" s="1">
        <v>46114</v>
      </c>
      <c r="E905" t="s">
        <v>58</v>
      </c>
      <c r="F905" t="s">
        <v>3668</v>
      </c>
      <c r="G905" t="s">
        <v>22</v>
      </c>
      <c r="H905" t="s">
        <v>3669</v>
      </c>
      <c r="I905" t="s">
        <v>3670</v>
      </c>
      <c r="J905" s="2">
        <v>46058.370929215977</v>
      </c>
    </row>
    <row r="906" spans="1:10" x14ac:dyDescent="0.55000000000000004">
      <c r="A906" t="s">
        <v>3671</v>
      </c>
      <c r="B906">
        <v>100997</v>
      </c>
      <c r="C906" t="s">
        <v>82</v>
      </c>
      <c r="D906" s="1">
        <v>45892</v>
      </c>
      <c r="E906" t="s">
        <v>356</v>
      </c>
      <c r="F906" t="s">
        <v>3672</v>
      </c>
      <c r="G906" t="s">
        <v>22</v>
      </c>
      <c r="H906" t="s">
        <v>3673</v>
      </c>
      <c r="I906" t="s">
        <v>3674</v>
      </c>
      <c r="J906" s="2">
        <v>46087.955651442338</v>
      </c>
    </row>
    <row r="907" spans="1:10" x14ac:dyDescent="0.55000000000000004">
      <c r="A907" t="s">
        <v>3607</v>
      </c>
      <c r="B907">
        <v>100265</v>
      </c>
      <c r="C907" t="s">
        <v>88</v>
      </c>
      <c r="D907" s="1">
        <v>45759</v>
      </c>
      <c r="E907" t="s">
        <v>115</v>
      </c>
      <c r="F907" t="s">
        <v>3675</v>
      </c>
      <c r="G907" t="s">
        <v>15</v>
      </c>
      <c r="H907" t="s">
        <v>3676</v>
      </c>
      <c r="I907" t="s">
        <v>3677</v>
      </c>
      <c r="J907" s="2">
        <v>46083.485512558364</v>
      </c>
    </row>
    <row r="908" spans="1:10" x14ac:dyDescent="0.55000000000000004">
      <c r="A908" t="s">
        <v>3678</v>
      </c>
      <c r="B908">
        <v>101288</v>
      </c>
      <c r="C908" t="s">
        <v>12</v>
      </c>
      <c r="D908" s="1">
        <v>45972</v>
      </c>
      <c r="E908" t="s">
        <v>418</v>
      </c>
      <c r="F908" t="s">
        <v>3679</v>
      </c>
      <c r="G908" t="s">
        <v>22</v>
      </c>
      <c r="H908" t="s">
        <v>3680</v>
      </c>
      <c r="I908" t="s">
        <v>3681</v>
      </c>
      <c r="J908" s="2">
        <v>46090.042457007643</v>
      </c>
    </row>
    <row r="909" spans="1:10" x14ac:dyDescent="0.55000000000000004">
      <c r="A909" t="s">
        <v>3682</v>
      </c>
      <c r="B909">
        <v>100971</v>
      </c>
      <c r="C909" t="s">
        <v>12</v>
      </c>
      <c r="D909" s="1">
        <v>45958</v>
      </c>
      <c r="E909" t="s">
        <v>27</v>
      </c>
      <c r="F909" t="s">
        <v>3683</v>
      </c>
      <c r="G909" t="s">
        <v>22</v>
      </c>
      <c r="H909" t="s">
        <v>3684</v>
      </c>
      <c r="I909" t="s">
        <v>3685</v>
      </c>
      <c r="J909" s="2">
        <v>46068.045234790159</v>
      </c>
    </row>
    <row r="910" spans="1:10" x14ac:dyDescent="0.55000000000000004">
      <c r="A910" t="s">
        <v>3686</v>
      </c>
      <c r="B910">
        <v>101255</v>
      </c>
      <c r="C910" t="s">
        <v>533</v>
      </c>
      <c r="D910" s="1">
        <v>46100</v>
      </c>
      <c r="E910" t="s">
        <v>155</v>
      </c>
      <c r="F910" t="s">
        <v>3687</v>
      </c>
      <c r="G910" t="s">
        <v>22</v>
      </c>
      <c r="H910" t="s">
        <v>3688</v>
      </c>
      <c r="I910" t="s">
        <v>3689</v>
      </c>
      <c r="J910" s="2">
        <v>46092.456345906008</v>
      </c>
    </row>
    <row r="911" spans="1:10" x14ac:dyDescent="0.55000000000000004">
      <c r="A911" t="s">
        <v>3690</v>
      </c>
      <c r="B911">
        <v>100761</v>
      </c>
      <c r="C911" t="s">
        <v>68</v>
      </c>
      <c r="D911" s="1">
        <v>45824</v>
      </c>
      <c r="E911" t="s">
        <v>317</v>
      </c>
      <c r="F911" t="s">
        <v>3691</v>
      </c>
      <c r="G911" t="s">
        <v>22</v>
      </c>
      <c r="H911" t="s">
        <v>3692</v>
      </c>
      <c r="I911" t="s">
        <v>3693</v>
      </c>
      <c r="J911" s="2">
        <v>46060.802873687942</v>
      </c>
    </row>
    <row r="912" spans="1:10" x14ac:dyDescent="0.55000000000000004">
      <c r="A912" t="s">
        <v>3694</v>
      </c>
      <c r="B912">
        <v>100162</v>
      </c>
      <c r="C912" t="s">
        <v>26</v>
      </c>
      <c r="D912" s="1">
        <v>45840</v>
      </c>
      <c r="E912" t="s">
        <v>528</v>
      </c>
      <c r="F912" t="s">
        <v>3695</v>
      </c>
      <c r="G912" t="s">
        <v>22</v>
      </c>
      <c r="H912" t="s">
        <v>3696</v>
      </c>
      <c r="I912" t="s">
        <v>3697</v>
      </c>
      <c r="J912" s="2">
        <v>46093.395929248392</v>
      </c>
    </row>
    <row r="913" spans="1:10" x14ac:dyDescent="0.55000000000000004">
      <c r="A913" t="s">
        <v>3698</v>
      </c>
      <c r="B913">
        <v>101071</v>
      </c>
      <c r="C913" t="s">
        <v>19</v>
      </c>
      <c r="D913" s="1">
        <v>46078</v>
      </c>
      <c r="E913" t="s">
        <v>20</v>
      </c>
      <c r="F913" t="s">
        <v>3699</v>
      </c>
      <c r="G913" t="s">
        <v>15</v>
      </c>
      <c r="H913" t="s">
        <v>3700</v>
      </c>
      <c r="I913" t="s">
        <v>3701</v>
      </c>
      <c r="J913" s="2">
        <v>46078.777179252393</v>
      </c>
    </row>
    <row r="914" spans="1:10" x14ac:dyDescent="0.55000000000000004">
      <c r="A914" t="s">
        <v>3702</v>
      </c>
      <c r="B914">
        <v>101018</v>
      </c>
      <c r="C914" t="s">
        <v>533</v>
      </c>
      <c r="D914" s="1">
        <v>45933</v>
      </c>
      <c r="E914" t="s">
        <v>170</v>
      </c>
      <c r="F914" t="s">
        <v>3703</v>
      </c>
      <c r="G914" t="s">
        <v>22</v>
      </c>
      <c r="H914" t="s">
        <v>3704</v>
      </c>
      <c r="I914" t="s">
        <v>3705</v>
      </c>
      <c r="J914" s="2">
        <v>46088.704957034963</v>
      </c>
    </row>
    <row r="915" spans="1:10" x14ac:dyDescent="0.55000000000000004">
      <c r="A915" t="s">
        <v>3706</v>
      </c>
      <c r="B915">
        <v>100850</v>
      </c>
      <c r="C915" t="s">
        <v>131</v>
      </c>
      <c r="D915" s="1">
        <v>45967</v>
      </c>
      <c r="E915" t="s">
        <v>213</v>
      </c>
      <c r="F915" t="s">
        <v>3707</v>
      </c>
      <c r="G915" t="s">
        <v>22</v>
      </c>
      <c r="H915" t="s">
        <v>3708</v>
      </c>
      <c r="I915" t="s">
        <v>3709</v>
      </c>
      <c r="J915" s="2">
        <v>46058.810512595417</v>
      </c>
    </row>
    <row r="916" spans="1:10" x14ac:dyDescent="0.55000000000000004">
      <c r="A916" t="s">
        <v>3710</v>
      </c>
      <c r="B916">
        <v>101177</v>
      </c>
      <c r="C916" t="s">
        <v>37</v>
      </c>
      <c r="D916" s="1">
        <v>45900</v>
      </c>
      <c r="E916" t="s">
        <v>317</v>
      </c>
      <c r="F916" t="s">
        <v>3711</v>
      </c>
      <c r="G916" t="s">
        <v>22</v>
      </c>
      <c r="H916" t="s">
        <v>3712</v>
      </c>
      <c r="I916" t="s">
        <v>3713</v>
      </c>
      <c r="J916" s="2">
        <v>46076.936901488407</v>
      </c>
    </row>
    <row r="917" spans="1:10" x14ac:dyDescent="0.55000000000000004">
      <c r="A917" t="s">
        <v>3714</v>
      </c>
      <c r="B917">
        <v>100516</v>
      </c>
      <c r="C917" t="s">
        <v>114</v>
      </c>
      <c r="D917" s="1">
        <v>45840</v>
      </c>
      <c r="E917" t="s">
        <v>317</v>
      </c>
      <c r="F917" t="s">
        <v>3715</v>
      </c>
      <c r="G917" t="s">
        <v>22</v>
      </c>
      <c r="H917" t="s">
        <v>3716</v>
      </c>
      <c r="I917" t="s">
        <v>3717</v>
      </c>
      <c r="J917" s="2">
        <v>46077.667457048912</v>
      </c>
    </row>
    <row r="918" spans="1:10" x14ac:dyDescent="0.55000000000000004">
      <c r="A918" t="s">
        <v>3718</v>
      </c>
      <c r="B918">
        <v>100913</v>
      </c>
      <c r="C918" t="s">
        <v>131</v>
      </c>
      <c r="D918" s="1">
        <v>46012</v>
      </c>
      <c r="E918" t="s">
        <v>243</v>
      </c>
      <c r="F918" t="s">
        <v>3719</v>
      </c>
      <c r="G918" t="s">
        <v>22</v>
      </c>
      <c r="H918" t="s">
        <v>3720</v>
      </c>
      <c r="I918" t="s">
        <v>3721</v>
      </c>
      <c r="J918" s="2">
        <v>46086.40495705288</v>
      </c>
    </row>
    <row r="919" spans="1:10" x14ac:dyDescent="0.55000000000000004">
      <c r="A919" t="s">
        <v>3722</v>
      </c>
      <c r="B919">
        <v>100736</v>
      </c>
      <c r="C919" t="s">
        <v>179</v>
      </c>
      <c r="D919" s="1">
        <v>45777</v>
      </c>
      <c r="E919" t="s">
        <v>115</v>
      </c>
      <c r="F919" t="s">
        <v>3723</v>
      </c>
      <c r="G919" t="s">
        <v>15</v>
      </c>
      <c r="H919" t="s">
        <v>3724</v>
      </c>
      <c r="I919" t="s">
        <v>3725</v>
      </c>
      <c r="J919" s="2">
        <v>46073.173707057053</v>
      </c>
    </row>
    <row r="920" spans="1:10" x14ac:dyDescent="0.55000000000000004">
      <c r="A920" t="s">
        <v>3726</v>
      </c>
      <c r="B920">
        <v>100834</v>
      </c>
      <c r="C920" t="s">
        <v>68</v>
      </c>
      <c r="D920" s="1">
        <v>46063</v>
      </c>
      <c r="E920" t="s">
        <v>199</v>
      </c>
      <c r="F920" t="s">
        <v>3727</v>
      </c>
      <c r="G920" t="s">
        <v>22</v>
      </c>
      <c r="H920" t="s">
        <v>3728</v>
      </c>
      <c r="I920" t="s">
        <v>3729</v>
      </c>
      <c r="J920" s="2">
        <v>46070.304957061147</v>
      </c>
    </row>
    <row r="921" spans="1:10" x14ac:dyDescent="0.55000000000000004">
      <c r="A921" t="s">
        <v>3730</v>
      </c>
      <c r="B921">
        <v>100627</v>
      </c>
      <c r="C921" t="s">
        <v>99</v>
      </c>
      <c r="D921" s="1">
        <v>45799</v>
      </c>
      <c r="E921" t="s">
        <v>141</v>
      </c>
      <c r="F921" t="s">
        <v>3731</v>
      </c>
      <c r="G921" t="s">
        <v>22</v>
      </c>
      <c r="H921" t="s">
        <v>3732</v>
      </c>
      <c r="I921" t="s">
        <v>3733</v>
      </c>
      <c r="J921" s="2">
        <v>46065.461901510382</v>
      </c>
    </row>
    <row r="922" spans="1:10" x14ac:dyDescent="0.55000000000000004">
      <c r="A922" t="s">
        <v>3734</v>
      </c>
      <c r="B922">
        <v>100453</v>
      </c>
      <c r="C922" t="s">
        <v>19</v>
      </c>
      <c r="D922" s="1">
        <v>45960</v>
      </c>
      <c r="E922" t="s">
        <v>58</v>
      </c>
      <c r="F922" t="s">
        <v>3735</v>
      </c>
      <c r="G922" t="s">
        <v>22</v>
      </c>
      <c r="H922" t="s">
        <v>3736</v>
      </c>
      <c r="I922" t="s">
        <v>3737</v>
      </c>
      <c r="J922" s="2">
        <v>46092.145234848627</v>
      </c>
    </row>
    <row r="923" spans="1:10" x14ac:dyDescent="0.55000000000000004">
      <c r="A923" t="s">
        <v>3738</v>
      </c>
      <c r="B923">
        <v>100912</v>
      </c>
      <c r="C923" t="s">
        <v>63</v>
      </c>
      <c r="D923" s="1">
        <v>46046</v>
      </c>
      <c r="E923" t="s">
        <v>69</v>
      </c>
      <c r="F923" t="s">
        <v>3739</v>
      </c>
      <c r="G923" t="s">
        <v>22</v>
      </c>
      <c r="H923" t="s">
        <v>3740</v>
      </c>
      <c r="I923" t="s">
        <v>3741</v>
      </c>
      <c r="J923" s="2">
        <v>46092.688984853383</v>
      </c>
    </row>
    <row r="924" spans="1:10" x14ac:dyDescent="0.55000000000000004">
      <c r="A924" t="s">
        <v>3742</v>
      </c>
      <c r="B924">
        <v>100773</v>
      </c>
      <c r="C924" t="s">
        <v>82</v>
      </c>
      <c r="D924" s="1">
        <v>45906</v>
      </c>
      <c r="E924" t="s">
        <v>189</v>
      </c>
      <c r="F924" t="s">
        <v>3743</v>
      </c>
      <c r="G924" t="s">
        <v>15</v>
      </c>
      <c r="H924" t="s">
        <v>3744</v>
      </c>
      <c r="I924" t="s">
        <v>3745</v>
      </c>
      <c r="J924" s="2">
        <v>46065.996623747167</v>
      </c>
    </row>
    <row r="925" spans="1:10" x14ac:dyDescent="0.55000000000000004">
      <c r="A925" t="s">
        <v>3746</v>
      </c>
      <c r="B925">
        <v>100324</v>
      </c>
      <c r="C925" t="s">
        <v>82</v>
      </c>
      <c r="D925" s="1">
        <v>45774</v>
      </c>
      <c r="E925" t="s">
        <v>757</v>
      </c>
      <c r="F925" t="s">
        <v>3747</v>
      </c>
      <c r="G925" t="s">
        <v>15</v>
      </c>
      <c r="H925" t="s">
        <v>3748</v>
      </c>
      <c r="I925" t="s">
        <v>3749</v>
      </c>
      <c r="J925" s="2">
        <v>46067.31884597418</v>
      </c>
    </row>
    <row r="926" spans="1:10" x14ac:dyDescent="0.55000000000000004">
      <c r="A926" t="s">
        <v>3750</v>
      </c>
      <c r="B926">
        <v>100609</v>
      </c>
      <c r="C926" t="s">
        <v>114</v>
      </c>
      <c r="D926" s="1">
        <v>45797</v>
      </c>
      <c r="E926" t="s">
        <v>208</v>
      </c>
      <c r="F926" t="s">
        <v>3751</v>
      </c>
      <c r="G926" t="s">
        <v>22</v>
      </c>
      <c r="H926" t="s">
        <v>3752</v>
      </c>
      <c r="I926" t="s">
        <v>3753</v>
      </c>
      <c r="J926" s="2">
        <v>46061.678568200317</v>
      </c>
    </row>
    <row r="927" spans="1:10" x14ac:dyDescent="0.55000000000000004">
      <c r="A927" t="s">
        <v>3754</v>
      </c>
      <c r="B927">
        <v>100572</v>
      </c>
      <c r="C927" t="s">
        <v>146</v>
      </c>
      <c r="D927" s="1">
        <v>45771</v>
      </c>
      <c r="E927" t="s">
        <v>38</v>
      </c>
      <c r="F927" t="s">
        <v>3755</v>
      </c>
      <c r="G927" t="s">
        <v>15</v>
      </c>
      <c r="H927" t="s">
        <v>3756</v>
      </c>
      <c r="I927" t="s">
        <v>3757</v>
      </c>
      <c r="J927" s="2">
        <v>46065.14176264972</v>
      </c>
    </row>
    <row r="928" spans="1:10" x14ac:dyDescent="0.55000000000000004">
      <c r="A928" t="s">
        <v>3758</v>
      </c>
      <c r="B928">
        <v>101055</v>
      </c>
      <c r="C928" t="s">
        <v>94</v>
      </c>
      <c r="D928" s="1">
        <v>45780</v>
      </c>
      <c r="E928" t="s">
        <v>27</v>
      </c>
      <c r="F928" t="s">
        <v>3759</v>
      </c>
      <c r="G928" t="s">
        <v>22</v>
      </c>
      <c r="H928" t="s">
        <v>3760</v>
      </c>
      <c r="I928" t="s">
        <v>3761</v>
      </c>
      <c r="J928" s="2">
        <v>46075.384123765623</v>
      </c>
    </row>
    <row r="929" spans="1:11" x14ac:dyDescent="0.55000000000000004">
      <c r="A929" t="s">
        <v>3762</v>
      </c>
      <c r="B929">
        <v>101118</v>
      </c>
      <c r="C929" t="s">
        <v>26</v>
      </c>
      <c r="D929" s="1">
        <v>45773</v>
      </c>
      <c r="E929" t="s">
        <v>243</v>
      </c>
      <c r="F929" t="s">
        <v>3763</v>
      </c>
      <c r="G929" t="s">
        <v>15</v>
      </c>
      <c r="H929" t="s">
        <v>3764</v>
      </c>
      <c r="I929" t="s">
        <v>3765</v>
      </c>
      <c r="J929" s="2">
        <v>46086.187595992677</v>
      </c>
    </row>
    <row r="930" spans="1:11" x14ac:dyDescent="0.55000000000000004">
      <c r="A930" t="s">
        <v>3766</v>
      </c>
      <c r="B930">
        <v>100937</v>
      </c>
      <c r="D930" s="1">
        <v>45774</v>
      </c>
      <c r="E930" t="s">
        <v>49</v>
      </c>
      <c r="F930" t="s">
        <v>3767</v>
      </c>
      <c r="G930" t="s">
        <v>22</v>
      </c>
      <c r="H930" t="s">
        <v>3768</v>
      </c>
      <c r="I930" t="s">
        <v>3769</v>
      </c>
      <c r="J930" s="2">
        <v>46060.099401552972</v>
      </c>
      <c r="K930" t="s">
        <v>217</v>
      </c>
    </row>
    <row r="931" spans="1:11" x14ac:dyDescent="0.55000000000000004">
      <c r="A931" t="s">
        <v>3770</v>
      </c>
      <c r="B931">
        <v>100820</v>
      </c>
      <c r="C931" t="s">
        <v>88</v>
      </c>
      <c r="D931" s="1">
        <v>46051</v>
      </c>
      <c r="E931" t="s">
        <v>356</v>
      </c>
      <c r="F931" t="s">
        <v>3771</v>
      </c>
      <c r="G931" t="s">
        <v>15</v>
      </c>
      <c r="H931" t="s">
        <v>3772</v>
      </c>
      <c r="I931" t="s">
        <v>3773</v>
      </c>
      <c r="J931" s="2">
        <v>46086.634818223763</v>
      </c>
    </row>
    <row r="932" spans="1:11" x14ac:dyDescent="0.55000000000000004">
      <c r="A932" t="s">
        <v>3774</v>
      </c>
      <c r="B932">
        <v>100136</v>
      </c>
      <c r="C932" t="s">
        <v>99</v>
      </c>
      <c r="D932" s="1">
        <v>45864</v>
      </c>
      <c r="E932" t="s">
        <v>243</v>
      </c>
      <c r="F932" t="s">
        <v>3775</v>
      </c>
      <c r="G932" t="s">
        <v>15</v>
      </c>
      <c r="H932" t="s">
        <v>3776</v>
      </c>
      <c r="I932" t="s">
        <v>3777</v>
      </c>
      <c r="J932" s="2">
        <v>46072.580651561402</v>
      </c>
    </row>
    <row r="933" spans="1:11" x14ac:dyDescent="0.55000000000000004">
      <c r="A933" t="s">
        <v>3778</v>
      </c>
      <c r="B933">
        <v>100467</v>
      </c>
      <c r="C933" t="s">
        <v>37</v>
      </c>
      <c r="D933" s="1">
        <v>45819</v>
      </c>
      <c r="E933" t="s">
        <v>213</v>
      </c>
      <c r="F933" t="s">
        <v>3779</v>
      </c>
      <c r="G933" t="s">
        <v>22</v>
      </c>
      <c r="H933" t="s">
        <v>3780</v>
      </c>
      <c r="I933" t="s">
        <v>3781</v>
      </c>
      <c r="J933" s="2">
        <v>46077.866762676538</v>
      </c>
    </row>
    <row r="934" spans="1:11" x14ac:dyDescent="0.55000000000000004">
      <c r="A934" t="s">
        <v>3782</v>
      </c>
      <c r="B934">
        <v>101200</v>
      </c>
      <c r="C934" t="s">
        <v>99</v>
      </c>
      <c r="D934" s="1">
        <v>45916</v>
      </c>
      <c r="E934" t="s">
        <v>300</v>
      </c>
      <c r="F934" t="s">
        <v>3783</v>
      </c>
      <c r="G934" t="s">
        <v>15</v>
      </c>
      <c r="H934" t="s">
        <v>3784</v>
      </c>
      <c r="I934" t="s">
        <v>3785</v>
      </c>
      <c r="J934" s="2">
        <v>46089.554262680802</v>
      </c>
    </row>
    <row r="935" spans="1:11" x14ac:dyDescent="0.55000000000000004">
      <c r="A935" t="s">
        <v>3786</v>
      </c>
      <c r="B935">
        <v>100868</v>
      </c>
      <c r="C935" t="s">
        <v>37</v>
      </c>
      <c r="D935" s="1">
        <v>45829</v>
      </c>
      <c r="E935" t="s">
        <v>155</v>
      </c>
      <c r="F935" t="s">
        <v>3787</v>
      </c>
      <c r="G935" t="s">
        <v>15</v>
      </c>
      <c r="H935" t="s">
        <v>3788</v>
      </c>
      <c r="I935" t="s">
        <v>3789</v>
      </c>
      <c r="J935" s="2">
        <v>46096.448707129282</v>
      </c>
    </row>
    <row r="936" spans="1:11" x14ac:dyDescent="0.55000000000000004">
      <c r="A936" t="s">
        <v>3790</v>
      </c>
      <c r="B936">
        <v>101481</v>
      </c>
      <c r="C936" t="s">
        <v>19</v>
      </c>
      <c r="D936" s="1">
        <v>46064</v>
      </c>
      <c r="E936" t="s">
        <v>317</v>
      </c>
      <c r="F936" t="s">
        <v>3791</v>
      </c>
      <c r="G936" t="s">
        <v>15</v>
      </c>
      <c r="H936" t="s">
        <v>3792</v>
      </c>
      <c r="I936" t="s">
        <v>3793</v>
      </c>
      <c r="J936" s="2">
        <v>46069.855651577927</v>
      </c>
    </row>
    <row r="937" spans="1:11" x14ac:dyDescent="0.55000000000000004">
      <c r="A937" t="s">
        <v>3794</v>
      </c>
      <c r="B937">
        <v>101066</v>
      </c>
      <c r="C937" t="s">
        <v>146</v>
      </c>
      <c r="D937" s="1">
        <v>45829</v>
      </c>
      <c r="E937" t="s">
        <v>20</v>
      </c>
      <c r="F937" t="s">
        <v>3795</v>
      </c>
      <c r="G937" t="s">
        <v>22</v>
      </c>
      <c r="H937" t="s">
        <v>3796</v>
      </c>
      <c r="I937" t="s">
        <v>3797</v>
      </c>
      <c r="J937" s="2">
        <v>46088.072318248589</v>
      </c>
    </row>
    <row r="938" spans="1:11" x14ac:dyDescent="0.55000000000000004">
      <c r="A938" t="s">
        <v>3798</v>
      </c>
      <c r="B938">
        <v>101497</v>
      </c>
      <c r="C938" t="s">
        <v>94</v>
      </c>
      <c r="D938" s="1">
        <v>45743</v>
      </c>
      <c r="E938" t="s">
        <v>115</v>
      </c>
      <c r="F938" t="s">
        <v>2846</v>
      </c>
      <c r="G938" t="s">
        <v>15</v>
      </c>
      <c r="H938" t="s">
        <v>3799</v>
      </c>
      <c r="I938" t="s">
        <v>3800</v>
      </c>
      <c r="J938" s="2">
        <v>46053.113290475092</v>
      </c>
    </row>
    <row r="939" spans="1:11" x14ac:dyDescent="0.55000000000000004">
      <c r="A939" t="s">
        <v>3801</v>
      </c>
      <c r="B939">
        <v>100475</v>
      </c>
      <c r="C939" t="s">
        <v>19</v>
      </c>
      <c r="D939" s="1">
        <v>45973</v>
      </c>
      <c r="E939" t="s">
        <v>69</v>
      </c>
      <c r="F939" t="s">
        <v>3802</v>
      </c>
      <c r="G939" t="s">
        <v>15</v>
      </c>
      <c r="H939" t="s">
        <v>3803</v>
      </c>
      <c r="I939" t="s">
        <v>3804</v>
      </c>
      <c r="J939" s="2">
        <v>46085.327179368738</v>
      </c>
    </row>
    <row r="940" spans="1:11" x14ac:dyDescent="0.55000000000000004">
      <c r="A940" t="s">
        <v>3805</v>
      </c>
      <c r="B940">
        <v>100530</v>
      </c>
      <c r="C940" t="s">
        <v>26</v>
      </c>
      <c r="D940" s="1">
        <v>46156</v>
      </c>
      <c r="E940" t="s">
        <v>295</v>
      </c>
      <c r="F940" t="s">
        <v>3806</v>
      </c>
      <c r="G940" t="s">
        <v>15</v>
      </c>
      <c r="H940" t="s">
        <v>3807</v>
      </c>
      <c r="I940" t="s">
        <v>3808</v>
      </c>
      <c r="J940" s="2">
        <v>46090.849401595733</v>
      </c>
    </row>
    <row r="941" spans="1:11" x14ac:dyDescent="0.55000000000000004">
      <c r="A941" t="s">
        <v>3809</v>
      </c>
      <c r="B941">
        <v>100712</v>
      </c>
      <c r="C941" t="s">
        <v>94</v>
      </c>
      <c r="D941" s="1">
        <v>45944</v>
      </c>
      <c r="E941" t="s">
        <v>27</v>
      </c>
      <c r="F941" t="s">
        <v>3810</v>
      </c>
      <c r="G941" t="s">
        <v>22</v>
      </c>
      <c r="H941" t="s">
        <v>3811</v>
      </c>
      <c r="I941" t="s">
        <v>3812</v>
      </c>
      <c r="J941" s="2">
        <v>46095.052873822016</v>
      </c>
    </row>
    <row r="942" spans="1:11" x14ac:dyDescent="0.55000000000000004">
      <c r="A942" t="s">
        <v>3813</v>
      </c>
      <c r="B942">
        <v>100823</v>
      </c>
      <c r="C942" t="s">
        <v>179</v>
      </c>
      <c r="D942" s="1">
        <v>45980</v>
      </c>
      <c r="E942" t="s">
        <v>213</v>
      </c>
      <c r="F942" t="s">
        <v>3814</v>
      </c>
      <c r="G942" t="s">
        <v>15</v>
      </c>
      <c r="H942" t="s">
        <v>3815</v>
      </c>
      <c r="I942" t="s">
        <v>3816</v>
      </c>
      <c r="J942" s="2">
        <v>46052.659818271321</v>
      </c>
    </row>
    <row r="943" spans="1:11" x14ac:dyDescent="0.55000000000000004">
      <c r="A943" t="s">
        <v>3817</v>
      </c>
      <c r="B943">
        <v>100180</v>
      </c>
      <c r="C943" t="s">
        <v>82</v>
      </c>
      <c r="D943" s="1">
        <v>45741</v>
      </c>
      <c r="E943" t="s">
        <v>467</v>
      </c>
      <c r="F943" t="s">
        <v>3818</v>
      </c>
      <c r="G943" t="s">
        <v>15</v>
      </c>
      <c r="H943" t="s">
        <v>3819</v>
      </c>
      <c r="I943" t="s">
        <v>3820</v>
      </c>
      <c r="J943" s="2">
        <v>46079.82440160869</v>
      </c>
    </row>
    <row r="944" spans="1:11" x14ac:dyDescent="0.55000000000000004">
      <c r="A944" t="s">
        <v>3821</v>
      </c>
      <c r="B944">
        <v>101367</v>
      </c>
      <c r="C944" t="s">
        <v>94</v>
      </c>
      <c r="D944" s="1">
        <v>45974</v>
      </c>
      <c r="E944" t="s">
        <v>69</v>
      </c>
      <c r="F944" t="s">
        <v>3822</v>
      </c>
      <c r="G944" t="s">
        <v>22</v>
      </c>
      <c r="H944" t="s">
        <v>3823</v>
      </c>
      <c r="I944" t="s">
        <v>3824</v>
      </c>
      <c r="J944" s="2">
        <v>46068.75426272396</v>
      </c>
    </row>
    <row r="945" spans="1:11" x14ac:dyDescent="0.55000000000000004">
      <c r="A945" t="s">
        <v>3825</v>
      </c>
      <c r="B945">
        <v>101391</v>
      </c>
      <c r="C945" t="s">
        <v>94</v>
      </c>
      <c r="D945" s="1">
        <v>45742</v>
      </c>
      <c r="E945" t="s">
        <v>20</v>
      </c>
      <c r="F945" t="s">
        <v>3826</v>
      </c>
      <c r="G945" t="s">
        <v>15</v>
      </c>
      <c r="H945" t="s">
        <v>3827</v>
      </c>
      <c r="I945" t="s">
        <v>3828</v>
      </c>
      <c r="J945" s="2">
        <v>46067.25704050561</v>
      </c>
    </row>
    <row r="946" spans="1:11" x14ac:dyDescent="0.55000000000000004">
      <c r="A946" t="s">
        <v>3829</v>
      </c>
      <c r="B946">
        <v>100797</v>
      </c>
      <c r="C946" t="s">
        <v>88</v>
      </c>
      <c r="D946" s="1">
        <v>45850</v>
      </c>
      <c r="E946" t="s">
        <v>160</v>
      </c>
      <c r="F946" t="s">
        <v>3830</v>
      </c>
      <c r="G946" t="s">
        <v>22</v>
      </c>
      <c r="H946" t="s">
        <v>3831</v>
      </c>
      <c r="I946" t="s">
        <v>3832</v>
      </c>
      <c r="J946" s="2">
        <v>46089.32926273207</v>
      </c>
    </row>
    <row r="947" spans="1:11" x14ac:dyDescent="0.55000000000000004">
      <c r="A947" t="s">
        <v>3833</v>
      </c>
      <c r="B947">
        <v>100109</v>
      </c>
      <c r="C947" t="s">
        <v>179</v>
      </c>
      <c r="D947" s="1">
        <v>45945</v>
      </c>
      <c r="E947" t="s">
        <v>300</v>
      </c>
      <c r="F947" t="s">
        <v>3834</v>
      </c>
      <c r="G947" t="s">
        <v>15</v>
      </c>
      <c r="H947" t="s">
        <v>3835</v>
      </c>
      <c r="I947" t="s">
        <v>3836</v>
      </c>
      <c r="J947" s="2">
        <v>46058.451484958277</v>
      </c>
    </row>
    <row r="948" spans="1:11" x14ac:dyDescent="0.55000000000000004">
      <c r="A948" t="s">
        <v>3837</v>
      </c>
      <c r="B948">
        <v>100906</v>
      </c>
      <c r="C948" t="s">
        <v>68</v>
      </c>
      <c r="D948" s="1">
        <v>46085</v>
      </c>
      <c r="E948" t="s">
        <v>121</v>
      </c>
      <c r="F948" t="s">
        <v>3838</v>
      </c>
      <c r="G948" t="s">
        <v>15</v>
      </c>
      <c r="H948" t="s">
        <v>3839</v>
      </c>
      <c r="I948" t="s">
        <v>3840</v>
      </c>
      <c r="J948" s="2">
        <v>46085.52370718462</v>
      </c>
    </row>
    <row r="949" spans="1:11" x14ac:dyDescent="0.55000000000000004">
      <c r="A949" t="s">
        <v>3841</v>
      </c>
      <c r="B949">
        <v>101046</v>
      </c>
      <c r="D949" s="1">
        <v>45983</v>
      </c>
      <c r="E949" t="s">
        <v>69</v>
      </c>
      <c r="F949" t="s">
        <v>3842</v>
      </c>
      <c r="G949" t="s">
        <v>22</v>
      </c>
      <c r="H949" t="s">
        <v>3843</v>
      </c>
      <c r="I949" t="s">
        <v>3844</v>
      </c>
      <c r="J949" s="2">
        <v>46078.412596078488</v>
      </c>
      <c r="K949" t="s">
        <v>217</v>
      </c>
    </row>
    <row r="950" spans="1:11" x14ac:dyDescent="0.55000000000000004">
      <c r="A950" t="s">
        <v>3845</v>
      </c>
      <c r="B950">
        <v>100881</v>
      </c>
      <c r="C950" t="s">
        <v>248</v>
      </c>
      <c r="D950" s="1">
        <v>46017</v>
      </c>
      <c r="E950" t="s">
        <v>155</v>
      </c>
      <c r="F950" t="s">
        <v>3846</v>
      </c>
      <c r="G950" t="s">
        <v>22</v>
      </c>
      <c r="H950" t="s">
        <v>3847</v>
      </c>
      <c r="I950" t="s">
        <v>3848</v>
      </c>
      <c r="J950" s="2">
        <v>46081.238290529502</v>
      </c>
    </row>
    <row r="951" spans="1:11" x14ac:dyDescent="0.55000000000000004">
      <c r="A951" t="s">
        <v>3849</v>
      </c>
      <c r="B951">
        <v>100768</v>
      </c>
      <c r="C951" t="s">
        <v>48</v>
      </c>
      <c r="D951" s="1">
        <v>45821</v>
      </c>
      <c r="E951" t="s">
        <v>13</v>
      </c>
      <c r="F951" t="s">
        <v>3850</v>
      </c>
      <c r="G951" t="s">
        <v>22</v>
      </c>
      <c r="H951" t="s">
        <v>3851</v>
      </c>
      <c r="I951" t="s">
        <v>3852</v>
      </c>
      <c r="J951" s="2">
        <v>46089.868151645489</v>
      </c>
    </row>
    <row r="952" spans="1:11" x14ac:dyDescent="0.55000000000000004">
      <c r="A952" t="s">
        <v>3853</v>
      </c>
      <c r="B952">
        <v>100914</v>
      </c>
      <c r="C952" t="s">
        <v>194</v>
      </c>
      <c r="D952" s="1">
        <v>45793</v>
      </c>
      <c r="E952" t="s">
        <v>208</v>
      </c>
      <c r="F952" t="s">
        <v>3854</v>
      </c>
      <c r="G952" t="s">
        <v>22</v>
      </c>
      <c r="H952" t="s">
        <v>3855</v>
      </c>
      <c r="I952" t="s">
        <v>3856</v>
      </c>
      <c r="J952" s="2">
        <v>46075.679957205088</v>
      </c>
    </row>
    <row r="953" spans="1:11" x14ac:dyDescent="0.55000000000000004">
      <c r="A953" t="s">
        <v>3857</v>
      </c>
      <c r="B953">
        <v>100005</v>
      </c>
      <c r="C953" t="s">
        <v>146</v>
      </c>
      <c r="D953" s="1">
        <v>45868</v>
      </c>
      <c r="E953" t="s">
        <v>317</v>
      </c>
      <c r="F953" t="s">
        <v>3858</v>
      </c>
      <c r="G953" t="s">
        <v>15</v>
      </c>
      <c r="H953" t="s">
        <v>3859</v>
      </c>
      <c r="I953" t="s">
        <v>3860</v>
      </c>
      <c r="J953" s="2">
        <v>46052.674401654571</v>
      </c>
    </row>
    <row r="954" spans="1:11" x14ac:dyDescent="0.55000000000000004">
      <c r="A954" t="s">
        <v>3861</v>
      </c>
      <c r="B954">
        <v>101453</v>
      </c>
      <c r="C954" t="s">
        <v>88</v>
      </c>
      <c r="D954" s="1">
        <v>46141</v>
      </c>
      <c r="E954" t="s">
        <v>141</v>
      </c>
      <c r="F954" t="s">
        <v>3862</v>
      </c>
      <c r="G954" t="s">
        <v>15</v>
      </c>
      <c r="H954" t="s">
        <v>3863</v>
      </c>
      <c r="I954" t="s">
        <v>3864</v>
      </c>
      <c r="J954" s="2">
        <v>46062.686901660891</v>
      </c>
    </row>
    <row r="955" spans="1:11" x14ac:dyDescent="0.55000000000000004">
      <c r="A955" t="s">
        <v>3865</v>
      </c>
      <c r="B955">
        <v>100671</v>
      </c>
      <c r="C955" t="s">
        <v>82</v>
      </c>
      <c r="D955" s="1">
        <v>45785</v>
      </c>
      <c r="E955" t="s">
        <v>317</v>
      </c>
      <c r="F955" t="s">
        <v>3866</v>
      </c>
      <c r="G955" t="s">
        <v>15</v>
      </c>
      <c r="H955" t="s">
        <v>3867</v>
      </c>
      <c r="I955" t="s">
        <v>3868</v>
      </c>
      <c r="J955" s="2">
        <v>46084.232040555456</v>
      </c>
    </row>
    <row r="956" spans="1:11" x14ac:dyDescent="0.55000000000000004">
      <c r="A956" t="s">
        <v>3869</v>
      </c>
      <c r="B956">
        <v>100151</v>
      </c>
      <c r="C956" t="s">
        <v>48</v>
      </c>
      <c r="D956" s="1">
        <v>46104</v>
      </c>
      <c r="E956" t="s">
        <v>757</v>
      </c>
      <c r="F956" t="s">
        <v>3870</v>
      </c>
      <c r="G956" t="s">
        <v>22</v>
      </c>
      <c r="H956" t="s">
        <v>3871</v>
      </c>
      <c r="I956" t="s">
        <v>3872</v>
      </c>
      <c r="J956" s="2">
        <v>46091.527179450422</v>
      </c>
    </row>
    <row r="957" spans="1:11" x14ac:dyDescent="0.55000000000000004">
      <c r="A957" t="s">
        <v>3873</v>
      </c>
      <c r="B957">
        <v>100249</v>
      </c>
      <c r="C957" t="s">
        <v>63</v>
      </c>
      <c r="D957" s="1">
        <v>45903</v>
      </c>
      <c r="E957" t="s">
        <v>155</v>
      </c>
      <c r="F957" t="s">
        <v>3874</v>
      </c>
      <c r="G957" t="s">
        <v>15</v>
      </c>
      <c r="H957" t="s">
        <v>3875</v>
      </c>
      <c r="I957" t="s">
        <v>3876</v>
      </c>
      <c r="J957" s="2">
        <v>46069.154957234168</v>
      </c>
    </row>
    <row r="958" spans="1:11" x14ac:dyDescent="0.55000000000000004">
      <c r="A958" t="s">
        <v>3877</v>
      </c>
      <c r="B958">
        <v>100409</v>
      </c>
      <c r="C958" t="s">
        <v>37</v>
      </c>
      <c r="D958" s="1">
        <v>45857</v>
      </c>
      <c r="E958" t="s">
        <v>49</v>
      </c>
      <c r="F958" t="s">
        <v>3878</v>
      </c>
      <c r="G958" t="s">
        <v>15</v>
      </c>
      <c r="H958" t="s">
        <v>3879</v>
      </c>
      <c r="I958" t="s">
        <v>3880</v>
      </c>
      <c r="J958" s="2">
        <v>46092.368151684153</v>
      </c>
      <c r="K958" t="s">
        <v>119</v>
      </c>
    </row>
    <row r="959" spans="1:11" x14ac:dyDescent="0.55000000000000004">
      <c r="A959" t="s">
        <v>3881</v>
      </c>
      <c r="B959">
        <v>100506</v>
      </c>
      <c r="C959" t="s">
        <v>63</v>
      </c>
      <c r="D959" s="1">
        <v>46098</v>
      </c>
      <c r="E959" t="s">
        <v>356</v>
      </c>
      <c r="F959" t="s">
        <v>3882</v>
      </c>
      <c r="G959" t="s">
        <v>15</v>
      </c>
      <c r="H959" t="s">
        <v>3883</v>
      </c>
      <c r="I959" t="s">
        <v>3884</v>
      </c>
      <c r="J959" s="2">
        <v>46064.146623911263</v>
      </c>
    </row>
    <row r="960" spans="1:11" x14ac:dyDescent="0.55000000000000004">
      <c r="A960" t="s">
        <v>3885</v>
      </c>
      <c r="B960">
        <v>101438</v>
      </c>
      <c r="C960" t="s">
        <v>194</v>
      </c>
      <c r="D960" s="1">
        <v>45802</v>
      </c>
      <c r="E960" t="s">
        <v>757</v>
      </c>
      <c r="F960" t="s">
        <v>3886</v>
      </c>
      <c r="G960" t="s">
        <v>22</v>
      </c>
      <c r="H960" t="s">
        <v>3887</v>
      </c>
      <c r="I960" t="s">
        <v>3888</v>
      </c>
      <c r="J960" s="2">
        <v>46063.775790582418</v>
      </c>
    </row>
    <row r="961" spans="1:10" x14ac:dyDescent="0.55000000000000004">
      <c r="A961" t="s">
        <v>3889</v>
      </c>
      <c r="B961">
        <v>100713</v>
      </c>
      <c r="C961" t="s">
        <v>63</v>
      </c>
      <c r="D961" s="1">
        <v>45747</v>
      </c>
      <c r="E961" t="s">
        <v>265</v>
      </c>
      <c r="F961" t="s">
        <v>3890</v>
      </c>
      <c r="G961" t="s">
        <v>15</v>
      </c>
      <c r="H961" t="s">
        <v>3891</v>
      </c>
      <c r="I961" t="s">
        <v>3892</v>
      </c>
      <c r="J961" s="2">
        <v>46092.265373920563</v>
      </c>
    </row>
    <row r="962" spans="1:10" x14ac:dyDescent="0.55000000000000004">
      <c r="A962" t="s">
        <v>3893</v>
      </c>
      <c r="B962">
        <v>101454</v>
      </c>
      <c r="C962" t="s">
        <v>169</v>
      </c>
      <c r="D962" s="1">
        <v>45937</v>
      </c>
      <c r="E962" t="s">
        <v>69</v>
      </c>
      <c r="F962" t="s">
        <v>3894</v>
      </c>
      <c r="G962" t="s">
        <v>15</v>
      </c>
      <c r="H962" t="s">
        <v>3895</v>
      </c>
      <c r="I962" t="s">
        <v>3896</v>
      </c>
      <c r="J962" s="2">
        <v>46072.69384614686</v>
      </c>
    </row>
    <row r="963" spans="1:10" x14ac:dyDescent="0.55000000000000004">
      <c r="A963" t="s">
        <v>3897</v>
      </c>
      <c r="B963">
        <v>100199</v>
      </c>
      <c r="C963" t="s">
        <v>114</v>
      </c>
      <c r="D963" s="1">
        <v>46026</v>
      </c>
      <c r="E963" t="s">
        <v>317</v>
      </c>
      <c r="F963" t="s">
        <v>3898</v>
      </c>
      <c r="G963" t="s">
        <v>22</v>
      </c>
      <c r="H963" t="s">
        <v>3899</v>
      </c>
      <c r="I963" t="s">
        <v>3900</v>
      </c>
      <c r="J963" s="2">
        <v>46071.174401706507</v>
      </c>
    </row>
    <row r="964" spans="1:10" x14ac:dyDescent="0.55000000000000004">
      <c r="A964" t="s">
        <v>3901</v>
      </c>
      <c r="B964">
        <v>100589</v>
      </c>
      <c r="C964" t="s">
        <v>146</v>
      </c>
      <c r="D964" s="1">
        <v>45887</v>
      </c>
      <c r="E964" t="s">
        <v>126</v>
      </c>
      <c r="F964" t="s">
        <v>3902</v>
      </c>
      <c r="G964" t="s">
        <v>15</v>
      </c>
      <c r="H964" t="s">
        <v>3903</v>
      </c>
      <c r="I964" t="s">
        <v>3904</v>
      </c>
      <c r="J964" s="2">
        <v>46079.995929489152</v>
      </c>
    </row>
    <row r="965" spans="1:10" x14ac:dyDescent="0.55000000000000004">
      <c r="A965" t="s">
        <v>3905</v>
      </c>
      <c r="B965">
        <v>101392</v>
      </c>
      <c r="C965" t="s">
        <v>99</v>
      </c>
      <c r="D965" s="1">
        <v>45807</v>
      </c>
      <c r="E965" t="s">
        <v>680</v>
      </c>
      <c r="F965" t="s">
        <v>3906</v>
      </c>
      <c r="G965" t="s">
        <v>22</v>
      </c>
      <c r="H965" t="s">
        <v>3907</v>
      </c>
      <c r="I965" t="s">
        <v>3908</v>
      </c>
      <c r="J965" s="2">
        <v>46053.254957271783</v>
      </c>
    </row>
    <row r="966" spans="1:10" x14ac:dyDescent="0.55000000000000004">
      <c r="A966" t="s">
        <v>3909</v>
      </c>
      <c r="B966">
        <v>101480</v>
      </c>
      <c r="C966" t="s">
        <v>179</v>
      </c>
      <c r="D966" s="1">
        <v>46129</v>
      </c>
      <c r="E966" t="s">
        <v>20</v>
      </c>
      <c r="F966" t="s">
        <v>3910</v>
      </c>
      <c r="G966" t="s">
        <v>15</v>
      </c>
      <c r="H966" t="s">
        <v>3911</v>
      </c>
      <c r="I966" t="s">
        <v>3912</v>
      </c>
      <c r="J966" s="2">
        <v>46094.982040609953</v>
      </c>
    </row>
    <row r="967" spans="1:10" x14ac:dyDescent="0.55000000000000004">
      <c r="A967" t="s">
        <v>3913</v>
      </c>
      <c r="B967">
        <v>100424</v>
      </c>
      <c r="C967" t="s">
        <v>169</v>
      </c>
      <c r="D967" s="1">
        <v>45931</v>
      </c>
      <c r="E967" t="s">
        <v>562</v>
      </c>
      <c r="F967" t="s">
        <v>3914</v>
      </c>
      <c r="G967" t="s">
        <v>15</v>
      </c>
      <c r="H967" t="s">
        <v>3915</v>
      </c>
      <c r="I967" t="s">
        <v>3916</v>
      </c>
      <c r="J967" s="2">
        <v>46092.018846170511</v>
      </c>
    </row>
    <row r="968" spans="1:10" x14ac:dyDescent="0.55000000000000004">
      <c r="A968" t="s">
        <v>3917</v>
      </c>
      <c r="B968">
        <v>101072</v>
      </c>
      <c r="C968" t="s">
        <v>146</v>
      </c>
      <c r="D968" s="1">
        <v>45891</v>
      </c>
      <c r="E968" t="s">
        <v>199</v>
      </c>
      <c r="F968" t="s">
        <v>3918</v>
      </c>
      <c r="G968" t="s">
        <v>15</v>
      </c>
      <c r="H968" t="s">
        <v>3919</v>
      </c>
      <c r="I968" t="s">
        <v>3920</v>
      </c>
      <c r="J968" s="2">
        <v>46062.90356839756</v>
      </c>
    </row>
    <row r="969" spans="1:10" x14ac:dyDescent="0.55000000000000004">
      <c r="A969" t="s">
        <v>3369</v>
      </c>
      <c r="B969">
        <v>100074</v>
      </c>
      <c r="C969" t="s">
        <v>32</v>
      </c>
      <c r="D969" s="1">
        <v>45855</v>
      </c>
      <c r="E969" t="s">
        <v>757</v>
      </c>
      <c r="F969" t="s">
        <v>3921</v>
      </c>
      <c r="G969" t="s">
        <v>15</v>
      </c>
      <c r="H969" t="s">
        <v>3922</v>
      </c>
      <c r="I969" t="s">
        <v>3923</v>
      </c>
      <c r="J969" s="2">
        <v>46094.2160684017</v>
      </c>
    </row>
    <row r="970" spans="1:10" x14ac:dyDescent="0.55000000000000004">
      <c r="A970" t="s">
        <v>3924</v>
      </c>
      <c r="B970">
        <v>100786</v>
      </c>
      <c r="C970" t="s">
        <v>32</v>
      </c>
      <c r="D970" s="1">
        <v>46053</v>
      </c>
      <c r="E970" t="s">
        <v>343</v>
      </c>
      <c r="F970" t="s">
        <v>3925</v>
      </c>
      <c r="G970" t="s">
        <v>15</v>
      </c>
      <c r="H970" t="s">
        <v>3926</v>
      </c>
      <c r="I970" t="s">
        <v>3927</v>
      </c>
      <c r="J970" s="2">
        <v>46069.322318410254</v>
      </c>
    </row>
    <row r="971" spans="1:10" x14ac:dyDescent="0.55000000000000004">
      <c r="A971" t="s">
        <v>3928</v>
      </c>
      <c r="B971">
        <v>100870</v>
      </c>
      <c r="C971" t="s">
        <v>26</v>
      </c>
      <c r="D971" s="1">
        <v>46109</v>
      </c>
      <c r="E971" t="s">
        <v>69</v>
      </c>
      <c r="F971" t="s">
        <v>3929</v>
      </c>
      <c r="G971" t="s">
        <v>22</v>
      </c>
      <c r="H971" t="s">
        <v>3930</v>
      </c>
      <c r="I971" t="s">
        <v>3931</v>
      </c>
      <c r="J971" s="2">
        <v>46081.918846193563</v>
      </c>
    </row>
    <row r="972" spans="1:10" x14ac:dyDescent="0.55000000000000004">
      <c r="A972" t="s">
        <v>3932</v>
      </c>
      <c r="B972">
        <v>101073</v>
      </c>
      <c r="C972" t="s">
        <v>26</v>
      </c>
      <c r="D972" s="1">
        <v>46097</v>
      </c>
      <c r="E972" t="s">
        <v>587</v>
      </c>
      <c r="F972" t="s">
        <v>3933</v>
      </c>
      <c r="G972" t="s">
        <v>22</v>
      </c>
      <c r="H972" t="s">
        <v>3934</v>
      </c>
      <c r="I972" t="s">
        <v>3935</v>
      </c>
      <c r="J972" s="2">
        <v>46078.341762864897</v>
      </c>
    </row>
    <row r="973" spans="1:10" x14ac:dyDescent="0.55000000000000004">
      <c r="A973" t="s">
        <v>3936</v>
      </c>
      <c r="B973">
        <v>100486</v>
      </c>
      <c r="C973" t="s">
        <v>26</v>
      </c>
      <c r="D973" s="1">
        <v>46076</v>
      </c>
      <c r="E973" t="s">
        <v>317</v>
      </c>
      <c r="F973" t="s">
        <v>3937</v>
      </c>
      <c r="G973" t="s">
        <v>22</v>
      </c>
      <c r="H973" t="s">
        <v>3938</v>
      </c>
      <c r="I973" t="s">
        <v>3939</v>
      </c>
      <c r="J973" s="2">
        <v>46064.393846203457</v>
      </c>
    </row>
    <row r="974" spans="1:10" x14ac:dyDescent="0.55000000000000004">
      <c r="A974" t="s">
        <v>3940</v>
      </c>
      <c r="B974">
        <v>100250</v>
      </c>
      <c r="C974" t="s">
        <v>533</v>
      </c>
      <c r="D974" s="1">
        <v>45899</v>
      </c>
      <c r="E974" t="s">
        <v>160</v>
      </c>
      <c r="F974" t="s">
        <v>3941</v>
      </c>
      <c r="G974" t="s">
        <v>22</v>
      </c>
      <c r="H974" t="s">
        <v>3942</v>
      </c>
      <c r="I974" t="s">
        <v>3943</v>
      </c>
      <c r="J974" s="2">
        <v>46091.537596208073</v>
      </c>
    </row>
    <row r="975" spans="1:10" x14ac:dyDescent="0.55000000000000004">
      <c r="A975" t="s">
        <v>3944</v>
      </c>
      <c r="B975">
        <v>100047</v>
      </c>
      <c r="C975" t="s">
        <v>94</v>
      </c>
      <c r="D975" s="1">
        <v>46156</v>
      </c>
      <c r="E975" t="s">
        <v>141</v>
      </c>
      <c r="F975" t="s">
        <v>3945</v>
      </c>
      <c r="G975" t="s">
        <v>15</v>
      </c>
      <c r="H975" t="s">
        <v>3946</v>
      </c>
      <c r="I975" t="s">
        <v>3947</v>
      </c>
      <c r="J975" s="2">
        <v>46070.561207323961</v>
      </c>
    </row>
    <row r="976" spans="1:10" x14ac:dyDescent="0.55000000000000004">
      <c r="A976" t="s">
        <v>3948</v>
      </c>
      <c r="B976">
        <v>100025</v>
      </c>
      <c r="C976" t="s">
        <v>19</v>
      </c>
      <c r="D976" s="1">
        <v>45841</v>
      </c>
      <c r="E976" t="s">
        <v>295</v>
      </c>
      <c r="F976" t="s">
        <v>3949</v>
      </c>
      <c r="G976" t="s">
        <v>22</v>
      </c>
      <c r="H976" t="s">
        <v>3950</v>
      </c>
      <c r="I976" t="s">
        <v>3951</v>
      </c>
      <c r="J976" s="2">
        <v>46059.951485106867</v>
      </c>
    </row>
    <row r="977" spans="1:10" x14ac:dyDescent="0.55000000000000004">
      <c r="A977" t="s">
        <v>3952</v>
      </c>
      <c r="B977">
        <v>101159</v>
      </c>
      <c r="C977" t="s">
        <v>82</v>
      </c>
      <c r="D977" s="1">
        <v>46130</v>
      </c>
      <c r="E977" t="s">
        <v>467</v>
      </c>
      <c r="F977" t="s">
        <v>3953</v>
      </c>
      <c r="G977" t="s">
        <v>22</v>
      </c>
      <c r="H977" t="s">
        <v>3954</v>
      </c>
      <c r="I977" t="s">
        <v>3955</v>
      </c>
      <c r="J977" s="2">
        <v>46057.14384622324</v>
      </c>
    </row>
    <row r="978" spans="1:10" x14ac:dyDescent="0.55000000000000004">
      <c r="A978" t="s">
        <v>3956</v>
      </c>
      <c r="B978">
        <v>100203</v>
      </c>
      <c r="C978" t="s">
        <v>88</v>
      </c>
      <c r="D978" s="1">
        <v>46084</v>
      </c>
      <c r="E978" t="s">
        <v>757</v>
      </c>
      <c r="F978" t="s">
        <v>3957</v>
      </c>
      <c r="G978" t="s">
        <v>15</v>
      </c>
      <c r="H978" t="s">
        <v>3958</v>
      </c>
      <c r="I978" t="s">
        <v>3959</v>
      </c>
      <c r="J978" s="2">
        <v>46088.027179561483</v>
      </c>
    </row>
    <row r="979" spans="1:10" x14ac:dyDescent="0.55000000000000004">
      <c r="A979" t="s">
        <v>3960</v>
      </c>
      <c r="B979">
        <v>100825</v>
      </c>
      <c r="C979" t="s">
        <v>114</v>
      </c>
      <c r="D979" s="1">
        <v>45980</v>
      </c>
      <c r="E979" t="s">
        <v>121</v>
      </c>
      <c r="F979" t="s">
        <v>3961</v>
      </c>
      <c r="G979" t="s">
        <v>15</v>
      </c>
      <c r="H979" t="s">
        <v>3962</v>
      </c>
      <c r="I979" t="s">
        <v>3963</v>
      </c>
      <c r="J979" s="2">
        <v>46068.073012900488</v>
      </c>
    </row>
    <row r="980" spans="1:10" x14ac:dyDescent="0.55000000000000004">
      <c r="A980" t="s">
        <v>3964</v>
      </c>
      <c r="B980">
        <v>100230</v>
      </c>
      <c r="C980" t="s">
        <v>12</v>
      </c>
      <c r="D980" s="1">
        <v>46114</v>
      </c>
      <c r="E980" t="s">
        <v>38</v>
      </c>
      <c r="F980" t="s">
        <v>3965</v>
      </c>
      <c r="G980" t="s">
        <v>22</v>
      </c>
      <c r="H980" t="s">
        <v>3966</v>
      </c>
      <c r="I980" t="s">
        <v>3967</v>
      </c>
      <c r="J980" s="2">
        <v>46089.890374016111</v>
      </c>
    </row>
    <row r="981" spans="1:10" x14ac:dyDescent="0.55000000000000004">
      <c r="A981" t="s">
        <v>3968</v>
      </c>
      <c r="B981">
        <v>101207</v>
      </c>
      <c r="C981" t="s">
        <v>94</v>
      </c>
      <c r="D981" s="1">
        <v>45788</v>
      </c>
      <c r="E981" t="s">
        <v>20</v>
      </c>
      <c r="F981" t="s">
        <v>3969</v>
      </c>
      <c r="G981" t="s">
        <v>22</v>
      </c>
      <c r="H981" t="s">
        <v>3970</v>
      </c>
      <c r="I981" t="s">
        <v>3971</v>
      </c>
      <c r="J981" s="2">
        <v>46095.002874021331</v>
      </c>
    </row>
    <row r="982" spans="1:10" x14ac:dyDescent="0.55000000000000004">
      <c r="A982" t="s">
        <v>3972</v>
      </c>
      <c r="B982">
        <v>100688</v>
      </c>
      <c r="C982" t="s">
        <v>114</v>
      </c>
      <c r="D982" s="1">
        <v>45792</v>
      </c>
      <c r="E982" t="s">
        <v>49</v>
      </c>
      <c r="F982" t="s">
        <v>3973</v>
      </c>
      <c r="G982" t="s">
        <v>22</v>
      </c>
      <c r="H982" t="s">
        <v>3974</v>
      </c>
      <c r="I982" t="s">
        <v>3975</v>
      </c>
      <c r="J982" s="2">
        <v>46079.054957359403</v>
      </c>
    </row>
    <row r="983" spans="1:10" x14ac:dyDescent="0.55000000000000004">
      <c r="A983" t="s">
        <v>3976</v>
      </c>
      <c r="B983">
        <v>100240</v>
      </c>
      <c r="C983" t="s">
        <v>37</v>
      </c>
      <c r="D983" s="1">
        <v>46137</v>
      </c>
      <c r="E983" t="s">
        <v>115</v>
      </c>
      <c r="F983" t="s">
        <v>3977</v>
      </c>
      <c r="G983" t="s">
        <v>22</v>
      </c>
      <c r="H983" t="s">
        <v>3978</v>
      </c>
      <c r="I983" t="s">
        <v>3979</v>
      </c>
      <c r="J983" s="2">
        <v>46094.31259625344</v>
      </c>
    </row>
    <row r="984" spans="1:10" x14ac:dyDescent="0.55000000000000004">
      <c r="A984" t="s">
        <v>3980</v>
      </c>
      <c r="B984">
        <v>100769</v>
      </c>
      <c r="C984" t="s">
        <v>68</v>
      </c>
      <c r="D984" s="1">
        <v>45842</v>
      </c>
      <c r="E984" t="s">
        <v>317</v>
      </c>
      <c r="F984" t="s">
        <v>3981</v>
      </c>
      <c r="G984" t="s">
        <v>22</v>
      </c>
      <c r="H984" t="s">
        <v>3982</v>
      </c>
      <c r="I984" t="s">
        <v>3983</v>
      </c>
      <c r="J984" s="2">
        <v>46097.572318481121</v>
      </c>
    </row>
    <row r="985" spans="1:10" x14ac:dyDescent="0.55000000000000004">
      <c r="A985" t="s">
        <v>3984</v>
      </c>
      <c r="B985">
        <v>100974</v>
      </c>
      <c r="C985" t="s">
        <v>146</v>
      </c>
      <c r="D985" s="1">
        <v>45910</v>
      </c>
      <c r="E985" t="s">
        <v>155</v>
      </c>
      <c r="F985" t="s">
        <v>3985</v>
      </c>
      <c r="G985" t="s">
        <v>22</v>
      </c>
      <c r="H985" t="s">
        <v>3986</v>
      </c>
      <c r="I985" t="s">
        <v>3987</v>
      </c>
      <c r="J985" s="2">
        <v>46066.931346264268</v>
      </c>
    </row>
    <row r="986" spans="1:10" x14ac:dyDescent="0.55000000000000004">
      <c r="A986" t="s">
        <v>3988</v>
      </c>
      <c r="B986">
        <v>100838</v>
      </c>
      <c r="C986" t="s">
        <v>68</v>
      </c>
      <c r="D986" s="1">
        <v>46021</v>
      </c>
      <c r="E986" t="s">
        <v>58</v>
      </c>
      <c r="F986" t="s">
        <v>3989</v>
      </c>
      <c r="G986" t="s">
        <v>22</v>
      </c>
      <c r="H986" t="s">
        <v>3990</v>
      </c>
      <c r="I986" t="s">
        <v>3991</v>
      </c>
      <c r="J986" s="2">
        <v>46059.557735157658</v>
      </c>
    </row>
    <row r="987" spans="1:10" x14ac:dyDescent="0.55000000000000004">
      <c r="A987" t="s">
        <v>3992</v>
      </c>
      <c r="B987">
        <v>100095</v>
      </c>
      <c r="C987" t="s">
        <v>114</v>
      </c>
      <c r="D987" s="1">
        <v>45990</v>
      </c>
      <c r="E987" t="s">
        <v>213</v>
      </c>
      <c r="F987" t="s">
        <v>3993</v>
      </c>
      <c r="G987" t="s">
        <v>15</v>
      </c>
      <c r="H987" t="s">
        <v>3994</v>
      </c>
      <c r="I987" t="s">
        <v>3995</v>
      </c>
      <c r="J987" s="2">
        <v>46077.619540718748</v>
      </c>
    </row>
    <row r="988" spans="1:10" x14ac:dyDescent="0.55000000000000004">
      <c r="A988" t="s">
        <v>3996</v>
      </c>
      <c r="B988">
        <v>100343</v>
      </c>
      <c r="C988" t="s">
        <v>99</v>
      </c>
      <c r="D988" s="1">
        <v>46072</v>
      </c>
      <c r="E988" t="s">
        <v>680</v>
      </c>
      <c r="F988" t="s">
        <v>3997</v>
      </c>
      <c r="G988" t="s">
        <v>22</v>
      </c>
      <c r="H988" t="s">
        <v>3998</v>
      </c>
      <c r="I988" t="s">
        <v>3999</v>
      </c>
      <c r="J988" s="2">
        <v>46075.977179612753</v>
      </c>
    </row>
    <row r="989" spans="1:10" x14ac:dyDescent="0.55000000000000004">
      <c r="A989" t="s">
        <v>4000</v>
      </c>
      <c r="B989">
        <v>100634</v>
      </c>
      <c r="C989" t="s">
        <v>12</v>
      </c>
      <c r="D989" s="1">
        <v>46075</v>
      </c>
      <c r="E989" t="s">
        <v>49</v>
      </c>
      <c r="F989" t="s">
        <v>4001</v>
      </c>
      <c r="G989" t="s">
        <v>15</v>
      </c>
      <c r="H989" t="s">
        <v>4002</v>
      </c>
      <c r="I989" t="s">
        <v>4003</v>
      </c>
      <c r="J989" s="2">
        <v>46087.711207395623</v>
      </c>
    </row>
    <row r="990" spans="1:10" x14ac:dyDescent="0.55000000000000004">
      <c r="A990" t="s">
        <v>4004</v>
      </c>
      <c r="B990">
        <v>100648</v>
      </c>
      <c r="C990" t="s">
        <v>26</v>
      </c>
      <c r="D990" s="1">
        <v>46054</v>
      </c>
      <c r="E990" t="s">
        <v>343</v>
      </c>
      <c r="F990" t="s">
        <v>4005</v>
      </c>
      <c r="G990" t="s">
        <v>15</v>
      </c>
      <c r="H990" t="s">
        <v>4006</v>
      </c>
      <c r="I990" t="s">
        <v>4007</v>
      </c>
      <c r="J990" s="2">
        <v>46084.866068512303</v>
      </c>
    </row>
    <row r="991" spans="1:10" x14ac:dyDescent="0.55000000000000004">
      <c r="A991" t="s">
        <v>4008</v>
      </c>
      <c r="B991">
        <v>100679</v>
      </c>
      <c r="C991" t="s">
        <v>146</v>
      </c>
      <c r="D991" s="1">
        <v>46027</v>
      </c>
      <c r="E991" t="s">
        <v>38</v>
      </c>
      <c r="F991" t="s">
        <v>4009</v>
      </c>
      <c r="G991" t="s">
        <v>15</v>
      </c>
      <c r="H991" t="s">
        <v>4010</v>
      </c>
      <c r="I991" t="s">
        <v>4011</v>
      </c>
      <c r="J991" s="2">
        <v>46067.031346295553</v>
      </c>
    </row>
    <row r="992" spans="1:10" x14ac:dyDescent="0.55000000000000004">
      <c r="A992" t="s">
        <v>4012</v>
      </c>
      <c r="B992">
        <v>100527</v>
      </c>
      <c r="C992" t="s">
        <v>37</v>
      </c>
      <c r="D992" s="1">
        <v>45793</v>
      </c>
      <c r="E992" t="s">
        <v>528</v>
      </c>
      <c r="F992" t="s">
        <v>4013</v>
      </c>
      <c r="G992" t="s">
        <v>22</v>
      </c>
      <c r="H992" t="s">
        <v>4014</v>
      </c>
      <c r="I992" t="s">
        <v>4015</v>
      </c>
      <c r="J992" s="2">
        <v>46084.397318522977</v>
      </c>
    </row>
    <row r="993" spans="1:11" x14ac:dyDescent="0.55000000000000004">
      <c r="A993" t="s">
        <v>4016</v>
      </c>
      <c r="B993">
        <v>100290</v>
      </c>
      <c r="C993" t="s">
        <v>26</v>
      </c>
      <c r="D993" s="1">
        <v>45959</v>
      </c>
      <c r="E993" t="s">
        <v>38</v>
      </c>
      <c r="F993" t="s">
        <v>4017</v>
      </c>
      <c r="G993" t="s">
        <v>22</v>
      </c>
      <c r="H993" t="s">
        <v>4018</v>
      </c>
      <c r="I993" t="s">
        <v>4019</v>
      </c>
      <c r="J993" s="2">
        <v>46071.908429639087</v>
      </c>
    </row>
    <row r="994" spans="1:11" x14ac:dyDescent="0.55000000000000004">
      <c r="A994" t="s">
        <v>4020</v>
      </c>
      <c r="B994">
        <v>100086</v>
      </c>
      <c r="C994" t="s">
        <v>12</v>
      </c>
      <c r="D994" s="1">
        <v>45983</v>
      </c>
      <c r="E994" t="s">
        <v>20</v>
      </c>
      <c r="F994" t="s">
        <v>4021</v>
      </c>
      <c r="G994" t="s">
        <v>22</v>
      </c>
      <c r="H994" t="s">
        <v>4022</v>
      </c>
      <c r="I994" t="s">
        <v>4023</v>
      </c>
      <c r="J994" s="2">
        <v>46086.156346310767</v>
      </c>
    </row>
    <row r="995" spans="1:11" x14ac:dyDescent="0.55000000000000004">
      <c r="A995" t="s">
        <v>4024</v>
      </c>
      <c r="B995">
        <v>100674</v>
      </c>
      <c r="C995" t="s">
        <v>37</v>
      </c>
      <c r="D995" s="1">
        <v>46002</v>
      </c>
      <c r="E995" t="s">
        <v>58</v>
      </c>
      <c r="F995" t="s">
        <v>4025</v>
      </c>
      <c r="G995" t="s">
        <v>15</v>
      </c>
      <c r="H995" t="s">
        <v>4026</v>
      </c>
      <c r="I995" t="s">
        <v>4027</v>
      </c>
      <c r="J995" s="2">
        <v>46090.60495742588</v>
      </c>
    </row>
    <row r="996" spans="1:11" x14ac:dyDescent="0.55000000000000004">
      <c r="A996" t="s">
        <v>4028</v>
      </c>
      <c r="B996">
        <v>100173</v>
      </c>
      <c r="C996" t="s">
        <v>146</v>
      </c>
      <c r="D996" s="1">
        <v>45818</v>
      </c>
      <c r="E996" t="s">
        <v>189</v>
      </c>
      <c r="F996" t="s">
        <v>4029</v>
      </c>
      <c r="G996" t="s">
        <v>22</v>
      </c>
      <c r="H996" t="s">
        <v>4030</v>
      </c>
      <c r="I996" t="s">
        <v>4031</v>
      </c>
      <c r="J996" s="2">
        <v>46092.527179652163</v>
      </c>
    </row>
    <row r="997" spans="1:11" x14ac:dyDescent="0.55000000000000004">
      <c r="A997" t="s">
        <v>4032</v>
      </c>
      <c r="B997">
        <v>100753</v>
      </c>
      <c r="C997" t="s">
        <v>68</v>
      </c>
      <c r="D997" s="1">
        <v>45940</v>
      </c>
      <c r="E997" t="s">
        <v>199</v>
      </c>
      <c r="F997" t="s">
        <v>4033</v>
      </c>
      <c r="G997" t="s">
        <v>15</v>
      </c>
      <c r="H997" t="s">
        <v>4034</v>
      </c>
      <c r="I997" t="s">
        <v>4035</v>
      </c>
      <c r="J997" s="2">
        <v>46096.663290768331</v>
      </c>
    </row>
    <row r="998" spans="1:11" x14ac:dyDescent="0.55000000000000004">
      <c r="A998" t="s">
        <v>4036</v>
      </c>
      <c r="B998">
        <v>100815</v>
      </c>
      <c r="C998" t="s">
        <v>68</v>
      </c>
      <c r="D998" s="1">
        <v>45931</v>
      </c>
      <c r="E998" t="s">
        <v>20</v>
      </c>
      <c r="F998" t="s">
        <v>4037</v>
      </c>
      <c r="G998" t="s">
        <v>15</v>
      </c>
      <c r="H998" t="s">
        <v>4038</v>
      </c>
      <c r="I998" t="s">
        <v>4039</v>
      </c>
      <c r="J998" s="2">
        <v>46071.28551299536</v>
      </c>
    </row>
    <row r="999" spans="1:11" x14ac:dyDescent="0.55000000000000004">
      <c r="A999" t="s">
        <v>4040</v>
      </c>
      <c r="B999">
        <v>100982</v>
      </c>
      <c r="C999" t="s">
        <v>32</v>
      </c>
      <c r="D999" s="1">
        <v>45924</v>
      </c>
      <c r="E999" t="s">
        <v>155</v>
      </c>
      <c r="F999" t="s">
        <v>4041</v>
      </c>
      <c r="G999" t="s">
        <v>15</v>
      </c>
      <c r="H999" t="s">
        <v>4042</v>
      </c>
      <c r="I999" t="s">
        <v>4043</v>
      </c>
      <c r="J999" s="2">
        <v>46081.897318556068</v>
      </c>
    </row>
    <row r="1000" spans="1:11" x14ac:dyDescent="0.55000000000000004">
      <c r="A1000" t="s">
        <v>4044</v>
      </c>
      <c r="B1000">
        <v>100922</v>
      </c>
      <c r="C1000" t="s">
        <v>26</v>
      </c>
      <c r="D1000" s="1">
        <v>45853</v>
      </c>
      <c r="E1000" t="s">
        <v>27</v>
      </c>
      <c r="F1000" t="s">
        <v>4045</v>
      </c>
      <c r="G1000" t="s">
        <v>22</v>
      </c>
      <c r="H1000" t="s">
        <v>4046</v>
      </c>
      <c r="I1000" t="s">
        <v>4047</v>
      </c>
      <c r="J1000" s="2">
        <v>46090.36329078237</v>
      </c>
    </row>
    <row r="1001" spans="1:11" x14ac:dyDescent="0.55000000000000004">
      <c r="A1001" t="s">
        <v>4048</v>
      </c>
      <c r="B1001">
        <v>100812</v>
      </c>
      <c r="C1001" t="s">
        <v>12</v>
      </c>
      <c r="D1001" s="1">
        <v>45894</v>
      </c>
      <c r="E1001" t="s">
        <v>89</v>
      </c>
      <c r="F1001" t="s">
        <v>4049</v>
      </c>
      <c r="G1001" t="s">
        <v>15</v>
      </c>
      <c r="H1001" t="s">
        <v>4050</v>
      </c>
      <c r="I1001" t="s">
        <v>4051</v>
      </c>
      <c r="J1001" s="2">
        <v>46067.704957453898</v>
      </c>
    </row>
    <row r="1002" spans="1:11" x14ac:dyDescent="0.55000000000000004">
      <c r="A1002" t="s">
        <v>4052</v>
      </c>
      <c r="B1002">
        <v>101092</v>
      </c>
      <c r="C1002" t="s">
        <v>94</v>
      </c>
      <c r="D1002" s="1">
        <v>46056</v>
      </c>
      <c r="E1002" t="s">
        <v>155</v>
      </c>
      <c r="F1002" t="s">
        <v>4053</v>
      </c>
      <c r="G1002" t="s">
        <v>22</v>
      </c>
      <c r="H1002" t="s">
        <v>4054</v>
      </c>
      <c r="I1002" t="s">
        <v>4055</v>
      </c>
      <c r="J1002" s="2">
        <v>46061.91259634756</v>
      </c>
    </row>
    <row r="1003" spans="1:11" x14ac:dyDescent="0.55000000000000004">
      <c r="A1003" t="s">
        <v>4056</v>
      </c>
      <c r="B1003">
        <v>100523</v>
      </c>
      <c r="C1003" t="s">
        <v>533</v>
      </c>
      <c r="D1003" s="1">
        <v>45858</v>
      </c>
      <c r="E1003" t="s">
        <v>562</v>
      </c>
      <c r="F1003" t="s">
        <v>4057</v>
      </c>
      <c r="G1003" t="s">
        <v>22</v>
      </c>
      <c r="H1003" t="s">
        <v>4058</v>
      </c>
      <c r="I1003" t="s">
        <v>4059</v>
      </c>
      <c r="J1003" s="2">
        <v>46069.627179685413</v>
      </c>
    </row>
    <row r="1004" spans="1:11" x14ac:dyDescent="0.55000000000000004">
      <c r="A1004" t="s">
        <v>4060</v>
      </c>
      <c r="B1004">
        <v>100218</v>
      </c>
      <c r="C1004" t="s">
        <v>82</v>
      </c>
      <c r="D1004" s="1">
        <v>45836</v>
      </c>
      <c r="E1004" t="s">
        <v>20</v>
      </c>
      <c r="F1004" t="s">
        <v>4061</v>
      </c>
      <c r="G1004" t="s">
        <v>15</v>
      </c>
      <c r="H1004" t="s">
        <v>4062</v>
      </c>
      <c r="I1004" t="s">
        <v>4063</v>
      </c>
      <c r="J1004" s="2">
        <v>46081.982040801937</v>
      </c>
    </row>
    <row r="1005" spans="1:11" x14ac:dyDescent="0.55000000000000004">
      <c r="A1005" t="s">
        <v>4064</v>
      </c>
      <c r="B1005">
        <v>100691</v>
      </c>
      <c r="C1005" t="s">
        <v>94</v>
      </c>
      <c r="D1005" s="1">
        <v>46016</v>
      </c>
      <c r="E1005" t="s">
        <v>141</v>
      </c>
      <c r="F1005" t="s">
        <v>4065</v>
      </c>
      <c r="G1005" t="s">
        <v>22</v>
      </c>
      <c r="H1005" t="s">
        <v>4066</v>
      </c>
      <c r="I1005" t="s">
        <v>4067</v>
      </c>
      <c r="J1005" s="2">
        <v>46058.334818584583</v>
      </c>
    </row>
    <row r="1006" spans="1:11" x14ac:dyDescent="0.55000000000000004">
      <c r="A1006" t="s">
        <v>4068</v>
      </c>
      <c r="B1006">
        <v>101458</v>
      </c>
      <c r="C1006" t="s">
        <v>48</v>
      </c>
      <c r="D1006" s="1">
        <v>45732</v>
      </c>
      <c r="E1006" t="s">
        <v>69</v>
      </c>
      <c r="F1006" t="s">
        <v>4069</v>
      </c>
      <c r="G1006" t="s">
        <v>22</v>
      </c>
      <c r="H1006" t="s">
        <v>4070</v>
      </c>
      <c r="I1006" t="s">
        <v>4071</v>
      </c>
      <c r="J1006" s="2">
        <v>46059.389679699663</v>
      </c>
      <c r="K1006" t="s">
        <v>139</v>
      </c>
    </row>
    <row r="1007" spans="1:11" x14ac:dyDescent="0.55000000000000004">
      <c r="A1007" t="s">
        <v>4072</v>
      </c>
      <c r="B1007">
        <v>100452</v>
      </c>
      <c r="C1007" t="s">
        <v>179</v>
      </c>
      <c r="D1007" s="1">
        <v>45911</v>
      </c>
      <c r="E1007" t="s">
        <v>160</v>
      </c>
      <c r="F1007" t="s">
        <v>4073</v>
      </c>
      <c r="G1007" t="s">
        <v>15</v>
      </c>
      <c r="H1007" t="s">
        <v>4074</v>
      </c>
      <c r="I1007" t="s">
        <v>4075</v>
      </c>
      <c r="J1007" s="2">
        <v>46086.986901927579</v>
      </c>
    </row>
    <row r="1008" spans="1:11" x14ac:dyDescent="0.55000000000000004">
      <c r="A1008" t="s">
        <v>4076</v>
      </c>
      <c r="B1008">
        <v>101431</v>
      </c>
      <c r="C1008" t="s">
        <v>26</v>
      </c>
      <c r="D1008" s="1">
        <v>45767</v>
      </c>
      <c r="E1008" t="s">
        <v>334</v>
      </c>
      <c r="F1008" t="s">
        <v>4077</v>
      </c>
      <c r="G1008" t="s">
        <v>15</v>
      </c>
      <c r="H1008" t="s">
        <v>4078</v>
      </c>
      <c r="I1008" t="s">
        <v>4079</v>
      </c>
      <c r="J1008" s="2">
        <v>46088.95495748744</v>
      </c>
    </row>
    <row r="1009" spans="1:11" x14ac:dyDescent="0.55000000000000004">
      <c r="A1009" t="s">
        <v>4080</v>
      </c>
      <c r="B1009">
        <v>100329</v>
      </c>
      <c r="C1009" t="s">
        <v>32</v>
      </c>
      <c r="D1009" s="1">
        <v>45953</v>
      </c>
      <c r="E1009" t="s">
        <v>38</v>
      </c>
      <c r="F1009" t="s">
        <v>4081</v>
      </c>
      <c r="G1009" t="s">
        <v>22</v>
      </c>
      <c r="H1009" t="s">
        <v>4082</v>
      </c>
      <c r="I1009" t="s">
        <v>4083</v>
      </c>
      <c r="J1009" s="2">
        <v>46054.25912415838</v>
      </c>
    </row>
    <row r="1010" spans="1:11" x14ac:dyDescent="0.55000000000000004">
      <c r="A1010" t="s">
        <v>4084</v>
      </c>
      <c r="B1010">
        <v>100670</v>
      </c>
      <c r="C1010" t="s">
        <v>32</v>
      </c>
      <c r="D1010" s="1">
        <v>46117</v>
      </c>
      <c r="E1010" t="s">
        <v>208</v>
      </c>
      <c r="F1010" t="s">
        <v>4085</v>
      </c>
      <c r="G1010" t="s">
        <v>22</v>
      </c>
      <c r="H1010" t="s">
        <v>4086</v>
      </c>
      <c r="I1010" t="s">
        <v>4087</v>
      </c>
      <c r="J1010" s="2">
        <v>46076.44662416332</v>
      </c>
    </row>
    <row r="1011" spans="1:11" x14ac:dyDescent="0.55000000000000004">
      <c r="A1011" t="s">
        <v>4088</v>
      </c>
      <c r="B1011">
        <v>100621</v>
      </c>
      <c r="C1011" t="s">
        <v>88</v>
      </c>
      <c r="D1011" s="1">
        <v>46038</v>
      </c>
      <c r="E1011" t="s">
        <v>265</v>
      </c>
      <c r="F1011" t="s">
        <v>774</v>
      </c>
      <c r="G1011" t="s">
        <v>15</v>
      </c>
      <c r="H1011" t="s">
        <v>4089</v>
      </c>
      <c r="I1011" t="s">
        <v>4090</v>
      </c>
      <c r="J1011" s="2">
        <v>46059.068846389928</v>
      </c>
    </row>
    <row r="1012" spans="1:11" x14ac:dyDescent="0.55000000000000004">
      <c r="A1012" t="s">
        <v>4091</v>
      </c>
      <c r="B1012">
        <v>100593</v>
      </c>
      <c r="C1012" t="s">
        <v>37</v>
      </c>
      <c r="D1012" s="1">
        <v>45736</v>
      </c>
      <c r="E1012" t="s">
        <v>43</v>
      </c>
      <c r="F1012" t="s">
        <v>4092</v>
      </c>
      <c r="G1012" t="s">
        <v>22</v>
      </c>
      <c r="H1012" t="s">
        <v>4093</v>
      </c>
      <c r="I1012" t="s">
        <v>4094</v>
      </c>
      <c r="J1012" s="2">
        <v>46063.630651949963</v>
      </c>
    </row>
    <row r="1013" spans="1:11" x14ac:dyDescent="0.55000000000000004">
      <c r="A1013" t="s">
        <v>4095</v>
      </c>
      <c r="B1013">
        <v>100804</v>
      </c>
      <c r="C1013" t="s">
        <v>131</v>
      </c>
      <c r="D1013" s="1">
        <v>46007</v>
      </c>
      <c r="E1013" t="s">
        <v>317</v>
      </c>
      <c r="F1013" t="s">
        <v>4096</v>
      </c>
      <c r="G1013" t="s">
        <v>22</v>
      </c>
      <c r="H1013" t="s">
        <v>4097</v>
      </c>
      <c r="I1013" t="s">
        <v>4098</v>
      </c>
      <c r="J1013" s="2">
        <v>46054.570929732028</v>
      </c>
    </row>
    <row r="1014" spans="1:11" x14ac:dyDescent="0.55000000000000004">
      <c r="A1014" t="s">
        <v>4099</v>
      </c>
      <c r="B1014">
        <v>100071</v>
      </c>
      <c r="C1014" t="s">
        <v>63</v>
      </c>
      <c r="D1014" s="1">
        <v>46148</v>
      </c>
      <c r="E1014" t="s">
        <v>467</v>
      </c>
      <c r="F1014" t="s">
        <v>4100</v>
      </c>
      <c r="G1014" t="s">
        <v>22</v>
      </c>
      <c r="H1014" t="s">
        <v>4101</v>
      </c>
      <c r="I1014" t="s">
        <v>4102</v>
      </c>
      <c r="J1014" s="2">
        <v>46085.754957514422</v>
      </c>
      <c r="K1014" t="s">
        <v>139</v>
      </c>
    </row>
    <row r="1015" spans="1:11" x14ac:dyDescent="0.55000000000000004">
      <c r="A1015" t="s">
        <v>4103</v>
      </c>
      <c r="B1015">
        <v>100215</v>
      </c>
      <c r="C1015" t="s">
        <v>37</v>
      </c>
      <c r="D1015" s="1">
        <v>45795</v>
      </c>
      <c r="E1015" t="s">
        <v>356</v>
      </c>
      <c r="F1015" t="s">
        <v>4104</v>
      </c>
      <c r="G1015" t="s">
        <v>22</v>
      </c>
      <c r="H1015" t="s">
        <v>4105</v>
      </c>
      <c r="I1015" t="s">
        <v>4106</v>
      </c>
      <c r="J1015" s="2">
        <v>46097.43134640748</v>
      </c>
    </row>
    <row r="1016" spans="1:11" x14ac:dyDescent="0.55000000000000004">
      <c r="A1016" t="s">
        <v>4107</v>
      </c>
      <c r="B1016">
        <v>100293</v>
      </c>
      <c r="C1016" t="s">
        <v>37</v>
      </c>
      <c r="D1016" s="1">
        <v>46120</v>
      </c>
      <c r="E1016" t="s">
        <v>49</v>
      </c>
      <c r="F1016" t="s">
        <v>4108</v>
      </c>
      <c r="G1016" t="s">
        <v>15</v>
      </c>
      <c r="H1016" t="s">
        <v>4109</v>
      </c>
      <c r="I1016" t="s">
        <v>4110</v>
      </c>
      <c r="J1016" s="2">
        <v>46091.87370752274</v>
      </c>
    </row>
    <row r="1017" spans="1:11" x14ac:dyDescent="0.55000000000000004">
      <c r="A1017" t="s">
        <v>4111</v>
      </c>
      <c r="B1017">
        <v>100311</v>
      </c>
      <c r="C1017" t="s">
        <v>68</v>
      </c>
      <c r="D1017" s="1">
        <v>46145</v>
      </c>
      <c r="E1017" t="s">
        <v>680</v>
      </c>
      <c r="F1017" t="s">
        <v>4112</v>
      </c>
      <c r="G1017" t="s">
        <v>22</v>
      </c>
      <c r="H1017" t="s">
        <v>4113</v>
      </c>
      <c r="I1017" t="s">
        <v>4114</v>
      </c>
      <c r="J1017" s="2">
        <v>46095.347318638713</v>
      </c>
    </row>
    <row r="1018" spans="1:11" x14ac:dyDescent="0.55000000000000004">
      <c r="A1018" t="s">
        <v>4115</v>
      </c>
      <c r="B1018">
        <v>100000</v>
      </c>
      <c r="C1018" t="s">
        <v>19</v>
      </c>
      <c r="D1018" s="1">
        <v>46092</v>
      </c>
      <c r="E1018" t="s">
        <v>528</v>
      </c>
      <c r="F1018" t="s">
        <v>4116</v>
      </c>
      <c r="G1018" t="s">
        <v>15</v>
      </c>
      <c r="H1018" t="s">
        <v>4117</v>
      </c>
      <c r="I1018" t="s">
        <v>4118</v>
      </c>
      <c r="J1018" s="2">
        <v>46057.182735310198</v>
      </c>
    </row>
    <row r="1019" spans="1:11" x14ac:dyDescent="0.55000000000000004">
      <c r="A1019" t="s">
        <v>4119</v>
      </c>
      <c r="B1019">
        <v>100853</v>
      </c>
      <c r="C1019" t="s">
        <v>533</v>
      </c>
      <c r="D1019" s="1">
        <v>45874</v>
      </c>
      <c r="E1019" t="s">
        <v>43</v>
      </c>
      <c r="F1019" t="s">
        <v>4120</v>
      </c>
      <c r="G1019" t="s">
        <v>15</v>
      </c>
      <c r="H1019" t="s">
        <v>4121</v>
      </c>
      <c r="I1019" t="s">
        <v>4122</v>
      </c>
      <c r="J1019" s="2">
        <v>46054.941763092058</v>
      </c>
    </row>
    <row r="1020" spans="1:11" x14ac:dyDescent="0.55000000000000004">
      <c r="A1020" t="s">
        <v>4123</v>
      </c>
      <c r="B1020">
        <v>100561</v>
      </c>
      <c r="C1020" t="s">
        <v>99</v>
      </c>
      <c r="D1020" s="1">
        <v>46021</v>
      </c>
      <c r="E1020" t="s">
        <v>155</v>
      </c>
      <c r="F1020" t="s">
        <v>4124</v>
      </c>
      <c r="G1020" t="s">
        <v>15</v>
      </c>
      <c r="H1020" t="s">
        <v>4125</v>
      </c>
      <c r="I1020" t="s">
        <v>4126</v>
      </c>
      <c r="J1020" s="2">
        <v>46093.565374207988</v>
      </c>
    </row>
    <row r="1021" spans="1:11" x14ac:dyDescent="0.55000000000000004">
      <c r="A1021" t="s">
        <v>4127</v>
      </c>
      <c r="B1021">
        <v>100415</v>
      </c>
      <c r="C1021" t="s">
        <v>32</v>
      </c>
      <c r="D1021" s="1">
        <v>46023</v>
      </c>
      <c r="E1021" t="s">
        <v>38</v>
      </c>
      <c r="F1021" t="s">
        <v>2943</v>
      </c>
      <c r="G1021" t="s">
        <v>22</v>
      </c>
      <c r="H1021" t="s">
        <v>4128</v>
      </c>
      <c r="I1021" t="s">
        <v>4129</v>
      </c>
      <c r="J1021" s="2">
        <v>46084.782040878541</v>
      </c>
    </row>
    <row r="1022" spans="1:11" x14ac:dyDescent="0.55000000000000004">
      <c r="A1022" t="s">
        <v>4130</v>
      </c>
      <c r="B1022">
        <v>100308</v>
      </c>
      <c r="D1022" s="1">
        <v>46086</v>
      </c>
      <c r="E1022" t="s">
        <v>126</v>
      </c>
      <c r="F1022" t="s">
        <v>4131</v>
      </c>
      <c r="G1022" t="s">
        <v>22</v>
      </c>
      <c r="H1022" t="s">
        <v>4132</v>
      </c>
      <c r="I1022" t="s">
        <v>4133</v>
      </c>
      <c r="J1022" s="2">
        <v>46097.138985326943</v>
      </c>
      <c r="K1022" t="s">
        <v>217</v>
      </c>
    </row>
    <row r="1023" spans="1:11" x14ac:dyDescent="0.55000000000000004">
      <c r="A1023" t="s">
        <v>4134</v>
      </c>
      <c r="B1023">
        <v>100582</v>
      </c>
      <c r="C1023" t="s">
        <v>12</v>
      </c>
      <c r="D1023" s="1">
        <v>45897</v>
      </c>
      <c r="E1023" t="s">
        <v>58</v>
      </c>
      <c r="F1023" t="s">
        <v>4135</v>
      </c>
      <c r="G1023" t="s">
        <v>15</v>
      </c>
      <c r="H1023" t="s">
        <v>4136</v>
      </c>
      <c r="I1023" t="s">
        <v>4137</v>
      </c>
      <c r="J1023" s="2">
        <v>46054.009124220611</v>
      </c>
    </row>
    <row r="1024" spans="1:11" x14ac:dyDescent="0.55000000000000004">
      <c r="A1024" t="s">
        <v>4138</v>
      </c>
      <c r="B1024">
        <v>100630</v>
      </c>
      <c r="C1024" t="s">
        <v>88</v>
      </c>
      <c r="D1024" s="1">
        <v>45985</v>
      </c>
      <c r="E1024" t="s">
        <v>170</v>
      </c>
      <c r="F1024" t="s">
        <v>4139</v>
      </c>
      <c r="G1024" t="s">
        <v>15</v>
      </c>
      <c r="H1024" t="s">
        <v>4140</v>
      </c>
      <c r="I1024" t="s">
        <v>4141</v>
      </c>
      <c r="J1024" s="2">
        <v>46094.350790891607</v>
      </c>
    </row>
    <row r="1025" spans="1:11" x14ac:dyDescent="0.55000000000000004">
      <c r="A1025" t="s">
        <v>4142</v>
      </c>
      <c r="B1025">
        <v>100356</v>
      </c>
      <c r="C1025" t="s">
        <v>94</v>
      </c>
      <c r="D1025" s="1">
        <v>46004</v>
      </c>
      <c r="E1025" t="s">
        <v>295</v>
      </c>
      <c r="F1025" t="s">
        <v>4143</v>
      </c>
      <c r="G1025" t="s">
        <v>22</v>
      </c>
      <c r="H1025" t="s">
        <v>4144</v>
      </c>
      <c r="I1025" t="s">
        <v>4145</v>
      </c>
      <c r="J1025" s="2">
        <v>46085.270235340868</v>
      </c>
    </row>
    <row r="1026" spans="1:11" x14ac:dyDescent="0.55000000000000004">
      <c r="A1026" t="s">
        <v>4146</v>
      </c>
      <c r="B1026">
        <v>101216</v>
      </c>
      <c r="C1026" t="s">
        <v>131</v>
      </c>
      <c r="D1026" s="1">
        <v>46024</v>
      </c>
      <c r="E1026" t="s">
        <v>317</v>
      </c>
      <c r="F1026" t="s">
        <v>4147</v>
      </c>
      <c r="G1026" t="s">
        <v>15</v>
      </c>
      <c r="H1026" t="s">
        <v>4148</v>
      </c>
      <c r="I1026" t="s">
        <v>4149</v>
      </c>
      <c r="J1026" s="2">
        <v>46053.143846455889</v>
      </c>
    </row>
    <row r="1027" spans="1:11" x14ac:dyDescent="0.55000000000000004">
      <c r="A1027" t="s">
        <v>4150</v>
      </c>
      <c r="B1027">
        <v>100861</v>
      </c>
      <c r="C1027" t="s">
        <v>131</v>
      </c>
      <c r="D1027" s="1">
        <v>45859</v>
      </c>
      <c r="E1027" t="s">
        <v>115</v>
      </c>
      <c r="F1027" t="s">
        <v>4151</v>
      </c>
      <c r="G1027" t="s">
        <v>22</v>
      </c>
      <c r="H1027" t="s">
        <v>4152</v>
      </c>
      <c r="I1027" t="s">
        <v>4153</v>
      </c>
      <c r="J1027" s="2">
        <v>46078.657040904523</v>
      </c>
    </row>
    <row r="1028" spans="1:11" x14ac:dyDescent="0.55000000000000004">
      <c r="A1028" t="s">
        <v>4154</v>
      </c>
      <c r="B1028">
        <v>101243</v>
      </c>
      <c r="C1028" t="s">
        <v>533</v>
      </c>
      <c r="D1028" s="1">
        <v>45746</v>
      </c>
      <c r="E1028" t="s">
        <v>334</v>
      </c>
      <c r="F1028" t="s">
        <v>4155</v>
      </c>
      <c r="G1028" t="s">
        <v>22</v>
      </c>
      <c r="H1028" t="s">
        <v>4156</v>
      </c>
      <c r="I1028" t="s">
        <v>4157</v>
      </c>
      <c r="J1028" s="2">
        <v>46081.394540909292</v>
      </c>
      <c r="K1028" t="s">
        <v>119</v>
      </c>
    </row>
    <row r="1029" spans="1:11" x14ac:dyDescent="0.55000000000000004">
      <c r="A1029" t="s">
        <v>4158</v>
      </c>
      <c r="B1029">
        <v>100260</v>
      </c>
      <c r="C1029" t="s">
        <v>533</v>
      </c>
      <c r="D1029" s="1">
        <v>45974</v>
      </c>
      <c r="E1029" t="s">
        <v>20</v>
      </c>
      <c r="F1029" t="s">
        <v>4159</v>
      </c>
      <c r="G1029" t="s">
        <v>15</v>
      </c>
      <c r="H1029" t="s">
        <v>4160</v>
      </c>
      <c r="I1029" t="s">
        <v>4161</v>
      </c>
      <c r="J1029" s="2">
        <v>46076.007040914192</v>
      </c>
    </row>
    <row r="1030" spans="1:11" x14ac:dyDescent="0.55000000000000004">
      <c r="A1030" t="s">
        <v>4162</v>
      </c>
      <c r="B1030">
        <v>100605</v>
      </c>
      <c r="C1030" t="s">
        <v>194</v>
      </c>
      <c r="D1030" s="1">
        <v>45769</v>
      </c>
      <c r="E1030" t="s">
        <v>270</v>
      </c>
      <c r="F1030" t="s">
        <v>4163</v>
      </c>
      <c r="G1030" t="s">
        <v>22</v>
      </c>
      <c r="H1030" t="s">
        <v>4164</v>
      </c>
      <c r="I1030" t="s">
        <v>4165</v>
      </c>
      <c r="J1030" s="2">
        <v>46060.568846474562</v>
      </c>
    </row>
    <row r="1031" spans="1:11" x14ac:dyDescent="0.55000000000000004">
      <c r="A1031" t="s">
        <v>4166</v>
      </c>
      <c r="B1031">
        <v>101332</v>
      </c>
      <c r="C1031" t="s">
        <v>131</v>
      </c>
      <c r="D1031" s="1">
        <v>45763</v>
      </c>
      <c r="E1031" t="s">
        <v>69</v>
      </c>
      <c r="F1031" t="s">
        <v>4167</v>
      </c>
      <c r="G1031" t="s">
        <v>22</v>
      </c>
      <c r="H1031" t="s">
        <v>4168</v>
      </c>
      <c r="I1031" t="s">
        <v>4169</v>
      </c>
      <c r="J1031" s="2">
        <v>46053.653568701542</v>
      </c>
    </row>
    <row r="1032" spans="1:11" x14ac:dyDescent="0.55000000000000004">
      <c r="A1032" t="s">
        <v>4170</v>
      </c>
      <c r="B1032">
        <v>100668</v>
      </c>
      <c r="C1032" t="s">
        <v>114</v>
      </c>
      <c r="D1032" s="1">
        <v>45763</v>
      </c>
      <c r="E1032" t="s">
        <v>295</v>
      </c>
      <c r="F1032" t="s">
        <v>4171</v>
      </c>
      <c r="G1032" t="s">
        <v>22</v>
      </c>
      <c r="H1032" t="s">
        <v>4172</v>
      </c>
      <c r="I1032" t="s">
        <v>4173</v>
      </c>
      <c r="J1032" s="2">
        <v>46093.601485372354</v>
      </c>
    </row>
    <row r="1033" spans="1:11" x14ac:dyDescent="0.55000000000000004">
      <c r="A1033" t="s">
        <v>4174</v>
      </c>
      <c r="B1033">
        <v>100836</v>
      </c>
      <c r="C1033" t="s">
        <v>12</v>
      </c>
      <c r="D1033" s="1">
        <v>46018</v>
      </c>
      <c r="E1033" t="s">
        <v>20</v>
      </c>
      <c r="F1033" t="s">
        <v>4175</v>
      </c>
      <c r="G1033" t="s">
        <v>22</v>
      </c>
      <c r="H1033" t="s">
        <v>4176</v>
      </c>
      <c r="I1033" t="s">
        <v>4177</v>
      </c>
      <c r="J1033" s="2">
        <v>46072.609818710451</v>
      </c>
    </row>
    <row r="1034" spans="1:11" x14ac:dyDescent="0.55000000000000004">
      <c r="A1034" t="s">
        <v>4178</v>
      </c>
      <c r="B1034">
        <v>100633</v>
      </c>
      <c r="C1034" t="s">
        <v>99</v>
      </c>
      <c r="D1034" s="1">
        <v>46117</v>
      </c>
      <c r="E1034" t="s">
        <v>409</v>
      </c>
      <c r="F1034" t="s">
        <v>4179</v>
      </c>
      <c r="G1034" t="s">
        <v>15</v>
      </c>
      <c r="H1034" t="s">
        <v>4180</v>
      </c>
      <c r="I1034" t="s">
        <v>4181</v>
      </c>
      <c r="J1034" s="2">
        <v>46068.20009649315</v>
      </c>
    </row>
    <row r="1035" spans="1:11" x14ac:dyDescent="0.55000000000000004">
      <c r="A1035" t="s">
        <v>4182</v>
      </c>
      <c r="B1035">
        <v>100615</v>
      </c>
      <c r="C1035" t="s">
        <v>88</v>
      </c>
      <c r="D1035" s="1">
        <v>46139</v>
      </c>
      <c r="E1035" t="s">
        <v>27</v>
      </c>
      <c r="F1035" t="s">
        <v>4183</v>
      </c>
      <c r="G1035" t="s">
        <v>15</v>
      </c>
      <c r="H1035" t="s">
        <v>4184</v>
      </c>
      <c r="I1035" t="s">
        <v>4185</v>
      </c>
      <c r="J1035" s="2">
        <v>46075.820235386898</v>
      </c>
    </row>
    <row r="1036" spans="1:11" x14ac:dyDescent="0.55000000000000004">
      <c r="A1036" t="s">
        <v>4186</v>
      </c>
      <c r="B1036">
        <v>101447</v>
      </c>
      <c r="C1036" t="s">
        <v>37</v>
      </c>
      <c r="D1036" s="1">
        <v>45964</v>
      </c>
      <c r="E1036" t="s">
        <v>160</v>
      </c>
      <c r="F1036" t="s">
        <v>4187</v>
      </c>
      <c r="G1036" t="s">
        <v>15</v>
      </c>
      <c r="H1036" t="s">
        <v>4188</v>
      </c>
      <c r="I1036" t="s">
        <v>4189</v>
      </c>
      <c r="J1036" s="2">
        <v>46091.728568725339</v>
      </c>
      <c r="K1036" t="s">
        <v>119</v>
      </c>
    </row>
    <row r="1037" spans="1:11" x14ac:dyDescent="0.55000000000000004">
      <c r="A1037" t="s">
        <v>4190</v>
      </c>
      <c r="B1037">
        <v>101050</v>
      </c>
      <c r="C1037" t="s">
        <v>99</v>
      </c>
      <c r="D1037" s="1">
        <v>46097</v>
      </c>
      <c r="E1037" t="s">
        <v>38</v>
      </c>
      <c r="F1037" t="s">
        <v>4191</v>
      </c>
      <c r="G1037" t="s">
        <v>15</v>
      </c>
      <c r="H1037" t="s">
        <v>4192</v>
      </c>
      <c r="I1037" t="s">
        <v>4193</v>
      </c>
      <c r="J1037" s="2">
        <v>46061.566763173927</v>
      </c>
    </row>
    <row r="1038" spans="1:11" x14ac:dyDescent="0.55000000000000004">
      <c r="A1038" t="s">
        <v>4194</v>
      </c>
      <c r="B1038">
        <v>101273</v>
      </c>
      <c r="C1038" t="s">
        <v>82</v>
      </c>
      <c r="D1038" s="1">
        <v>45863</v>
      </c>
      <c r="E1038" t="s">
        <v>757</v>
      </c>
      <c r="F1038" t="s">
        <v>4195</v>
      </c>
      <c r="G1038" t="s">
        <v>22</v>
      </c>
      <c r="H1038" t="s">
        <v>4196</v>
      </c>
      <c r="I1038" t="s">
        <v>4197</v>
      </c>
      <c r="J1038" s="2">
        <v>46086.400790956563</v>
      </c>
    </row>
    <row r="1039" spans="1:11" x14ac:dyDescent="0.55000000000000004">
      <c r="A1039" t="s">
        <v>4198</v>
      </c>
      <c r="B1039">
        <v>100143</v>
      </c>
      <c r="C1039" t="s">
        <v>114</v>
      </c>
      <c r="D1039" s="1">
        <v>46140</v>
      </c>
      <c r="E1039" t="s">
        <v>155</v>
      </c>
      <c r="F1039" t="s">
        <v>4199</v>
      </c>
      <c r="G1039" t="s">
        <v>15</v>
      </c>
      <c r="H1039" t="s">
        <v>4200</v>
      </c>
      <c r="I1039" t="s">
        <v>4201</v>
      </c>
      <c r="J1039" s="2">
        <v>46077.914679851827</v>
      </c>
    </row>
    <row r="1040" spans="1:11" x14ac:dyDescent="0.55000000000000004">
      <c r="A1040" t="s">
        <v>4202</v>
      </c>
      <c r="B1040">
        <v>100883</v>
      </c>
      <c r="C1040" t="s">
        <v>94</v>
      </c>
      <c r="D1040" s="1">
        <v>45994</v>
      </c>
      <c r="E1040" t="s">
        <v>562</v>
      </c>
      <c r="F1040" t="s">
        <v>4203</v>
      </c>
      <c r="G1040" t="s">
        <v>15</v>
      </c>
      <c r="H1040" t="s">
        <v>4204</v>
      </c>
      <c r="I1040" t="s">
        <v>4205</v>
      </c>
      <c r="J1040" s="2">
        <v>46067.307040968</v>
      </c>
    </row>
    <row r="1041" spans="1:11" x14ac:dyDescent="0.55000000000000004">
      <c r="A1041" t="s">
        <v>4206</v>
      </c>
      <c r="B1041">
        <v>100745</v>
      </c>
      <c r="C1041" t="s">
        <v>99</v>
      </c>
      <c r="D1041" s="1">
        <v>45907</v>
      </c>
      <c r="E1041" t="s">
        <v>295</v>
      </c>
      <c r="F1041" t="s">
        <v>4207</v>
      </c>
      <c r="G1041" t="s">
        <v>15</v>
      </c>
      <c r="H1041" t="s">
        <v>4208</v>
      </c>
      <c r="I1041" t="s">
        <v>4209</v>
      </c>
      <c r="J1041" s="2">
        <v>46094.408429861804</v>
      </c>
    </row>
    <row r="1042" spans="1:11" x14ac:dyDescent="0.55000000000000004">
      <c r="A1042" t="s">
        <v>4210</v>
      </c>
      <c r="B1042">
        <v>100403</v>
      </c>
      <c r="C1042" t="s">
        <v>82</v>
      </c>
      <c r="D1042" s="1">
        <v>46151</v>
      </c>
      <c r="E1042" t="s">
        <v>83</v>
      </c>
      <c r="F1042" t="s">
        <v>4211</v>
      </c>
      <c r="G1042" t="s">
        <v>15</v>
      </c>
      <c r="H1042" t="s">
        <v>4212</v>
      </c>
      <c r="I1042" t="s">
        <v>4213</v>
      </c>
      <c r="J1042" s="2">
        <v>46084.835513199563</v>
      </c>
    </row>
    <row r="1043" spans="1:11" x14ac:dyDescent="0.55000000000000004">
      <c r="A1043" t="s">
        <v>4214</v>
      </c>
      <c r="B1043">
        <v>100003</v>
      </c>
      <c r="C1043" t="s">
        <v>248</v>
      </c>
      <c r="D1043" s="1">
        <v>46134</v>
      </c>
      <c r="E1043" t="s">
        <v>20</v>
      </c>
      <c r="F1043" t="s">
        <v>4215</v>
      </c>
      <c r="G1043" t="s">
        <v>15</v>
      </c>
      <c r="H1043" t="s">
        <v>4216</v>
      </c>
      <c r="I1043" t="s">
        <v>4217</v>
      </c>
      <c r="J1043" s="2">
        <v>46055.069540982156</v>
      </c>
    </row>
    <row r="1044" spans="1:11" x14ac:dyDescent="0.55000000000000004">
      <c r="A1044" t="s">
        <v>4218</v>
      </c>
      <c r="B1044">
        <v>101049</v>
      </c>
      <c r="C1044" t="s">
        <v>88</v>
      </c>
      <c r="D1044" s="1">
        <v>46039</v>
      </c>
      <c r="E1044" t="s">
        <v>126</v>
      </c>
      <c r="F1044" t="s">
        <v>4219</v>
      </c>
      <c r="G1044" t="s">
        <v>22</v>
      </c>
      <c r="H1044" t="s">
        <v>4220</v>
      </c>
      <c r="I1044" t="s">
        <v>4221</v>
      </c>
      <c r="J1044" s="2">
        <v>46071.278568764217</v>
      </c>
    </row>
    <row r="1045" spans="1:11" x14ac:dyDescent="0.55000000000000004">
      <c r="A1045" t="s">
        <v>4222</v>
      </c>
      <c r="B1045">
        <v>101120</v>
      </c>
      <c r="C1045" t="s">
        <v>48</v>
      </c>
      <c r="D1045" s="1">
        <v>45785</v>
      </c>
      <c r="E1045" t="s">
        <v>334</v>
      </c>
      <c r="F1045" t="s">
        <v>4223</v>
      </c>
      <c r="G1045" t="s">
        <v>15</v>
      </c>
      <c r="H1045" t="s">
        <v>4224</v>
      </c>
      <c r="I1045" t="s">
        <v>4225</v>
      </c>
      <c r="J1045" s="2">
        <v>46096.837596546909</v>
      </c>
    </row>
    <row r="1046" spans="1:11" x14ac:dyDescent="0.55000000000000004">
      <c r="A1046" t="s">
        <v>4226</v>
      </c>
      <c r="B1046">
        <v>100521</v>
      </c>
      <c r="C1046" t="s">
        <v>194</v>
      </c>
      <c r="D1046" s="1">
        <v>46086</v>
      </c>
      <c r="E1046" t="s">
        <v>69</v>
      </c>
      <c r="F1046" t="s">
        <v>4227</v>
      </c>
      <c r="G1046" t="s">
        <v>15</v>
      </c>
      <c r="H1046" t="s">
        <v>4228</v>
      </c>
      <c r="I1046" t="s">
        <v>4229</v>
      </c>
      <c r="J1046" s="2">
        <v>46082.062596553522</v>
      </c>
    </row>
    <row r="1047" spans="1:11" x14ac:dyDescent="0.55000000000000004">
      <c r="A1047" t="s">
        <v>413</v>
      </c>
      <c r="B1047">
        <v>101426</v>
      </c>
      <c r="C1047" t="s">
        <v>169</v>
      </c>
      <c r="D1047" s="1">
        <v>46145</v>
      </c>
      <c r="E1047" t="s">
        <v>680</v>
      </c>
      <c r="F1047" t="s">
        <v>4230</v>
      </c>
      <c r="G1047" t="s">
        <v>15</v>
      </c>
      <c r="H1047" t="s">
        <v>4231</v>
      </c>
      <c r="I1047" t="s">
        <v>4232</v>
      </c>
      <c r="J1047" s="2">
        <v>46097.229957683638</v>
      </c>
    </row>
    <row r="1048" spans="1:11" x14ac:dyDescent="0.55000000000000004">
      <c r="A1048" t="s">
        <v>4233</v>
      </c>
      <c r="B1048">
        <v>101360</v>
      </c>
      <c r="C1048" t="s">
        <v>37</v>
      </c>
      <c r="D1048" s="1">
        <v>45769</v>
      </c>
      <c r="E1048" t="s">
        <v>170</v>
      </c>
      <c r="F1048" t="s">
        <v>4234</v>
      </c>
      <c r="G1048" t="s">
        <v>15</v>
      </c>
      <c r="H1048" t="s">
        <v>4235</v>
      </c>
      <c r="I1048" t="s">
        <v>4236</v>
      </c>
      <c r="J1048" s="2">
        <v>46088.332735494238</v>
      </c>
    </row>
    <row r="1049" spans="1:11" x14ac:dyDescent="0.55000000000000004">
      <c r="A1049" t="s">
        <v>2101</v>
      </c>
      <c r="B1049">
        <v>101058</v>
      </c>
      <c r="C1049" t="s">
        <v>88</v>
      </c>
      <c r="D1049" s="1">
        <v>45831</v>
      </c>
      <c r="E1049" t="s">
        <v>343</v>
      </c>
      <c r="F1049" t="s">
        <v>4237</v>
      </c>
      <c r="G1049" t="s">
        <v>15</v>
      </c>
      <c r="H1049" t="s">
        <v>4238</v>
      </c>
      <c r="I1049" t="s">
        <v>4239</v>
      </c>
      <c r="J1049" s="2">
        <v>46085.4646799689</v>
      </c>
    </row>
    <row r="1050" spans="1:11" x14ac:dyDescent="0.55000000000000004">
      <c r="A1050" t="s">
        <v>4240</v>
      </c>
      <c r="B1050">
        <v>101047</v>
      </c>
      <c r="C1050" t="s">
        <v>68</v>
      </c>
      <c r="D1050" s="1">
        <v>45821</v>
      </c>
      <c r="E1050" t="s">
        <v>20</v>
      </c>
      <c r="F1050" t="s">
        <v>4241</v>
      </c>
      <c r="G1050" t="s">
        <v>15</v>
      </c>
      <c r="H1050" t="s">
        <v>4242</v>
      </c>
      <c r="I1050" t="s">
        <v>4243</v>
      </c>
      <c r="J1050" s="2">
        <v>46075.957731481481</v>
      </c>
    </row>
    <row r="1051" spans="1:11" x14ac:dyDescent="0.55000000000000004">
      <c r="A1051" t="s">
        <v>4244</v>
      </c>
      <c r="B1051">
        <v>100893</v>
      </c>
      <c r="C1051" t="s">
        <v>194</v>
      </c>
      <c r="D1051" s="1">
        <v>45823</v>
      </c>
      <c r="E1051" t="s">
        <v>155</v>
      </c>
      <c r="F1051" t="s">
        <v>4245</v>
      </c>
      <c r="G1051" t="s">
        <v>15</v>
      </c>
      <c r="H1051" t="s">
        <v>4246</v>
      </c>
      <c r="I1051" t="s">
        <v>4247</v>
      </c>
      <c r="J1051" s="2">
        <v>46081.602179994778</v>
      </c>
    </row>
    <row r="1052" spans="1:11" x14ac:dyDescent="0.55000000000000004">
      <c r="A1052" t="s">
        <v>4248</v>
      </c>
      <c r="B1052">
        <v>101199</v>
      </c>
      <c r="C1052" t="s">
        <v>37</v>
      </c>
      <c r="D1052" s="1">
        <v>46157</v>
      </c>
      <c r="E1052" t="s">
        <v>121</v>
      </c>
      <c r="F1052" t="s">
        <v>4249</v>
      </c>
      <c r="G1052" t="s">
        <v>22</v>
      </c>
      <c r="H1052" t="s">
        <v>4250</v>
      </c>
      <c r="I1052" t="s">
        <v>4251</v>
      </c>
      <c r="J1052" s="2">
        <v>46084.312596674303</v>
      </c>
    </row>
    <row r="1053" spans="1:11" x14ac:dyDescent="0.55000000000000004">
      <c r="A1053" t="s">
        <v>4252</v>
      </c>
      <c r="B1053">
        <v>100707</v>
      </c>
      <c r="C1053" t="s">
        <v>88</v>
      </c>
      <c r="D1053" s="1">
        <v>45854</v>
      </c>
      <c r="E1053" t="s">
        <v>356</v>
      </c>
      <c r="F1053" t="s">
        <v>4253</v>
      </c>
      <c r="G1053" t="s">
        <v>22</v>
      </c>
      <c r="H1053" t="s">
        <v>4254</v>
      </c>
      <c r="I1053" t="s">
        <v>4255</v>
      </c>
      <c r="J1053" s="2">
        <v>46052.653568905836</v>
      </c>
    </row>
    <row r="1054" spans="1:11" x14ac:dyDescent="0.55000000000000004">
      <c r="A1054" t="s">
        <v>4256</v>
      </c>
      <c r="D1054" s="1">
        <v>45805</v>
      </c>
      <c r="E1054" t="s">
        <v>115</v>
      </c>
      <c r="F1054" t="s">
        <v>4257</v>
      </c>
      <c r="G1054" t="s">
        <v>15</v>
      </c>
      <c r="H1054" t="s">
        <v>4258</v>
      </c>
      <c r="I1054" t="s">
        <v>4259</v>
      </c>
      <c r="J1054" s="2">
        <v>46063.208430026447</v>
      </c>
      <c r="K1054" t="s">
        <v>4260</v>
      </c>
    </row>
    <row r="1055" spans="1:11" x14ac:dyDescent="0.55000000000000004">
      <c r="A1055" t="s">
        <v>4261</v>
      </c>
      <c r="B1055">
        <v>100222</v>
      </c>
      <c r="C1055" t="s">
        <v>63</v>
      </c>
      <c r="D1055" s="1">
        <v>45894</v>
      </c>
      <c r="E1055" t="s">
        <v>121</v>
      </c>
      <c r="F1055" t="s">
        <v>4262</v>
      </c>
      <c r="G1055" t="s">
        <v>15</v>
      </c>
      <c r="H1055" t="s">
        <v>4263</v>
      </c>
      <c r="I1055" t="s">
        <v>4264</v>
      </c>
      <c r="J1055" s="2">
        <v>46063.327874479473</v>
      </c>
    </row>
    <row r="1056" spans="1:11" x14ac:dyDescent="0.55000000000000004">
      <c r="A1056" t="s">
        <v>4265</v>
      </c>
      <c r="B1056">
        <v>100078</v>
      </c>
      <c r="C1056" t="s">
        <v>114</v>
      </c>
      <c r="D1056" s="1">
        <v>45899</v>
      </c>
      <c r="E1056" t="s">
        <v>155</v>
      </c>
      <c r="F1056" t="s">
        <v>4266</v>
      </c>
      <c r="G1056" t="s">
        <v>22</v>
      </c>
      <c r="H1056" t="s">
        <v>4267</v>
      </c>
      <c r="I1056" t="s">
        <v>4268</v>
      </c>
      <c r="J1056" s="2">
        <v>46089.02370782075</v>
      </c>
    </row>
    <row r="1057" spans="1:11" x14ac:dyDescent="0.55000000000000004">
      <c r="A1057" t="s">
        <v>4269</v>
      </c>
      <c r="B1057">
        <v>101155</v>
      </c>
      <c r="C1057" t="s">
        <v>26</v>
      </c>
      <c r="D1057" s="1">
        <v>45982</v>
      </c>
      <c r="E1057" t="s">
        <v>317</v>
      </c>
      <c r="F1057" t="s">
        <v>4270</v>
      </c>
      <c r="G1057" t="s">
        <v>15</v>
      </c>
      <c r="H1057" t="s">
        <v>4271</v>
      </c>
      <c r="I1057" t="s">
        <v>4272</v>
      </c>
      <c r="J1057" s="2">
        <v>46066.802874493798</v>
      </c>
    </row>
    <row r="1058" spans="1:11" x14ac:dyDescent="0.55000000000000004">
      <c r="A1058" t="s">
        <v>4273</v>
      </c>
      <c r="B1058">
        <v>101339</v>
      </c>
      <c r="C1058" t="s">
        <v>99</v>
      </c>
      <c r="D1058" s="1">
        <v>45765</v>
      </c>
      <c r="E1058" t="s">
        <v>38</v>
      </c>
      <c r="F1058" t="s">
        <v>4274</v>
      </c>
      <c r="G1058" t="s">
        <v>22</v>
      </c>
      <c r="H1058" t="s">
        <v>4275</v>
      </c>
      <c r="I1058" t="s">
        <v>4276</v>
      </c>
      <c r="J1058" s="2">
        <v>46056.022318944073</v>
      </c>
    </row>
    <row r="1059" spans="1:11" x14ac:dyDescent="0.55000000000000004">
      <c r="A1059" t="s">
        <v>4277</v>
      </c>
      <c r="B1059">
        <v>101174</v>
      </c>
      <c r="C1059" t="s">
        <v>63</v>
      </c>
      <c r="D1059" s="1">
        <v>45987</v>
      </c>
      <c r="E1059" t="s">
        <v>208</v>
      </c>
      <c r="F1059" t="s">
        <v>4278</v>
      </c>
      <c r="G1059" t="s">
        <v>22</v>
      </c>
      <c r="H1059" t="s">
        <v>4279</v>
      </c>
      <c r="I1059" t="s">
        <v>4280</v>
      </c>
      <c r="J1059" s="2">
        <v>46063.758430061251</v>
      </c>
    </row>
    <row r="1060" spans="1:11" x14ac:dyDescent="0.55000000000000004">
      <c r="A1060" t="s">
        <v>4281</v>
      </c>
      <c r="B1060">
        <v>101137</v>
      </c>
      <c r="C1060" t="s">
        <v>19</v>
      </c>
      <c r="D1060" s="1">
        <v>46098</v>
      </c>
      <c r="E1060" t="s">
        <v>58</v>
      </c>
      <c r="F1060" t="s">
        <v>4282</v>
      </c>
      <c r="G1060" t="s">
        <v>22</v>
      </c>
      <c r="H1060" t="s">
        <v>4283</v>
      </c>
      <c r="I1060" t="s">
        <v>4284</v>
      </c>
      <c r="J1060" s="2">
        <v>46056.916068956773</v>
      </c>
    </row>
    <row r="1061" spans="1:11" x14ac:dyDescent="0.55000000000000004">
      <c r="A1061" t="s">
        <v>4285</v>
      </c>
      <c r="B1061">
        <v>100056</v>
      </c>
      <c r="C1061" t="s">
        <v>12</v>
      </c>
      <c r="D1061" s="1">
        <v>45838</v>
      </c>
      <c r="E1061" t="s">
        <v>115</v>
      </c>
      <c r="F1061" t="s">
        <v>4286</v>
      </c>
      <c r="G1061" t="s">
        <v>22</v>
      </c>
      <c r="H1061" t="s">
        <v>4287</v>
      </c>
      <c r="I1061" t="s">
        <v>4288</v>
      </c>
      <c r="J1061" s="2">
        <v>46082.183430075624</v>
      </c>
    </row>
    <row r="1062" spans="1:11" x14ac:dyDescent="0.55000000000000004">
      <c r="A1062" t="s">
        <v>4289</v>
      </c>
      <c r="B1062">
        <v>100678</v>
      </c>
      <c r="C1062" t="s">
        <v>248</v>
      </c>
      <c r="D1062" s="1">
        <v>45888</v>
      </c>
      <c r="E1062" t="s">
        <v>89</v>
      </c>
      <c r="F1062" t="s">
        <v>4290</v>
      </c>
      <c r="G1062" t="s">
        <v>15</v>
      </c>
      <c r="H1062" t="s">
        <v>4291</v>
      </c>
      <c r="I1062" t="s">
        <v>4292</v>
      </c>
      <c r="J1062" s="2">
        <v>46074.384124525197</v>
      </c>
    </row>
    <row r="1063" spans="1:11" x14ac:dyDescent="0.55000000000000004">
      <c r="A1063" t="s">
        <v>4293</v>
      </c>
      <c r="B1063">
        <v>100818</v>
      </c>
      <c r="C1063" t="s">
        <v>146</v>
      </c>
      <c r="D1063" s="1">
        <v>45775</v>
      </c>
      <c r="E1063" t="s">
        <v>155</v>
      </c>
      <c r="F1063" t="s">
        <v>4294</v>
      </c>
      <c r="G1063" t="s">
        <v>22</v>
      </c>
      <c r="H1063" t="s">
        <v>4295</v>
      </c>
      <c r="I1063" t="s">
        <v>4296</v>
      </c>
      <c r="J1063" s="2">
        <v>46069.008430085683</v>
      </c>
    </row>
    <row r="1064" spans="1:11" x14ac:dyDescent="0.55000000000000004">
      <c r="A1064" t="s">
        <v>4297</v>
      </c>
      <c r="B1064">
        <v>101371</v>
      </c>
      <c r="C1064" t="s">
        <v>63</v>
      </c>
      <c r="D1064" s="1">
        <v>45849</v>
      </c>
      <c r="E1064" t="s">
        <v>83</v>
      </c>
      <c r="F1064" t="s">
        <v>4298</v>
      </c>
      <c r="G1064" t="s">
        <v>22</v>
      </c>
      <c r="H1064" t="s">
        <v>4299</v>
      </c>
      <c r="I1064" t="s">
        <v>4300</v>
      </c>
      <c r="J1064" s="2">
        <v>46069.081346758117</v>
      </c>
    </row>
    <row r="1065" spans="1:11" x14ac:dyDescent="0.55000000000000004">
      <c r="A1065" t="s">
        <v>4301</v>
      </c>
      <c r="B1065">
        <v>100719</v>
      </c>
      <c r="C1065" t="s">
        <v>94</v>
      </c>
      <c r="D1065" s="1">
        <v>45941</v>
      </c>
      <c r="E1065" t="s">
        <v>58</v>
      </c>
      <c r="F1065" t="s">
        <v>4302</v>
      </c>
      <c r="G1065" t="s">
        <v>22</v>
      </c>
      <c r="H1065" t="s">
        <v>4303</v>
      </c>
      <c r="I1065" t="s">
        <v>4304</v>
      </c>
      <c r="J1065" s="2">
        <v>46073.711207874549</v>
      </c>
    </row>
    <row r="1066" spans="1:11" x14ac:dyDescent="0.55000000000000004">
      <c r="A1066" t="s">
        <v>4305</v>
      </c>
      <c r="B1066">
        <v>100571</v>
      </c>
      <c r="C1066" t="s">
        <v>48</v>
      </c>
      <c r="D1066" s="1">
        <v>45958</v>
      </c>
      <c r="E1066" t="s">
        <v>20</v>
      </c>
      <c r="F1066" t="s">
        <v>4306</v>
      </c>
      <c r="G1066" t="s">
        <v>15</v>
      </c>
      <c r="H1066" t="s">
        <v>4307</v>
      </c>
      <c r="I1066" t="s">
        <v>4308</v>
      </c>
      <c r="J1066" s="2">
        <v>46075.629263438503</v>
      </c>
    </row>
    <row r="1067" spans="1:11" x14ac:dyDescent="0.55000000000000004">
      <c r="A1067" t="s">
        <v>4309</v>
      </c>
      <c r="C1067" t="s">
        <v>68</v>
      </c>
      <c r="D1067" s="1">
        <v>45988</v>
      </c>
      <c r="E1067" t="s">
        <v>343</v>
      </c>
      <c r="F1067" t="s">
        <v>4310</v>
      </c>
      <c r="G1067" t="s">
        <v>15</v>
      </c>
      <c r="H1067" t="s">
        <v>4311</v>
      </c>
      <c r="I1067" t="s">
        <v>4312</v>
      </c>
      <c r="J1067" s="2">
        <v>46091.577874556388</v>
      </c>
      <c r="K1067" t="s">
        <v>112</v>
      </c>
    </row>
    <row r="1068" spans="1:11" x14ac:dyDescent="0.55000000000000004">
      <c r="A1068" t="s">
        <v>4313</v>
      </c>
      <c r="B1068">
        <v>101452</v>
      </c>
      <c r="C1068" t="s">
        <v>131</v>
      </c>
      <c r="D1068" s="1">
        <v>45916</v>
      </c>
      <c r="E1068" t="s">
        <v>38</v>
      </c>
      <c r="F1068" t="s">
        <v>4314</v>
      </c>
      <c r="G1068" t="s">
        <v>15</v>
      </c>
      <c r="H1068" t="s">
        <v>4315</v>
      </c>
      <c r="I1068" t="s">
        <v>4316</v>
      </c>
      <c r="J1068" s="2">
        <v>46076.46676345147</v>
      </c>
    </row>
    <row r="1069" spans="1:11" x14ac:dyDescent="0.55000000000000004">
      <c r="A1069" t="s">
        <v>4317</v>
      </c>
      <c r="B1069">
        <v>100672</v>
      </c>
      <c r="C1069" t="s">
        <v>169</v>
      </c>
      <c r="D1069" s="1">
        <v>45860</v>
      </c>
      <c r="E1069" t="s">
        <v>49</v>
      </c>
      <c r="F1069" t="s">
        <v>4318</v>
      </c>
      <c r="G1069" t="s">
        <v>15</v>
      </c>
      <c r="H1069" t="s">
        <v>4319</v>
      </c>
      <c r="I1069" t="s">
        <v>4320</v>
      </c>
      <c r="J1069" s="2">
        <v>46051.886902344682</v>
      </c>
    </row>
    <row r="1070" spans="1:11" x14ac:dyDescent="0.55000000000000004">
      <c r="A1070" t="s">
        <v>4321</v>
      </c>
      <c r="B1070">
        <v>100816</v>
      </c>
      <c r="C1070" t="s">
        <v>114</v>
      </c>
      <c r="D1070" s="1">
        <v>46117</v>
      </c>
      <c r="E1070" t="s">
        <v>126</v>
      </c>
      <c r="F1070" t="s">
        <v>4322</v>
      </c>
      <c r="G1070" t="s">
        <v>15</v>
      </c>
      <c r="H1070" t="s">
        <v>4323</v>
      </c>
      <c r="I1070" t="s">
        <v>4324</v>
      </c>
      <c r="J1070" s="2">
        <v>46078.345235682478</v>
      </c>
    </row>
    <row r="1071" spans="1:11" x14ac:dyDescent="0.55000000000000004">
      <c r="A1071" t="s">
        <v>4325</v>
      </c>
      <c r="B1071">
        <v>100395</v>
      </c>
      <c r="C1071" t="s">
        <v>63</v>
      </c>
      <c r="D1071" s="1">
        <v>46132</v>
      </c>
      <c r="E1071" t="s">
        <v>89</v>
      </c>
      <c r="F1071" t="s">
        <v>4326</v>
      </c>
      <c r="G1071" t="s">
        <v>15</v>
      </c>
      <c r="H1071" t="s">
        <v>4327</v>
      </c>
      <c r="I1071" t="s">
        <v>4328</v>
      </c>
      <c r="J1071" s="2">
        <v>46066.816069020613</v>
      </c>
    </row>
    <row r="1072" spans="1:11" x14ac:dyDescent="0.55000000000000004">
      <c r="A1072" t="s">
        <v>4329</v>
      </c>
      <c r="B1072">
        <v>100048</v>
      </c>
      <c r="C1072" t="s">
        <v>82</v>
      </c>
      <c r="D1072" s="1">
        <v>46121</v>
      </c>
      <c r="E1072" t="s">
        <v>69</v>
      </c>
      <c r="F1072" t="s">
        <v>4330</v>
      </c>
      <c r="G1072" t="s">
        <v>15</v>
      </c>
      <c r="H1072" t="s">
        <v>4331</v>
      </c>
      <c r="I1072" t="s">
        <v>4332</v>
      </c>
      <c r="J1072" s="2">
        <v>46083.448013471338</v>
      </c>
    </row>
    <row r="1073" spans="1:10" x14ac:dyDescent="0.55000000000000004">
      <c r="A1073" t="s">
        <v>4333</v>
      </c>
      <c r="B1073">
        <v>100456</v>
      </c>
      <c r="C1073" t="s">
        <v>19</v>
      </c>
      <c r="D1073" s="1">
        <v>45851</v>
      </c>
      <c r="E1073" t="s">
        <v>213</v>
      </c>
      <c r="F1073" t="s">
        <v>4334</v>
      </c>
      <c r="G1073" t="s">
        <v>22</v>
      </c>
      <c r="H1073" t="s">
        <v>4335</v>
      </c>
      <c r="I1073" t="s">
        <v>4336</v>
      </c>
      <c r="J1073" s="2">
        <v>46076.624402366237</v>
      </c>
    </row>
    <row r="1074" spans="1:10" x14ac:dyDescent="0.55000000000000004">
      <c r="A1074" t="s">
        <v>4337</v>
      </c>
      <c r="B1074">
        <v>101434</v>
      </c>
      <c r="C1074" t="s">
        <v>169</v>
      </c>
      <c r="D1074" s="1">
        <v>45828</v>
      </c>
      <c r="E1074" t="s">
        <v>757</v>
      </c>
      <c r="F1074" t="s">
        <v>4338</v>
      </c>
      <c r="G1074" t="s">
        <v>15</v>
      </c>
      <c r="H1074" t="s">
        <v>4339</v>
      </c>
      <c r="I1074" t="s">
        <v>4340</v>
      </c>
      <c r="J1074" s="2">
        <v>46069.106346815373</v>
      </c>
    </row>
    <row r="1075" spans="1:10" x14ac:dyDescent="0.55000000000000004">
      <c r="A1075" t="s">
        <v>4341</v>
      </c>
      <c r="B1075">
        <v>100625</v>
      </c>
      <c r="C1075" t="s">
        <v>146</v>
      </c>
      <c r="D1075" s="1">
        <v>45747</v>
      </c>
      <c r="E1075" t="s">
        <v>409</v>
      </c>
      <c r="F1075" t="s">
        <v>4342</v>
      </c>
      <c r="G1075" t="s">
        <v>15</v>
      </c>
      <c r="H1075" t="s">
        <v>4343</v>
      </c>
      <c r="I1075" t="s">
        <v>4344</v>
      </c>
      <c r="J1075" s="2">
        <v>46078.732735709513</v>
      </c>
    </row>
    <row r="1076" spans="1:10" x14ac:dyDescent="0.55000000000000004">
      <c r="A1076" t="s">
        <v>4345</v>
      </c>
      <c r="B1076">
        <v>100716</v>
      </c>
      <c r="C1076" t="s">
        <v>19</v>
      </c>
      <c r="D1076" s="1">
        <v>46146</v>
      </c>
      <c r="E1076" t="s">
        <v>562</v>
      </c>
      <c r="F1076" t="s">
        <v>1380</v>
      </c>
      <c r="G1076" t="s">
        <v>22</v>
      </c>
      <c r="H1076" t="s">
        <v>4346</v>
      </c>
      <c r="I1076" t="s">
        <v>4347</v>
      </c>
      <c r="J1076" s="2">
        <v>46069.770930159211</v>
      </c>
    </row>
    <row r="1077" spans="1:10" x14ac:dyDescent="0.55000000000000004">
      <c r="A1077" t="s">
        <v>4348</v>
      </c>
      <c r="B1077">
        <v>100942</v>
      </c>
      <c r="C1077" t="s">
        <v>179</v>
      </c>
      <c r="D1077" s="1">
        <v>46122</v>
      </c>
      <c r="E1077" t="s">
        <v>126</v>
      </c>
      <c r="F1077" t="s">
        <v>4349</v>
      </c>
      <c r="G1077" t="s">
        <v>15</v>
      </c>
      <c r="H1077" t="s">
        <v>4350</v>
      </c>
      <c r="I1077" t="s">
        <v>4351</v>
      </c>
      <c r="J1077" s="2">
        <v>46061.700791275223</v>
      </c>
    </row>
    <row r="1078" spans="1:10" x14ac:dyDescent="0.55000000000000004">
      <c r="A1078" t="s">
        <v>4352</v>
      </c>
      <c r="B1078">
        <v>100408</v>
      </c>
      <c r="C1078" t="s">
        <v>114</v>
      </c>
      <c r="D1078" s="1">
        <v>45810</v>
      </c>
      <c r="E1078" t="s">
        <v>27</v>
      </c>
      <c r="F1078" t="s">
        <v>4353</v>
      </c>
      <c r="G1078" t="s">
        <v>22</v>
      </c>
      <c r="H1078" t="s">
        <v>4354</v>
      </c>
      <c r="I1078" t="s">
        <v>4355</v>
      </c>
      <c r="J1078" s="2">
        <v>46073.455652391182</v>
      </c>
    </row>
    <row r="1079" spans="1:10" x14ac:dyDescent="0.55000000000000004">
      <c r="A1079" t="s">
        <v>4356</v>
      </c>
      <c r="B1079">
        <v>100455</v>
      </c>
      <c r="C1079" t="s">
        <v>179</v>
      </c>
      <c r="D1079" s="1">
        <v>45764</v>
      </c>
      <c r="E1079" t="s">
        <v>680</v>
      </c>
      <c r="F1079" t="s">
        <v>4357</v>
      </c>
      <c r="G1079" t="s">
        <v>15</v>
      </c>
      <c r="H1079" t="s">
        <v>4358</v>
      </c>
      <c r="I1079" t="s">
        <v>4359</v>
      </c>
      <c r="J1079" s="2">
        <v>46075.936207952662</v>
      </c>
    </row>
    <row r="1080" spans="1:10" x14ac:dyDescent="0.55000000000000004">
      <c r="A1080" t="s">
        <v>4360</v>
      </c>
      <c r="B1080">
        <v>100963</v>
      </c>
      <c r="C1080" t="s">
        <v>88</v>
      </c>
      <c r="D1080" s="1">
        <v>46059</v>
      </c>
      <c r="E1080" t="s">
        <v>265</v>
      </c>
      <c r="F1080" t="s">
        <v>4361</v>
      </c>
      <c r="G1080" t="s">
        <v>15</v>
      </c>
      <c r="H1080" t="s">
        <v>4362</v>
      </c>
      <c r="I1080" t="s">
        <v>4363</v>
      </c>
      <c r="J1080" s="2">
        <v>46053.95981906919</v>
      </c>
    </row>
    <row r="1081" spans="1:10" x14ac:dyDescent="0.55000000000000004">
      <c r="A1081" t="s">
        <v>4364</v>
      </c>
      <c r="B1081">
        <v>100079</v>
      </c>
      <c r="C1081" t="s">
        <v>48</v>
      </c>
      <c r="D1081" s="1">
        <v>45748</v>
      </c>
      <c r="E1081" t="s">
        <v>270</v>
      </c>
      <c r="F1081" t="s">
        <v>4365</v>
      </c>
      <c r="G1081" t="s">
        <v>15</v>
      </c>
      <c r="H1081" t="s">
        <v>4366</v>
      </c>
      <c r="I1081" t="s">
        <v>4367</v>
      </c>
      <c r="J1081" s="2">
        <v>46085.647319074837</v>
      </c>
    </row>
    <row r="1082" spans="1:10" x14ac:dyDescent="0.55000000000000004">
      <c r="A1082" t="s">
        <v>4368</v>
      </c>
      <c r="B1082">
        <v>100783</v>
      </c>
      <c r="C1082" t="s">
        <v>179</v>
      </c>
      <c r="D1082" s="1">
        <v>45877</v>
      </c>
      <c r="E1082" t="s">
        <v>115</v>
      </c>
      <c r="F1082" t="s">
        <v>4369</v>
      </c>
      <c r="G1082" t="s">
        <v>22</v>
      </c>
      <c r="H1082" t="s">
        <v>4370</v>
      </c>
      <c r="I1082" t="s">
        <v>4371</v>
      </c>
      <c r="J1082" s="2">
        <v>46055.000791302431</v>
      </c>
    </row>
    <row r="1083" spans="1:10" x14ac:dyDescent="0.55000000000000004">
      <c r="A1083" t="s">
        <v>4372</v>
      </c>
      <c r="B1083">
        <v>100221</v>
      </c>
      <c r="C1083" t="s">
        <v>131</v>
      </c>
      <c r="D1083" s="1">
        <v>45964</v>
      </c>
      <c r="E1083" t="s">
        <v>20</v>
      </c>
      <c r="F1083" t="s">
        <v>4373</v>
      </c>
      <c r="G1083" t="s">
        <v>15</v>
      </c>
      <c r="H1083" t="s">
        <v>4374</v>
      </c>
      <c r="I1083" t="s">
        <v>4375</v>
      </c>
      <c r="J1083" s="2">
        <v>46087.281346863783</v>
      </c>
    </row>
    <row r="1084" spans="1:10" x14ac:dyDescent="0.55000000000000004">
      <c r="A1084" t="s">
        <v>4376</v>
      </c>
      <c r="B1084">
        <v>101476</v>
      </c>
      <c r="C1084" t="s">
        <v>94</v>
      </c>
      <c r="D1084" s="1">
        <v>45932</v>
      </c>
      <c r="E1084" t="s">
        <v>155</v>
      </c>
      <c r="F1084" t="s">
        <v>4377</v>
      </c>
      <c r="G1084" t="s">
        <v>15</v>
      </c>
      <c r="H1084" t="s">
        <v>4378</v>
      </c>
      <c r="I1084" t="s">
        <v>4379</v>
      </c>
      <c r="J1084" s="2">
        <v>46063.151485758448</v>
      </c>
    </row>
    <row r="1085" spans="1:10" x14ac:dyDescent="0.55000000000000004">
      <c r="A1085" t="s">
        <v>4380</v>
      </c>
      <c r="B1085">
        <v>101350</v>
      </c>
      <c r="C1085" t="s">
        <v>19</v>
      </c>
      <c r="D1085" s="1">
        <v>46112</v>
      </c>
      <c r="E1085" t="s">
        <v>69</v>
      </c>
      <c r="F1085" t="s">
        <v>4381</v>
      </c>
      <c r="G1085" t="s">
        <v>15</v>
      </c>
      <c r="H1085" t="s">
        <v>4382</v>
      </c>
      <c r="I1085" t="s">
        <v>4383</v>
      </c>
      <c r="J1085" s="2">
        <v>46089.453569098252</v>
      </c>
    </row>
    <row r="1086" spans="1:10" x14ac:dyDescent="0.55000000000000004">
      <c r="A1086" t="s">
        <v>4384</v>
      </c>
      <c r="B1086">
        <v>100508</v>
      </c>
      <c r="C1086" t="s">
        <v>68</v>
      </c>
      <c r="D1086" s="1">
        <v>45953</v>
      </c>
      <c r="E1086" t="s">
        <v>680</v>
      </c>
      <c r="F1086" t="s">
        <v>4385</v>
      </c>
      <c r="G1086" t="s">
        <v>22</v>
      </c>
      <c r="H1086" t="s">
        <v>4386</v>
      </c>
      <c r="I1086" t="s">
        <v>4387</v>
      </c>
      <c r="J1086" s="2">
        <v>46060.4577357702</v>
      </c>
    </row>
    <row r="1087" spans="1:10" x14ac:dyDescent="0.55000000000000004">
      <c r="A1087" t="s">
        <v>4388</v>
      </c>
      <c r="B1087">
        <v>100843</v>
      </c>
      <c r="C1087" t="s">
        <v>82</v>
      </c>
      <c r="D1087" s="1">
        <v>46098</v>
      </c>
      <c r="E1087" t="s">
        <v>208</v>
      </c>
      <c r="F1087" t="s">
        <v>4389</v>
      </c>
      <c r="G1087" t="s">
        <v>15</v>
      </c>
      <c r="H1087" t="s">
        <v>210</v>
      </c>
      <c r="I1087" t="s">
        <v>4390</v>
      </c>
      <c r="J1087" s="2">
        <v>46088.112596885607</v>
      </c>
    </row>
    <row r="1088" spans="1:10" x14ac:dyDescent="0.55000000000000004">
      <c r="A1088" t="s">
        <v>4391</v>
      </c>
      <c r="B1088">
        <v>100680</v>
      </c>
      <c r="C1088" t="s">
        <v>131</v>
      </c>
      <c r="D1088" s="1">
        <v>46154</v>
      </c>
      <c r="E1088" t="s">
        <v>409</v>
      </c>
      <c r="F1088" t="s">
        <v>4392</v>
      </c>
      <c r="G1088" t="s">
        <v>22</v>
      </c>
      <c r="H1088" t="s">
        <v>4393</v>
      </c>
      <c r="I1088" t="s">
        <v>4394</v>
      </c>
      <c r="J1088" s="2">
        <v>46061.048013558328</v>
      </c>
    </row>
    <row r="1089" spans="1:10" x14ac:dyDescent="0.55000000000000004">
      <c r="A1089" t="s">
        <v>4395</v>
      </c>
      <c r="B1089">
        <v>100367</v>
      </c>
      <c r="C1089" t="s">
        <v>88</v>
      </c>
      <c r="D1089" s="1">
        <v>45968</v>
      </c>
      <c r="E1089" t="s">
        <v>13</v>
      </c>
      <c r="F1089" t="s">
        <v>4396</v>
      </c>
      <c r="G1089" t="s">
        <v>22</v>
      </c>
      <c r="H1089" t="s">
        <v>4397</v>
      </c>
      <c r="I1089" t="s">
        <v>4398</v>
      </c>
      <c r="J1089" s="2">
        <v>46074.750096897718</v>
      </c>
    </row>
    <row r="1090" spans="1:10" x14ac:dyDescent="0.55000000000000004">
      <c r="A1090" t="s">
        <v>4399</v>
      </c>
      <c r="B1090">
        <v>100050</v>
      </c>
      <c r="C1090" t="s">
        <v>68</v>
      </c>
      <c r="D1090" s="1">
        <v>45932</v>
      </c>
      <c r="E1090" t="s">
        <v>680</v>
      </c>
      <c r="F1090" t="s">
        <v>4400</v>
      </c>
      <c r="G1090" t="s">
        <v>15</v>
      </c>
      <c r="H1090" t="s">
        <v>4401</v>
      </c>
      <c r="I1090" t="s">
        <v>4402</v>
      </c>
      <c r="J1090" s="2">
        <v>46058.132041350793</v>
      </c>
    </row>
    <row r="1091" spans="1:10" x14ac:dyDescent="0.55000000000000004">
      <c r="A1091" t="s">
        <v>4403</v>
      </c>
      <c r="B1091">
        <v>100844</v>
      </c>
      <c r="C1091" t="s">
        <v>88</v>
      </c>
      <c r="D1091" s="1">
        <v>45928</v>
      </c>
      <c r="E1091" t="s">
        <v>528</v>
      </c>
      <c r="F1091" t="s">
        <v>4404</v>
      </c>
      <c r="G1091" t="s">
        <v>22</v>
      </c>
      <c r="H1091" t="s">
        <v>4405</v>
      </c>
      <c r="I1091" t="s">
        <v>4406</v>
      </c>
      <c r="J1091" s="2">
        <v>46053.684124692329</v>
      </c>
    </row>
    <row r="1092" spans="1:10" x14ac:dyDescent="0.55000000000000004">
      <c r="A1092" t="s">
        <v>4407</v>
      </c>
      <c r="B1092">
        <v>100362</v>
      </c>
      <c r="C1092" t="s">
        <v>194</v>
      </c>
      <c r="D1092" s="1">
        <v>45812</v>
      </c>
      <c r="E1092" t="s">
        <v>27</v>
      </c>
      <c r="F1092" t="s">
        <v>4408</v>
      </c>
      <c r="G1092" t="s">
        <v>22</v>
      </c>
      <c r="H1092" t="s">
        <v>4409</v>
      </c>
      <c r="I1092" t="s">
        <v>4410</v>
      </c>
      <c r="J1092" s="2">
        <v>46055.651485813207</v>
      </c>
    </row>
    <row r="1093" spans="1:10" x14ac:dyDescent="0.55000000000000004">
      <c r="A1093" t="s">
        <v>4411</v>
      </c>
      <c r="B1093">
        <v>100332</v>
      </c>
      <c r="C1093" t="s">
        <v>248</v>
      </c>
      <c r="D1093" s="1">
        <v>45984</v>
      </c>
      <c r="E1093" t="s">
        <v>170</v>
      </c>
      <c r="F1093" t="s">
        <v>4412</v>
      </c>
      <c r="G1093" t="s">
        <v>22</v>
      </c>
      <c r="H1093" t="s">
        <v>4413</v>
      </c>
      <c r="I1093" t="s">
        <v>4414</v>
      </c>
      <c r="J1093" s="2">
        <v>46093.596624712038</v>
      </c>
    </row>
    <row r="1094" spans="1:10" x14ac:dyDescent="0.55000000000000004">
      <c r="A1094" t="s">
        <v>4415</v>
      </c>
      <c r="B1094">
        <v>101225</v>
      </c>
      <c r="C1094" t="s">
        <v>82</v>
      </c>
      <c r="D1094" s="1">
        <v>46124</v>
      </c>
      <c r="E1094" t="s">
        <v>757</v>
      </c>
      <c r="F1094" t="s">
        <v>4416</v>
      </c>
      <c r="G1094" t="s">
        <v>15</v>
      </c>
      <c r="H1094" t="s">
        <v>4417</v>
      </c>
      <c r="I1094" t="s">
        <v>4418</v>
      </c>
      <c r="J1094" s="2">
        <v>46081.451485832877</v>
      </c>
    </row>
    <row r="1095" spans="1:10" x14ac:dyDescent="0.55000000000000004">
      <c r="A1095" t="s">
        <v>4419</v>
      </c>
      <c r="B1095">
        <v>100316</v>
      </c>
      <c r="C1095" t="s">
        <v>82</v>
      </c>
      <c r="D1095" s="1">
        <v>45754</v>
      </c>
      <c r="E1095" t="s">
        <v>141</v>
      </c>
      <c r="F1095" t="s">
        <v>4420</v>
      </c>
      <c r="G1095" t="s">
        <v>22</v>
      </c>
      <c r="H1095" t="s">
        <v>4421</v>
      </c>
      <c r="I1095" t="s">
        <v>4422</v>
      </c>
      <c r="J1095" s="2">
        <v>46073.257735842752</v>
      </c>
    </row>
    <row r="1096" spans="1:10" x14ac:dyDescent="0.55000000000000004">
      <c r="A1096" t="s">
        <v>4423</v>
      </c>
      <c r="B1096">
        <v>101223</v>
      </c>
      <c r="C1096" t="s">
        <v>179</v>
      </c>
      <c r="D1096" s="1">
        <v>45831</v>
      </c>
      <c r="E1096" t="s">
        <v>141</v>
      </c>
      <c r="F1096" t="s">
        <v>4424</v>
      </c>
      <c r="G1096" t="s">
        <v>22</v>
      </c>
      <c r="H1096" t="s">
        <v>4425</v>
      </c>
      <c r="I1096" t="s">
        <v>4426</v>
      </c>
      <c r="J1096" s="2">
        <v>46090.552180295417</v>
      </c>
    </row>
    <row r="1097" spans="1:10" x14ac:dyDescent="0.55000000000000004">
      <c r="A1097" t="s">
        <v>4427</v>
      </c>
      <c r="B1097">
        <v>100724</v>
      </c>
      <c r="C1097" t="s">
        <v>169</v>
      </c>
      <c r="D1097" s="1">
        <v>46075</v>
      </c>
      <c r="E1097" t="s">
        <v>213</v>
      </c>
      <c r="F1097" t="s">
        <v>4428</v>
      </c>
      <c r="G1097" t="s">
        <v>15</v>
      </c>
      <c r="H1097" t="s">
        <v>4429</v>
      </c>
      <c r="I1097" t="s">
        <v>4430</v>
      </c>
      <c r="J1097" s="2">
        <v>46091.966069191367</v>
      </c>
    </row>
    <row r="1098" spans="1:10" x14ac:dyDescent="0.55000000000000004">
      <c r="A1098" t="s">
        <v>4431</v>
      </c>
      <c r="B1098">
        <v>100210</v>
      </c>
      <c r="C1098" t="s">
        <v>194</v>
      </c>
      <c r="D1098" s="1">
        <v>46097</v>
      </c>
      <c r="E1098" t="s">
        <v>418</v>
      </c>
      <c r="F1098" t="s">
        <v>4432</v>
      </c>
      <c r="G1098" t="s">
        <v>22</v>
      </c>
      <c r="H1098" t="s">
        <v>4433</v>
      </c>
      <c r="I1098" t="s">
        <v>4434</v>
      </c>
      <c r="J1098" s="2">
        <v>46087.503569199769</v>
      </c>
    </row>
    <row r="1099" spans="1:10" x14ac:dyDescent="0.55000000000000004">
      <c r="A1099" t="s">
        <v>4435</v>
      </c>
      <c r="B1099">
        <v>101234</v>
      </c>
      <c r="C1099" t="s">
        <v>37</v>
      </c>
      <c r="D1099" s="1">
        <v>46042</v>
      </c>
      <c r="E1099" t="s">
        <v>115</v>
      </c>
      <c r="F1099" t="s">
        <v>4436</v>
      </c>
      <c r="G1099" t="s">
        <v>22</v>
      </c>
      <c r="H1099" t="s">
        <v>4437</v>
      </c>
      <c r="I1099" t="s">
        <v>4438</v>
      </c>
      <c r="J1099" s="2">
        <v>46089.986208098773</v>
      </c>
    </row>
    <row r="1100" spans="1:10" x14ac:dyDescent="0.55000000000000004">
      <c r="A1100" t="s">
        <v>4439</v>
      </c>
      <c r="B1100">
        <v>100430</v>
      </c>
      <c r="C1100" t="s">
        <v>179</v>
      </c>
      <c r="D1100" s="1">
        <v>45818</v>
      </c>
      <c r="E1100" t="s">
        <v>317</v>
      </c>
      <c r="F1100" t="s">
        <v>4440</v>
      </c>
      <c r="G1100" t="s">
        <v>15</v>
      </c>
      <c r="H1100" t="s">
        <v>4441</v>
      </c>
      <c r="I1100" t="s">
        <v>4442</v>
      </c>
      <c r="J1100" s="2">
        <v>46054.357735882477</v>
      </c>
    </row>
    <row r="1101" spans="1:10" x14ac:dyDescent="0.55000000000000004">
      <c r="A1101" t="s">
        <v>4443</v>
      </c>
      <c r="B1101">
        <v>100732</v>
      </c>
      <c r="C1101" t="s">
        <v>114</v>
      </c>
      <c r="D1101" s="1">
        <v>45957</v>
      </c>
      <c r="E1101" t="s">
        <v>189</v>
      </c>
      <c r="F1101" t="s">
        <v>4444</v>
      </c>
      <c r="G1101" t="s">
        <v>15</v>
      </c>
      <c r="H1101" t="s">
        <v>4445</v>
      </c>
      <c r="I1101" t="s">
        <v>4446</v>
      </c>
      <c r="J1101" s="2">
        <v>46053.988985888449</v>
      </c>
    </row>
    <row r="1102" spans="1:10" x14ac:dyDescent="0.55000000000000004">
      <c r="A1102" t="s">
        <v>4447</v>
      </c>
      <c r="B1102">
        <v>101263</v>
      </c>
      <c r="C1102" t="s">
        <v>248</v>
      </c>
      <c r="D1102" s="1">
        <v>45958</v>
      </c>
      <c r="E1102" t="s">
        <v>184</v>
      </c>
      <c r="F1102" t="s">
        <v>4448</v>
      </c>
      <c r="G1102" t="s">
        <v>22</v>
      </c>
      <c r="H1102" t="s">
        <v>4449</v>
      </c>
      <c r="I1102" t="s">
        <v>4450</v>
      </c>
      <c r="J1102" s="2">
        <v>46053.307735896487</v>
      </c>
    </row>
    <row r="1103" spans="1:10" x14ac:dyDescent="0.55000000000000004">
      <c r="A1103" t="s">
        <v>4451</v>
      </c>
      <c r="B1103">
        <v>100746</v>
      </c>
      <c r="C1103" t="s">
        <v>88</v>
      </c>
      <c r="D1103" s="1">
        <v>45758</v>
      </c>
      <c r="E1103" t="s">
        <v>243</v>
      </c>
      <c r="F1103" t="s">
        <v>4452</v>
      </c>
      <c r="G1103" t="s">
        <v>15</v>
      </c>
      <c r="H1103" t="s">
        <v>4453</v>
      </c>
      <c r="I1103" t="s">
        <v>4454</v>
      </c>
      <c r="J1103" s="2">
        <v>46082.213291458029</v>
      </c>
    </row>
    <row r="1104" spans="1:10" x14ac:dyDescent="0.55000000000000004">
      <c r="A1104" t="s">
        <v>2951</v>
      </c>
      <c r="B1104">
        <v>100631</v>
      </c>
      <c r="C1104" t="s">
        <v>194</v>
      </c>
      <c r="D1104" s="1">
        <v>45834</v>
      </c>
      <c r="E1104" t="s">
        <v>155</v>
      </c>
      <c r="F1104" t="s">
        <v>4455</v>
      </c>
      <c r="G1104" t="s">
        <v>22</v>
      </c>
      <c r="H1104" t="s">
        <v>4456</v>
      </c>
      <c r="I1104" t="s">
        <v>4457</v>
      </c>
      <c r="J1104" s="2">
        <v>46096.725791463541</v>
      </c>
    </row>
    <row r="1105" spans="1:11" x14ac:dyDescent="0.55000000000000004">
      <c r="A1105" t="s">
        <v>4458</v>
      </c>
      <c r="B1105">
        <v>100085</v>
      </c>
      <c r="C1105" t="s">
        <v>169</v>
      </c>
      <c r="D1105" s="1">
        <v>46152</v>
      </c>
      <c r="E1105" t="s">
        <v>317</v>
      </c>
      <c r="F1105" t="s">
        <v>4459</v>
      </c>
      <c r="G1105" t="s">
        <v>15</v>
      </c>
      <c r="H1105" t="s">
        <v>4460</v>
      </c>
      <c r="I1105" t="s">
        <v>4461</v>
      </c>
      <c r="J1105" s="2">
        <v>46083.609124803377</v>
      </c>
    </row>
    <row r="1106" spans="1:11" x14ac:dyDescent="0.55000000000000004">
      <c r="A1106" t="s">
        <v>4462</v>
      </c>
      <c r="B1106">
        <v>100261</v>
      </c>
      <c r="C1106" t="s">
        <v>48</v>
      </c>
      <c r="D1106" s="1">
        <v>46102</v>
      </c>
      <c r="E1106" t="s">
        <v>155</v>
      </c>
      <c r="F1106" t="s">
        <v>4463</v>
      </c>
      <c r="G1106" t="s">
        <v>22</v>
      </c>
      <c r="H1106" t="s">
        <v>4464</v>
      </c>
      <c r="I1106" t="s">
        <v>4465</v>
      </c>
      <c r="J1106" s="2">
        <v>46065.593152585869</v>
      </c>
    </row>
    <row r="1107" spans="1:11" x14ac:dyDescent="0.55000000000000004">
      <c r="A1107" t="s">
        <v>4466</v>
      </c>
      <c r="B1107">
        <v>100880</v>
      </c>
      <c r="C1107" t="s">
        <v>169</v>
      </c>
      <c r="D1107" s="1">
        <v>45897</v>
      </c>
      <c r="E1107" t="s">
        <v>587</v>
      </c>
      <c r="F1107" t="s">
        <v>4467</v>
      </c>
      <c r="G1107" t="s">
        <v>22</v>
      </c>
      <c r="H1107" t="s">
        <v>4468</v>
      </c>
      <c r="I1107" t="s">
        <v>4469</v>
      </c>
      <c r="J1107" s="2">
        <v>46070.574402590799</v>
      </c>
    </row>
    <row r="1108" spans="1:11" x14ac:dyDescent="0.55000000000000004">
      <c r="A1108" t="s">
        <v>4470</v>
      </c>
      <c r="B1108">
        <v>100303</v>
      </c>
      <c r="C1108" t="s">
        <v>194</v>
      </c>
      <c r="D1108" s="1">
        <v>45841</v>
      </c>
      <c r="E1108" t="s">
        <v>20</v>
      </c>
      <c r="F1108" t="s">
        <v>4471</v>
      </c>
      <c r="G1108" t="s">
        <v>22</v>
      </c>
      <c r="H1108" t="s">
        <v>4472</v>
      </c>
      <c r="I1108" t="s">
        <v>4473</v>
      </c>
      <c r="J1108" s="2">
        <v>46086.725097040959</v>
      </c>
    </row>
    <row r="1109" spans="1:11" x14ac:dyDescent="0.55000000000000004">
      <c r="A1109" t="s">
        <v>4474</v>
      </c>
      <c r="B1109">
        <v>101150</v>
      </c>
      <c r="C1109" t="s">
        <v>179</v>
      </c>
      <c r="D1109" s="1">
        <v>46066</v>
      </c>
      <c r="E1109" t="s">
        <v>334</v>
      </c>
      <c r="F1109" t="s">
        <v>4475</v>
      </c>
      <c r="G1109" t="s">
        <v>15</v>
      </c>
      <c r="H1109" t="s">
        <v>4476</v>
      </c>
      <c r="I1109" t="s">
        <v>4477</v>
      </c>
      <c r="J1109" s="2">
        <v>46068.433430379468</v>
      </c>
    </row>
    <row r="1110" spans="1:11" x14ac:dyDescent="0.55000000000000004">
      <c r="A1110" t="s">
        <v>4478</v>
      </c>
      <c r="B1110">
        <v>100073</v>
      </c>
      <c r="C1110" t="s">
        <v>131</v>
      </c>
      <c r="D1110" s="1">
        <v>46068</v>
      </c>
      <c r="E1110" t="s">
        <v>27</v>
      </c>
      <c r="F1110" t="s">
        <v>4479</v>
      </c>
      <c r="G1110" t="s">
        <v>22</v>
      </c>
      <c r="H1110" t="s">
        <v>4480</v>
      </c>
      <c r="I1110" t="s">
        <v>4481</v>
      </c>
      <c r="J1110" s="2">
        <v>46095.650791495777</v>
      </c>
    </row>
    <row r="1111" spans="1:11" x14ac:dyDescent="0.55000000000000004">
      <c r="A1111" t="s">
        <v>4482</v>
      </c>
      <c r="C1111" t="s">
        <v>248</v>
      </c>
      <c r="D1111" s="1">
        <v>45942</v>
      </c>
      <c r="E1111" t="s">
        <v>89</v>
      </c>
      <c r="F1111" t="s">
        <v>2878</v>
      </c>
      <c r="G1111" t="s">
        <v>15</v>
      </c>
      <c r="H1111" t="s">
        <v>4483</v>
      </c>
      <c r="I1111" t="s">
        <v>4484</v>
      </c>
      <c r="J1111" s="2">
        <v>46051.9834303936</v>
      </c>
      <c r="K1111" t="s">
        <v>112</v>
      </c>
    </row>
    <row r="1112" spans="1:11" x14ac:dyDescent="0.55000000000000004">
      <c r="A1112" t="s">
        <v>4485</v>
      </c>
      <c r="B1112">
        <v>101233</v>
      </c>
      <c r="C1112" t="s">
        <v>26</v>
      </c>
      <c r="D1112" s="1">
        <v>45819</v>
      </c>
      <c r="E1112" t="s">
        <v>170</v>
      </c>
      <c r="F1112" t="s">
        <v>4486</v>
      </c>
      <c r="G1112" t="s">
        <v>22</v>
      </c>
      <c r="H1112" t="s">
        <v>4487</v>
      </c>
      <c r="I1112" t="s">
        <v>4488</v>
      </c>
      <c r="J1112" s="2">
        <v>46056.75565262376</v>
      </c>
    </row>
    <row r="1113" spans="1:11" x14ac:dyDescent="0.55000000000000004">
      <c r="A1113" t="s">
        <v>4489</v>
      </c>
      <c r="B1113">
        <v>101320</v>
      </c>
      <c r="C1113" t="s">
        <v>179</v>
      </c>
      <c r="D1113" s="1">
        <v>46079</v>
      </c>
      <c r="E1113" t="s">
        <v>562</v>
      </c>
      <c r="F1113" t="s">
        <v>4490</v>
      </c>
      <c r="G1113" t="s">
        <v>22</v>
      </c>
      <c r="H1113" t="s">
        <v>4491</v>
      </c>
      <c r="I1113" t="s">
        <v>4492</v>
      </c>
      <c r="J1113" s="2">
        <v>46055.060513743003</v>
      </c>
    </row>
    <row r="1114" spans="1:11" x14ac:dyDescent="0.55000000000000004">
      <c r="A1114" t="s">
        <v>4493</v>
      </c>
      <c r="B1114">
        <v>101163</v>
      </c>
      <c r="C1114" t="s">
        <v>131</v>
      </c>
      <c r="D1114" s="1">
        <v>45903</v>
      </c>
      <c r="E1114" t="s">
        <v>38</v>
      </c>
      <c r="F1114" t="s">
        <v>4494</v>
      </c>
      <c r="G1114" t="s">
        <v>22</v>
      </c>
      <c r="H1114" t="s">
        <v>4495</v>
      </c>
      <c r="I1114" t="s">
        <v>4496</v>
      </c>
      <c r="J1114" s="2">
        <v>46073.019541529757</v>
      </c>
    </row>
    <row r="1115" spans="1:11" x14ac:dyDescent="0.55000000000000004">
      <c r="A1115" t="s">
        <v>4497</v>
      </c>
      <c r="B1115">
        <v>100875</v>
      </c>
      <c r="C1115" t="s">
        <v>194</v>
      </c>
      <c r="D1115" s="1">
        <v>45989</v>
      </c>
      <c r="E1115" t="s">
        <v>108</v>
      </c>
      <c r="F1115" t="s">
        <v>4498</v>
      </c>
      <c r="G1115" t="s">
        <v>15</v>
      </c>
      <c r="H1115" t="s">
        <v>4499</v>
      </c>
      <c r="I1115" t="s">
        <v>4500</v>
      </c>
      <c r="J1115" s="2">
        <v>46058.569541537057</v>
      </c>
    </row>
    <row r="1116" spans="1:11" x14ac:dyDescent="0.55000000000000004">
      <c r="A1116" t="s">
        <v>4501</v>
      </c>
      <c r="B1116">
        <v>100904</v>
      </c>
      <c r="C1116" t="s">
        <v>68</v>
      </c>
      <c r="D1116" s="1">
        <v>45853</v>
      </c>
      <c r="E1116" t="s">
        <v>121</v>
      </c>
      <c r="F1116" t="s">
        <v>4502</v>
      </c>
      <c r="G1116" t="s">
        <v>15</v>
      </c>
      <c r="H1116" t="s">
        <v>4503</v>
      </c>
      <c r="I1116" t="s">
        <v>4504</v>
      </c>
      <c r="J1116" s="2">
        <v>46089.213291542837</v>
      </c>
    </row>
    <row r="1117" spans="1:11" x14ac:dyDescent="0.55000000000000004">
      <c r="A1117" t="s">
        <v>4505</v>
      </c>
      <c r="B1117">
        <v>101328</v>
      </c>
      <c r="C1117" t="s">
        <v>19</v>
      </c>
      <c r="D1117" s="1">
        <v>45883</v>
      </c>
      <c r="E1117" t="s">
        <v>115</v>
      </c>
      <c r="F1117" t="s">
        <v>4506</v>
      </c>
      <c r="G1117" t="s">
        <v>22</v>
      </c>
      <c r="H1117" t="s">
        <v>4507</v>
      </c>
      <c r="I1117" t="s">
        <v>4508</v>
      </c>
      <c r="J1117" s="2">
        <v>46083.833430436163</v>
      </c>
    </row>
    <row r="1118" spans="1:11" x14ac:dyDescent="0.55000000000000004">
      <c r="A1118" t="s">
        <v>4509</v>
      </c>
      <c r="B1118">
        <v>100536</v>
      </c>
      <c r="C1118" t="s">
        <v>12</v>
      </c>
      <c r="D1118" s="1">
        <v>45853</v>
      </c>
      <c r="E1118" t="s">
        <v>495</v>
      </c>
      <c r="F1118" t="s">
        <v>4510</v>
      </c>
      <c r="G1118" t="s">
        <v>15</v>
      </c>
      <c r="H1118" t="s">
        <v>4511</v>
      </c>
      <c r="I1118" t="s">
        <v>4512</v>
      </c>
      <c r="J1118" s="2">
        <v>46080.294541552372</v>
      </c>
    </row>
    <row r="1119" spans="1:11" x14ac:dyDescent="0.55000000000000004">
      <c r="A1119" t="s">
        <v>4513</v>
      </c>
      <c r="B1119">
        <v>100267</v>
      </c>
      <c r="C1119" t="s">
        <v>12</v>
      </c>
      <c r="D1119" s="1">
        <v>45998</v>
      </c>
      <c r="E1119" t="s">
        <v>49</v>
      </c>
      <c r="F1119" t="s">
        <v>4514</v>
      </c>
      <c r="G1119" t="s">
        <v>15</v>
      </c>
      <c r="H1119" t="s">
        <v>4515</v>
      </c>
      <c r="I1119" t="s">
        <v>4516</v>
      </c>
      <c r="J1119" s="2">
        <v>46083.275097112913</v>
      </c>
    </row>
    <row r="1120" spans="1:11" x14ac:dyDescent="0.55000000000000004">
      <c r="A1120" t="s">
        <v>4517</v>
      </c>
      <c r="B1120">
        <v>100683</v>
      </c>
      <c r="C1120" t="s">
        <v>169</v>
      </c>
      <c r="D1120" s="1">
        <v>45856</v>
      </c>
      <c r="E1120" t="s">
        <v>38</v>
      </c>
      <c r="F1120" t="s">
        <v>4518</v>
      </c>
      <c r="G1120" t="s">
        <v>15</v>
      </c>
      <c r="H1120" t="s">
        <v>4519</v>
      </c>
      <c r="I1120" t="s">
        <v>4520</v>
      </c>
      <c r="J1120" s="2">
        <v>46055.393152672543</v>
      </c>
    </row>
    <row r="1121" spans="1:11" x14ac:dyDescent="0.55000000000000004">
      <c r="A1121" t="s">
        <v>4521</v>
      </c>
      <c r="B1121">
        <v>100007</v>
      </c>
      <c r="C1121" t="s">
        <v>194</v>
      </c>
      <c r="D1121" s="1">
        <v>46043</v>
      </c>
      <c r="E1121" t="s">
        <v>467</v>
      </c>
      <c r="F1121" t="s">
        <v>4522</v>
      </c>
      <c r="G1121" t="s">
        <v>15</v>
      </c>
      <c r="H1121" t="s">
        <v>4523</v>
      </c>
      <c r="I1121" t="s">
        <v>4524</v>
      </c>
      <c r="J1121" s="2">
        <v>46068.850791566401</v>
      </c>
    </row>
    <row r="1122" spans="1:11" x14ac:dyDescent="0.55000000000000004">
      <c r="A1122" t="s">
        <v>4525</v>
      </c>
      <c r="B1122">
        <v>100090</v>
      </c>
      <c r="D1122" s="1">
        <v>45765</v>
      </c>
      <c r="E1122" t="s">
        <v>265</v>
      </c>
      <c r="F1122" t="s">
        <v>4526</v>
      </c>
      <c r="G1122" t="s">
        <v>15</v>
      </c>
      <c r="H1122" t="s">
        <v>4527</v>
      </c>
      <c r="I1122" t="s">
        <v>4528</v>
      </c>
      <c r="J1122" s="2">
        <v>46057.545236016493</v>
      </c>
      <c r="K1122" t="s">
        <v>217</v>
      </c>
    </row>
    <row r="1123" spans="1:11" x14ac:dyDescent="0.55000000000000004">
      <c r="A1123" t="s">
        <v>4529</v>
      </c>
      <c r="B1123">
        <v>100566</v>
      </c>
      <c r="C1123" t="s">
        <v>248</v>
      </c>
      <c r="D1123" s="1">
        <v>45796</v>
      </c>
      <c r="E1123" t="s">
        <v>115</v>
      </c>
      <c r="F1123" t="s">
        <v>4530</v>
      </c>
      <c r="G1123" t="s">
        <v>15</v>
      </c>
      <c r="H1123" t="s">
        <v>4531</v>
      </c>
      <c r="I1123" t="s">
        <v>4532</v>
      </c>
      <c r="J1123" s="2">
        <v>46082.024402689553</v>
      </c>
    </row>
    <row r="1124" spans="1:11" x14ac:dyDescent="0.55000000000000004">
      <c r="A1124" t="s">
        <v>4533</v>
      </c>
      <c r="B1124">
        <v>101253</v>
      </c>
      <c r="C1124" t="s">
        <v>131</v>
      </c>
      <c r="D1124" s="1">
        <v>45950</v>
      </c>
      <c r="E1124" t="s">
        <v>208</v>
      </c>
      <c r="F1124" t="s">
        <v>4534</v>
      </c>
      <c r="G1124" t="s">
        <v>15</v>
      </c>
      <c r="H1124" t="s">
        <v>4535</v>
      </c>
      <c r="I1124" t="s">
        <v>4536</v>
      </c>
      <c r="J1124" s="2">
        <v>46082.143152694603</v>
      </c>
    </row>
    <row r="1125" spans="1:11" x14ac:dyDescent="0.55000000000000004">
      <c r="A1125" t="s">
        <v>4537</v>
      </c>
      <c r="B1125">
        <v>101457</v>
      </c>
      <c r="C1125" t="s">
        <v>48</v>
      </c>
      <c r="D1125" s="1">
        <v>46042</v>
      </c>
      <c r="E1125" t="s">
        <v>20</v>
      </c>
      <c r="F1125" t="s">
        <v>4538</v>
      </c>
      <c r="G1125" t="s">
        <v>22</v>
      </c>
      <c r="H1125" t="s">
        <v>4539</v>
      </c>
      <c r="I1125" t="s">
        <v>4540</v>
      </c>
      <c r="J1125" s="2">
        <v>46061.108430477827</v>
      </c>
    </row>
    <row r="1126" spans="1:11" x14ac:dyDescent="0.55000000000000004">
      <c r="A1126" t="s">
        <v>4541</v>
      </c>
      <c r="B1126">
        <v>100104</v>
      </c>
      <c r="C1126" t="s">
        <v>248</v>
      </c>
      <c r="D1126" s="1">
        <v>45871</v>
      </c>
      <c r="E1126" t="s">
        <v>295</v>
      </c>
      <c r="F1126" t="s">
        <v>4542</v>
      </c>
      <c r="G1126" t="s">
        <v>22</v>
      </c>
      <c r="H1126" t="s">
        <v>4543</v>
      </c>
      <c r="I1126" t="s">
        <v>4544</v>
      </c>
      <c r="J1126" s="2">
        <v>46073.507736039057</v>
      </c>
    </row>
    <row r="1127" spans="1:11" x14ac:dyDescent="0.55000000000000004">
      <c r="A1127" t="s">
        <v>4545</v>
      </c>
      <c r="B1127">
        <v>101355</v>
      </c>
      <c r="C1127" t="s">
        <v>19</v>
      </c>
      <c r="D1127" s="1">
        <v>45957</v>
      </c>
      <c r="E1127" t="s">
        <v>27</v>
      </c>
      <c r="F1127" t="s">
        <v>4546</v>
      </c>
      <c r="G1127" t="s">
        <v>22</v>
      </c>
      <c r="H1127" t="s">
        <v>4547</v>
      </c>
      <c r="I1127" t="s">
        <v>4548</v>
      </c>
      <c r="J1127" s="2">
        <v>46088.060513822536</v>
      </c>
    </row>
    <row r="1128" spans="1:11" x14ac:dyDescent="0.55000000000000004">
      <c r="A1128" t="s">
        <v>4549</v>
      </c>
      <c r="B1128">
        <v>101322</v>
      </c>
      <c r="C1128" t="s">
        <v>37</v>
      </c>
      <c r="D1128" s="1">
        <v>46122</v>
      </c>
      <c r="E1128" t="s">
        <v>334</v>
      </c>
      <c r="F1128" t="s">
        <v>4550</v>
      </c>
      <c r="G1128" t="s">
        <v>22</v>
      </c>
      <c r="H1128" t="s">
        <v>4551</v>
      </c>
      <c r="I1128" t="s">
        <v>4552</v>
      </c>
      <c r="J1128" s="2">
        <v>46058.982041605763</v>
      </c>
    </row>
    <row r="1129" spans="1:11" x14ac:dyDescent="0.55000000000000004">
      <c r="A1129" t="s">
        <v>4553</v>
      </c>
      <c r="B1129">
        <v>101035</v>
      </c>
      <c r="C1129" t="s">
        <v>114</v>
      </c>
      <c r="D1129" s="1">
        <v>46015</v>
      </c>
      <c r="E1129" t="s">
        <v>208</v>
      </c>
      <c r="F1129" t="s">
        <v>4554</v>
      </c>
      <c r="G1129" t="s">
        <v>22</v>
      </c>
      <c r="H1129" t="s">
        <v>4555</v>
      </c>
      <c r="I1129" t="s">
        <v>4556</v>
      </c>
      <c r="J1129" s="2">
        <v>46078.101486055297</v>
      </c>
    </row>
    <row r="1130" spans="1:11" x14ac:dyDescent="0.55000000000000004">
      <c r="A1130" t="s">
        <v>4557</v>
      </c>
      <c r="B1130">
        <v>100540</v>
      </c>
      <c r="C1130" t="s">
        <v>68</v>
      </c>
      <c r="D1130" s="1">
        <v>45924</v>
      </c>
      <c r="E1130" t="s">
        <v>270</v>
      </c>
      <c r="F1130" t="s">
        <v>4558</v>
      </c>
      <c r="G1130" t="s">
        <v>22</v>
      </c>
      <c r="H1130" t="s">
        <v>4559</v>
      </c>
      <c r="I1130" t="s">
        <v>4560</v>
      </c>
      <c r="J1130" s="2">
        <v>46089.078569395453</v>
      </c>
    </row>
    <row r="1131" spans="1:11" x14ac:dyDescent="0.55000000000000004">
      <c r="A1131" t="s">
        <v>4561</v>
      </c>
      <c r="B1131">
        <v>100416</v>
      </c>
      <c r="C1131" t="s">
        <v>248</v>
      </c>
      <c r="D1131" s="1">
        <v>45811</v>
      </c>
      <c r="E1131" t="s">
        <v>155</v>
      </c>
      <c r="F1131" t="s">
        <v>4562</v>
      </c>
      <c r="G1131" t="s">
        <v>15</v>
      </c>
      <c r="H1131" t="s">
        <v>4563</v>
      </c>
      <c r="I1131" t="s">
        <v>4564</v>
      </c>
      <c r="J1131" s="2">
        <v>46065.2139860678</v>
      </c>
    </row>
    <row r="1132" spans="1:11" x14ac:dyDescent="0.55000000000000004">
      <c r="A1132" t="s">
        <v>4565</v>
      </c>
      <c r="B1132">
        <v>100702</v>
      </c>
      <c r="C1132" t="s">
        <v>19</v>
      </c>
      <c r="D1132" s="1">
        <v>45939</v>
      </c>
      <c r="E1132" t="s">
        <v>58</v>
      </c>
      <c r="F1132" t="s">
        <v>4566</v>
      </c>
      <c r="G1132" t="s">
        <v>22</v>
      </c>
      <c r="H1132" t="s">
        <v>4567</v>
      </c>
      <c r="I1132" t="s">
        <v>4568</v>
      </c>
      <c r="J1132" s="2">
        <v>46066.308430517282</v>
      </c>
    </row>
    <row r="1133" spans="1:11" x14ac:dyDescent="0.55000000000000004">
      <c r="A1133" t="s">
        <v>4569</v>
      </c>
      <c r="B1133">
        <v>100431</v>
      </c>
      <c r="C1133" t="s">
        <v>26</v>
      </c>
      <c r="D1133" s="1">
        <v>45768</v>
      </c>
      <c r="E1133" t="s">
        <v>141</v>
      </c>
      <c r="F1133" t="s">
        <v>4570</v>
      </c>
      <c r="G1133" t="s">
        <v>22</v>
      </c>
      <c r="H1133" t="s">
        <v>4571</v>
      </c>
      <c r="I1133" t="s">
        <v>4572</v>
      </c>
      <c r="J1133" s="2">
        <v>46061.515374966308</v>
      </c>
    </row>
    <row r="1134" spans="1:11" x14ac:dyDescent="0.55000000000000004">
      <c r="A1134" t="s">
        <v>4573</v>
      </c>
      <c r="B1134">
        <v>100577</v>
      </c>
      <c r="C1134" t="s">
        <v>248</v>
      </c>
      <c r="D1134" s="1">
        <v>46122</v>
      </c>
      <c r="E1134" t="s">
        <v>49</v>
      </c>
      <c r="F1134" t="s">
        <v>4574</v>
      </c>
      <c r="G1134" t="s">
        <v>22</v>
      </c>
      <c r="H1134" t="s">
        <v>4575</v>
      </c>
      <c r="I1134" t="s">
        <v>4576</v>
      </c>
      <c r="J1134" s="2">
        <v>46056.766763861277</v>
      </c>
    </row>
    <row r="1135" spans="1:11" x14ac:dyDescent="0.55000000000000004">
      <c r="A1135" t="s">
        <v>4577</v>
      </c>
      <c r="B1135">
        <v>100557</v>
      </c>
      <c r="C1135" t="s">
        <v>63</v>
      </c>
      <c r="D1135" s="1">
        <v>46088</v>
      </c>
      <c r="E1135" t="s">
        <v>317</v>
      </c>
      <c r="F1135" t="s">
        <v>4578</v>
      </c>
      <c r="G1135" t="s">
        <v>22</v>
      </c>
      <c r="H1135" t="s">
        <v>4579</v>
      </c>
      <c r="I1135" t="s">
        <v>4580</v>
      </c>
      <c r="J1135" s="2">
        <v>46070.395236088203</v>
      </c>
      <c r="K1135" t="s">
        <v>119</v>
      </c>
    </row>
    <row r="1136" spans="1:11" x14ac:dyDescent="0.55000000000000004">
      <c r="A1136" t="s">
        <v>4581</v>
      </c>
      <c r="B1136">
        <v>101461</v>
      </c>
      <c r="C1136" t="s">
        <v>194</v>
      </c>
      <c r="D1136" s="1">
        <v>45976</v>
      </c>
      <c r="E1136" t="s">
        <v>20</v>
      </c>
      <c r="F1136" t="s">
        <v>4582</v>
      </c>
      <c r="G1136" t="s">
        <v>15</v>
      </c>
      <c r="H1136" t="s">
        <v>4583</v>
      </c>
      <c r="I1136" t="s">
        <v>4584</v>
      </c>
      <c r="J1136" s="2">
        <v>46052.799402760611</v>
      </c>
    </row>
    <row r="1137" spans="1:10" x14ac:dyDescent="0.55000000000000004">
      <c r="A1137" t="s">
        <v>4585</v>
      </c>
      <c r="B1137">
        <v>101435</v>
      </c>
      <c r="C1137" t="s">
        <v>114</v>
      </c>
      <c r="D1137" s="1">
        <v>45865</v>
      </c>
      <c r="E1137" t="s">
        <v>208</v>
      </c>
      <c r="F1137" t="s">
        <v>4586</v>
      </c>
      <c r="G1137" t="s">
        <v>15</v>
      </c>
      <c r="H1137" t="s">
        <v>4587</v>
      </c>
      <c r="I1137" t="s">
        <v>4588</v>
      </c>
      <c r="J1137" s="2">
        <v>46058.92370832101</v>
      </c>
    </row>
    <row r="1138" spans="1:10" x14ac:dyDescent="0.55000000000000004">
      <c r="A1138" t="s">
        <v>4589</v>
      </c>
      <c r="B1138">
        <v>100219</v>
      </c>
      <c r="C1138" t="s">
        <v>48</v>
      </c>
      <c r="D1138" s="1">
        <v>45738</v>
      </c>
      <c r="E1138" t="s">
        <v>155</v>
      </c>
      <c r="F1138" t="s">
        <v>4590</v>
      </c>
      <c r="G1138" t="s">
        <v>22</v>
      </c>
      <c r="H1138" t="s">
        <v>4591</v>
      </c>
      <c r="I1138" t="s">
        <v>4592</v>
      </c>
      <c r="J1138" s="2">
        <v>46071.912597214723</v>
      </c>
    </row>
    <row r="1139" spans="1:10" x14ac:dyDescent="0.55000000000000004">
      <c r="A1139" t="s">
        <v>4593</v>
      </c>
      <c r="B1139">
        <v>100236</v>
      </c>
      <c r="C1139" t="s">
        <v>131</v>
      </c>
      <c r="D1139" s="1">
        <v>45997</v>
      </c>
      <c r="E1139" t="s">
        <v>69</v>
      </c>
      <c r="F1139" t="s">
        <v>4594</v>
      </c>
      <c r="G1139" t="s">
        <v>15</v>
      </c>
      <c r="H1139" t="s">
        <v>4595</v>
      </c>
      <c r="I1139" t="s">
        <v>4596</v>
      </c>
      <c r="J1139" s="2">
        <v>46070.386902774757</v>
      </c>
    </row>
    <row r="1140" spans="1:10" x14ac:dyDescent="0.55000000000000004">
      <c r="A1140" t="s">
        <v>4597</v>
      </c>
      <c r="B1140">
        <v>101451</v>
      </c>
      <c r="C1140" t="s">
        <v>68</v>
      </c>
      <c r="D1140" s="1">
        <v>45988</v>
      </c>
      <c r="E1140" t="s">
        <v>300</v>
      </c>
      <c r="F1140" t="s">
        <v>4598</v>
      </c>
      <c r="G1140" t="s">
        <v>22</v>
      </c>
      <c r="H1140" t="s">
        <v>4599</v>
      </c>
      <c r="I1140" t="s">
        <v>4600</v>
      </c>
      <c r="J1140" s="2">
        <v>46092.591069446251</v>
      </c>
    </row>
    <row r="1141" spans="1:10" x14ac:dyDescent="0.55000000000000004">
      <c r="A1141" t="s">
        <v>4601</v>
      </c>
      <c r="B1141">
        <v>100275</v>
      </c>
      <c r="C1141" t="s">
        <v>26</v>
      </c>
      <c r="D1141" s="1">
        <v>46129</v>
      </c>
      <c r="E1141" t="s">
        <v>356</v>
      </c>
      <c r="F1141" t="s">
        <v>4602</v>
      </c>
      <c r="G1141" t="s">
        <v>15</v>
      </c>
      <c r="H1141" t="s">
        <v>4603</v>
      </c>
      <c r="I1141" t="s">
        <v>4604</v>
      </c>
      <c r="J1141" s="2">
        <v>46071.752180562107</v>
      </c>
    </row>
    <row r="1142" spans="1:10" x14ac:dyDescent="0.55000000000000004">
      <c r="A1142" t="s">
        <v>4605</v>
      </c>
      <c r="B1142">
        <v>100212</v>
      </c>
      <c r="C1142" t="s">
        <v>68</v>
      </c>
      <c r="D1142" s="1">
        <v>45735</v>
      </c>
      <c r="E1142" t="s">
        <v>69</v>
      </c>
      <c r="F1142" t="s">
        <v>4606</v>
      </c>
      <c r="G1142" t="s">
        <v>15</v>
      </c>
      <c r="H1142" t="s">
        <v>4607</v>
      </c>
      <c r="I1142" t="s">
        <v>4608</v>
      </c>
      <c r="J1142" s="2">
        <v>46091.646625011308</v>
      </c>
    </row>
    <row r="1143" spans="1:10" x14ac:dyDescent="0.55000000000000004">
      <c r="A1143" t="s">
        <v>4609</v>
      </c>
      <c r="B1143">
        <v>100613</v>
      </c>
      <c r="C1143" t="s">
        <v>94</v>
      </c>
      <c r="D1143" s="1">
        <v>46000</v>
      </c>
      <c r="E1143" t="s">
        <v>49</v>
      </c>
      <c r="F1143" t="s">
        <v>4610</v>
      </c>
      <c r="G1143" t="s">
        <v>22</v>
      </c>
      <c r="H1143" t="s">
        <v>4611</v>
      </c>
      <c r="I1143" t="s">
        <v>4612</v>
      </c>
      <c r="J1143" s="2">
        <v>46087.495236127237</v>
      </c>
    </row>
    <row r="1144" spans="1:10" x14ac:dyDescent="0.55000000000000004">
      <c r="A1144" t="s">
        <v>4613</v>
      </c>
      <c r="B1144">
        <v>101135</v>
      </c>
      <c r="C1144" t="s">
        <v>63</v>
      </c>
      <c r="D1144" s="1">
        <v>45827</v>
      </c>
      <c r="E1144" t="s">
        <v>680</v>
      </c>
      <c r="F1144" t="s">
        <v>4614</v>
      </c>
      <c r="G1144" t="s">
        <v>15</v>
      </c>
      <c r="H1144" t="s">
        <v>4615</v>
      </c>
      <c r="I1144" t="s">
        <v>4616</v>
      </c>
      <c r="J1144" s="2">
        <v>46065.589680576602</v>
      </c>
    </row>
    <row r="1145" spans="1:10" x14ac:dyDescent="0.55000000000000004">
      <c r="A1145" t="s">
        <v>4617</v>
      </c>
      <c r="B1145">
        <v>100016</v>
      </c>
      <c r="C1145" t="s">
        <v>88</v>
      </c>
      <c r="D1145" s="1">
        <v>46022</v>
      </c>
      <c r="E1145" t="s">
        <v>115</v>
      </c>
      <c r="F1145" t="s">
        <v>4618</v>
      </c>
      <c r="G1145" t="s">
        <v>15</v>
      </c>
      <c r="H1145" t="s">
        <v>4619</v>
      </c>
      <c r="I1145" t="s">
        <v>4620</v>
      </c>
      <c r="J1145" s="2">
        <v>46094.4862083591</v>
      </c>
    </row>
    <row r="1146" spans="1:10" x14ac:dyDescent="0.55000000000000004">
      <c r="A1146" t="s">
        <v>4621</v>
      </c>
      <c r="B1146">
        <v>101356</v>
      </c>
      <c r="C1146" t="s">
        <v>248</v>
      </c>
      <c r="D1146" s="1">
        <v>45864</v>
      </c>
      <c r="E1146" t="s">
        <v>89</v>
      </c>
      <c r="F1146" t="s">
        <v>4622</v>
      </c>
      <c r="G1146" t="s">
        <v>15</v>
      </c>
      <c r="H1146" t="s">
        <v>4623</v>
      </c>
      <c r="I1146" t="s">
        <v>4624</v>
      </c>
      <c r="J1146" s="2">
        <v>46057.509819474988</v>
      </c>
    </row>
    <row r="1147" spans="1:10" x14ac:dyDescent="0.55000000000000004">
      <c r="A1147" t="s">
        <v>4625</v>
      </c>
      <c r="B1147">
        <v>100619</v>
      </c>
      <c r="C1147" t="s">
        <v>131</v>
      </c>
      <c r="D1147" s="1">
        <v>45882</v>
      </c>
      <c r="E1147" t="s">
        <v>69</v>
      </c>
      <c r="F1147" t="s">
        <v>4626</v>
      </c>
      <c r="G1147" t="s">
        <v>15</v>
      </c>
      <c r="H1147" t="s">
        <v>4627</v>
      </c>
      <c r="I1147" t="s">
        <v>4628</v>
      </c>
      <c r="J1147" s="2">
        <v>46080.654958368643</v>
      </c>
    </row>
    <row r="1148" spans="1:10" x14ac:dyDescent="0.55000000000000004">
      <c r="A1148" t="s">
        <v>4629</v>
      </c>
      <c r="B1148">
        <v>101112</v>
      </c>
      <c r="C1148" t="s">
        <v>169</v>
      </c>
      <c r="D1148" s="1">
        <v>45747</v>
      </c>
      <c r="E1148" t="s">
        <v>43</v>
      </c>
      <c r="F1148" t="s">
        <v>4630</v>
      </c>
      <c r="G1148" t="s">
        <v>15</v>
      </c>
      <c r="H1148" t="s">
        <v>4631</v>
      </c>
      <c r="I1148" t="s">
        <v>4632</v>
      </c>
      <c r="J1148" s="2">
        <v>46097.659125039412</v>
      </c>
    </row>
    <row r="1149" spans="1:10" x14ac:dyDescent="0.55000000000000004">
      <c r="A1149" t="s">
        <v>4633</v>
      </c>
      <c r="B1149">
        <v>101293</v>
      </c>
      <c r="C1149" t="s">
        <v>32</v>
      </c>
      <c r="D1149" s="1">
        <v>46116</v>
      </c>
      <c r="E1149" t="s">
        <v>317</v>
      </c>
      <c r="F1149" t="s">
        <v>4634</v>
      </c>
      <c r="G1149" t="s">
        <v>15</v>
      </c>
      <c r="H1149" t="s">
        <v>4635</v>
      </c>
      <c r="I1149" t="s">
        <v>4636</v>
      </c>
      <c r="J1149" s="2">
        <v>46091.445930599999</v>
      </c>
    </row>
    <row r="1150" spans="1:10" x14ac:dyDescent="0.55000000000000004">
      <c r="A1150" t="s">
        <v>4637</v>
      </c>
      <c r="B1150">
        <v>101344</v>
      </c>
      <c r="C1150" t="s">
        <v>82</v>
      </c>
      <c r="D1150" s="1">
        <v>46137</v>
      </c>
      <c r="E1150" t="s">
        <v>69</v>
      </c>
      <c r="F1150" t="s">
        <v>4638</v>
      </c>
      <c r="G1150" t="s">
        <v>22</v>
      </c>
      <c r="H1150" t="s">
        <v>4639</v>
      </c>
      <c r="I1150" t="s">
        <v>4640</v>
      </c>
      <c r="J1150" s="2">
        <v>46066.073013938047</v>
      </c>
    </row>
    <row r="1151" spans="1:10" x14ac:dyDescent="0.55000000000000004">
      <c r="A1151" t="s">
        <v>4641</v>
      </c>
      <c r="B1151">
        <v>100583</v>
      </c>
      <c r="C1151" t="s">
        <v>169</v>
      </c>
      <c r="D1151" s="1">
        <v>46041</v>
      </c>
      <c r="E1151" t="s">
        <v>49</v>
      </c>
      <c r="F1151" t="s">
        <v>4642</v>
      </c>
      <c r="G1151" t="s">
        <v>22</v>
      </c>
      <c r="H1151" t="s">
        <v>4643</v>
      </c>
      <c r="I1151" t="s">
        <v>4644</v>
      </c>
      <c r="J1151" s="2">
        <v>46077.40565283168</v>
      </c>
    </row>
    <row r="1152" spans="1:10" x14ac:dyDescent="0.55000000000000004">
      <c r="A1152" t="s">
        <v>4645</v>
      </c>
      <c r="B1152">
        <v>100756</v>
      </c>
      <c r="C1152" t="s">
        <v>63</v>
      </c>
      <c r="D1152" s="1">
        <v>46072</v>
      </c>
      <c r="E1152" t="s">
        <v>89</v>
      </c>
      <c r="F1152" t="s">
        <v>4646</v>
      </c>
      <c r="G1152" t="s">
        <v>15</v>
      </c>
      <c r="H1152" t="s">
        <v>4647</v>
      </c>
      <c r="I1152" t="s">
        <v>4648</v>
      </c>
      <c r="J1152" s="2">
        <v>46075.276486169838</v>
      </c>
    </row>
    <row r="1153" spans="1:11" x14ac:dyDescent="0.55000000000000004">
      <c r="A1153" t="s">
        <v>4649</v>
      </c>
      <c r="B1153">
        <v>100500</v>
      </c>
      <c r="C1153" t="s">
        <v>533</v>
      </c>
      <c r="D1153" s="1">
        <v>45733</v>
      </c>
      <c r="E1153" t="s">
        <v>757</v>
      </c>
      <c r="F1153" t="s">
        <v>4650</v>
      </c>
      <c r="G1153" t="s">
        <v>15</v>
      </c>
      <c r="H1153" t="s">
        <v>4651</v>
      </c>
      <c r="I1153" t="s">
        <v>4652</v>
      </c>
      <c r="J1153" s="2">
        <v>46095.890375062823</v>
      </c>
    </row>
    <row r="1154" spans="1:11" x14ac:dyDescent="0.55000000000000004">
      <c r="A1154" t="s">
        <v>4653</v>
      </c>
      <c r="B1154">
        <v>101187</v>
      </c>
      <c r="C1154" t="s">
        <v>533</v>
      </c>
      <c r="D1154" s="1">
        <v>46003</v>
      </c>
      <c r="E1154" t="s">
        <v>189</v>
      </c>
      <c r="F1154" t="s">
        <v>4654</v>
      </c>
      <c r="G1154" t="s">
        <v>22</v>
      </c>
      <c r="H1154" t="s">
        <v>4655</v>
      </c>
      <c r="I1154" t="s">
        <v>4656</v>
      </c>
      <c r="J1154" s="2">
        <v>46068.86676395579</v>
      </c>
    </row>
    <row r="1155" spans="1:11" x14ac:dyDescent="0.55000000000000004">
      <c r="A1155" t="s">
        <v>4657</v>
      </c>
      <c r="B1155">
        <v>100714</v>
      </c>
      <c r="C1155" t="s">
        <v>19</v>
      </c>
      <c r="D1155" s="1">
        <v>45995</v>
      </c>
      <c r="E1155" t="s">
        <v>189</v>
      </c>
      <c r="F1155" t="s">
        <v>4658</v>
      </c>
      <c r="G1155" t="s">
        <v>15</v>
      </c>
      <c r="H1155" t="s">
        <v>4659</v>
      </c>
      <c r="I1155" t="s">
        <v>4660</v>
      </c>
      <c r="J1155" s="2">
        <v>46057.288291737721</v>
      </c>
    </row>
    <row r="1156" spans="1:11" x14ac:dyDescent="0.55000000000000004">
      <c r="A1156" t="s">
        <v>4661</v>
      </c>
      <c r="B1156">
        <v>100271</v>
      </c>
      <c r="C1156" t="s">
        <v>37</v>
      </c>
      <c r="D1156" s="1">
        <v>46056</v>
      </c>
      <c r="E1156" t="s">
        <v>295</v>
      </c>
      <c r="F1156" t="s">
        <v>4662</v>
      </c>
      <c r="G1156" t="s">
        <v>22</v>
      </c>
      <c r="H1156" t="s">
        <v>4663</v>
      </c>
      <c r="I1156" t="s">
        <v>4664</v>
      </c>
      <c r="J1156" s="2">
        <v>46082.883430631337</v>
      </c>
    </row>
    <row r="1157" spans="1:11" x14ac:dyDescent="0.55000000000000004">
      <c r="A1157" t="s">
        <v>4665</v>
      </c>
      <c r="B1157">
        <v>101170</v>
      </c>
      <c r="C1157" t="s">
        <v>19</v>
      </c>
      <c r="D1157" s="1">
        <v>45936</v>
      </c>
      <c r="E1157" t="s">
        <v>343</v>
      </c>
      <c r="F1157" t="s">
        <v>4666</v>
      </c>
      <c r="G1157" t="s">
        <v>22</v>
      </c>
      <c r="H1157" t="s">
        <v>4667</v>
      </c>
      <c r="I1157" t="s">
        <v>4668</v>
      </c>
      <c r="J1157" s="2">
        <v>46066.809819525013</v>
      </c>
    </row>
    <row r="1158" spans="1:11" x14ac:dyDescent="0.55000000000000004">
      <c r="A1158" t="s">
        <v>4669</v>
      </c>
      <c r="B1158">
        <v>101036</v>
      </c>
      <c r="C1158" t="s">
        <v>533</v>
      </c>
      <c r="D1158" s="1">
        <v>46107</v>
      </c>
      <c r="E1158" t="s">
        <v>467</v>
      </c>
      <c r="F1158" t="s">
        <v>4670</v>
      </c>
      <c r="G1158" t="s">
        <v>15</v>
      </c>
      <c r="H1158" t="s">
        <v>4671</v>
      </c>
      <c r="I1158" t="s">
        <v>4672</v>
      </c>
      <c r="J1158" s="2">
        <v>46052.542458418182</v>
      </c>
    </row>
    <row r="1159" spans="1:11" x14ac:dyDescent="0.55000000000000004">
      <c r="A1159" t="s">
        <v>4673</v>
      </c>
      <c r="B1159">
        <v>100436</v>
      </c>
      <c r="C1159" t="s">
        <v>82</v>
      </c>
      <c r="D1159" s="1">
        <v>46024</v>
      </c>
      <c r="E1159" t="s">
        <v>528</v>
      </c>
      <c r="F1159" t="s">
        <v>4674</v>
      </c>
      <c r="G1159" t="s">
        <v>22</v>
      </c>
      <c r="H1159" t="s">
        <v>4675</v>
      </c>
      <c r="I1159" t="s">
        <v>4676</v>
      </c>
      <c r="J1159" s="2">
        <v>46092.317458423233</v>
      </c>
    </row>
    <row r="1160" spans="1:11" x14ac:dyDescent="0.55000000000000004">
      <c r="A1160" t="s">
        <v>4677</v>
      </c>
      <c r="B1160">
        <v>101101</v>
      </c>
      <c r="C1160" t="s">
        <v>146</v>
      </c>
      <c r="D1160" s="1">
        <v>45971</v>
      </c>
      <c r="E1160" t="s">
        <v>69</v>
      </c>
      <c r="F1160" t="s">
        <v>4678</v>
      </c>
      <c r="G1160" t="s">
        <v>15</v>
      </c>
      <c r="H1160" t="s">
        <v>4679</v>
      </c>
      <c r="I1160" t="s">
        <v>4680</v>
      </c>
      <c r="J1160" s="2">
        <v>46066.803569538832</v>
      </c>
    </row>
    <row r="1161" spans="1:11" x14ac:dyDescent="0.55000000000000004">
      <c r="A1161" t="s">
        <v>4681</v>
      </c>
      <c r="B1161">
        <v>100150</v>
      </c>
      <c r="C1161" t="s">
        <v>146</v>
      </c>
      <c r="D1161" s="1">
        <v>45855</v>
      </c>
      <c r="E1161" t="s">
        <v>115</v>
      </c>
      <c r="F1161" t="s">
        <v>4682</v>
      </c>
      <c r="G1161" t="s">
        <v>15</v>
      </c>
      <c r="H1161" t="s">
        <v>4683</v>
      </c>
      <c r="I1161" t="s">
        <v>4684</v>
      </c>
      <c r="J1161" s="2">
        <v>46054.750791765939</v>
      </c>
    </row>
    <row r="1162" spans="1:11" x14ac:dyDescent="0.55000000000000004">
      <c r="A1162" t="s">
        <v>4685</v>
      </c>
      <c r="B1162">
        <v>100204</v>
      </c>
      <c r="C1162" t="s">
        <v>131</v>
      </c>
      <c r="D1162" s="1">
        <v>45786</v>
      </c>
      <c r="E1162" t="s">
        <v>141</v>
      </c>
      <c r="F1162" t="s">
        <v>4686</v>
      </c>
      <c r="G1162" t="s">
        <v>15</v>
      </c>
      <c r="H1162" t="s">
        <v>4687</v>
      </c>
      <c r="I1162" t="s">
        <v>4688</v>
      </c>
      <c r="J1162" s="2">
        <v>46077.200791769967</v>
      </c>
    </row>
    <row r="1163" spans="1:11" x14ac:dyDescent="0.55000000000000004">
      <c r="A1163" t="s">
        <v>4689</v>
      </c>
      <c r="B1163">
        <v>101153</v>
      </c>
      <c r="C1163" t="s">
        <v>32</v>
      </c>
      <c r="D1163" s="1">
        <v>45844</v>
      </c>
      <c r="E1163" t="s">
        <v>83</v>
      </c>
      <c r="F1163" t="s">
        <v>4690</v>
      </c>
      <c r="G1163" t="s">
        <v>15</v>
      </c>
      <c r="H1163" t="s">
        <v>4691</v>
      </c>
      <c r="I1163" t="s">
        <v>4692</v>
      </c>
      <c r="J1163" s="2">
        <v>46062.845236219247</v>
      </c>
    </row>
    <row r="1164" spans="1:11" x14ac:dyDescent="0.55000000000000004">
      <c r="A1164" t="s">
        <v>4693</v>
      </c>
      <c r="B1164">
        <v>100938</v>
      </c>
      <c r="C1164" t="s">
        <v>19</v>
      </c>
      <c r="D1164" s="1">
        <v>45778</v>
      </c>
      <c r="E1164" t="s">
        <v>199</v>
      </c>
      <c r="F1164" t="s">
        <v>4694</v>
      </c>
      <c r="G1164" t="s">
        <v>22</v>
      </c>
      <c r="H1164" t="s">
        <v>4695</v>
      </c>
      <c r="I1164" t="s">
        <v>4696</v>
      </c>
      <c r="J1164" s="2">
        <v>46073.203569556652</v>
      </c>
    </row>
    <row r="1165" spans="1:11" x14ac:dyDescent="0.55000000000000004">
      <c r="A1165" t="s">
        <v>4697</v>
      </c>
      <c r="B1165">
        <v>100019</v>
      </c>
      <c r="C1165" t="s">
        <v>146</v>
      </c>
      <c r="D1165" s="1">
        <v>45955</v>
      </c>
      <c r="E1165" t="s">
        <v>115</v>
      </c>
      <c r="F1165" t="s">
        <v>4698</v>
      </c>
      <c r="G1165" t="s">
        <v>22</v>
      </c>
      <c r="H1165" t="s">
        <v>4699</v>
      </c>
      <c r="I1165" t="s">
        <v>4700</v>
      </c>
      <c r="J1165" s="2">
        <v>46090.33273622745</v>
      </c>
    </row>
    <row r="1166" spans="1:11" x14ac:dyDescent="0.55000000000000004">
      <c r="A1166" t="s">
        <v>4701</v>
      </c>
      <c r="C1166" t="s">
        <v>131</v>
      </c>
      <c r="D1166" s="1">
        <v>45789</v>
      </c>
      <c r="E1166" t="s">
        <v>20</v>
      </c>
      <c r="F1166" t="s">
        <v>4702</v>
      </c>
      <c r="G1166" t="s">
        <v>15</v>
      </c>
      <c r="H1166" t="s">
        <v>4703</v>
      </c>
      <c r="I1166" t="s">
        <v>4704</v>
      </c>
      <c r="J1166" s="2">
        <v>46089.931347342637</v>
      </c>
      <c r="K1166" t="s">
        <v>112</v>
      </c>
    </row>
    <row r="1167" spans="1:11" x14ac:dyDescent="0.55000000000000004">
      <c r="A1167" t="s">
        <v>4705</v>
      </c>
      <c r="B1167">
        <v>101175</v>
      </c>
      <c r="C1167" t="s">
        <v>63</v>
      </c>
      <c r="D1167" s="1">
        <v>45797</v>
      </c>
      <c r="E1167" t="s">
        <v>89</v>
      </c>
      <c r="F1167" t="s">
        <v>4706</v>
      </c>
      <c r="G1167" t="s">
        <v>15</v>
      </c>
      <c r="H1167" t="s">
        <v>4707</v>
      </c>
      <c r="I1167" t="s">
        <v>4708</v>
      </c>
      <c r="J1167" s="2">
        <v>46078.658430680749</v>
      </c>
    </row>
    <row r="1168" spans="1:11" x14ac:dyDescent="0.55000000000000004">
      <c r="A1168" t="s">
        <v>4709</v>
      </c>
      <c r="B1168">
        <v>100936</v>
      </c>
      <c r="C1168" t="s">
        <v>26</v>
      </c>
      <c r="D1168" s="1">
        <v>46006</v>
      </c>
      <c r="E1168" t="s">
        <v>69</v>
      </c>
      <c r="F1168" t="s">
        <v>1259</v>
      </c>
      <c r="G1168" t="s">
        <v>22</v>
      </c>
      <c r="H1168" t="s">
        <v>4710</v>
      </c>
      <c r="I1168" t="s">
        <v>4711</v>
      </c>
      <c r="J1168" s="2">
        <v>46077.227180685521</v>
      </c>
    </row>
    <row r="1169" spans="1:11" x14ac:dyDescent="0.55000000000000004">
      <c r="A1169" t="s">
        <v>2817</v>
      </c>
      <c r="B1169">
        <v>100614</v>
      </c>
      <c r="C1169" t="s">
        <v>114</v>
      </c>
      <c r="D1169" s="1">
        <v>45998</v>
      </c>
      <c r="E1169" t="s">
        <v>587</v>
      </c>
      <c r="F1169" t="s">
        <v>4712</v>
      </c>
      <c r="G1169" t="s">
        <v>15</v>
      </c>
      <c r="H1169" t="s">
        <v>4713</v>
      </c>
      <c r="I1169" t="s">
        <v>4714</v>
      </c>
      <c r="J1169" s="2">
        <v>46072.733430690372</v>
      </c>
    </row>
    <row r="1170" spans="1:11" x14ac:dyDescent="0.55000000000000004">
      <c r="A1170" t="s">
        <v>4715</v>
      </c>
      <c r="B1170">
        <v>100268</v>
      </c>
      <c r="C1170" t="s">
        <v>146</v>
      </c>
      <c r="D1170" s="1">
        <v>45967</v>
      </c>
      <c r="E1170" t="s">
        <v>356</v>
      </c>
      <c r="F1170" t="s">
        <v>4716</v>
      </c>
      <c r="G1170" t="s">
        <v>15</v>
      </c>
      <c r="H1170" t="s">
        <v>4717</v>
      </c>
      <c r="I1170" t="s">
        <v>4718</v>
      </c>
      <c r="J1170" s="2">
        <v>46065.779264027828</v>
      </c>
      <c r="K1170" t="s">
        <v>119</v>
      </c>
    </row>
    <row r="1171" spans="1:11" x14ac:dyDescent="0.55000000000000004">
      <c r="A1171" t="s">
        <v>4719</v>
      </c>
      <c r="B1171">
        <v>101388</v>
      </c>
      <c r="C1171" t="s">
        <v>88</v>
      </c>
      <c r="D1171" s="1">
        <v>45807</v>
      </c>
      <c r="E1171" t="s">
        <v>199</v>
      </c>
      <c r="F1171" t="s">
        <v>4720</v>
      </c>
      <c r="G1171" t="s">
        <v>22</v>
      </c>
      <c r="H1171" t="s">
        <v>4721</v>
      </c>
      <c r="I1171" t="s">
        <v>4722</v>
      </c>
      <c r="J1171" s="2">
        <v>46078.032041814178</v>
      </c>
    </row>
    <row r="1172" spans="1:11" x14ac:dyDescent="0.55000000000000004">
      <c r="A1172" t="s">
        <v>3141</v>
      </c>
      <c r="B1172">
        <v>101213</v>
      </c>
      <c r="C1172" t="s">
        <v>533</v>
      </c>
      <c r="D1172" s="1">
        <v>45872</v>
      </c>
      <c r="E1172" t="s">
        <v>43</v>
      </c>
      <c r="F1172" t="s">
        <v>4723</v>
      </c>
      <c r="G1172" t="s">
        <v>22</v>
      </c>
      <c r="H1172" t="s">
        <v>4724</v>
      </c>
      <c r="I1172" t="s">
        <v>4725</v>
      </c>
      <c r="J1172" s="2">
        <v>46079.210514047467</v>
      </c>
    </row>
    <row r="1173" spans="1:11" x14ac:dyDescent="0.55000000000000004">
      <c r="A1173" t="s">
        <v>4726</v>
      </c>
      <c r="B1173">
        <v>100488</v>
      </c>
      <c r="C1173" t="s">
        <v>12</v>
      </c>
      <c r="D1173" s="1">
        <v>46146</v>
      </c>
      <c r="E1173" t="s">
        <v>189</v>
      </c>
      <c r="F1173" t="s">
        <v>4727</v>
      </c>
      <c r="G1173" t="s">
        <v>15</v>
      </c>
      <c r="H1173" t="s">
        <v>4728</v>
      </c>
      <c r="I1173" t="s">
        <v>4729</v>
      </c>
      <c r="J1173" s="2">
        <v>46053.671625167779</v>
      </c>
    </row>
    <row r="1174" spans="1:11" x14ac:dyDescent="0.55000000000000004">
      <c r="A1174" t="s">
        <v>4730</v>
      </c>
      <c r="B1174">
        <v>100643</v>
      </c>
      <c r="C1174" t="s">
        <v>48</v>
      </c>
      <c r="D1174" s="1">
        <v>45981</v>
      </c>
      <c r="E1174" t="s">
        <v>208</v>
      </c>
      <c r="F1174" t="s">
        <v>4731</v>
      </c>
      <c r="G1174" t="s">
        <v>15</v>
      </c>
      <c r="H1174" t="s">
        <v>4732</v>
      </c>
      <c r="I1174" t="s">
        <v>4733</v>
      </c>
      <c r="J1174" s="2">
        <v>46062.188291843762</v>
      </c>
    </row>
    <row r="1175" spans="1:11" x14ac:dyDescent="0.55000000000000004">
      <c r="A1175" t="s">
        <v>2137</v>
      </c>
      <c r="B1175">
        <v>100418</v>
      </c>
      <c r="C1175" t="s">
        <v>169</v>
      </c>
      <c r="D1175" s="1">
        <v>45948</v>
      </c>
      <c r="E1175" t="s">
        <v>300</v>
      </c>
      <c r="F1175" t="s">
        <v>4734</v>
      </c>
      <c r="G1175" t="s">
        <v>22</v>
      </c>
      <c r="H1175" t="s">
        <v>4735</v>
      </c>
      <c r="I1175" t="s">
        <v>4736</v>
      </c>
      <c r="J1175" s="2">
        <v>46092.995236298557</v>
      </c>
    </row>
    <row r="1176" spans="1:11" x14ac:dyDescent="0.55000000000000004">
      <c r="A1176" t="s">
        <v>4737</v>
      </c>
      <c r="B1176">
        <v>100534</v>
      </c>
      <c r="C1176" t="s">
        <v>68</v>
      </c>
      <c r="D1176" s="1">
        <v>45876</v>
      </c>
      <c r="E1176" t="s">
        <v>43</v>
      </c>
      <c r="F1176" t="s">
        <v>4738</v>
      </c>
      <c r="G1176" t="s">
        <v>15</v>
      </c>
      <c r="H1176" t="s">
        <v>4739</v>
      </c>
      <c r="I1176" t="s">
        <v>4740</v>
      </c>
      <c r="J1176" s="2">
        <v>46089.286208525089</v>
      </c>
      <c r="K1176" t="s">
        <v>119</v>
      </c>
    </row>
    <row r="1177" spans="1:11" x14ac:dyDescent="0.55000000000000004">
      <c r="A1177" t="s">
        <v>4741</v>
      </c>
      <c r="B1177">
        <v>100647</v>
      </c>
      <c r="C1177" t="s">
        <v>26</v>
      </c>
      <c r="D1177" s="1">
        <v>46144</v>
      </c>
      <c r="E1177" t="s">
        <v>317</v>
      </c>
      <c r="F1177" t="s">
        <v>4742</v>
      </c>
      <c r="G1177" t="s">
        <v>22</v>
      </c>
      <c r="H1177" t="s">
        <v>4743</v>
      </c>
      <c r="I1177" t="s">
        <v>4744</v>
      </c>
      <c r="J1177" s="2">
        <v>46067.815375195612</v>
      </c>
    </row>
    <row r="1178" spans="1:11" x14ac:dyDescent="0.55000000000000004">
      <c r="A1178" t="s">
        <v>4745</v>
      </c>
      <c r="B1178">
        <v>101070</v>
      </c>
      <c r="C1178" t="s">
        <v>48</v>
      </c>
      <c r="D1178" s="1">
        <v>46027</v>
      </c>
      <c r="E1178" t="s">
        <v>69</v>
      </c>
      <c r="F1178" t="s">
        <v>4746</v>
      </c>
      <c r="G1178" t="s">
        <v>22</v>
      </c>
      <c r="H1178" t="s">
        <v>4747</v>
      </c>
      <c r="I1178" t="s">
        <v>4748</v>
      </c>
      <c r="J1178" s="2">
        <v>46079.54037520058</v>
      </c>
    </row>
    <row r="1179" spans="1:11" x14ac:dyDescent="0.55000000000000004">
      <c r="A1179" t="s">
        <v>4749</v>
      </c>
      <c r="B1179">
        <v>101157</v>
      </c>
      <c r="C1179" t="s">
        <v>248</v>
      </c>
      <c r="D1179" s="1">
        <v>45843</v>
      </c>
      <c r="E1179" t="s">
        <v>199</v>
      </c>
      <c r="F1179" t="s">
        <v>4750</v>
      </c>
      <c r="G1179" t="s">
        <v>15</v>
      </c>
      <c r="H1179" t="s">
        <v>4751</v>
      </c>
      <c r="I1179" t="s">
        <v>4752</v>
      </c>
      <c r="J1179" s="2">
        <v>46054.536208538899</v>
      </c>
    </row>
    <row r="1180" spans="1:11" x14ac:dyDescent="0.55000000000000004">
      <c r="A1180" t="s">
        <v>4753</v>
      </c>
      <c r="B1180">
        <v>100858</v>
      </c>
      <c r="C1180" t="s">
        <v>179</v>
      </c>
      <c r="D1180" s="1">
        <v>45950</v>
      </c>
      <c r="E1180" t="s">
        <v>528</v>
      </c>
      <c r="F1180" t="s">
        <v>4754</v>
      </c>
      <c r="G1180" t="s">
        <v>22</v>
      </c>
      <c r="H1180" t="s">
        <v>714</v>
      </c>
      <c r="I1180" t="s">
        <v>4755</v>
      </c>
      <c r="J1180" s="2">
        <v>46067.491069654017</v>
      </c>
    </row>
    <row r="1181" spans="1:11" x14ac:dyDescent="0.55000000000000004">
      <c r="A1181" t="s">
        <v>4756</v>
      </c>
      <c r="B1181">
        <v>100167</v>
      </c>
      <c r="C1181" t="s">
        <v>12</v>
      </c>
      <c r="D1181" s="1">
        <v>45792</v>
      </c>
      <c r="E1181" t="s">
        <v>300</v>
      </c>
      <c r="F1181" t="s">
        <v>4757</v>
      </c>
      <c r="G1181" t="s">
        <v>15</v>
      </c>
      <c r="H1181" t="s">
        <v>4758</v>
      </c>
      <c r="I1181" t="s">
        <v>4759</v>
      </c>
      <c r="J1181" s="2">
        <v>46057.17162521428</v>
      </c>
    </row>
    <row r="1182" spans="1:11" x14ac:dyDescent="0.55000000000000004">
      <c r="A1182" t="s">
        <v>4760</v>
      </c>
      <c r="B1182">
        <v>100081</v>
      </c>
      <c r="D1182" s="1">
        <v>45749</v>
      </c>
      <c r="E1182" t="s">
        <v>115</v>
      </c>
      <c r="F1182" t="s">
        <v>4761</v>
      </c>
      <c r="G1182" t="s">
        <v>22</v>
      </c>
      <c r="H1182" t="s">
        <v>4762</v>
      </c>
      <c r="I1182" t="s">
        <v>4763</v>
      </c>
      <c r="J1182" s="2">
        <v>46066.316069663713</v>
      </c>
      <c r="K1182" t="s">
        <v>217</v>
      </c>
    </row>
    <row r="1183" spans="1:11" x14ac:dyDescent="0.55000000000000004">
      <c r="A1183" t="s">
        <v>4764</v>
      </c>
      <c r="B1183">
        <v>100504</v>
      </c>
      <c r="C1183" t="s">
        <v>99</v>
      </c>
      <c r="D1183" s="1">
        <v>45820</v>
      </c>
      <c r="E1183" t="s">
        <v>243</v>
      </c>
      <c r="F1183" t="s">
        <v>4765</v>
      </c>
      <c r="G1183" t="s">
        <v>22</v>
      </c>
      <c r="H1183" t="s">
        <v>4766</v>
      </c>
      <c r="I1183" t="s">
        <v>4767</v>
      </c>
      <c r="J1183" s="2">
        <v>46056.202875223309</v>
      </c>
    </row>
    <row r="1184" spans="1:11" x14ac:dyDescent="0.55000000000000004">
      <c r="A1184" t="s">
        <v>4768</v>
      </c>
      <c r="B1184">
        <v>101166</v>
      </c>
      <c r="C1184" t="s">
        <v>32</v>
      </c>
      <c r="D1184" s="1">
        <v>46055</v>
      </c>
      <c r="E1184" t="s">
        <v>83</v>
      </c>
      <c r="F1184" t="s">
        <v>4769</v>
      </c>
      <c r="G1184" t="s">
        <v>15</v>
      </c>
      <c r="H1184" t="s">
        <v>4770</v>
      </c>
      <c r="I1184" t="s">
        <v>4771</v>
      </c>
      <c r="J1184" s="2">
        <v>46090.628569671782</v>
      </c>
    </row>
    <row r="1185" spans="1:11" x14ac:dyDescent="0.55000000000000004">
      <c r="A1185" t="s">
        <v>4772</v>
      </c>
      <c r="B1185">
        <v>100245</v>
      </c>
      <c r="C1185" t="s">
        <v>533</v>
      </c>
      <c r="D1185" s="1">
        <v>45982</v>
      </c>
      <c r="E1185" t="s">
        <v>587</v>
      </c>
      <c r="F1185" t="s">
        <v>4773</v>
      </c>
      <c r="G1185" t="s">
        <v>15</v>
      </c>
      <c r="H1185" t="s">
        <v>4774</v>
      </c>
      <c r="I1185" t="s">
        <v>4775</v>
      </c>
      <c r="J1185" s="2">
        <v>46059.931347453879</v>
      </c>
    </row>
    <row r="1186" spans="1:11" x14ac:dyDescent="0.55000000000000004">
      <c r="A1186" t="s">
        <v>4776</v>
      </c>
      <c r="B1186">
        <v>100826</v>
      </c>
      <c r="C1186" t="s">
        <v>26</v>
      </c>
      <c r="D1186" s="1">
        <v>45977</v>
      </c>
      <c r="E1186" t="s">
        <v>141</v>
      </c>
      <c r="F1186" t="s">
        <v>4777</v>
      </c>
      <c r="G1186" t="s">
        <v>15</v>
      </c>
      <c r="H1186" t="s">
        <v>4778</v>
      </c>
      <c r="I1186" t="s">
        <v>4779</v>
      </c>
      <c r="J1186" s="2">
        <v>46073.057736347822</v>
      </c>
    </row>
    <row r="1187" spans="1:11" x14ac:dyDescent="0.55000000000000004">
      <c r="A1187" t="s">
        <v>4780</v>
      </c>
      <c r="B1187">
        <v>100481</v>
      </c>
      <c r="C1187" t="s">
        <v>94</v>
      </c>
      <c r="D1187" s="1">
        <v>45884</v>
      </c>
      <c r="E1187" t="s">
        <v>199</v>
      </c>
      <c r="F1187" t="s">
        <v>4781</v>
      </c>
      <c r="G1187" t="s">
        <v>15</v>
      </c>
      <c r="H1187" t="s">
        <v>4782</v>
      </c>
      <c r="I1187" t="s">
        <v>4783</v>
      </c>
      <c r="J1187" s="2">
        <v>46051.98204191219</v>
      </c>
      <c r="K1187" t="s">
        <v>119</v>
      </c>
    </row>
    <row r="1188" spans="1:11" x14ac:dyDescent="0.55000000000000004">
      <c r="A1188" t="s">
        <v>4784</v>
      </c>
      <c r="B1188">
        <v>100139</v>
      </c>
      <c r="C1188" t="s">
        <v>48</v>
      </c>
      <c r="D1188" s="1">
        <v>45939</v>
      </c>
      <c r="E1188" t="s">
        <v>270</v>
      </c>
      <c r="F1188" t="s">
        <v>4785</v>
      </c>
      <c r="G1188" t="s">
        <v>15</v>
      </c>
      <c r="H1188" t="s">
        <v>4786</v>
      </c>
      <c r="I1188" t="s">
        <v>4787</v>
      </c>
      <c r="J1188" s="2">
        <v>46063.91468080815</v>
      </c>
    </row>
    <row r="1189" spans="1:11" x14ac:dyDescent="0.55000000000000004">
      <c r="A1189" t="s">
        <v>4788</v>
      </c>
      <c r="B1189">
        <v>100140</v>
      </c>
      <c r="C1189" t="s">
        <v>146</v>
      </c>
      <c r="D1189" s="1">
        <v>46097</v>
      </c>
      <c r="E1189" t="s">
        <v>108</v>
      </c>
      <c r="F1189" t="s">
        <v>4789</v>
      </c>
      <c r="G1189" t="s">
        <v>15</v>
      </c>
      <c r="H1189" t="s">
        <v>4790</v>
      </c>
      <c r="I1189" t="s">
        <v>4791</v>
      </c>
      <c r="J1189" s="2">
        <v>46058.757736369917</v>
      </c>
    </row>
    <row r="1190" spans="1:11" x14ac:dyDescent="0.55000000000000004">
      <c r="A1190" t="s">
        <v>4792</v>
      </c>
      <c r="B1190">
        <v>100380</v>
      </c>
      <c r="C1190" t="s">
        <v>48</v>
      </c>
      <c r="D1190" s="1">
        <v>45734</v>
      </c>
      <c r="E1190" t="s">
        <v>83</v>
      </c>
      <c r="F1190" t="s">
        <v>4793</v>
      </c>
      <c r="G1190" t="s">
        <v>15</v>
      </c>
      <c r="H1190" t="s">
        <v>4794</v>
      </c>
      <c r="I1190" t="s">
        <v>4795</v>
      </c>
      <c r="J1190" s="2">
        <v>46088.928569708041</v>
      </c>
    </row>
    <row r="1191" spans="1:11" x14ac:dyDescent="0.55000000000000004">
      <c r="A1191" t="s">
        <v>4796</v>
      </c>
      <c r="B1191">
        <v>100164</v>
      </c>
      <c r="C1191" t="s">
        <v>248</v>
      </c>
      <c r="D1191" s="1">
        <v>46066</v>
      </c>
      <c r="E1191" t="s">
        <v>155</v>
      </c>
      <c r="F1191" t="s">
        <v>4562</v>
      </c>
      <c r="G1191" t="s">
        <v>22</v>
      </c>
      <c r="H1191" t="s">
        <v>4797</v>
      </c>
      <c r="I1191" t="s">
        <v>4798</v>
      </c>
      <c r="J1191" s="2">
        <v>46095.625791936887</v>
      </c>
    </row>
    <row r="1192" spans="1:11" x14ac:dyDescent="0.55000000000000004">
      <c r="A1192" t="s">
        <v>4799</v>
      </c>
      <c r="B1192">
        <v>101040</v>
      </c>
      <c r="C1192" t="s">
        <v>533</v>
      </c>
      <c r="D1192" s="1">
        <v>45991</v>
      </c>
      <c r="E1192" t="s">
        <v>467</v>
      </c>
      <c r="F1192" t="s">
        <v>4800</v>
      </c>
      <c r="G1192" t="s">
        <v>15</v>
      </c>
      <c r="H1192" t="s">
        <v>4801</v>
      </c>
      <c r="I1192" t="s">
        <v>4802</v>
      </c>
      <c r="J1192" s="2">
        <v>46069.810514163553</v>
      </c>
    </row>
    <row r="1193" spans="1:11" x14ac:dyDescent="0.55000000000000004">
      <c r="A1193" t="s">
        <v>4803</v>
      </c>
      <c r="B1193">
        <v>100116</v>
      </c>
      <c r="C1193" t="s">
        <v>37</v>
      </c>
      <c r="D1193" s="1">
        <v>45859</v>
      </c>
      <c r="E1193" t="s">
        <v>170</v>
      </c>
      <c r="F1193" t="s">
        <v>4804</v>
      </c>
      <c r="G1193" t="s">
        <v>22</v>
      </c>
      <c r="H1193" t="s">
        <v>4805</v>
      </c>
      <c r="I1193" t="s">
        <v>4806</v>
      </c>
      <c r="J1193" s="2">
        <v>46054.986903056582</v>
      </c>
    </row>
    <row r="1194" spans="1:11" x14ac:dyDescent="0.55000000000000004">
      <c r="A1194" t="s">
        <v>4807</v>
      </c>
      <c r="B1194">
        <v>100322</v>
      </c>
      <c r="C1194" t="s">
        <v>88</v>
      </c>
      <c r="D1194" s="1">
        <v>45803</v>
      </c>
      <c r="E1194" t="s">
        <v>495</v>
      </c>
      <c r="F1194" t="s">
        <v>4808</v>
      </c>
      <c r="G1194" t="s">
        <v>15</v>
      </c>
      <c r="H1194" t="s">
        <v>4809</v>
      </c>
      <c r="I1194" t="s">
        <v>4810</v>
      </c>
      <c r="J1194" s="2">
        <v>46053.605653063467</v>
      </c>
    </row>
    <row r="1195" spans="1:11" x14ac:dyDescent="0.55000000000000004">
      <c r="A1195" t="s">
        <v>4811</v>
      </c>
      <c r="B1195">
        <v>101087</v>
      </c>
      <c r="C1195" t="s">
        <v>12</v>
      </c>
      <c r="D1195" s="1">
        <v>45853</v>
      </c>
      <c r="E1195" t="s">
        <v>115</v>
      </c>
      <c r="F1195" t="s">
        <v>4812</v>
      </c>
      <c r="G1195" t="s">
        <v>15</v>
      </c>
      <c r="H1195" t="s">
        <v>4813</v>
      </c>
      <c r="I1195" t="s">
        <v>4814</v>
      </c>
      <c r="J1195" s="2">
        <v>46078.440375291619</v>
      </c>
    </row>
    <row r="1196" spans="1:11" x14ac:dyDescent="0.55000000000000004">
      <c r="A1196" t="s">
        <v>4815</v>
      </c>
      <c r="B1196">
        <v>101029</v>
      </c>
      <c r="C1196" t="s">
        <v>114</v>
      </c>
      <c r="D1196" s="1">
        <v>46040</v>
      </c>
      <c r="E1196" t="s">
        <v>160</v>
      </c>
      <c r="F1196" t="s">
        <v>4816</v>
      </c>
      <c r="G1196" t="s">
        <v>22</v>
      </c>
      <c r="H1196" t="s">
        <v>4817</v>
      </c>
      <c r="I1196" t="s">
        <v>4818</v>
      </c>
      <c r="J1196" s="2">
        <v>46088.861208630013</v>
      </c>
    </row>
    <row r="1197" spans="1:11" x14ac:dyDescent="0.55000000000000004">
      <c r="A1197" t="s">
        <v>4819</v>
      </c>
      <c r="B1197">
        <v>100976</v>
      </c>
      <c r="C1197" t="s">
        <v>94</v>
      </c>
      <c r="D1197" s="1">
        <v>45770</v>
      </c>
      <c r="E1197" t="s">
        <v>300</v>
      </c>
      <c r="F1197" t="s">
        <v>4820</v>
      </c>
      <c r="G1197" t="s">
        <v>15</v>
      </c>
      <c r="H1197" t="s">
        <v>4821</v>
      </c>
      <c r="I1197" t="s">
        <v>4822</v>
      </c>
      <c r="J1197" s="2">
        <v>46072.097319745473</v>
      </c>
    </row>
    <row r="1198" spans="1:11" x14ac:dyDescent="0.55000000000000004">
      <c r="A1198" t="s">
        <v>4823</v>
      </c>
      <c r="B1198">
        <v>101196</v>
      </c>
      <c r="C1198" t="s">
        <v>131</v>
      </c>
      <c r="D1198" s="1">
        <v>45862</v>
      </c>
      <c r="E1198" t="s">
        <v>43</v>
      </c>
      <c r="F1198" t="s">
        <v>4824</v>
      </c>
      <c r="G1198" t="s">
        <v>15</v>
      </c>
      <c r="H1198" t="s">
        <v>4825</v>
      </c>
      <c r="I1198" t="s">
        <v>4826</v>
      </c>
      <c r="J1198" s="2">
        <v>46057.363291974048</v>
      </c>
    </row>
    <row r="1199" spans="1:11" x14ac:dyDescent="0.55000000000000004">
      <c r="A1199" t="s">
        <v>4827</v>
      </c>
      <c r="B1199">
        <v>100102</v>
      </c>
      <c r="C1199" t="s">
        <v>248</v>
      </c>
      <c r="D1199" s="1">
        <v>46097</v>
      </c>
      <c r="E1199" t="s">
        <v>27</v>
      </c>
      <c r="F1199" t="s">
        <v>4828</v>
      </c>
      <c r="G1199" t="s">
        <v>15</v>
      </c>
      <c r="H1199" t="s">
        <v>4829</v>
      </c>
      <c r="I1199" t="s">
        <v>4830</v>
      </c>
      <c r="J1199" s="2">
        <v>46071.527875313943</v>
      </c>
    </row>
    <row r="1200" spans="1:11" x14ac:dyDescent="0.55000000000000004">
      <c r="A1200" t="s">
        <v>4831</v>
      </c>
      <c r="B1200">
        <v>100117</v>
      </c>
      <c r="C1200" t="s">
        <v>169</v>
      </c>
      <c r="D1200" s="1">
        <v>46135</v>
      </c>
      <c r="E1200" t="s">
        <v>334</v>
      </c>
      <c r="F1200" t="s">
        <v>4832</v>
      </c>
      <c r="G1200" t="s">
        <v>15</v>
      </c>
      <c r="H1200" t="s">
        <v>4833</v>
      </c>
      <c r="I1200" t="s">
        <v>4834</v>
      </c>
      <c r="J1200" s="2">
        <v>46093.361903097219</v>
      </c>
    </row>
    <row r="1201" spans="1:11" x14ac:dyDescent="0.55000000000000004">
      <c r="A1201" t="s">
        <v>4835</v>
      </c>
      <c r="B1201">
        <v>100642</v>
      </c>
      <c r="C1201" t="s">
        <v>533</v>
      </c>
      <c r="D1201" s="1">
        <v>46004</v>
      </c>
      <c r="E1201" t="s">
        <v>317</v>
      </c>
      <c r="F1201" t="s">
        <v>4836</v>
      </c>
      <c r="G1201" t="s">
        <v>22</v>
      </c>
      <c r="H1201" t="s">
        <v>4837</v>
      </c>
      <c r="I1201" t="s">
        <v>4838</v>
      </c>
      <c r="J1201" s="2">
        <v>46093.27787532501</v>
      </c>
    </row>
    <row r="1202" spans="1:11" x14ac:dyDescent="0.55000000000000004">
      <c r="A1202" t="s">
        <v>4839</v>
      </c>
      <c r="B1202">
        <v>101248</v>
      </c>
      <c r="C1202" t="s">
        <v>131</v>
      </c>
      <c r="D1202" s="1">
        <v>45917</v>
      </c>
      <c r="E1202" t="s">
        <v>356</v>
      </c>
      <c r="F1202" t="s">
        <v>4840</v>
      </c>
      <c r="G1202" t="s">
        <v>15</v>
      </c>
      <c r="H1202" t="s">
        <v>4841</v>
      </c>
      <c r="I1202" t="s">
        <v>4842</v>
      </c>
      <c r="J1202" s="2">
        <v>46080.732041995718</v>
      </c>
    </row>
    <row r="1203" spans="1:11" x14ac:dyDescent="0.55000000000000004">
      <c r="A1203" t="s">
        <v>4843</v>
      </c>
      <c r="B1203">
        <v>101110</v>
      </c>
      <c r="C1203" t="s">
        <v>533</v>
      </c>
      <c r="D1203" s="1">
        <v>45925</v>
      </c>
      <c r="E1203" t="s">
        <v>69</v>
      </c>
      <c r="F1203" t="s">
        <v>4844</v>
      </c>
      <c r="G1203" t="s">
        <v>15</v>
      </c>
      <c r="H1203" t="s">
        <v>4845</v>
      </c>
      <c r="I1203" t="s">
        <v>4846</v>
      </c>
      <c r="J1203" s="2">
        <v>46090.496625334417</v>
      </c>
    </row>
    <row r="1204" spans="1:11" x14ac:dyDescent="0.55000000000000004">
      <c r="A1204" t="s">
        <v>4847</v>
      </c>
      <c r="B1204">
        <v>101186</v>
      </c>
      <c r="C1204" t="s">
        <v>82</v>
      </c>
      <c r="D1204" s="1">
        <v>46104</v>
      </c>
      <c r="E1204" t="s">
        <v>89</v>
      </c>
      <c r="F1204" t="s">
        <v>4848</v>
      </c>
      <c r="G1204" t="s">
        <v>15</v>
      </c>
      <c r="H1204" t="s">
        <v>4849</v>
      </c>
      <c r="I1204" t="s">
        <v>4850</v>
      </c>
      <c r="J1204" s="2">
        <v>46064.250097562028</v>
      </c>
    </row>
    <row r="1205" spans="1:11" x14ac:dyDescent="0.55000000000000004">
      <c r="A1205" t="s">
        <v>4851</v>
      </c>
      <c r="B1205">
        <v>100119</v>
      </c>
      <c r="C1205" t="s">
        <v>26</v>
      </c>
      <c r="D1205" s="1">
        <v>45876</v>
      </c>
      <c r="E1205" t="s">
        <v>343</v>
      </c>
      <c r="F1205" t="s">
        <v>4852</v>
      </c>
      <c r="G1205" t="s">
        <v>15</v>
      </c>
      <c r="H1205" t="s">
        <v>4853</v>
      </c>
      <c r="I1205" t="s">
        <v>4854</v>
      </c>
      <c r="J1205" s="2">
        <v>46087.293847566143</v>
      </c>
    </row>
    <row r="1206" spans="1:11" x14ac:dyDescent="0.55000000000000004">
      <c r="A1206" t="s">
        <v>4855</v>
      </c>
      <c r="B1206">
        <v>100445</v>
      </c>
      <c r="C1206" t="s">
        <v>179</v>
      </c>
      <c r="D1206" s="1">
        <v>45824</v>
      </c>
      <c r="E1206" t="s">
        <v>27</v>
      </c>
      <c r="F1206" t="s">
        <v>3564</v>
      </c>
      <c r="G1206" t="s">
        <v>22</v>
      </c>
      <c r="H1206" t="s">
        <v>4856</v>
      </c>
      <c r="I1206" t="s">
        <v>4857</v>
      </c>
      <c r="J1206" s="2">
        <v>46066.903569793452</v>
      </c>
    </row>
    <row r="1207" spans="1:11" x14ac:dyDescent="0.55000000000000004">
      <c r="A1207" t="s">
        <v>4858</v>
      </c>
      <c r="B1207">
        <v>100607</v>
      </c>
      <c r="C1207" t="s">
        <v>114</v>
      </c>
      <c r="D1207" s="1">
        <v>45864</v>
      </c>
      <c r="E1207" t="s">
        <v>317</v>
      </c>
      <c r="F1207" t="s">
        <v>4859</v>
      </c>
      <c r="G1207" t="s">
        <v>15</v>
      </c>
      <c r="H1207" t="s">
        <v>4860</v>
      </c>
      <c r="I1207" t="s">
        <v>4861</v>
      </c>
      <c r="J1207" s="2">
        <v>46055.566764241943</v>
      </c>
    </row>
    <row r="1208" spans="1:11" x14ac:dyDescent="0.55000000000000004">
      <c r="A1208" t="s">
        <v>4862</v>
      </c>
      <c r="B1208">
        <v>100388</v>
      </c>
      <c r="C1208" t="s">
        <v>114</v>
      </c>
      <c r="D1208" s="1">
        <v>45925</v>
      </c>
      <c r="E1208" t="s">
        <v>13</v>
      </c>
      <c r="F1208" t="s">
        <v>4863</v>
      </c>
      <c r="G1208" t="s">
        <v>22</v>
      </c>
      <c r="H1208" t="s">
        <v>4864</v>
      </c>
      <c r="I1208" t="s">
        <v>4865</v>
      </c>
      <c r="J1208" s="2">
        <v>46052.391764245767</v>
      </c>
    </row>
    <row r="1209" spans="1:11" x14ac:dyDescent="0.55000000000000004">
      <c r="A1209" t="s">
        <v>4866</v>
      </c>
      <c r="B1209">
        <v>100317</v>
      </c>
      <c r="C1209" t="s">
        <v>99</v>
      </c>
      <c r="D1209" s="1">
        <v>45946</v>
      </c>
      <c r="E1209" t="s">
        <v>680</v>
      </c>
      <c r="F1209" t="s">
        <v>4867</v>
      </c>
      <c r="G1209" t="s">
        <v>22</v>
      </c>
      <c r="H1209" t="s">
        <v>4868</v>
      </c>
      <c r="I1209" t="s">
        <v>4869</v>
      </c>
      <c r="J1209" s="2">
        <v>46068.032042027393</v>
      </c>
    </row>
    <row r="1210" spans="1:11" x14ac:dyDescent="0.55000000000000004">
      <c r="A1210" t="s">
        <v>4870</v>
      </c>
      <c r="B1210">
        <v>100996</v>
      </c>
      <c r="C1210" t="s">
        <v>68</v>
      </c>
      <c r="D1210" s="1">
        <v>45873</v>
      </c>
      <c r="E1210" t="s">
        <v>409</v>
      </c>
      <c r="F1210" t="s">
        <v>4871</v>
      </c>
      <c r="G1210" t="s">
        <v>22</v>
      </c>
      <c r="H1210" t="s">
        <v>4872</v>
      </c>
      <c r="I1210" t="s">
        <v>4873</v>
      </c>
      <c r="J1210" s="2">
        <v>46057.622319810253</v>
      </c>
    </row>
    <row r="1211" spans="1:11" x14ac:dyDescent="0.55000000000000004">
      <c r="A1211" t="s">
        <v>4874</v>
      </c>
      <c r="B1211">
        <v>101138</v>
      </c>
      <c r="C1211" t="s">
        <v>68</v>
      </c>
      <c r="D1211" s="1">
        <v>45940</v>
      </c>
      <c r="E1211" t="s">
        <v>141</v>
      </c>
      <c r="F1211" t="s">
        <v>4875</v>
      </c>
      <c r="G1211" t="s">
        <v>15</v>
      </c>
      <c r="H1211" t="s">
        <v>4876</v>
      </c>
      <c r="I1211" t="s">
        <v>4877</v>
      </c>
      <c r="J1211" s="2">
        <v>46082.613292039547</v>
      </c>
    </row>
    <row r="1212" spans="1:11" x14ac:dyDescent="0.55000000000000004">
      <c r="A1212" t="s">
        <v>4878</v>
      </c>
      <c r="C1212" t="s">
        <v>48</v>
      </c>
      <c r="D1212" s="1">
        <v>46026</v>
      </c>
      <c r="E1212" t="s">
        <v>155</v>
      </c>
      <c r="F1212" t="s">
        <v>4879</v>
      </c>
      <c r="G1212" t="s">
        <v>22</v>
      </c>
      <c r="H1212" t="s">
        <v>4880</v>
      </c>
      <c r="I1212" t="s">
        <v>4881</v>
      </c>
      <c r="J1212" s="2">
        <v>46062.045236489234</v>
      </c>
      <c r="K1212" t="s">
        <v>112</v>
      </c>
    </row>
    <row r="1213" spans="1:11" x14ac:dyDescent="0.55000000000000004">
      <c r="A1213" t="s">
        <v>4882</v>
      </c>
      <c r="B1213">
        <v>100584</v>
      </c>
      <c r="C1213" t="s">
        <v>37</v>
      </c>
      <c r="D1213" s="1">
        <v>45949</v>
      </c>
      <c r="E1213" t="s">
        <v>43</v>
      </c>
      <c r="F1213" t="s">
        <v>4883</v>
      </c>
      <c r="G1213" t="s">
        <v>22</v>
      </c>
      <c r="H1213" t="s">
        <v>4884</v>
      </c>
      <c r="I1213" t="s">
        <v>4885</v>
      </c>
      <c r="J1213" s="2">
        <v>46064.771625382913</v>
      </c>
    </row>
    <row r="1214" spans="1:11" x14ac:dyDescent="0.55000000000000004">
      <c r="A1214" t="s">
        <v>4886</v>
      </c>
      <c r="B1214">
        <v>100931</v>
      </c>
      <c r="C1214" t="s">
        <v>146</v>
      </c>
      <c r="D1214" s="1">
        <v>46089</v>
      </c>
      <c r="E1214" t="s">
        <v>69</v>
      </c>
      <c r="F1214" t="s">
        <v>4887</v>
      </c>
      <c r="G1214" t="s">
        <v>15</v>
      </c>
      <c r="H1214" t="s">
        <v>4888</v>
      </c>
      <c r="I1214" t="s">
        <v>4889</v>
      </c>
      <c r="J1214" s="2">
        <v>46058.475792054647</v>
      </c>
    </row>
    <row r="1215" spans="1:11" x14ac:dyDescent="0.55000000000000004">
      <c r="A1215" t="s">
        <v>4890</v>
      </c>
      <c r="B1215">
        <v>100543</v>
      </c>
      <c r="C1215" t="s">
        <v>37</v>
      </c>
      <c r="D1215" s="1">
        <v>46097</v>
      </c>
      <c r="E1215" t="s">
        <v>27</v>
      </c>
      <c r="F1215" t="s">
        <v>4891</v>
      </c>
      <c r="G1215" t="s">
        <v>22</v>
      </c>
      <c r="H1215" t="s">
        <v>4892</v>
      </c>
      <c r="I1215" t="s">
        <v>4893</v>
      </c>
      <c r="J1215" s="2">
        <v>46081.805653169977</v>
      </c>
    </row>
    <row r="1216" spans="1:11" x14ac:dyDescent="0.55000000000000004">
      <c r="A1216" t="s">
        <v>4894</v>
      </c>
      <c r="B1216">
        <v>100799</v>
      </c>
      <c r="C1216" t="s">
        <v>82</v>
      </c>
      <c r="D1216" s="1">
        <v>46082</v>
      </c>
      <c r="E1216" t="s">
        <v>270</v>
      </c>
      <c r="F1216" t="s">
        <v>4895</v>
      </c>
      <c r="G1216" t="s">
        <v>15</v>
      </c>
      <c r="H1216" t="s">
        <v>4896</v>
      </c>
      <c r="I1216" t="s">
        <v>4897</v>
      </c>
      <c r="J1216" s="2">
        <v>46054.001486507113</v>
      </c>
    </row>
    <row r="1217" spans="1:11" x14ac:dyDescent="0.55000000000000004">
      <c r="A1217" t="s">
        <v>4898</v>
      </c>
      <c r="B1217">
        <v>100004</v>
      </c>
      <c r="C1217" t="s">
        <v>194</v>
      </c>
      <c r="D1217" s="1">
        <v>45821</v>
      </c>
      <c r="E1217" t="s">
        <v>20</v>
      </c>
      <c r="F1217" t="s">
        <v>4899</v>
      </c>
      <c r="G1217" t="s">
        <v>15</v>
      </c>
      <c r="H1217" t="s">
        <v>4900</v>
      </c>
      <c r="I1217" t="s">
        <v>4901</v>
      </c>
      <c r="J1217" s="2">
        <v>46065.243847622784</v>
      </c>
    </row>
    <row r="1218" spans="1:11" x14ac:dyDescent="0.55000000000000004">
      <c r="A1218" t="s">
        <v>4902</v>
      </c>
      <c r="B1218">
        <v>100776</v>
      </c>
      <c r="C1218" t="s">
        <v>12</v>
      </c>
      <c r="D1218" s="1">
        <v>45948</v>
      </c>
      <c r="E1218" t="s">
        <v>418</v>
      </c>
      <c r="F1218" t="s">
        <v>4903</v>
      </c>
      <c r="G1218" t="s">
        <v>22</v>
      </c>
      <c r="H1218" t="s">
        <v>4904</v>
      </c>
      <c r="I1218" t="s">
        <v>4905</v>
      </c>
      <c r="J1218" s="2">
        <v>46090.265375404349</v>
      </c>
    </row>
    <row r="1219" spans="1:11" x14ac:dyDescent="0.55000000000000004">
      <c r="A1219" t="s">
        <v>4906</v>
      </c>
      <c r="B1219">
        <v>100337</v>
      </c>
      <c r="C1219" t="s">
        <v>194</v>
      </c>
      <c r="D1219" s="1">
        <v>46157</v>
      </c>
      <c r="E1219" t="s">
        <v>343</v>
      </c>
      <c r="F1219" t="s">
        <v>4907</v>
      </c>
      <c r="G1219" t="s">
        <v>22</v>
      </c>
      <c r="H1219" t="s">
        <v>4908</v>
      </c>
      <c r="I1219" t="s">
        <v>4909</v>
      </c>
      <c r="J1219" s="2">
        <v>46079.369542075612</v>
      </c>
    </row>
    <row r="1220" spans="1:11" x14ac:dyDescent="0.55000000000000004">
      <c r="A1220" t="s">
        <v>4910</v>
      </c>
      <c r="B1220">
        <v>101277</v>
      </c>
      <c r="C1220" t="s">
        <v>248</v>
      </c>
      <c r="D1220" s="1">
        <v>45733</v>
      </c>
      <c r="E1220" t="s">
        <v>213</v>
      </c>
      <c r="F1220" t="s">
        <v>4911</v>
      </c>
      <c r="G1220" t="s">
        <v>15</v>
      </c>
      <c r="H1220" t="s">
        <v>4912</v>
      </c>
      <c r="I1220" t="s">
        <v>4913</v>
      </c>
      <c r="J1220" s="2">
        <v>46077.83204207947</v>
      </c>
    </row>
    <row r="1221" spans="1:11" x14ac:dyDescent="0.55000000000000004">
      <c r="A1221" t="s">
        <v>4914</v>
      </c>
      <c r="B1221">
        <v>101397</v>
      </c>
      <c r="C1221" t="s">
        <v>82</v>
      </c>
      <c r="D1221" s="1">
        <v>46154</v>
      </c>
      <c r="E1221" t="s">
        <v>69</v>
      </c>
      <c r="F1221" t="s">
        <v>4915</v>
      </c>
      <c r="G1221" t="s">
        <v>22</v>
      </c>
      <c r="H1221" t="s">
        <v>4916</v>
      </c>
      <c r="I1221" t="s">
        <v>4917</v>
      </c>
      <c r="J1221" s="2">
        <v>46094.240375418172</v>
      </c>
    </row>
    <row r="1222" spans="1:11" x14ac:dyDescent="0.55000000000000004">
      <c r="A1222" t="s">
        <v>4918</v>
      </c>
      <c r="B1222">
        <v>100437</v>
      </c>
      <c r="C1222" t="s">
        <v>37</v>
      </c>
      <c r="D1222" s="1">
        <v>46047</v>
      </c>
      <c r="E1222" t="s">
        <v>49</v>
      </c>
      <c r="F1222" t="s">
        <v>4919</v>
      </c>
      <c r="G1222" t="s">
        <v>22</v>
      </c>
      <c r="H1222" t="s">
        <v>4920</v>
      </c>
      <c r="I1222" t="s">
        <v>4921</v>
      </c>
      <c r="J1222" s="2">
        <v>46091.738986534583</v>
      </c>
    </row>
    <row r="1223" spans="1:11" x14ac:dyDescent="0.55000000000000004">
      <c r="A1223" t="s">
        <v>4922</v>
      </c>
      <c r="B1223">
        <v>100985</v>
      </c>
      <c r="C1223" t="s">
        <v>63</v>
      </c>
      <c r="D1223" s="1">
        <v>46101</v>
      </c>
      <c r="E1223" t="s">
        <v>69</v>
      </c>
      <c r="F1223" t="s">
        <v>4923</v>
      </c>
      <c r="G1223" t="s">
        <v>22</v>
      </c>
      <c r="H1223" t="s">
        <v>4924</v>
      </c>
      <c r="I1223" t="s">
        <v>4925</v>
      </c>
      <c r="J1223" s="2">
        <v>46097.602180982823</v>
      </c>
    </row>
    <row r="1224" spans="1:11" x14ac:dyDescent="0.55000000000000004">
      <c r="A1224" t="s">
        <v>4926</v>
      </c>
      <c r="B1224">
        <v>101268</v>
      </c>
      <c r="C1224" t="s">
        <v>94</v>
      </c>
      <c r="D1224" s="1">
        <v>45983</v>
      </c>
      <c r="E1224" t="s">
        <v>155</v>
      </c>
      <c r="F1224" t="s">
        <v>4927</v>
      </c>
      <c r="G1224" t="s">
        <v>15</v>
      </c>
      <c r="H1224" t="s">
        <v>4928</v>
      </c>
      <c r="I1224" t="s">
        <v>4929</v>
      </c>
      <c r="J1224" s="2">
        <v>46071.570236542138</v>
      </c>
    </row>
    <row r="1225" spans="1:11" x14ac:dyDescent="0.55000000000000004">
      <c r="A1225" t="s">
        <v>4930</v>
      </c>
      <c r="B1225">
        <v>100832</v>
      </c>
      <c r="C1225" t="s">
        <v>19</v>
      </c>
      <c r="D1225" s="1">
        <v>45735</v>
      </c>
      <c r="E1225" t="s">
        <v>317</v>
      </c>
      <c r="F1225" t="s">
        <v>4931</v>
      </c>
      <c r="G1225" t="s">
        <v>22</v>
      </c>
      <c r="H1225" t="s">
        <v>4932</v>
      </c>
      <c r="I1225" t="s">
        <v>4933</v>
      </c>
      <c r="J1225" s="2">
        <v>46083.077180990767</v>
      </c>
    </row>
    <row r="1226" spans="1:11" x14ac:dyDescent="0.55000000000000004">
      <c r="A1226" t="s">
        <v>4934</v>
      </c>
      <c r="B1226">
        <v>100340</v>
      </c>
      <c r="C1226" t="s">
        <v>179</v>
      </c>
      <c r="D1226" s="1">
        <v>45923</v>
      </c>
      <c r="E1226" t="s">
        <v>58</v>
      </c>
      <c r="F1226" t="s">
        <v>4935</v>
      </c>
      <c r="G1226" t="s">
        <v>15</v>
      </c>
      <c r="H1226" t="s">
        <v>4936</v>
      </c>
      <c r="I1226" t="s">
        <v>4937</v>
      </c>
      <c r="J1226" s="2">
        <v>46063.363292106507</v>
      </c>
    </row>
    <row r="1227" spans="1:11" x14ac:dyDescent="0.55000000000000004">
      <c r="A1227" t="s">
        <v>4938</v>
      </c>
      <c r="B1227">
        <v>100484</v>
      </c>
      <c r="C1227" t="s">
        <v>533</v>
      </c>
      <c r="D1227" s="1">
        <v>45956</v>
      </c>
      <c r="E1227" t="s">
        <v>43</v>
      </c>
      <c r="F1227" t="s">
        <v>4939</v>
      </c>
      <c r="G1227" t="s">
        <v>22</v>
      </c>
      <c r="H1227" t="s">
        <v>4940</v>
      </c>
      <c r="I1227" t="s">
        <v>4941</v>
      </c>
      <c r="J1227" s="2">
        <v>46070.738292110349</v>
      </c>
    </row>
    <row r="1228" spans="1:11" x14ac:dyDescent="0.55000000000000004">
      <c r="A1228" t="s">
        <v>4942</v>
      </c>
      <c r="B1228">
        <v>101484</v>
      </c>
      <c r="D1228" s="1">
        <v>46095</v>
      </c>
      <c r="E1228" t="s">
        <v>155</v>
      </c>
      <c r="F1228" t="s">
        <v>4943</v>
      </c>
      <c r="G1228" t="s">
        <v>15</v>
      </c>
      <c r="H1228" t="s">
        <v>4944</v>
      </c>
      <c r="I1228" t="s">
        <v>4945</v>
      </c>
      <c r="J1228" s="2">
        <v>46079.68898655854</v>
      </c>
      <c r="K1228" t="s">
        <v>217</v>
      </c>
    </row>
    <row r="1229" spans="1:11" x14ac:dyDescent="0.55000000000000004">
      <c r="A1229" t="s">
        <v>4946</v>
      </c>
      <c r="B1229">
        <v>100030</v>
      </c>
      <c r="C1229" t="s">
        <v>114</v>
      </c>
      <c r="D1229" s="1">
        <v>45934</v>
      </c>
      <c r="E1229" t="s">
        <v>49</v>
      </c>
      <c r="F1229" t="s">
        <v>4947</v>
      </c>
      <c r="G1229" t="s">
        <v>15</v>
      </c>
      <c r="H1229" t="s">
        <v>224</v>
      </c>
      <c r="I1229" t="s">
        <v>4948</v>
      </c>
      <c r="J1229" s="2">
        <v>46086.798708784838</v>
      </c>
    </row>
    <row r="1230" spans="1:11" x14ac:dyDescent="0.55000000000000004">
      <c r="A1230" t="s">
        <v>4949</v>
      </c>
      <c r="B1230">
        <v>101107</v>
      </c>
      <c r="C1230" t="s">
        <v>248</v>
      </c>
      <c r="D1230" s="1">
        <v>45977</v>
      </c>
      <c r="E1230" t="s">
        <v>83</v>
      </c>
      <c r="F1230" t="s">
        <v>4950</v>
      </c>
      <c r="G1230" t="s">
        <v>22</v>
      </c>
      <c r="H1230" t="s">
        <v>4951</v>
      </c>
      <c r="I1230" t="s">
        <v>4952</v>
      </c>
      <c r="J1230" s="2">
        <v>46062.041764344227</v>
      </c>
    </row>
    <row r="1231" spans="1:11" x14ac:dyDescent="0.55000000000000004">
      <c r="A1231" t="s">
        <v>4953</v>
      </c>
      <c r="B1231">
        <v>100103</v>
      </c>
      <c r="C1231" t="s">
        <v>114</v>
      </c>
      <c r="D1231" s="1">
        <v>45898</v>
      </c>
      <c r="E1231" t="s">
        <v>89</v>
      </c>
      <c r="F1231" t="s">
        <v>4954</v>
      </c>
      <c r="G1231" t="s">
        <v>15</v>
      </c>
      <c r="H1231" t="s">
        <v>4955</v>
      </c>
      <c r="I1231" t="s">
        <v>4956</v>
      </c>
      <c r="J1231" s="2">
        <v>46090.593153236849</v>
      </c>
    </row>
    <row r="1232" spans="1:11" x14ac:dyDescent="0.55000000000000004">
      <c r="A1232" t="s">
        <v>4957</v>
      </c>
      <c r="B1232">
        <v>100200</v>
      </c>
      <c r="C1232" t="s">
        <v>37</v>
      </c>
      <c r="D1232" s="1">
        <v>45796</v>
      </c>
      <c r="E1232" t="s">
        <v>20</v>
      </c>
      <c r="F1232" t="s">
        <v>4958</v>
      </c>
      <c r="G1232" t="s">
        <v>15</v>
      </c>
      <c r="H1232" t="s">
        <v>4959</v>
      </c>
      <c r="I1232" t="s">
        <v>4960</v>
      </c>
      <c r="J1232" s="2">
        <v>46054.409819908287</v>
      </c>
    </row>
    <row r="1233" spans="1:10" x14ac:dyDescent="0.55000000000000004">
      <c r="A1233" t="s">
        <v>4961</v>
      </c>
      <c r="B1233">
        <v>101127</v>
      </c>
      <c r="C1233" t="s">
        <v>12</v>
      </c>
      <c r="D1233" s="1">
        <v>46079</v>
      </c>
      <c r="E1233" t="s">
        <v>89</v>
      </c>
      <c r="F1233" t="s">
        <v>4962</v>
      </c>
      <c r="G1233" t="s">
        <v>15</v>
      </c>
      <c r="H1233" t="s">
        <v>4963</v>
      </c>
      <c r="I1233" t="s">
        <v>4964</v>
      </c>
      <c r="J1233" s="2">
        <v>46070.063292135092</v>
      </c>
    </row>
    <row r="1234" spans="1:10" x14ac:dyDescent="0.55000000000000004">
      <c r="A1234" t="s">
        <v>4965</v>
      </c>
      <c r="B1234">
        <v>100907</v>
      </c>
      <c r="C1234" t="s">
        <v>68</v>
      </c>
      <c r="D1234" s="1">
        <v>45876</v>
      </c>
      <c r="E1234" t="s">
        <v>334</v>
      </c>
      <c r="F1234" t="s">
        <v>4966</v>
      </c>
      <c r="G1234" t="s">
        <v>15</v>
      </c>
      <c r="H1234" t="s">
        <v>4967</v>
      </c>
      <c r="I1234" t="s">
        <v>4968</v>
      </c>
      <c r="J1234" s="2">
        <v>46058.529264361932</v>
      </c>
    </row>
    <row r="1235" spans="1:10" x14ac:dyDescent="0.55000000000000004">
      <c r="A1235" t="s">
        <v>4969</v>
      </c>
      <c r="B1235">
        <v>100154</v>
      </c>
      <c r="C1235" t="s">
        <v>82</v>
      </c>
      <c r="D1235" s="1">
        <v>45827</v>
      </c>
      <c r="E1235" t="s">
        <v>20</v>
      </c>
      <c r="F1235" t="s">
        <v>4970</v>
      </c>
      <c r="G1235" t="s">
        <v>15</v>
      </c>
      <c r="H1235" t="s">
        <v>4971</v>
      </c>
      <c r="I1235" t="s">
        <v>4972</v>
      </c>
      <c r="J1235" s="2">
        <v>46080.749403255453</v>
      </c>
    </row>
    <row r="1236" spans="1:10" x14ac:dyDescent="0.55000000000000004">
      <c r="A1236" t="s">
        <v>4973</v>
      </c>
      <c r="B1236">
        <v>100511</v>
      </c>
      <c r="C1236" t="s">
        <v>194</v>
      </c>
      <c r="D1236" s="1">
        <v>46073</v>
      </c>
      <c r="E1236" t="s">
        <v>418</v>
      </c>
      <c r="F1236" t="s">
        <v>4974</v>
      </c>
      <c r="G1236" t="s">
        <v>15</v>
      </c>
      <c r="H1236" t="s">
        <v>4975</v>
      </c>
      <c r="I1236" t="s">
        <v>4976</v>
      </c>
      <c r="J1236" s="2">
        <v>46053.032042150371</v>
      </c>
    </row>
    <row r="1237" spans="1:10" x14ac:dyDescent="0.55000000000000004">
      <c r="A1237" t="s">
        <v>4977</v>
      </c>
      <c r="B1237">
        <v>100947</v>
      </c>
      <c r="C1237" t="s">
        <v>99</v>
      </c>
      <c r="D1237" s="1">
        <v>45824</v>
      </c>
      <c r="E1237" t="s">
        <v>38</v>
      </c>
      <c r="F1237" t="s">
        <v>4978</v>
      </c>
      <c r="G1237" t="s">
        <v>15</v>
      </c>
      <c r="H1237" t="s">
        <v>4979</v>
      </c>
      <c r="I1237" t="s">
        <v>4980</v>
      </c>
      <c r="J1237" s="2">
        <v>46083.575097711531</v>
      </c>
    </row>
    <row r="1238" spans="1:10" x14ac:dyDescent="0.55000000000000004">
      <c r="A1238" t="s">
        <v>4981</v>
      </c>
      <c r="B1238">
        <v>101269</v>
      </c>
      <c r="C1238" t="s">
        <v>114</v>
      </c>
      <c r="D1238" s="1">
        <v>45937</v>
      </c>
      <c r="E1238" t="s">
        <v>20</v>
      </c>
      <c r="F1238" t="s">
        <v>4982</v>
      </c>
      <c r="G1238" t="s">
        <v>15</v>
      </c>
      <c r="H1238" t="s">
        <v>4983</v>
      </c>
      <c r="I1238" t="s">
        <v>4984</v>
      </c>
      <c r="J1238" s="2">
        <v>46088.139681049928</v>
      </c>
    </row>
    <row r="1239" spans="1:10" x14ac:dyDescent="0.55000000000000004">
      <c r="A1239" t="s">
        <v>4985</v>
      </c>
      <c r="B1239">
        <v>100375</v>
      </c>
      <c r="C1239" t="s">
        <v>37</v>
      </c>
      <c r="D1239" s="1">
        <v>46047</v>
      </c>
      <c r="E1239" t="s">
        <v>155</v>
      </c>
      <c r="F1239" t="s">
        <v>4986</v>
      </c>
      <c r="G1239" t="s">
        <v>15</v>
      </c>
      <c r="H1239" t="s">
        <v>4987</v>
      </c>
      <c r="I1239" t="s">
        <v>4988</v>
      </c>
      <c r="J1239" s="2">
        <v>46073.166764387082</v>
      </c>
    </row>
    <row r="1240" spans="1:10" x14ac:dyDescent="0.55000000000000004">
      <c r="A1240" t="s">
        <v>4989</v>
      </c>
      <c r="B1240">
        <v>101363</v>
      </c>
      <c r="C1240" t="s">
        <v>82</v>
      </c>
      <c r="D1240" s="1">
        <v>45888</v>
      </c>
      <c r="E1240" t="s">
        <v>587</v>
      </c>
      <c r="F1240" t="s">
        <v>4990</v>
      </c>
      <c r="G1240" t="s">
        <v>22</v>
      </c>
      <c r="H1240" t="s">
        <v>4991</v>
      </c>
      <c r="I1240" t="s">
        <v>4992</v>
      </c>
      <c r="J1240" s="2">
        <v>46070.064681058459</v>
      </c>
    </row>
    <row r="1241" spans="1:10" x14ac:dyDescent="0.55000000000000004">
      <c r="A1241" t="s">
        <v>4993</v>
      </c>
      <c r="B1241">
        <v>100287</v>
      </c>
      <c r="C1241" t="s">
        <v>12</v>
      </c>
      <c r="D1241" s="1">
        <v>45993</v>
      </c>
      <c r="E1241" t="s">
        <v>141</v>
      </c>
      <c r="F1241" t="s">
        <v>4994</v>
      </c>
      <c r="G1241" t="s">
        <v>22</v>
      </c>
      <c r="H1241" t="s">
        <v>4995</v>
      </c>
      <c r="I1241" t="s">
        <v>4996</v>
      </c>
      <c r="J1241" s="2">
        <v>46090.363292174748</v>
      </c>
    </row>
    <row r="1242" spans="1:10" x14ac:dyDescent="0.55000000000000004">
      <c r="A1242" t="s">
        <v>4997</v>
      </c>
      <c r="B1242">
        <v>100918</v>
      </c>
      <c r="C1242" t="s">
        <v>63</v>
      </c>
      <c r="D1242" s="1">
        <v>45875</v>
      </c>
      <c r="E1242" t="s">
        <v>757</v>
      </c>
      <c r="F1242" t="s">
        <v>4998</v>
      </c>
      <c r="G1242" t="s">
        <v>15</v>
      </c>
      <c r="H1242" t="s">
        <v>4999</v>
      </c>
      <c r="I1242" t="s">
        <v>5000</v>
      </c>
      <c r="J1242" s="2">
        <v>46077.678569957527</v>
      </c>
    </row>
    <row r="1243" spans="1:10" x14ac:dyDescent="0.55000000000000004">
      <c r="A1243" t="s">
        <v>5001</v>
      </c>
      <c r="B1243">
        <v>101448</v>
      </c>
      <c r="C1243" t="s">
        <v>48</v>
      </c>
      <c r="D1243" s="1">
        <v>45752</v>
      </c>
      <c r="E1243" t="s">
        <v>155</v>
      </c>
      <c r="F1243" t="s">
        <v>5002</v>
      </c>
      <c r="G1243" t="s">
        <v>22</v>
      </c>
      <c r="H1243" t="s">
        <v>5003</v>
      </c>
      <c r="I1243" t="s">
        <v>5004</v>
      </c>
      <c r="J1243" s="2">
        <v>46084.340375517051</v>
      </c>
    </row>
    <row r="1244" spans="1:10" x14ac:dyDescent="0.55000000000000004">
      <c r="A1244" t="s">
        <v>5005</v>
      </c>
      <c r="B1244">
        <v>101258</v>
      </c>
      <c r="C1244" t="s">
        <v>19</v>
      </c>
      <c r="D1244" s="1">
        <v>45875</v>
      </c>
      <c r="E1244" t="s">
        <v>121</v>
      </c>
      <c r="F1244" t="s">
        <v>5006</v>
      </c>
      <c r="G1244" t="s">
        <v>22</v>
      </c>
      <c r="H1244" t="s">
        <v>5007</v>
      </c>
      <c r="I1244" t="s">
        <v>5008</v>
      </c>
      <c r="J1244" s="2">
        <v>46066.229264410627</v>
      </c>
    </row>
    <row r="1245" spans="1:10" x14ac:dyDescent="0.55000000000000004">
      <c r="A1245" t="s">
        <v>5009</v>
      </c>
      <c r="B1245">
        <v>100392</v>
      </c>
      <c r="C1245" t="s">
        <v>169</v>
      </c>
      <c r="D1245" s="1">
        <v>45887</v>
      </c>
      <c r="E1245" t="s">
        <v>155</v>
      </c>
      <c r="F1245" t="s">
        <v>5010</v>
      </c>
      <c r="G1245" t="s">
        <v>15</v>
      </c>
      <c r="H1245" t="s">
        <v>5011</v>
      </c>
      <c r="I1245" t="s">
        <v>5012</v>
      </c>
      <c r="J1245" s="2">
        <v>46053.961208859662</v>
      </c>
    </row>
    <row r="1246" spans="1:10" x14ac:dyDescent="0.55000000000000004">
      <c r="A1246" t="s">
        <v>5013</v>
      </c>
      <c r="B1246">
        <v>100509</v>
      </c>
      <c r="C1246" t="s">
        <v>114</v>
      </c>
      <c r="D1246" s="1">
        <v>45901</v>
      </c>
      <c r="E1246" t="s">
        <v>49</v>
      </c>
      <c r="F1246" t="s">
        <v>5014</v>
      </c>
      <c r="G1246" t="s">
        <v>22</v>
      </c>
      <c r="H1246" t="s">
        <v>5015</v>
      </c>
      <c r="I1246" t="s">
        <v>5016</v>
      </c>
      <c r="J1246" s="2">
        <v>46081.821625531098</v>
      </c>
    </row>
    <row r="1247" spans="1:10" x14ac:dyDescent="0.55000000000000004">
      <c r="A1247" t="s">
        <v>5017</v>
      </c>
      <c r="B1247">
        <v>100223</v>
      </c>
      <c r="C1247" t="s">
        <v>32</v>
      </c>
      <c r="D1247" s="1">
        <v>45839</v>
      </c>
      <c r="E1247" t="s">
        <v>270</v>
      </c>
      <c r="F1247" t="s">
        <v>5018</v>
      </c>
      <c r="G1247" t="s">
        <v>15</v>
      </c>
      <c r="H1247" t="s">
        <v>5019</v>
      </c>
      <c r="I1247" t="s">
        <v>5020</v>
      </c>
      <c r="J1247" s="2">
        <v>46056.890375535593</v>
      </c>
    </row>
    <row r="1248" spans="1:10" x14ac:dyDescent="0.55000000000000004">
      <c r="A1248" t="s">
        <v>77</v>
      </c>
      <c r="B1248">
        <v>100694</v>
      </c>
      <c r="C1248" t="s">
        <v>533</v>
      </c>
      <c r="D1248" s="1">
        <v>45753</v>
      </c>
      <c r="E1248" t="s">
        <v>587</v>
      </c>
      <c r="F1248" t="s">
        <v>5021</v>
      </c>
      <c r="G1248" t="s">
        <v>22</v>
      </c>
      <c r="H1248" t="s">
        <v>5022</v>
      </c>
      <c r="I1248" t="s">
        <v>5023</v>
      </c>
      <c r="J1248" s="2">
        <v>46091.639681095723</v>
      </c>
    </row>
    <row r="1249" spans="1:11" x14ac:dyDescent="0.55000000000000004">
      <c r="A1249" t="s">
        <v>5024</v>
      </c>
      <c r="B1249">
        <v>100824</v>
      </c>
      <c r="D1249" s="1">
        <v>46048</v>
      </c>
      <c r="E1249" t="s">
        <v>58</v>
      </c>
      <c r="F1249" t="s">
        <v>5025</v>
      </c>
      <c r="G1249" t="s">
        <v>15</v>
      </c>
      <c r="H1249" t="s">
        <v>5026</v>
      </c>
      <c r="I1249" t="s">
        <v>5027</v>
      </c>
      <c r="J1249" s="2">
        <v>46063.527875544911</v>
      </c>
      <c r="K1249" t="s">
        <v>217</v>
      </c>
    </row>
    <row r="1250" spans="1:11" x14ac:dyDescent="0.55000000000000004">
      <c r="A1250" t="s">
        <v>5028</v>
      </c>
      <c r="B1250">
        <v>100124</v>
      </c>
      <c r="C1250" t="s">
        <v>12</v>
      </c>
      <c r="D1250" s="1">
        <v>45797</v>
      </c>
      <c r="E1250" t="s">
        <v>69</v>
      </c>
      <c r="F1250" t="s">
        <v>5029</v>
      </c>
      <c r="G1250" t="s">
        <v>22</v>
      </c>
      <c r="H1250" t="s">
        <v>5030</v>
      </c>
      <c r="I1250" t="s">
        <v>5031</v>
      </c>
      <c r="J1250" s="2">
        <v>46062.252181105803</v>
      </c>
    </row>
    <row r="1251" spans="1:11" x14ac:dyDescent="0.55000000000000004">
      <c r="A1251" t="s">
        <v>5032</v>
      </c>
      <c r="B1251">
        <v>100201</v>
      </c>
      <c r="C1251" t="s">
        <v>63</v>
      </c>
      <c r="D1251" s="1">
        <v>45961</v>
      </c>
      <c r="E1251" t="s">
        <v>243</v>
      </c>
      <c r="F1251" t="s">
        <v>5033</v>
      </c>
      <c r="G1251" t="s">
        <v>15</v>
      </c>
      <c r="H1251" t="s">
        <v>5034</v>
      </c>
      <c r="I1251" t="s">
        <v>5035</v>
      </c>
      <c r="J1251" s="2">
        <v>46067.150097776503</v>
      </c>
    </row>
    <row r="1252" spans="1:11" x14ac:dyDescent="0.55000000000000004">
      <c r="A1252" t="s">
        <v>5036</v>
      </c>
      <c r="B1252">
        <v>100110</v>
      </c>
      <c r="C1252" t="s">
        <v>82</v>
      </c>
      <c r="D1252" s="1">
        <v>45989</v>
      </c>
      <c r="E1252" t="s">
        <v>115</v>
      </c>
      <c r="F1252" t="s">
        <v>5037</v>
      </c>
      <c r="G1252" t="s">
        <v>22</v>
      </c>
      <c r="H1252" t="s">
        <v>5038</v>
      </c>
      <c r="I1252" t="s">
        <v>5039</v>
      </c>
      <c r="J1252" s="2">
        <v>46053.562597780583</v>
      </c>
    </row>
    <row r="1253" spans="1:11" x14ac:dyDescent="0.55000000000000004">
      <c r="A1253" t="s">
        <v>5040</v>
      </c>
      <c r="B1253">
        <v>100956</v>
      </c>
      <c r="C1253" t="s">
        <v>68</v>
      </c>
      <c r="D1253" s="1">
        <v>45755</v>
      </c>
      <c r="E1253" t="s">
        <v>121</v>
      </c>
      <c r="F1253" t="s">
        <v>5041</v>
      </c>
      <c r="G1253" t="s">
        <v>22</v>
      </c>
      <c r="H1253" t="s">
        <v>5042</v>
      </c>
      <c r="I1253" t="s">
        <v>5043</v>
      </c>
      <c r="J1253" s="2">
        <v>46053.988986674143</v>
      </c>
    </row>
    <row r="1254" spans="1:11" x14ac:dyDescent="0.55000000000000004">
      <c r="A1254" t="s">
        <v>5044</v>
      </c>
      <c r="B1254">
        <v>100841</v>
      </c>
      <c r="C1254" t="s">
        <v>82</v>
      </c>
      <c r="D1254" s="1">
        <v>45770</v>
      </c>
      <c r="E1254" t="s">
        <v>69</v>
      </c>
      <c r="F1254" t="s">
        <v>5045</v>
      </c>
      <c r="G1254" t="s">
        <v>22</v>
      </c>
      <c r="H1254" t="s">
        <v>5046</v>
      </c>
      <c r="I1254" t="s">
        <v>5047</v>
      </c>
      <c r="J1254" s="2">
        <v>46062.191070011497</v>
      </c>
    </row>
    <row r="1255" spans="1:11" x14ac:dyDescent="0.55000000000000004">
      <c r="A1255" t="s">
        <v>5048</v>
      </c>
      <c r="B1255">
        <v>100867</v>
      </c>
      <c r="C1255" t="s">
        <v>179</v>
      </c>
      <c r="D1255" s="1">
        <v>46042</v>
      </c>
      <c r="E1255" t="s">
        <v>189</v>
      </c>
      <c r="F1255" t="s">
        <v>5049</v>
      </c>
      <c r="G1255" t="s">
        <v>15</v>
      </c>
      <c r="H1255" t="s">
        <v>5050</v>
      </c>
      <c r="I1255" t="s">
        <v>5051</v>
      </c>
      <c r="J1255" s="2">
        <v>46086.932736682051</v>
      </c>
    </row>
    <row r="1256" spans="1:11" x14ac:dyDescent="0.55000000000000004">
      <c r="A1256" t="s">
        <v>5052</v>
      </c>
      <c r="B1256">
        <v>100725</v>
      </c>
      <c r="C1256" t="s">
        <v>248</v>
      </c>
      <c r="D1256" s="1">
        <v>46035</v>
      </c>
      <c r="E1256" t="s">
        <v>270</v>
      </c>
      <c r="F1256" t="s">
        <v>5053</v>
      </c>
      <c r="G1256" t="s">
        <v>22</v>
      </c>
      <c r="H1256" t="s">
        <v>5054</v>
      </c>
      <c r="I1256" t="s">
        <v>5055</v>
      </c>
      <c r="J1256" s="2">
        <v>46078.432736686838</v>
      </c>
    </row>
    <row r="1257" spans="1:11" x14ac:dyDescent="0.55000000000000004">
      <c r="A1257" t="s">
        <v>3853</v>
      </c>
      <c r="B1257">
        <v>100882</v>
      </c>
      <c r="C1257" t="s">
        <v>68</v>
      </c>
      <c r="D1257" s="1">
        <v>46094</v>
      </c>
      <c r="E1257" t="s">
        <v>170</v>
      </c>
      <c r="F1257" t="s">
        <v>5056</v>
      </c>
      <c r="G1257" t="s">
        <v>15</v>
      </c>
      <c r="H1257" t="s">
        <v>5057</v>
      </c>
      <c r="I1257" t="s">
        <v>5058</v>
      </c>
      <c r="J1257" s="2">
        <v>46083.681347802652</v>
      </c>
    </row>
    <row r="1258" spans="1:11" x14ac:dyDescent="0.55000000000000004">
      <c r="A1258" t="s">
        <v>5059</v>
      </c>
      <c r="B1258">
        <v>101455</v>
      </c>
      <c r="C1258" t="s">
        <v>146</v>
      </c>
      <c r="D1258" s="1">
        <v>45853</v>
      </c>
      <c r="E1258" t="s">
        <v>265</v>
      </c>
      <c r="F1258" t="s">
        <v>5060</v>
      </c>
      <c r="G1258" t="s">
        <v>22</v>
      </c>
      <c r="H1258" t="s">
        <v>5061</v>
      </c>
      <c r="I1258" t="s">
        <v>5062</v>
      </c>
      <c r="J1258" s="2">
        <v>46089.361903362063</v>
      </c>
    </row>
    <row r="1259" spans="1:11" x14ac:dyDescent="0.55000000000000004">
      <c r="A1259" t="s">
        <v>5063</v>
      </c>
      <c r="B1259">
        <v>100193</v>
      </c>
      <c r="C1259" t="s">
        <v>12</v>
      </c>
      <c r="D1259" s="1">
        <v>46060</v>
      </c>
      <c r="E1259" t="s">
        <v>115</v>
      </c>
      <c r="F1259" t="s">
        <v>5064</v>
      </c>
      <c r="G1259" t="s">
        <v>15</v>
      </c>
      <c r="H1259" t="s">
        <v>5065</v>
      </c>
      <c r="I1259" t="s">
        <v>5066</v>
      </c>
      <c r="J1259" s="2">
        <v>46096.823708922231</v>
      </c>
    </row>
    <row r="1260" spans="1:11" x14ac:dyDescent="0.55000000000000004">
      <c r="A1260" t="s">
        <v>5067</v>
      </c>
      <c r="B1260">
        <v>100389</v>
      </c>
      <c r="C1260" t="s">
        <v>63</v>
      </c>
      <c r="D1260" s="1">
        <v>46055</v>
      </c>
      <c r="E1260" t="s">
        <v>13</v>
      </c>
      <c r="F1260" t="s">
        <v>5068</v>
      </c>
      <c r="G1260" t="s">
        <v>22</v>
      </c>
      <c r="H1260" t="s">
        <v>5069</v>
      </c>
      <c r="I1260" t="s">
        <v>5070</v>
      </c>
      <c r="J1260" s="2">
        <v>46089.165375592907</v>
      </c>
    </row>
    <row r="1261" spans="1:11" x14ac:dyDescent="0.55000000000000004">
      <c r="A1261" t="s">
        <v>5071</v>
      </c>
      <c r="B1261">
        <v>100833</v>
      </c>
      <c r="C1261" t="s">
        <v>99</v>
      </c>
      <c r="D1261" s="1">
        <v>45882</v>
      </c>
      <c r="E1261" t="s">
        <v>141</v>
      </c>
      <c r="F1261" t="s">
        <v>5072</v>
      </c>
      <c r="G1261" t="s">
        <v>22</v>
      </c>
      <c r="H1261" t="s">
        <v>5073</v>
      </c>
      <c r="I1261" t="s">
        <v>5074</v>
      </c>
      <c r="J1261" s="2">
        <v>46083.348708930913</v>
      </c>
    </row>
    <row r="1262" spans="1:11" x14ac:dyDescent="0.55000000000000004">
      <c r="A1262" t="s">
        <v>5075</v>
      </c>
      <c r="B1262">
        <v>101262</v>
      </c>
      <c r="C1262" t="s">
        <v>48</v>
      </c>
      <c r="D1262" s="1">
        <v>45863</v>
      </c>
      <c r="E1262" t="s">
        <v>38</v>
      </c>
      <c r="F1262" t="s">
        <v>5076</v>
      </c>
      <c r="G1262" t="s">
        <v>15</v>
      </c>
      <c r="H1262" t="s">
        <v>5077</v>
      </c>
      <c r="I1262" t="s">
        <v>5078</v>
      </c>
      <c r="J1262" s="2">
        <v>46053.202875603944</v>
      </c>
    </row>
    <row r="1263" spans="1:11" x14ac:dyDescent="0.55000000000000004">
      <c r="A1263" t="s">
        <v>5079</v>
      </c>
      <c r="B1263">
        <v>100497</v>
      </c>
      <c r="C1263" t="s">
        <v>32</v>
      </c>
      <c r="D1263" s="1">
        <v>46052</v>
      </c>
      <c r="E1263" t="s">
        <v>587</v>
      </c>
      <c r="F1263" t="s">
        <v>5080</v>
      </c>
      <c r="G1263" t="s">
        <v>22</v>
      </c>
      <c r="H1263" t="s">
        <v>5081</v>
      </c>
      <c r="I1263" t="s">
        <v>5082</v>
      </c>
      <c r="J1263" s="2">
        <v>46083.284820053566</v>
      </c>
    </row>
    <row r="1264" spans="1:11" x14ac:dyDescent="0.55000000000000004">
      <c r="A1264" t="s">
        <v>5083</v>
      </c>
      <c r="B1264">
        <v>100968</v>
      </c>
      <c r="C1264" t="s">
        <v>32</v>
      </c>
      <c r="D1264" s="1">
        <v>45836</v>
      </c>
      <c r="E1264" t="s">
        <v>680</v>
      </c>
      <c r="F1264" t="s">
        <v>5084</v>
      </c>
      <c r="G1264" t="s">
        <v>22</v>
      </c>
      <c r="H1264" t="s">
        <v>5085</v>
      </c>
      <c r="I1264" t="s">
        <v>5086</v>
      </c>
      <c r="J1264" s="2">
        <v>46083.129264501898</v>
      </c>
    </row>
    <row r="1265" spans="1:11" x14ac:dyDescent="0.55000000000000004">
      <c r="A1265" t="s">
        <v>5087</v>
      </c>
      <c r="B1265">
        <v>101180</v>
      </c>
      <c r="C1265" t="s">
        <v>63</v>
      </c>
      <c r="D1265" s="1">
        <v>45807</v>
      </c>
      <c r="E1265" t="s">
        <v>334</v>
      </c>
      <c r="F1265" t="s">
        <v>5088</v>
      </c>
      <c r="G1265" t="s">
        <v>15</v>
      </c>
      <c r="H1265" t="s">
        <v>5089</v>
      </c>
      <c r="I1265" t="s">
        <v>5090</v>
      </c>
      <c r="J1265" s="2">
        <v>46068.48343117367</v>
      </c>
    </row>
    <row r="1266" spans="1:11" x14ac:dyDescent="0.55000000000000004">
      <c r="A1266" t="s">
        <v>5091</v>
      </c>
      <c r="B1266">
        <v>101169</v>
      </c>
      <c r="C1266" t="s">
        <v>48</v>
      </c>
      <c r="D1266" s="1">
        <v>45828</v>
      </c>
      <c r="E1266" t="s">
        <v>208</v>
      </c>
      <c r="F1266" t="s">
        <v>5092</v>
      </c>
      <c r="G1266" t="s">
        <v>15</v>
      </c>
      <c r="H1266" t="s">
        <v>5093</v>
      </c>
      <c r="I1266" t="s">
        <v>5094</v>
      </c>
      <c r="J1266" s="2">
        <v>46078.514681177869</v>
      </c>
    </row>
    <row r="1267" spans="1:11" x14ac:dyDescent="0.55000000000000004">
      <c r="A1267" t="s">
        <v>5095</v>
      </c>
      <c r="B1267">
        <v>100270</v>
      </c>
      <c r="C1267" t="s">
        <v>48</v>
      </c>
      <c r="D1267" s="1">
        <v>46150</v>
      </c>
      <c r="E1267" t="s">
        <v>27</v>
      </c>
      <c r="F1267" t="s">
        <v>5096</v>
      </c>
      <c r="G1267" t="s">
        <v>15</v>
      </c>
      <c r="H1267" t="s">
        <v>5097</v>
      </c>
      <c r="I1267" t="s">
        <v>5098</v>
      </c>
      <c r="J1267" s="2">
        <v>46093.542458960474</v>
      </c>
    </row>
    <row r="1268" spans="1:11" x14ac:dyDescent="0.55000000000000004">
      <c r="A1268" t="s">
        <v>5099</v>
      </c>
      <c r="B1268">
        <v>101298</v>
      </c>
      <c r="C1268" t="s">
        <v>131</v>
      </c>
      <c r="D1268" s="1">
        <v>45950</v>
      </c>
      <c r="E1268" t="s">
        <v>69</v>
      </c>
      <c r="F1268" t="s">
        <v>5100</v>
      </c>
      <c r="G1268" t="s">
        <v>22</v>
      </c>
      <c r="H1268" t="s">
        <v>5101</v>
      </c>
      <c r="I1268" t="s">
        <v>5102</v>
      </c>
      <c r="J1268" s="2">
        <v>46090.99732007624</v>
      </c>
    </row>
    <row r="1269" spans="1:11" x14ac:dyDescent="0.55000000000000004">
      <c r="A1269" t="s">
        <v>5103</v>
      </c>
      <c r="B1269">
        <v>100438</v>
      </c>
      <c r="C1269" t="s">
        <v>114</v>
      </c>
      <c r="D1269" s="1">
        <v>46104</v>
      </c>
      <c r="E1269" t="s">
        <v>38</v>
      </c>
      <c r="F1269" t="s">
        <v>5104</v>
      </c>
      <c r="G1269" t="s">
        <v>15</v>
      </c>
      <c r="H1269" t="s">
        <v>5105</v>
      </c>
      <c r="I1269" t="s">
        <v>5106</v>
      </c>
      <c r="J1269" s="2">
        <v>46073.200097858688</v>
      </c>
    </row>
    <row r="1270" spans="1:11" x14ac:dyDescent="0.55000000000000004">
      <c r="A1270" t="s">
        <v>5107</v>
      </c>
      <c r="B1270">
        <v>100994</v>
      </c>
      <c r="C1270" t="s">
        <v>37</v>
      </c>
      <c r="D1270" s="1">
        <v>45788</v>
      </c>
      <c r="E1270" t="s">
        <v>317</v>
      </c>
      <c r="F1270" t="s">
        <v>5108</v>
      </c>
      <c r="G1270" t="s">
        <v>15</v>
      </c>
      <c r="H1270" t="s">
        <v>5109</v>
      </c>
      <c r="I1270" t="s">
        <v>5110</v>
      </c>
      <c r="J1270" s="2">
        <v>46089.393153418197</v>
      </c>
    </row>
    <row r="1271" spans="1:11" x14ac:dyDescent="0.55000000000000004">
      <c r="A1271" t="s">
        <v>5111</v>
      </c>
      <c r="B1271">
        <v>100570</v>
      </c>
      <c r="C1271" t="s">
        <v>131</v>
      </c>
      <c r="D1271" s="1">
        <v>45869</v>
      </c>
      <c r="E1271" t="s">
        <v>317</v>
      </c>
      <c r="F1271" t="s">
        <v>5112</v>
      </c>
      <c r="G1271" t="s">
        <v>15</v>
      </c>
      <c r="H1271" t="s">
        <v>5113</v>
      </c>
      <c r="I1271" t="s">
        <v>5114</v>
      </c>
      <c r="J1271" s="2">
        <v>46097.59523675625</v>
      </c>
    </row>
    <row r="1272" spans="1:11" x14ac:dyDescent="0.55000000000000004">
      <c r="A1272" t="s">
        <v>1059</v>
      </c>
      <c r="B1272">
        <v>100487</v>
      </c>
      <c r="C1272" t="s">
        <v>146</v>
      </c>
      <c r="D1272" s="1">
        <v>46108</v>
      </c>
      <c r="E1272" t="s">
        <v>141</v>
      </c>
      <c r="F1272" t="s">
        <v>5115</v>
      </c>
      <c r="G1272" t="s">
        <v>15</v>
      </c>
      <c r="H1272" t="s">
        <v>5116</v>
      </c>
      <c r="I1272" t="s">
        <v>5117</v>
      </c>
      <c r="J1272" s="2">
        <v>46089.063292315863</v>
      </c>
    </row>
    <row r="1273" spans="1:11" x14ac:dyDescent="0.55000000000000004">
      <c r="A1273" t="s">
        <v>5118</v>
      </c>
      <c r="B1273">
        <v>101052</v>
      </c>
      <c r="C1273" t="s">
        <v>26</v>
      </c>
      <c r="D1273" s="1">
        <v>45959</v>
      </c>
      <c r="E1273" t="s">
        <v>20</v>
      </c>
      <c r="F1273" t="s">
        <v>5119</v>
      </c>
      <c r="G1273" t="s">
        <v>22</v>
      </c>
      <c r="H1273" t="s">
        <v>5120</v>
      </c>
      <c r="I1273" t="s">
        <v>5121</v>
      </c>
      <c r="J1273" s="2">
        <v>46067.526486765353</v>
      </c>
    </row>
    <row r="1274" spans="1:11" x14ac:dyDescent="0.55000000000000004">
      <c r="A1274" t="s">
        <v>5122</v>
      </c>
      <c r="B1274">
        <v>101278</v>
      </c>
      <c r="C1274" t="s">
        <v>194</v>
      </c>
      <c r="D1274" s="1">
        <v>45760</v>
      </c>
      <c r="E1274" t="s">
        <v>13</v>
      </c>
      <c r="F1274" t="s">
        <v>5123</v>
      </c>
      <c r="G1274" t="s">
        <v>15</v>
      </c>
      <c r="H1274" t="s">
        <v>5124</v>
      </c>
      <c r="I1274" t="s">
        <v>5125</v>
      </c>
      <c r="J1274" s="2">
        <v>46095.600097880517</v>
      </c>
    </row>
    <row r="1275" spans="1:11" x14ac:dyDescent="0.55000000000000004">
      <c r="A1275" t="s">
        <v>5126</v>
      </c>
      <c r="B1275">
        <v>100676</v>
      </c>
      <c r="C1275" t="s">
        <v>146</v>
      </c>
      <c r="D1275" s="1">
        <v>45883</v>
      </c>
      <c r="E1275" t="s">
        <v>38</v>
      </c>
      <c r="F1275" t="s">
        <v>5127</v>
      </c>
      <c r="G1275" t="s">
        <v>22</v>
      </c>
      <c r="H1275" t="s">
        <v>5128</v>
      </c>
      <c r="I1275" t="s">
        <v>5129</v>
      </c>
      <c r="J1275" s="2">
        <v>46088.744542328866</v>
      </c>
    </row>
    <row r="1276" spans="1:11" x14ac:dyDescent="0.55000000000000004">
      <c r="A1276" t="s">
        <v>5130</v>
      </c>
      <c r="B1276">
        <v>100064</v>
      </c>
      <c r="C1276" t="s">
        <v>194</v>
      </c>
      <c r="D1276" s="1">
        <v>45744</v>
      </c>
      <c r="E1276" t="s">
        <v>69</v>
      </c>
      <c r="F1276" t="s">
        <v>5131</v>
      </c>
      <c r="G1276" t="s">
        <v>22</v>
      </c>
      <c r="H1276" t="s">
        <v>4246</v>
      </c>
      <c r="I1276" t="s">
        <v>5132</v>
      </c>
      <c r="J1276" s="2">
        <v>46088.243847888822</v>
      </c>
    </row>
    <row r="1277" spans="1:11" x14ac:dyDescent="0.55000000000000004">
      <c r="A1277" t="s">
        <v>5133</v>
      </c>
      <c r="B1277">
        <v>100138</v>
      </c>
      <c r="C1277" t="s">
        <v>68</v>
      </c>
      <c r="D1277" s="1">
        <v>45847</v>
      </c>
      <c r="E1277" t="s">
        <v>243</v>
      </c>
      <c r="F1277" t="s">
        <v>5134</v>
      </c>
      <c r="G1277" t="s">
        <v>15</v>
      </c>
      <c r="H1277" t="s">
        <v>5135</v>
      </c>
      <c r="I1277" t="s">
        <v>5136</v>
      </c>
      <c r="J1277" s="2">
        <v>46090.427181226907</v>
      </c>
    </row>
    <row r="1278" spans="1:11" x14ac:dyDescent="0.55000000000000004">
      <c r="A1278" t="s">
        <v>5137</v>
      </c>
      <c r="B1278">
        <v>100468</v>
      </c>
      <c r="C1278" t="s">
        <v>533</v>
      </c>
      <c r="D1278" s="1">
        <v>45876</v>
      </c>
      <c r="E1278" t="s">
        <v>170</v>
      </c>
      <c r="F1278" t="s">
        <v>5138</v>
      </c>
      <c r="G1278" t="s">
        <v>22</v>
      </c>
      <c r="H1278" t="s">
        <v>5139</v>
      </c>
      <c r="I1278" t="s">
        <v>5140</v>
      </c>
      <c r="J1278" s="2">
        <v>46090.233431231551</v>
      </c>
    </row>
    <row r="1279" spans="1:11" x14ac:dyDescent="0.55000000000000004">
      <c r="A1279" t="s">
        <v>5141</v>
      </c>
      <c r="B1279">
        <v>100120</v>
      </c>
      <c r="C1279" t="s">
        <v>131</v>
      </c>
      <c r="D1279" s="1">
        <v>45754</v>
      </c>
      <c r="E1279" t="s">
        <v>680</v>
      </c>
      <c r="F1279" t="s">
        <v>5142</v>
      </c>
      <c r="G1279" t="s">
        <v>22</v>
      </c>
      <c r="H1279" t="s">
        <v>5143</v>
      </c>
      <c r="I1279" t="s">
        <v>5144</v>
      </c>
      <c r="J1279" s="2">
        <v>46059.488292346723</v>
      </c>
    </row>
    <row r="1280" spans="1:11" x14ac:dyDescent="0.55000000000000004">
      <c r="A1280" t="s">
        <v>5145</v>
      </c>
      <c r="B1280">
        <v>100145</v>
      </c>
      <c r="D1280" s="1">
        <v>45808</v>
      </c>
      <c r="E1280" t="s">
        <v>126</v>
      </c>
      <c r="F1280" t="s">
        <v>5146</v>
      </c>
      <c r="G1280" t="s">
        <v>22</v>
      </c>
      <c r="H1280" t="s">
        <v>5147</v>
      </c>
      <c r="I1280" t="s">
        <v>5148</v>
      </c>
      <c r="J1280" s="2">
        <v>46091.360514572742</v>
      </c>
      <c r="K1280" t="s">
        <v>217</v>
      </c>
    </row>
    <row r="1281" spans="1:10" x14ac:dyDescent="0.55000000000000004">
      <c r="A1281" t="s">
        <v>5149</v>
      </c>
      <c r="B1281">
        <v>100014</v>
      </c>
      <c r="C1281" t="s">
        <v>19</v>
      </c>
      <c r="D1281" s="1">
        <v>46070</v>
      </c>
      <c r="E1281" t="s">
        <v>295</v>
      </c>
      <c r="F1281" t="s">
        <v>5150</v>
      </c>
      <c r="G1281" t="s">
        <v>15</v>
      </c>
      <c r="H1281" t="s">
        <v>5151</v>
      </c>
      <c r="I1281" t="s">
        <v>5152</v>
      </c>
      <c r="J1281" s="2">
        <v>46087.813292354549</v>
      </c>
    </row>
    <row r="1282" spans="1:10" x14ac:dyDescent="0.55000000000000004">
      <c r="A1282" t="s">
        <v>5153</v>
      </c>
      <c r="B1282">
        <v>101471</v>
      </c>
      <c r="C1282" t="s">
        <v>114</v>
      </c>
      <c r="D1282" s="1">
        <v>45895</v>
      </c>
      <c r="E1282" t="s">
        <v>69</v>
      </c>
      <c r="F1282" t="s">
        <v>5154</v>
      </c>
      <c r="G1282" t="s">
        <v>22</v>
      </c>
      <c r="H1282" t="s">
        <v>5155</v>
      </c>
      <c r="I1282" t="s">
        <v>5156</v>
      </c>
      <c r="J1282" s="2">
        <v>46067.650792359418</v>
      </c>
    </row>
    <row r="1283" spans="1:10" x14ac:dyDescent="0.55000000000000004">
      <c r="A1283" t="s">
        <v>5157</v>
      </c>
      <c r="B1283">
        <v>101205</v>
      </c>
      <c r="C1283" t="s">
        <v>533</v>
      </c>
      <c r="D1283" s="1">
        <v>46027</v>
      </c>
      <c r="E1283" t="s">
        <v>49</v>
      </c>
      <c r="F1283" t="s">
        <v>5158</v>
      </c>
      <c r="G1283" t="s">
        <v>15</v>
      </c>
      <c r="H1283" t="s">
        <v>5159</v>
      </c>
      <c r="I1283" t="s">
        <v>5160</v>
      </c>
      <c r="J1283" s="2">
        <v>46092.286903475157</v>
      </c>
    </row>
    <row r="1284" spans="1:10" x14ac:dyDescent="0.55000000000000004">
      <c r="A1284" t="s">
        <v>5161</v>
      </c>
      <c r="B1284">
        <v>100471</v>
      </c>
      <c r="C1284" t="s">
        <v>114</v>
      </c>
      <c r="D1284" s="1">
        <v>45825</v>
      </c>
      <c r="E1284" t="s">
        <v>49</v>
      </c>
      <c r="F1284" t="s">
        <v>5162</v>
      </c>
      <c r="G1284" t="s">
        <v>22</v>
      </c>
      <c r="H1284" t="s">
        <v>5163</v>
      </c>
      <c r="I1284" t="s">
        <v>5164</v>
      </c>
      <c r="J1284" s="2">
        <v>46070.061903479727</v>
      </c>
    </row>
    <row r="1285" spans="1:10" x14ac:dyDescent="0.55000000000000004">
      <c r="A1285" t="s">
        <v>5165</v>
      </c>
      <c r="B1285">
        <v>101134</v>
      </c>
      <c r="C1285" t="s">
        <v>94</v>
      </c>
      <c r="D1285" s="1">
        <v>46040</v>
      </c>
      <c r="E1285" t="s">
        <v>160</v>
      </c>
      <c r="F1285" t="s">
        <v>5166</v>
      </c>
      <c r="G1285" t="s">
        <v>22</v>
      </c>
      <c r="H1285" t="s">
        <v>5167</v>
      </c>
      <c r="I1285" t="s">
        <v>5168</v>
      </c>
      <c r="J1285" s="2">
        <v>46070.964681262813</v>
      </c>
    </row>
    <row r="1286" spans="1:10" x14ac:dyDescent="0.55000000000000004">
      <c r="A1286" t="s">
        <v>5169</v>
      </c>
      <c r="B1286">
        <v>101204</v>
      </c>
      <c r="C1286" t="s">
        <v>19</v>
      </c>
      <c r="D1286" s="1">
        <v>46007</v>
      </c>
      <c r="E1286" t="s">
        <v>43</v>
      </c>
      <c r="F1286" t="s">
        <v>5170</v>
      </c>
      <c r="G1286" t="s">
        <v>22</v>
      </c>
      <c r="H1286" t="s">
        <v>5171</v>
      </c>
      <c r="I1286" t="s">
        <v>5172</v>
      </c>
      <c r="J1286" s="2">
        <v>46091.920236824699</v>
      </c>
    </row>
    <row r="1287" spans="1:10" x14ac:dyDescent="0.55000000000000004">
      <c r="A1287" t="s">
        <v>5173</v>
      </c>
      <c r="B1287">
        <v>100043</v>
      </c>
      <c r="C1287" t="s">
        <v>94</v>
      </c>
      <c r="D1287" s="1">
        <v>46001</v>
      </c>
      <c r="E1287" t="s">
        <v>108</v>
      </c>
      <c r="F1287" t="s">
        <v>5174</v>
      </c>
      <c r="G1287" t="s">
        <v>15</v>
      </c>
      <c r="H1287" t="s">
        <v>5175</v>
      </c>
      <c r="I1287" t="s">
        <v>5176</v>
      </c>
      <c r="J1287" s="2">
        <v>46074.742459052162</v>
      </c>
    </row>
    <row r="1288" spans="1:10" x14ac:dyDescent="0.55000000000000004">
      <c r="A1288" t="s">
        <v>5177</v>
      </c>
      <c r="B1288">
        <v>100692</v>
      </c>
      <c r="C1288" t="s">
        <v>248</v>
      </c>
      <c r="D1288" s="1">
        <v>45740</v>
      </c>
      <c r="E1288" t="s">
        <v>89</v>
      </c>
      <c r="F1288" t="s">
        <v>5178</v>
      </c>
      <c r="G1288" t="s">
        <v>15</v>
      </c>
      <c r="H1288" t="s">
        <v>5179</v>
      </c>
      <c r="I1288" t="s">
        <v>5180</v>
      </c>
      <c r="J1288" s="2">
        <v>46090.661209057333</v>
      </c>
    </row>
    <row r="1289" spans="1:10" x14ac:dyDescent="0.55000000000000004">
      <c r="A1289" t="s">
        <v>5181</v>
      </c>
      <c r="B1289">
        <v>100131</v>
      </c>
      <c r="C1289" t="s">
        <v>63</v>
      </c>
      <c r="D1289" s="1">
        <v>45916</v>
      </c>
      <c r="E1289" t="s">
        <v>20</v>
      </c>
      <c r="F1289" t="s">
        <v>5182</v>
      </c>
      <c r="G1289" t="s">
        <v>22</v>
      </c>
      <c r="H1289" t="s">
        <v>5183</v>
      </c>
      <c r="I1289" t="s">
        <v>5184</v>
      </c>
      <c r="J1289" s="2">
        <v>46087.961903508643</v>
      </c>
    </row>
    <row r="1290" spans="1:10" x14ac:dyDescent="0.55000000000000004">
      <c r="A1290" t="s">
        <v>5185</v>
      </c>
      <c r="B1290">
        <v>100460</v>
      </c>
      <c r="C1290" t="s">
        <v>94</v>
      </c>
      <c r="D1290" s="1">
        <v>45856</v>
      </c>
      <c r="E1290" t="s">
        <v>115</v>
      </c>
      <c r="F1290" t="s">
        <v>5186</v>
      </c>
      <c r="G1290" t="s">
        <v>15</v>
      </c>
      <c r="H1290" t="s">
        <v>5187</v>
      </c>
      <c r="I1290" t="s">
        <v>5188</v>
      </c>
      <c r="J1290" s="2">
        <v>46089.579264624743</v>
      </c>
    </row>
    <row r="1291" spans="1:10" x14ac:dyDescent="0.55000000000000004">
      <c r="A1291" t="s">
        <v>5189</v>
      </c>
      <c r="B1291">
        <v>100507</v>
      </c>
      <c r="C1291" t="s">
        <v>114</v>
      </c>
      <c r="D1291" s="1">
        <v>45925</v>
      </c>
      <c r="E1291" t="s">
        <v>83</v>
      </c>
      <c r="F1291" t="s">
        <v>5190</v>
      </c>
      <c r="G1291" t="s">
        <v>15</v>
      </c>
      <c r="H1291" t="s">
        <v>5191</v>
      </c>
      <c r="I1291" t="s">
        <v>5192</v>
      </c>
      <c r="J1291" s="2">
        <v>46053.595236852183</v>
      </c>
    </row>
    <row r="1292" spans="1:10" x14ac:dyDescent="0.55000000000000004">
      <c r="A1292" t="s">
        <v>5193</v>
      </c>
      <c r="B1292">
        <v>100247</v>
      </c>
      <c r="C1292" t="s">
        <v>26</v>
      </c>
      <c r="D1292" s="1">
        <v>45769</v>
      </c>
      <c r="E1292" t="s">
        <v>409</v>
      </c>
      <c r="F1292" t="s">
        <v>5194</v>
      </c>
      <c r="G1292" t="s">
        <v>15</v>
      </c>
      <c r="H1292" t="s">
        <v>5195</v>
      </c>
      <c r="I1292" t="s">
        <v>5196</v>
      </c>
      <c r="J1292" s="2">
        <v>46088.226486856227</v>
      </c>
    </row>
    <row r="1293" spans="1:10" x14ac:dyDescent="0.55000000000000004">
      <c r="A1293" t="s">
        <v>5197</v>
      </c>
      <c r="B1293">
        <v>100924</v>
      </c>
      <c r="C1293" t="s">
        <v>114</v>
      </c>
      <c r="D1293" s="1">
        <v>45772</v>
      </c>
      <c r="E1293" t="s">
        <v>155</v>
      </c>
      <c r="F1293" t="s">
        <v>5198</v>
      </c>
      <c r="G1293" t="s">
        <v>15</v>
      </c>
      <c r="H1293" t="s">
        <v>5199</v>
      </c>
      <c r="I1293" t="s">
        <v>5200</v>
      </c>
      <c r="J1293" s="2">
        <v>46061.154264638637</v>
      </c>
    </row>
    <row r="1294" spans="1:10" x14ac:dyDescent="0.55000000000000004">
      <c r="A1294" t="s">
        <v>5201</v>
      </c>
      <c r="B1294">
        <v>101059</v>
      </c>
      <c r="C1294" t="s">
        <v>114</v>
      </c>
      <c r="D1294" s="1">
        <v>46123</v>
      </c>
      <c r="E1294" t="s">
        <v>69</v>
      </c>
      <c r="F1294" t="s">
        <v>5202</v>
      </c>
      <c r="G1294" t="s">
        <v>15</v>
      </c>
      <c r="H1294" t="s">
        <v>5203</v>
      </c>
      <c r="I1294" t="s">
        <v>5204</v>
      </c>
      <c r="J1294" s="2">
        <v>46063.752875753562</v>
      </c>
    </row>
    <row r="1295" spans="1:10" x14ac:dyDescent="0.55000000000000004">
      <c r="A1295" t="s">
        <v>5205</v>
      </c>
      <c r="B1295">
        <v>100897</v>
      </c>
      <c r="C1295" t="s">
        <v>68</v>
      </c>
      <c r="D1295" s="1">
        <v>45972</v>
      </c>
      <c r="E1295" t="s">
        <v>49</v>
      </c>
      <c r="F1295" t="s">
        <v>5206</v>
      </c>
      <c r="G1295" t="s">
        <v>22</v>
      </c>
      <c r="H1295" t="s">
        <v>5207</v>
      </c>
      <c r="I1295" t="s">
        <v>5208</v>
      </c>
      <c r="J1295" s="2">
        <v>46055.757736869353</v>
      </c>
    </row>
    <row r="1296" spans="1:10" x14ac:dyDescent="0.55000000000000004">
      <c r="A1296" t="s">
        <v>5209</v>
      </c>
      <c r="B1296">
        <v>100764</v>
      </c>
      <c r="C1296" t="s">
        <v>37</v>
      </c>
      <c r="D1296" s="1">
        <v>45878</v>
      </c>
      <c r="E1296" t="s">
        <v>115</v>
      </c>
      <c r="F1296" t="s">
        <v>5210</v>
      </c>
      <c r="G1296" t="s">
        <v>15</v>
      </c>
      <c r="H1296" t="s">
        <v>5211</v>
      </c>
      <c r="I1296" t="s">
        <v>5212</v>
      </c>
      <c r="J1296" s="2">
        <v>46056.700792429328</v>
      </c>
    </row>
    <row r="1297" spans="1:11" x14ac:dyDescent="0.55000000000000004">
      <c r="A1297" t="s">
        <v>5213</v>
      </c>
      <c r="B1297">
        <v>101375</v>
      </c>
      <c r="C1297" t="s">
        <v>99</v>
      </c>
      <c r="D1297" s="1">
        <v>46116</v>
      </c>
      <c r="E1297" t="s">
        <v>38</v>
      </c>
      <c r="F1297" t="s">
        <v>5214</v>
      </c>
      <c r="G1297" t="s">
        <v>15</v>
      </c>
      <c r="H1297" t="s">
        <v>5215</v>
      </c>
      <c r="I1297" t="s">
        <v>5216</v>
      </c>
      <c r="J1297" s="2">
        <v>46097.182736878669</v>
      </c>
    </row>
    <row r="1298" spans="1:11" x14ac:dyDescent="0.55000000000000004">
      <c r="A1298" t="s">
        <v>5217</v>
      </c>
      <c r="B1298">
        <v>100638</v>
      </c>
      <c r="C1298" t="s">
        <v>94</v>
      </c>
      <c r="D1298" s="1">
        <v>46080</v>
      </c>
      <c r="E1298" t="s">
        <v>467</v>
      </c>
      <c r="F1298" t="s">
        <v>5218</v>
      </c>
      <c r="G1298" t="s">
        <v>22</v>
      </c>
      <c r="H1298" t="s">
        <v>5219</v>
      </c>
      <c r="I1298" t="s">
        <v>5220</v>
      </c>
      <c r="J1298" s="2">
        <v>46052.423014660722</v>
      </c>
    </row>
    <row r="1299" spans="1:11" x14ac:dyDescent="0.55000000000000004">
      <c r="A1299" t="s">
        <v>5221</v>
      </c>
      <c r="B1299">
        <v>101008</v>
      </c>
      <c r="C1299" t="s">
        <v>94</v>
      </c>
      <c r="D1299" s="1">
        <v>45812</v>
      </c>
      <c r="E1299" t="s">
        <v>170</v>
      </c>
      <c r="F1299" t="s">
        <v>4191</v>
      </c>
      <c r="G1299" t="s">
        <v>22</v>
      </c>
      <c r="H1299" t="s">
        <v>5222</v>
      </c>
      <c r="I1299" t="s">
        <v>5223</v>
      </c>
      <c r="J1299" s="2">
        <v>46089.445236888088</v>
      </c>
      <c r="K1299" t="s">
        <v>139</v>
      </c>
    </row>
    <row r="1300" spans="1:11" x14ac:dyDescent="0.55000000000000004">
      <c r="A1300" t="s">
        <v>5224</v>
      </c>
      <c r="C1300" t="s">
        <v>179</v>
      </c>
      <c r="D1300" s="1">
        <v>46048</v>
      </c>
      <c r="E1300" t="s">
        <v>115</v>
      </c>
      <c r="F1300" t="s">
        <v>5225</v>
      </c>
      <c r="G1300" t="s">
        <v>22</v>
      </c>
      <c r="H1300" t="s">
        <v>5226</v>
      </c>
      <c r="I1300" t="s">
        <v>5227</v>
      </c>
      <c r="J1300" s="2">
        <v>46085.950792448617</v>
      </c>
      <c r="K1300" t="s">
        <v>112</v>
      </c>
    </row>
    <row r="1301" spans="1:11" x14ac:dyDescent="0.55000000000000004">
      <c r="A1301" t="s">
        <v>5228</v>
      </c>
      <c r="B1301">
        <v>100433</v>
      </c>
      <c r="C1301" t="s">
        <v>99</v>
      </c>
      <c r="D1301" s="1">
        <v>45771</v>
      </c>
      <c r="E1301" t="s">
        <v>300</v>
      </c>
      <c r="F1301" t="s">
        <v>5229</v>
      </c>
      <c r="G1301" t="s">
        <v>22</v>
      </c>
      <c r="H1301" t="s">
        <v>5230</v>
      </c>
      <c r="I1301" t="s">
        <v>5231</v>
      </c>
      <c r="J1301" s="2">
        <v>46073.511903563973</v>
      </c>
    </row>
    <row r="1302" spans="1:11" x14ac:dyDescent="0.55000000000000004">
      <c r="A1302" t="s">
        <v>5232</v>
      </c>
      <c r="B1302">
        <v>100866</v>
      </c>
      <c r="C1302" t="s">
        <v>12</v>
      </c>
      <c r="D1302" s="1">
        <v>46143</v>
      </c>
      <c r="E1302" t="s">
        <v>757</v>
      </c>
      <c r="F1302" t="s">
        <v>5233</v>
      </c>
      <c r="G1302" t="s">
        <v>15</v>
      </c>
      <c r="H1302" t="s">
        <v>5234</v>
      </c>
      <c r="I1302" t="s">
        <v>5235</v>
      </c>
      <c r="J1302" s="2">
        <v>46080.591764680037</v>
      </c>
    </row>
    <row r="1303" spans="1:11" x14ac:dyDescent="0.55000000000000004">
      <c r="A1303" t="s">
        <v>5236</v>
      </c>
      <c r="B1303">
        <v>101242</v>
      </c>
      <c r="C1303" t="s">
        <v>533</v>
      </c>
      <c r="D1303" s="1">
        <v>45771</v>
      </c>
      <c r="E1303" t="s">
        <v>467</v>
      </c>
      <c r="F1303" t="s">
        <v>5237</v>
      </c>
      <c r="G1303" t="s">
        <v>15</v>
      </c>
      <c r="H1303" t="s">
        <v>5238</v>
      </c>
      <c r="I1303" t="s">
        <v>5239</v>
      </c>
      <c r="J1303" s="2">
        <v>46082.345236907073</v>
      </c>
    </row>
    <row r="1304" spans="1:11" x14ac:dyDescent="0.55000000000000004">
      <c r="A1304" t="s">
        <v>5240</v>
      </c>
      <c r="B1304">
        <v>101080</v>
      </c>
      <c r="C1304" t="s">
        <v>48</v>
      </c>
      <c r="D1304" s="1">
        <v>46009</v>
      </c>
      <c r="E1304" t="s">
        <v>155</v>
      </c>
      <c r="F1304" t="s">
        <v>5241</v>
      </c>
      <c r="G1304" t="s">
        <v>15</v>
      </c>
      <c r="H1304" t="s">
        <v>5242</v>
      </c>
      <c r="I1304" t="s">
        <v>5243</v>
      </c>
      <c r="J1304" s="2">
        <v>46059.730653578386</v>
      </c>
    </row>
    <row r="1305" spans="1:11" x14ac:dyDescent="0.55000000000000004">
      <c r="A1305" t="s">
        <v>5244</v>
      </c>
      <c r="B1305">
        <v>101384</v>
      </c>
      <c r="C1305" t="s">
        <v>68</v>
      </c>
      <c r="D1305" s="1">
        <v>45828</v>
      </c>
      <c r="E1305" t="s">
        <v>108</v>
      </c>
      <c r="F1305" t="s">
        <v>5245</v>
      </c>
      <c r="G1305" t="s">
        <v>22</v>
      </c>
      <c r="H1305" t="s">
        <v>5246</v>
      </c>
      <c r="I1305" t="s">
        <v>5247</v>
      </c>
      <c r="J1305" s="2">
        <v>46091.935514695127</v>
      </c>
    </row>
    <row r="1306" spans="1:11" x14ac:dyDescent="0.55000000000000004">
      <c r="A1306" t="s">
        <v>3714</v>
      </c>
      <c r="B1306">
        <v>100338</v>
      </c>
      <c r="C1306" t="s">
        <v>26</v>
      </c>
      <c r="D1306" s="1">
        <v>45754</v>
      </c>
      <c r="E1306" t="s">
        <v>270</v>
      </c>
      <c r="F1306" t="s">
        <v>5248</v>
      </c>
      <c r="G1306" t="s">
        <v>22</v>
      </c>
      <c r="H1306" t="s">
        <v>5249</v>
      </c>
      <c r="I1306" t="s">
        <v>5250</v>
      </c>
      <c r="J1306" s="2">
        <v>46092.307042478169</v>
      </c>
    </row>
    <row r="1307" spans="1:11" x14ac:dyDescent="0.55000000000000004">
      <c r="A1307" t="s">
        <v>5251</v>
      </c>
      <c r="B1307">
        <v>101125</v>
      </c>
      <c r="C1307" t="s">
        <v>37</v>
      </c>
      <c r="D1307" s="1">
        <v>45914</v>
      </c>
      <c r="E1307" t="s">
        <v>89</v>
      </c>
      <c r="F1307" t="s">
        <v>5252</v>
      </c>
      <c r="G1307" t="s">
        <v>15</v>
      </c>
      <c r="H1307" t="s">
        <v>5253</v>
      </c>
      <c r="I1307" t="s">
        <v>5254</v>
      </c>
      <c r="J1307" s="2">
        <v>46077.190375817801</v>
      </c>
    </row>
    <row r="1308" spans="1:11" x14ac:dyDescent="0.55000000000000004">
      <c r="A1308" t="s">
        <v>5255</v>
      </c>
      <c r="B1308">
        <v>100973</v>
      </c>
      <c r="C1308" t="s">
        <v>63</v>
      </c>
      <c r="D1308" s="1">
        <v>45798</v>
      </c>
      <c r="E1308" t="s">
        <v>13</v>
      </c>
      <c r="F1308" t="s">
        <v>5256</v>
      </c>
      <c r="G1308" t="s">
        <v>22</v>
      </c>
      <c r="H1308" t="s">
        <v>5257</v>
      </c>
      <c r="I1308" t="s">
        <v>5258</v>
      </c>
      <c r="J1308" s="2">
        <v>46065.602875823097</v>
      </c>
    </row>
    <row r="1309" spans="1:11" x14ac:dyDescent="0.55000000000000004">
      <c r="A1309" t="s">
        <v>5259</v>
      </c>
      <c r="B1309">
        <v>100262</v>
      </c>
      <c r="C1309" t="s">
        <v>82</v>
      </c>
      <c r="D1309" s="1">
        <v>46145</v>
      </c>
      <c r="E1309" t="s">
        <v>155</v>
      </c>
      <c r="F1309" t="s">
        <v>5260</v>
      </c>
      <c r="G1309" t="s">
        <v>22</v>
      </c>
      <c r="H1309" t="s">
        <v>5261</v>
      </c>
      <c r="I1309" t="s">
        <v>5262</v>
      </c>
      <c r="J1309" s="2">
        <v>46066.912598050767</v>
      </c>
    </row>
    <row r="1310" spans="1:11" x14ac:dyDescent="0.55000000000000004">
      <c r="A1310" t="s">
        <v>5263</v>
      </c>
      <c r="B1310">
        <v>100257</v>
      </c>
      <c r="C1310" t="s">
        <v>12</v>
      </c>
      <c r="D1310" s="1">
        <v>45880</v>
      </c>
      <c r="E1310" t="s">
        <v>115</v>
      </c>
      <c r="F1310" t="s">
        <v>5264</v>
      </c>
      <c r="G1310" t="s">
        <v>22</v>
      </c>
      <c r="H1310" t="s">
        <v>5265</v>
      </c>
      <c r="I1310" t="s">
        <v>5266</v>
      </c>
      <c r="J1310" s="2">
        <v>46091.856348054847</v>
      </c>
    </row>
    <row r="1311" spans="1:11" x14ac:dyDescent="0.55000000000000004">
      <c r="A1311" t="s">
        <v>5267</v>
      </c>
      <c r="B1311">
        <v>101090</v>
      </c>
      <c r="C1311" t="s">
        <v>131</v>
      </c>
      <c r="D1311" s="1">
        <v>46099</v>
      </c>
      <c r="E1311" t="s">
        <v>115</v>
      </c>
      <c r="F1311" t="s">
        <v>5268</v>
      </c>
      <c r="G1311" t="s">
        <v>15</v>
      </c>
      <c r="H1311" t="s">
        <v>5269</v>
      </c>
      <c r="I1311" t="s">
        <v>5270</v>
      </c>
      <c r="J1311" s="2">
        <v>46052.517459170544</v>
      </c>
    </row>
    <row r="1312" spans="1:11" x14ac:dyDescent="0.55000000000000004">
      <c r="A1312" t="s">
        <v>5271</v>
      </c>
      <c r="B1312">
        <v>100141</v>
      </c>
      <c r="C1312" t="s">
        <v>82</v>
      </c>
      <c r="D1312" s="1">
        <v>45996</v>
      </c>
      <c r="E1312" t="s">
        <v>126</v>
      </c>
      <c r="F1312" t="s">
        <v>5272</v>
      </c>
      <c r="G1312" t="s">
        <v>22</v>
      </c>
      <c r="H1312" t="s">
        <v>5273</v>
      </c>
      <c r="I1312" t="s">
        <v>5274</v>
      </c>
      <c r="J1312" s="2">
        <v>46089.263986952792</v>
      </c>
    </row>
    <row r="1313" spans="1:10" x14ac:dyDescent="0.55000000000000004">
      <c r="A1313" t="s">
        <v>5275</v>
      </c>
      <c r="B1313">
        <v>100995</v>
      </c>
      <c r="C1313" t="s">
        <v>68</v>
      </c>
      <c r="D1313" s="1">
        <v>45916</v>
      </c>
      <c r="E1313" t="s">
        <v>243</v>
      </c>
      <c r="F1313" t="s">
        <v>5276</v>
      </c>
      <c r="G1313" t="s">
        <v>15</v>
      </c>
      <c r="H1313" t="s">
        <v>5277</v>
      </c>
      <c r="I1313" t="s">
        <v>5278</v>
      </c>
      <c r="J1313" s="2">
        <v>46083.877875847204</v>
      </c>
    </row>
    <row r="1314" spans="1:10" x14ac:dyDescent="0.55000000000000004">
      <c r="A1314" t="s">
        <v>5279</v>
      </c>
      <c r="B1314">
        <v>100175</v>
      </c>
      <c r="C1314" t="s">
        <v>99</v>
      </c>
      <c r="D1314" s="1">
        <v>45770</v>
      </c>
      <c r="E1314" t="s">
        <v>38</v>
      </c>
      <c r="F1314" t="s">
        <v>5280</v>
      </c>
      <c r="G1314" t="s">
        <v>22</v>
      </c>
      <c r="H1314" t="s">
        <v>5281</v>
      </c>
      <c r="I1314" t="s">
        <v>5282</v>
      </c>
      <c r="J1314" s="2">
        <v>46091.72509807333</v>
      </c>
    </row>
    <row r="1315" spans="1:10" x14ac:dyDescent="0.55000000000000004">
      <c r="A1315" t="s">
        <v>5283</v>
      </c>
      <c r="B1315">
        <v>101445</v>
      </c>
      <c r="C1315" t="s">
        <v>114</v>
      </c>
      <c r="D1315" s="1">
        <v>46124</v>
      </c>
      <c r="E1315" t="s">
        <v>170</v>
      </c>
      <c r="F1315" t="s">
        <v>5284</v>
      </c>
      <c r="G1315" t="s">
        <v>22</v>
      </c>
      <c r="H1315" t="s">
        <v>5285</v>
      </c>
      <c r="I1315" t="s">
        <v>5286</v>
      </c>
      <c r="J1315" s="2">
        <v>46091.099403633161</v>
      </c>
    </row>
    <row r="1316" spans="1:10" x14ac:dyDescent="0.55000000000000004">
      <c r="A1316" t="s">
        <v>5287</v>
      </c>
      <c r="B1316">
        <v>101393</v>
      </c>
      <c r="C1316" t="s">
        <v>169</v>
      </c>
      <c r="D1316" s="1">
        <v>45818</v>
      </c>
      <c r="E1316" t="s">
        <v>265</v>
      </c>
      <c r="F1316" t="s">
        <v>5288</v>
      </c>
      <c r="G1316" t="s">
        <v>22</v>
      </c>
      <c r="H1316" t="s">
        <v>5289</v>
      </c>
      <c r="I1316" t="s">
        <v>5290</v>
      </c>
      <c r="J1316" s="2">
        <v>46061.229264748406</v>
      </c>
    </row>
    <row r="1317" spans="1:10" x14ac:dyDescent="0.55000000000000004">
      <c r="A1317" t="s">
        <v>5291</v>
      </c>
      <c r="B1317">
        <v>100493</v>
      </c>
      <c r="C1317" t="s">
        <v>63</v>
      </c>
      <c r="D1317" s="1">
        <v>45777</v>
      </c>
      <c r="E1317" t="s">
        <v>115</v>
      </c>
      <c r="F1317" t="s">
        <v>5292</v>
      </c>
      <c r="G1317" t="s">
        <v>22</v>
      </c>
      <c r="H1317" t="s">
        <v>5293</v>
      </c>
      <c r="I1317" t="s">
        <v>5294</v>
      </c>
      <c r="J1317" s="2">
        <v>46081.073014752314</v>
      </c>
    </row>
    <row r="1318" spans="1:10" x14ac:dyDescent="0.55000000000000004">
      <c r="A1318" t="s">
        <v>5295</v>
      </c>
      <c r="B1318">
        <v>100118</v>
      </c>
      <c r="C1318" t="s">
        <v>32</v>
      </c>
      <c r="D1318" s="1">
        <v>46122</v>
      </c>
      <c r="E1318" t="s">
        <v>189</v>
      </c>
      <c r="F1318" t="s">
        <v>5296</v>
      </c>
      <c r="G1318" t="s">
        <v>15</v>
      </c>
      <c r="H1318" t="s">
        <v>5297</v>
      </c>
      <c r="I1318" t="s">
        <v>5298</v>
      </c>
      <c r="J1318" s="2">
        <v>46061.052181423889</v>
      </c>
    </row>
    <row r="1319" spans="1:10" x14ac:dyDescent="0.55000000000000004">
      <c r="A1319" t="s">
        <v>5299</v>
      </c>
      <c r="B1319">
        <v>100490</v>
      </c>
      <c r="C1319" t="s">
        <v>12</v>
      </c>
      <c r="D1319" s="1">
        <v>45918</v>
      </c>
      <c r="E1319" t="s">
        <v>757</v>
      </c>
      <c r="F1319" t="s">
        <v>5300</v>
      </c>
      <c r="G1319" t="s">
        <v>15</v>
      </c>
      <c r="H1319" t="s">
        <v>5301</v>
      </c>
      <c r="I1319" t="s">
        <v>5302</v>
      </c>
      <c r="J1319" s="2">
        <v>46069.224403650871</v>
      </c>
    </row>
    <row r="1320" spans="1:10" x14ac:dyDescent="0.55000000000000004">
      <c r="A1320" t="s">
        <v>5303</v>
      </c>
      <c r="B1320">
        <v>100629</v>
      </c>
      <c r="C1320" t="s">
        <v>82</v>
      </c>
      <c r="D1320" s="1">
        <v>46051</v>
      </c>
      <c r="E1320" t="s">
        <v>295</v>
      </c>
      <c r="F1320" t="s">
        <v>5304</v>
      </c>
      <c r="G1320" t="s">
        <v>22</v>
      </c>
      <c r="H1320" t="s">
        <v>5305</v>
      </c>
      <c r="I1320" t="s">
        <v>5306</v>
      </c>
      <c r="J1320" s="2">
        <v>46065.10634810014</v>
      </c>
    </row>
    <row r="1321" spans="1:10" x14ac:dyDescent="0.55000000000000004">
      <c r="A1321" t="s">
        <v>5307</v>
      </c>
      <c r="B1321">
        <v>100743</v>
      </c>
      <c r="C1321" t="s">
        <v>32</v>
      </c>
      <c r="D1321" s="1">
        <v>46081</v>
      </c>
      <c r="E1321" t="s">
        <v>38</v>
      </c>
      <c r="F1321" t="s">
        <v>5308</v>
      </c>
      <c r="G1321" t="s">
        <v>15</v>
      </c>
      <c r="H1321" t="s">
        <v>5309</v>
      </c>
      <c r="I1321" t="s">
        <v>5310</v>
      </c>
      <c r="J1321" s="2">
        <v>46081.750792548701</v>
      </c>
    </row>
    <row r="1322" spans="1:10" x14ac:dyDescent="0.55000000000000004">
      <c r="A1322" t="s">
        <v>5311</v>
      </c>
      <c r="B1322">
        <v>100229</v>
      </c>
      <c r="C1322" t="s">
        <v>146</v>
      </c>
      <c r="D1322" s="1">
        <v>45736</v>
      </c>
      <c r="E1322" t="s">
        <v>155</v>
      </c>
      <c r="F1322" t="s">
        <v>5312</v>
      </c>
      <c r="G1322" t="s">
        <v>22</v>
      </c>
      <c r="H1322" t="s">
        <v>5313</v>
      </c>
      <c r="I1322" t="s">
        <v>5314</v>
      </c>
      <c r="J1322" s="2">
        <v>46073.520931442406</v>
      </c>
    </row>
    <row r="1323" spans="1:10" x14ac:dyDescent="0.55000000000000004">
      <c r="A1323" t="s">
        <v>5315</v>
      </c>
      <c r="B1323">
        <v>100039</v>
      </c>
      <c r="C1323" t="s">
        <v>26</v>
      </c>
      <c r="D1323" s="1">
        <v>45936</v>
      </c>
      <c r="E1323" t="s">
        <v>115</v>
      </c>
      <c r="F1323" t="s">
        <v>5316</v>
      </c>
      <c r="G1323" t="s">
        <v>22</v>
      </c>
      <c r="H1323" t="s">
        <v>5317</v>
      </c>
      <c r="I1323" t="s">
        <v>5318</v>
      </c>
      <c r="J1323" s="2">
        <v>46067.794542558193</v>
      </c>
    </row>
    <row r="1324" spans="1:10" x14ac:dyDescent="0.55000000000000004">
      <c r="A1324" t="s">
        <v>5319</v>
      </c>
      <c r="B1324">
        <v>101000</v>
      </c>
      <c r="C1324" t="s">
        <v>131</v>
      </c>
      <c r="D1324" s="1">
        <v>45910</v>
      </c>
      <c r="E1324" t="s">
        <v>89</v>
      </c>
      <c r="F1324" t="s">
        <v>5320</v>
      </c>
      <c r="G1324" t="s">
        <v>22</v>
      </c>
      <c r="H1324" t="s">
        <v>5321</v>
      </c>
      <c r="I1324" t="s">
        <v>5322</v>
      </c>
      <c r="J1324" s="2">
        <v>46091.624403673391</v>
      </c>
    </row>
    <row r="1325" spans="1:10" x14ac:dyDescent="0.55000000000000004">
      <c r="A1325" t="s">
        <v>5323</v>
      </c>
      <c r="B1325">
        <v>100663</v>
      </c>
      <c r="C1325" t="s">
        <v>48</v>
      </c>
      <c r="D1325" s="1">
        <v>46106</v>
      </c>
      <c r="E1325" t="s">
        <v>69</v>
      </c>
      <c r="F1325" t="s">
        <v>5324</v>
      </c>
      <c r="G1325" t="s">
        <v>22</v>
      </c>
      <c r="H1325" t="s">
        <v>5325</v>
      </c>
      <c r="I1325" t="s">
        <v>5326</v>
      </c>
      <c r="J1325" s="2">
        <v>46085.175098121726</v>
      </c>
    </row>
    <row r="1326" spans="1:10" x14ac:dyDescent="0.55000000000000004">
      <c r="A1326" t="s">
        <v>5327</v>
      </c>
      <c r="B1326">
        <v>101226</v>
      </c>
      <c r="C1326" t="s">
        <v>169</v>
      </c>
      <c r="D1326" s="1">
        <v>45765</v>
      </c>
      <c r="E1326" t="s">
        <v>467</v>
      </c>
      <c r="F1326" t="s">
        <v>5328</v>
      </c>
      <c r="G1326" t="s">
        <v>22</v>
      </c>
      <c r="H1326" t="s">
        <v>5329</v>
      </c>
      <c r="I1326" t="s">
        <v>5330</v>
      </c>
      <c r="J1326" s="2">
        <v>46083.747320348208</v>
      </c>
    </row>
    <row r="1327" spans="1:10" x14ac:dyDescent="0.55000000000000004">
      <c r="A1327" t="s">
        <v>5331</v>
      </c>
      <c r="B1327">
        <v>100001</v>
      </c>
      <c r="C1327" t="s">
        <v>19</v>
      </c>
      <c r="D1327" s="1">
        <v>45790</v>
      </c>
      <c r="E1327" t="s">
        <v>334</v>
      </c>
      <c r="F1327" t="s">
        <v>5332</v>
      </c>
      <c r="G1327" t="s">
        <v>15</v>
      </c>
      <c r="H1327" t="s">
        <v>5333</v>
      </c>
      <c r="I1327" t="s">
        <v>5334</v>
      </c>
      <c r="J1327" s="2">
        <v>46067.538987019652</v>
      </c>
    </row>
    <row r="1328" spans="1:10" x14ac:dyDescent="0.55000000000000004">
      <c r="A1328" t="s">
        <v>5335</v>
      </c>
      <c r="B1328">
        <v>101086</v>
      </c>
      <c r="C1328" t="s">
        <v>248</v>
      </c>
      <c r="D1328" s="1">
        <v>45895</v>
      </c>
      <c r="E1328" t="s">
        <v>270</v>
      </c>
      <c r="F1328" t="s">
        <v>5336</v>
      </c>
      <c r="G1328" t="s">
        <v>15</v>
      </c>
      <c r="H1328" t="s">
        <v>5337</v>
      </c>
      <c r="I1328" t="s">
        <v>5338</v>
      </c>
      <c r="J1328" s="2">
        <v>46074.134820357052</v>
      </c>
    </row>
    <row r="1329" spans="1:10" x14ac:dyDescent="0.55000000000000004">
      <c r="A1329" t="s">
        <v>5339</v>
      </c>
      <c r="B1329">
        <v>101104</v>
      </c>
      <c r="C1329" t="s">
        <v>19</v>
      </c>
      <c r="D1329" s="1">
        <v>45841</v>
      </c>
      <c r="E1329" t="s">
        <v>115</v>
      </c>
      <c r="F1329" t="s">
        <v>5340</v>
      </c>
      <c r="G1329" t="s">
        <v>15</v>
      </c>
      <c r="H1329" t="s">
        <v>5341</v>
      </c>
      <c r="I1329" t="s">
        <v>5342</v>
      </c>
      <c r="J1329" s="2">
        <v>46054.144542584007</v>
      </c>
    </row>
    <row r="1330" spans="1:10" x14ac:dyDescent="0.55000000000000004">
      <c r="A1330" t="s">
        <v>5343</v>
      </c>
      <c r="B1330">
        <v>100330</v>
      </c>
      <c r="C1330" t="s">
        <v>32</v>
      </c>
      <c r="D1330" s="1">
        <v>45861</v>
      </c>
      <c r="E1330" t="s">
        <v>108</v>
      </c>
      <c r="F1330" t="s">
        <v>5344</v>
      </c>
      <c r="G1330" t="s">
        <v>15</v>
      </c>
      <c r="H1330" t="s">
        <v>5345</v>
      </c>
      <c r="I1330" t="s">
        <v>5346</v>
      </c>
      <c r="J1330" s="2">
        <v>46080.170237033242</v>
      </c>
    </row>
    <row r="1331" spans="1:10" x14ac:dyDescent="0.55000000000000004">
      <c r="A1331" t="s">
        <v>5347</v>
      </c>
      <c r="B1331">
        <v>100765</v>
      </c>
      <c r="C1331" t="s">
        <v>131</v>
      </c>
      <c r="D1331" s="1">
        <v>45884</v>
      </c>
      <c r="E1331" t="s">
        <v>680</v>
      </c>
      <c r="F1331" t="s">
        <v>5348</v>
      </c>
      <c r="G1331" t="s">
        <v>22</v>
      </c>
      <c r="H1331" t="s">
        <v>5349</v>
      </c>
      <c r="I1331" t="s">
        <v>5350</v>
      </c>
      <c r="J1331" s="2">
        <v>46086.669542592746</v>
      </c>
    </row>
    <row r="1332" spans="1:10" x14ac:dyDescent="0.55000000000000004">
      <c r="A1332" t="s">
        <v>5351</v>
      </c>
      <c r="B1332">
        <v>101366</v>
      </c>
      <c r="C1332" t="s">
        <v>131</v>
      </c>
      <c r="D1332" s="1">
        <v>45951</v>
      </c>
      <c r="E1332" t="s">
        <v>356</v>
      </c>
      <c r="F1332" t="s">
        <v>5352</v>
      </c>
      <c r="G1332" t="s">
        <v>15</v>
      </c>
      <c r="H1332" t="s">
        <v>5353</v>
      </c>
      <c r="I1332" t="s">
        <v>5354</v>
      </c>
      <c r="J1332" s="2">
        <v>46075.150098153063</v>
      </c>
    </row>
    <row r="1333" spans="1:10" x14ac:dyDescent="0.55000000000000004">
      <c r="A1333" t="s">
        <v>5355</v>
      </c>
      <c r="B1333">
        <v>101477</v>
      </c>
      <c r="C1333" t="s">
        <v>19</v>
      </c>
      <c r="D1333" s="1">
        <v>45975</v>
      </c>
      <c r="E1333" t="s">
        <v>680</v>
      </c>
      <c r="F1333" t="s">
        <v>5356</v>
      </c>
      <c r="G1333" t="s">
        <v>22</v>
      </c>
      <c r="H1333" t="s">
        <v>5357</v>
      </c>
      <c r="I1333" t="s">
        <v>5358</v>
      </c>
      <c r="J1333" s="2">
        <v>46052.934820379349</v>
      </c>
    </row>
    <row r="1334" spans="1:10" x14ac:dyDescent="0.55000000000000004">
      <c r="A1334" t="s">
        <v>5359</v>
      </c>
      <c r="B1334">
        <v>101415</v>
      </c>
      <c r="C1334" t="s">
        <v>179</v>
      </c>
      <c r="D1334" s="1">
        <v>46153</v>
      </c>
      <c r="E1334" t="s">
        <v>38</v>
      </c>
      <c r="F1334" t="s">
        <v>5360</v>
      </c>
      <c r="G1334" t="s">
        <v>15</v>
      </c>
      <c r="H1334" t="s">
        <v>5361</v>
      </c>
      <c r="I1334" t="s">
        <v>5362</v>
      </c>
      <c r="J1334" s="2">
        <v>46092.796625938718</v>
      </c>
    </row>
    <row r="1335" spans="1:10" x14ac:dyDescent="0.55000000000000004">
      <c r="A1335" t="s">
        <v>2005</v>
      </c>
      <c r="B1335">
        <v>101338</v>
      </c>
      <c r="C1335" t="s">
        <v>26</v>
      </c>
      <c r="D1335" s="1">
        <v>46047</v>
      </c>
      <c r="E1335" t="s">
        <v>20</v>
      </c>
      <c r="F1335" t="s">
        <v>5363</v>
      </c>
      <c r="G1335" t="s">
        <v>22</v>
      </c>
      <c r="H1335" t="s">
        <v>5364</v>
      </c>
      <c r="I1335" t="s">
        <v>5365</v>
      </c>
      <c r="J1335" s="2">
        <v>46097.532042609433</v>
      </c>
    </row>
    <row r="1336" spans="1:10" x14ac:dyDescent="0.55000000000000004">
      <c r="A1336" t="s">
        <v>5366</v>
      </c>
      <c r="B1336">
        <v>101308</v>
      </c>
      <c r="C1336" t="s">
        <v>88</v>
      </c>
      <c r="D1336" s="1">
        <v>45807</v>
      </c>
      <c r="E1336" t="s">
        <v>295</v>
      </c>
      <c r="F1336" t="s">
        <v>5367</v>
      </c>
      <c r="G1336" t="s">
        <v>22</v>
      </c>
      <c r="H1336" t="s">
        <v>5368</v>
      </c>
      <c r="I1336" t="s">
        <v>5369</v>
      </c>
      <c r="J1336" s="2">
        <v>46081.005653724773</v>
      </c>
    </row>
    <row r="1337" spans="1:10" x14ac:dyDescent="0.55000000000000004">
      <c r="A1337" t="s">
        <v>5370</v>
      </c>
      <c r="B1337">
        <v>100611</v>
      </c>
      <c r="C1337" t="s">
        <v>37</v>
      </c>
      <c r="D1337" s="1">
        <v>45962</v>
      </c>
      <c r="E1337" t="s">
        <v>317</v>
      </c>
      <c r="F1337" t="s">
        <v>5371</v>
      </c>
      <c r="G1337" t="s">
        <v>22</v>
      </c>
      <c r="H1337" t="s">
        <v>5372</v>
      </c>
      <c r="I1337" t="s">
        <v>5373</v>
      </c>
      <c r="J1337" s="2">
        <v>46056.923709284478</v>
      </c>
    </row>
    <row r="1338" spans="1:10" x14ac:dyDescent="0.55000000000000004">
      <c r="A1338" t="s">
        <v>5374</v>
      </c>
      <c r="B1338">
        <v>101280</v>
      </c>
      <c r="C1338" t="s">
        <v>533</v>
      </c>
      <c r="D1338" s="1">
        <v>45750</v>
      </c>
      <c r="E1338" t="s">
        <v>317</v>
      </c>
      <c r="F1338" t="s">
        <v>5375</v>
      </c>
      <c r="G1338" t="s">
        <v>15</v>
      </c>
      <c r="H1338" t="s">
        <v>5376</v>
      </c>
      <c r="I1338" t="s">
        <v>5377</v>
      </c>
      <c r="J1338" s="2">
        <v>46070.755653733009</v>
      </c>
    </row>
    <row r="1339" spans="1:10" x14ac:dyDescent="0.55000000000000004">
      <c r="A1339" t="s">
        <v>5378</v>
      </c>
      <c r="B1339">
        <v>100217</v>
      </c>
      <c r="C1339" t="s">
        <v>146</v>
      </c>
      <c r="D1339" s="1">
        <v>46128</v>
      </c>
      <c r="E1339" t="s">
        <v>38</v>
      </c>
      <c r="F1339" t="s">
        <v>5379</v>
      </c>
      <c r="G1339" t="s">
        <v>22</v>
      </c>
      <c r="H1339" t="s">
        <v>5380</v>
      </c>
      <c r="I1339" t="s">
        <v>5381</v>
      </c>
      <c r="J1339" s="2">
        <v>46084.251487071007</v>
      </c>
    </row>
    <row r="1340" spans="1:10" x14ac:dyDescent="0.55000000000000004">
      <c r="A1340" t="s">
        <v>5382</v>
      </c>
      <c r="B1340">
        <v>101039</v>
      </c>
      <c r="C1340" t="s">
        <v>248</v>
      </c>
      <c r="D1340" s="1">
        <v>45829</v>
      </c>
      <c r="E1340" t="s">
        <v>343</v>
      </c>
      <c r="F1340" t="s">
        <v>5383</v>
      </c>
      <c r="G1340" t="s">
        <v>22</v>
      </c>
      <c r="H1340" t="s">
        <v>5384</v>
      </c>
      <c r="I1340" t="s">
        <v>5385</v>
      </c>
      <c r="J1340" s="2">
        <v>46096.316764852883</v>
      </c>
    </row>
    <row r="1341" spans="1:10" x14ac:dyDescent="0.55000000000000004">
      <c r="A1341" t="s">
        <v>5386</v>
      </c>
      <c r="B1341">
        <v>100365</v>
      </c>
      <c r="C1341" t="s">
        <v>68</v>
      </c>
      <c r="D1341" s="1">
        <v>45989</v>
      </c>
      <c r="E1341" t="s">
        <v>317</v>
      </c>
      <c r="F1341" t="s">
        <v>5387</v>
      </c>
      <c r="G1341" t="s">
        <v>22</v>
      </c>
      <c r="H1341" t="s">
        <v>5388</v>
      </c>
      <c r="I1341" t="s">
        <v>5389</v>
      </c>
      <c r="J1341" s="2">
        <v>46056.098014857489</v>
      </c>
    </row>
    <row r="1342" spans="1:10" x14ac:dyDescent="0.55000000000000004">
      <c r="A1342" t="s">
        <v>5390</v>
      </c>
      <c r="B1342">
        <v>101025</v>
      </c>
      <c r="C1342" t="s">
        <v>94</v>
      </c>
      <c r="D1342" s="1">
        <v>45942</v>
      </c>
      <c r="E1342" t="s">
        <v>467</v>
      </c>
      <c r="F1342" t="s">
        <v>5391</v>
      </c>
      <c r="G1342" t="s">
        <v>22</v>
      </c>
      <c r="H1342" t="s">
        <v>5392</v>
      </c>
      <c r="I1342" t="s">
        <v>5393</v>
      </c>
      <c r="J1342" s="2">
        <v>46064.268848194894</v>
      </c>
    </row>
    <row r="1343" spans="1:10" x14ac:dyDescent="0.55000000000000004">
      <c r="A1343" t="s">
        <v>5394</v>
      </c>
      <c r="B1343">
        <v>100539</v>
      </c>
      <c r="C1343" t="s">
        <v>533</v>
      </c>
      <c r="D1343" s="1">
        <v>45822</v>
      </c>
      <c r="E1343" t="s">
        <v>58</v>
      </c>
      <c r="F1343" t="s">
        <v>5395</v>
      </c>
      <c r="G1343" t="s">
        <v>15</v>
      </c>
      <c r="H1343" t="s">
        <v>5396</v>
      </c>
      <c r="I1343" t="s">
        <v>5397</v>
      </c>
      <c r="J1343" s="2">
        <v>46061.90009819949</v>
      </c>
    </row>
    <row r="1344" spans="1:10" x14ac:dyDescent="0.55000000000000004">
      <c r="A1344" t="s">
        <v>5398</v>
      </c>
      <c r="B1344">
        <v>100006</v>
      </c>
      <c r="C1344" t="s">
        <v>48</v>
      </c>
      <c r="D1344" s="1">
        <v>46009</v>
      </c>
      <c r="E1344" t="s">
        <v>58</v>
      </c>
      <c r="F1344" t="s">
        <v>5399</v>
      </c>
      <c r="G1344" t="s">
        <v>22</v>
      </c>
      <c r="H1344" t="s">
        <v>5400</v>
      </c>
      <c r="I1344" t="s">
        <v>5401</v>
      </c>
      <c r="J1344" s="2">
        <v>46057.34315375892</v>
      </c>
    </row>
    <row r="1345" spans="1:11" x14ac:dyDescent="0.55000000000000004">
      <c r="A1345" t="s">
        <v>5402</v>
      </c>
      <c r="B1345">
        <v>100929</v>
      </c>
      <c r="C1345" t="s">
        <v>99</v>
      </c>
      <c r="D1345" s="1">
        <v>45782</v>
      </c>
      <c r="E1345" t="s">
        <v>155</v>
      </c>
      <c r="F1345" t="s">
        <v>5403</v>
      </c>
      <c r="G1345" t="s">
        <v>15</v>
      </c>
      <c r="H1345" t="s">
        <v>5404</v>
      </c>
      <c r="I1345" t="s">
        <v>5405</v>
      </c>
      <c r="J1345" s="2">
        <v>46056.723014874689</v>
      </c>
    </row>
    <row r="1346" spans="1:11" x14ac:dyDescent="0.55000000000000004">
      <c r="A1346" t="s">
        <v>5406</v>
      </c>
      <c r="B1346">
        <v>100323</v>
      </c>
      <c r="C1346" t="s">
        <v>99</v>
      </c>
      <c r="D1346" s="1">
        <v>45942</v>
      </c>
      <c r="E1346" t="s">
        <v>69</v>
      </c>
      <c r="F1346" t="s">
        <v>5407</v>
      </c>
      <c r="G1346" t="s">
        <v>15</v>
      </c>
      <c r="H1346" t="s">
        <v>5408</v>
      </c>
      <c r="I1346" t="s">
        <v>5409</v>
      </c>
      <c r="J1346" s="2">
        <v>46057.114681545158</v>
      </c>
    </row>
    <row r="1347" spans="1:11" x14ac:dyDescent="0.55000000000000004">
      <c r="A1347" t="s">
        <v>5410</v>
      </c>
      <c r="B1347">
        <v>100890</v>
      </c>
      <c r="C1347" t="s">
        <v>82</v>
      </c>
      <c r="D1347" s="1">
        <v>46029</v>
      </c>
      <c r="E1347" t="s">
        <v>317</v>
      </c>
      <c r="F1347" t="s">
        <v>5411</v>
      </c>
      <c r="G1347" t="s">
        <v>22</v>
      </c>
      <c r="H1347" t="s">
        <v>5412</v>
      </c>
      <c r="I1347" t="s">
        <v>5413</v>
      </c>
      <c r="J1347" s="2">
        <v>46071.445237104548</v>
      </c>
    </row>
    <row r="1348" spans="1:11" x14ac:dyDescent="0.55000000000000004">
      <c r="A1348" t="s">
        <v>5414</v>
      </c>
      <c r="B1348">
        <v>100601</v>
      </c>
      <c r="C1348" t="s">
        <v>194</v>
      </c>
      <c r="D1348" s="1">
        <v>46129</v>
      </c>
      <c r="E1348" t="s">
        <v>89</v>
      </c>
      <c r="F1348" t="s">
        <v>5415</v>
      </c>
      <c r="G1348" t="s">
        <v>15</v>
      </c>
      <c r="H1348" t="s">
        <v>5416</v>
      </c>
      <c r="I1348" t="s">
        <v>5417</v>
      </c>
      <c r="J1348" s="2">
        <v>46085.078570441663</v>
      </c>
    </row>
    <row r="1349" spans="1:11" x14ac:dyDescent="0.55000000000000004">
      <c r="A1349" t="s">
        <v>5418</v>
      </c>
      <c r="B1349">
        <v>101498</v>
      </c>
      <c r="C1349" t="s">
        <v>533</v>
      </c>
      <c r="D1349" s="1">
        <v>45911</v>
      </c>
      <c r="E1349" t="s">
        <v>757</v>
      </c>
      <c r="F1349" t="s">
        <v>260</v>
      </c>
      <c r="G1349" t="s">
        <v>15</v>
      </c>
      <c r="H1349" t="s">
        <v>5419</v>
      </c>
      <c r="I1349" t="s">
        <v>5420</v>
      </c>
      <c r="J1349" s="2">
        <v>46074.42787600185</v>
      </c>
    </row>
    <row r="1350" spans="1:11" x14ac:dyDescent="0.55000000000000004">
      <c r="A1350" t="s">
        <v>5421</v>
      </c>
      <c r="B1350">
        <v>101171</v>
      </c>
      <c r="C1350" t="s">
        <v>82</v>
      </c>
      <c r="D1350" s="1">
        <v>45877</v>
      </c>
      <c r="E1350" t="s">
        <v>49</v>
      </c>
      <c r="F1350" t="s">
        <v>5422</v>
      </c>
      <c r="G1350" t="s">
        <v>22</v>
      </c>
      <c r="H1350" t="s">
        <v>5423</v>
      </c>
      <c r="I1350" t="s">
        <v>5424</v>
      </c>
      <c r="J1350" s="2">
        <v>46070.788987116728</v>
      </c>
      <c r="K1350" t="s">
        <v>139</v>
      </c>
    </row>
    <row r="1351" spans="1:11" x14ac:dyDescent="0.55000000000000004">
      <c r="A1351" t="s">
        <v>5425</v>
      </c>
      <c r="B1351">
        <v>101312</v>
      </c>
      <c r="C1351" t="s">
        <v>194</v>
      </c>
      <c r="D1351" s="1">
        <v>45734</v>
      </c>
      <c r="E1351" t="s">
        <v>141</v>
      </c>
      <c r="F1351" t="s">
        <v>5426</v>
      </c>
      <c r="G1351" t="s">
        <v>15</v>
      </c>
      <c r="H1351" t="s">
        <v>5427</v>
      </c>
      <c r="I1351" t="s">
        <v>5428</v>
      </c>
      <c r="J1351" s="2">
        <v>46088.213987121409</v>
      </c>
    </row>
    <row r="1352" spans="1:11" x14ac:dyDescent="0.55000000000000004">
      <c r="A1352" t="s">
        <v>5429</v>
      </c>
      <c r="B1352">
        <v>101419</v>
      </c>
      <c r="C1352" t="s">
        <v>82</v>
      </c>
      <c r="D1352" s="1">
        <v>46151</v>
      </c>
      <c r="E1352" t="s">
        <v>126</v>
      </c>
      <c r="F1352" t="s">
        <v>5430</v>
      </c>
      <c r="G1352" t="s">
        <v>15</v>
      </c>
      <c r="H1352" t="s">
        <v>5431</v>
      </c>
      <c r="I1352" t="s">
        <v>5432</v>
      </c>
      <c r="J1352" s="2">
        <v>46061.134820459323</v>
      </c>
    </row>
    <row r="1353" spans="1:11" x14ac:dyDescent="0.55000000000000004">
      <c r="A1353" t="s">
        <v>5433</v>
      </c>
      <c r="B1353">
        <v>101099</v>
      </c>
      <c r="C1353" t="s">
        <v>194</v>
      </c>
      <c r="D1353" s="1">
        <v>46016</v>
      </c>
      <c r="E1353" t="s">
        <v>409</v>
      </c>
      <c r="F1353" t="s">
        <v>5434</v>
      </c>
      <c r="G1353" t="s">
        <v>22</v>
      </c>
      <c r="H1353" t="s">
        <v>5435</v>
      </c>
      <c r="I1353" t="s">
        <v>5436</v>
      </c>
      <c r="J1353" s="2">
        <v>46093.924403797362</v>
      </c>
    </row>
    <row r="1354" spans="1:11" x14ac:dyDescent="0.55000000000000004">
      <c r="A1354" t="s">
        <v>5437</v>
      </c>
      <c r="B1354">
        <v>100234</v>
      </c>
      <c r="C1354" t="s">
        <v>94</v>
      </c>
      <c r="D1354" s="1">
        <v>45797</v>
      </c>
      <c r="E1354" t="s">
        <v>680</v>
      </c>
      <c r="F1354" t="s">
        <v>5438</v>
      </c>
      <c r="G1354" t="s">
        <v>22</v>
      </c>
      <c r="H1354" t="s">
        <v>5439</v>
      </c>
      <c r="I1354" t="s">
        <v>5440</v>
      </c>
      <c r="J1354" s="2">
        <v>46064.520931579747</v>
      </c>
    </row>
    <row r="1355" spans="1:11" x14ac:dyDescent="0.55000000000000004">
      <c r="A1355" t="s">
        <v>5441</v>
      </c>
      <c r="B1355">
        <v>100023</v>
      </c>
      <c r="C1355" t="s">
        <v>94</v>
      </c>
      <c r="D1355" s="1">
        <v>45850</v>
      </c>
      <c r="E1355" t="s">
        <v>317</v>
      </c>
      <c r="F1355" t="s">
        <v>5442</v>
      </c>
      <c r="G1355" t="s">
        <v>15</v>
      </c>
      <c r="H1355" t="s">
        <v>5443</v>
      </c>
      <c r="I1355" t="s">
        <v>5444</v>
      </c>
      <c r="J1355" s="2">
        <v>46065.577876028787</v>
      </c>
    </row>
    <row r="1356" spans="1:11" x14ac:dyDescent="0.55000000000000004">
      <c r="A1356" t="s">
        <v>5445</v>
      </c>
      <c r="B1356">
        <v>101133</v>
      </c>
      <c r="C1356" t="s">
        <v>26</v>
      </c>
      <c r="D1356" s="1">
        <v>46133</v>
      </c>
      <c r="E1356" t="s">
        <v>49</v>
      </c>
      <c r="F1356" t="s">
        <v>5446</v>
      </c>
      <c r="G1356" t="s">
        <v>15</v>
      </c>
      <c r="H1356" t="s">
        <v>5447</v>
      </c>
      <c r="I1356" t="s">
        <v>5448</v>
      </c>
      <c r="J1356" s="2">
        <v>46077.456348255597</v>
      </c>
    </row>
    <row r="1357" spans="1:11" x14ac:dyDescent="0.55000000000000004">
      <c r="A1357" t="s">
        <v>5449</v>
      </c>
      <c r="B1357">
        <v>100514</v>
      </c>
      <c r="C1357" t="s">
        <v>131</v>
      </c>
      <c r="D1357" s="1">
        <v>45779</v>
      </c>
      <c r="E1357" t="s">
        <v>69</v>
      </c>
      <c r="F1357" t="s">
        <v>5450</v>
      </c>
      <c r="G1357" t="s">
        <v>15</v>
      </c>
      <c r="H1357" t="s">
        <v>5451</v>
      </c>
      <c r="I1357" t="s">
        <v>5452</v>
      </c>
      <c r="J1357" s="2">
        <v>46056.902181592683</v>
      </c>
    </row>
    <row r="1358" spans="1:11" x14ac:dyDescent="0.55000000000000004">
      <c r="A1358" t="s">
        <v>5453</v>
      </c>
      <c r="B1358">
        <v>101083</v>
      </c>
      <c r="C1358" t="s">
        <v>114</v>
      </c>
      <c r="D1358" s="1">
        <v>45746</v>
      </c>
      <c r="E1358" t="s">
        <v>184</v>
      </c>
      <c r="F1358" t="s">
        <v>5454</v>
      </c>
      <c r="G1358" t="s">
        <v>22</v>
      </c>
      <c r="H1358" t="s">
        <v>5455</v>
      </c>
      <c r="I1358" t="s">
        <v>5456</v>
      </c>
      <c r="J1358" s="2">
        <v>46096.560514930723</v>
      </c>
    </row>
    <row r="1359" spans="1:11" x14ac:dyDescent="0.55000000000000004">
      <c r="A1359" t="s">
        <v>5457</v>
      </c>
      <c r="B1359">
        <v>100958</v>
      </c>
      <c r="C1359" t="s">
        <v>88</v>
      </c>
      <c r="D1359" s="1">
        <v>46056</v>
      </c>
      <c r="E1359" t="s">
        <v>160</v>
      </c>
      <c r="F1359" t="s">
        <v>5458</v>
      </c>
      <c r="G1359" t="s">
        <v>15</v>
      </c>
      <c r="H1359" t="s">
        <v>5459</v>
      </c>
      <c r="I1359" t="s">
        <v>5460</v>
      </c>
      <c r="J1359" s="2">
        <v>46078.470931601179</v>
      </c>
    </row>
    <row r="1360" spans="1:11" x14ac:dyDescent="0.55000000000000004">
      <c r="A1360" t="s">
        <v>5461</v>
      </c>
      <c r="B1360">
        <v>101220</v>
      </c>
      <c r="C1360" t="s">
        <v>146</v>
      </c>
      <c r="D1360" s="1">
        <v>45857</v>
      </c>
      <c r="E1360" t="s">
        <v>83</v>
      </c>
      <c r="F1360" t="s">
        <v>5462</v>
      </c>
      <c r="G1360" t="s">
        <v>22</v>
      </c>
      <c r="H1360" t="s">
        <v>5463</v>
      </c>
      <c r="I1360" t="s">
        <v>5464</v>
      </c>
      <c r="J1360" s="2">
        <v>46092.541764938331</v>
      </c>
    </row>
    <row r="1361" spans="1:10" x14ac:dyDescent="0.55000000000000004">
      <c r="A1361" t="s">
        <v>5465</v>
      </c>
      <c r="B1361">
        <v>100781</v>
      </c>
      <c r="C1361" t="s">
        <v>37</v>
      </c>
      <c r="D1361" s="1">
        <v>46058</v>
      </c>
      <c r="E1361" t="s">
        <v>243</v>
      </c>
      <c r="F1361" t="s">
        <v>5466</v>
      </c>
      <c r="G1361" t="s">
        <v>15</v>
      </c>
      <c r="H1361" t="s">
        <v>5467</v>
      </c>
      <c r="I1361" t="s">
        <v>5468</v>
      </c>
      <c r="J1361" s="2">
        <v>46091.544542720789</v>
      </c>
    </row>
    <row r="1362" spans="1:10" x14ac:dyDescent="0.55000000000000004">
      <c r="A1362" t="s">
        <v>5469</v>
      </c>
      <c r="B1362">
        <v>100788</v>
      </c>
      <c r="C1362" t="s">
        <v>68</v>
      </c>
      <c r="D1362" s="1">
        <v>45866</v>
      </c>
      <c r="E1362" t="s">
        <v>155</v>
      </c>
      <c r="F1362" t="s">
        <v>5470</v>
      </c>
      <c r="G1362" t="s">
        <v>15</v>
      </c>
      <c r="H1362" t="s">
        <v>5471</v>
      </c>
      <c r="I1362" t="s">
        <v>5472</v>
      </c>
      <c r="J1362" s="2">
        <v>46066.232042725402</v>
      </c>
    </row>
    <row r="1363" spans="1:10" x14ac:dyDescent="0.55000000000000004">
      <c r="A1363" t="s">
        <v>5473</v>
      </c>
      <c r="B1363">
        <v>100130</v>
      </c>
      <c r="C1363" t="s">
        <v>248</v>
      </c>
      <c r="D1363" s="1">
        <v>45932</v>
      </c>
      <c r="E1363" t="s">
        <v>69</v>
      </c>
      <c r="F1363" t="s">
        <v>5474</v>
      </c>
      <c r="G1363" t="s">
        <v>15</v>
      </c>
      <c r="H1363" t="s">
        <v>5475</v>
      </c>
      <c r="I1363" t="s">
        <v>5476</v>
      </c>
      <c r="J1363" s="2">
        <v>46071.64176495235</v>
      </c>
    </row>
    <row r="1364" spans="1:10" x14ac:dyDescent="0.55000000000000004">
      <c r="A1364" t="s">
        <v>5477</v>
      </c>
      <c r="B1364">
        <v>101221</v>
      </c>
      <c r="C1364" t="s">
        <v>19</v>
      </c>
      <c r="D1364" s="1">
        <v>46052</v>
      </c>
      <c r="E1364" t="s">
        <v>115</v>
      </c>
      <c r="F1364" t="s">
        <v>5478</v>
      </c>
      <c r="G1364" t="s">
        <v>22</v>
      </c>
      <c r="H1364" t="s">
        <v>5479</v>
      </c>
      <c r="I1364" t="s">
        <v>5480</v>
      </c>
      <c r="J1364" s="2">
        <v>46073.300098289488</v>
      </c>
    </row>
    <row r="1365" spans="1:10" x14ac:dyDescent="0.55000000000000004">
      <c r="A1365" t="s">
        <v>5481</v>
      </c>
      <c r="B1365">
        <v>101487</v>
      </c>
      <c r="C1365" t="s">
        <v>88</v>
      </c>
      <c r="D1365" s="1">
        <v>46145</v>
      </c>
      <c r="E1365" t="s">
        <v>115</v>
      </c>
      <c r="F1365" t="s">
        <v>5482</v>
      </c>
      <c r="G1365" t="s">
        <v>22</v>
      </c>
      <c r="H1365" t="s">
        <v>5483</v>
      </c>
      <c r="I1365" t="s">
        <v>5484</v>
      </c>
      <c r="J1365" s="2">
        <v>46097.492459405228</v>
      </c>
    </row>
    <row r="1366" spans="1:10" x14ac:dyDescent="0.55000000000000004">
      <c r="A1366" t="s">
        <v>5485</v>
      </c>
      <c r="B1366">
        <v>100327</v>
      </c>
      <c r="C1366" t="s">
        <v>26</v>
      </c>
      <c r="D1366" s="1">
        <v>46055</v>
      </c>
      <c r="E1366" t="s">
        <v>13</v>
      </c>
      <c r="F1366" t="s">
        <v>5486</v>
      </c>
      <c r="G1366" t="s">
        <v>22</v>
      </c>
      <c r="H1366" t="s">
        <v>5487</v>
      </c>
      <c r="I1366" t="s">
        <v>5488</v>
      </c>
      <c r="J1366" s="2">
        <v>46066.873014964869</v>
      </c>
    </row>
    <row r="1367" spans="1:10" x14ac:dyDescent="0.55000000000000004">
      <c r="A1367" t="s">
        <v>5489</v>
      </c>
      <c r="B1367">
        <v>101285</v>
      </c>
      <c r="C1367" t="s">
        <v>99</v>
      </c>
      <c r="D1367" s="1">
        <v>46011</v>
      </c>
      <c r="E1367" t="s">
        <v>115</v>
      </c>
      <c r="F1367" t="s">
        <v>5490</v>
      </c>
      <c r="G1367" t="s">
        <v>22</v>
      </c>
      <c r="H1367" t="s">
        <v>5491</v>
      </c>
      <c r="I1367" t="s">
        <v>5492</v>
      </c>
      <c r="J1367" s="2">
        <v>46090.472320525252</v>
      </c>
    </row>
    <row r="1368" spans="1:10" x14ac:dyDescent="0.55000000000000004">
      <c r="A1368" t="s">
        <v>5493</v>
      </c>
      <c r="B1368">
        <v>100313</v>
      </c>
      <c r="C1368" t="s">
        <v>99</v>
      </c>
      <c r="D1368" s="1">
        <v>45747</v>
      </c>
      <c r="E1368" t="s">
        <v>528</v>
      </c>
      <c r="F1368" t="s">
        <v>5494</v>
      </c>
      <c r="G1368" t="s">
        <v>15</v>
      </c>
      <c r="H1368" t="s">
        <v>5495</v>
      </c>
      <c r="I1368" t="s">
        <v>5496</v>
      </c>
      <c r="J1368" s="2">
        <v>46074.582737196673</v>
      </c>
    </row>
    <row r="1369" spans="1:10" x14ac:dyDescent="0.55000000000000004">
      <c r="A1369" t="s">
        <v>5497</v>
      </c>
      <c r="B1369">
        <v>100224</v>
      </c>
      <c r="C1369" t="s">
        <v>248</v>
      </c>
      <c r="D1369" s="1">
        <v>45747</v>
      </c>
      <c r="E1369" t="s">
        <v>189</v>
      </c>
      <c r="F1369" t="s">
        <v>5498</v>
      </c>
      <c r="G1369" t="s">
        <v>15</v>
      </c>
      <c r="H1369" t="s">
        <v>5499</v>
      </c>
      <c r="I1369" t="s">
        <v>5500</v>
      </c>
      <c r="J1369" s="2">
        <v>46053.566070534747</v>
      </c>
    </row>
    <row r="1370" spans="1:10" x14ac:dyDescent="0.55000000000000004">
      <c r="A1370" t="s">
        <v>5501</v>
      </c>
      <c r="B1370">
        <v>100096</v>
      </c>
      <c r="C1370" t="s">
        <v>32</v>
      </c>
      <c r="D1370" s="1">
        <v>45872</v>
      </c>
      <c r="E1370" t="s">
        <v>265</v>
      </c>
      <c r="F1370" t="s">
        <v>5502</v>
      </c>
      <c r="G1370" t="s">
        <v>22</v>
      </c>
      <c r="H1370" t="s">
        <v>5503</v>
      </c>
      <c r="I1370" t="s">
        <v>5504</v>
      </c>
      <c r="J1370" s="2">
        <v>46051.961903872427</v>
      </c>
    </row>
    <row r="1371" spans="1:10" x14ac:dyDescent="0.55000000000000004">
      <c r="A1371" t="s">
        <v>5505</v>
      </c>
      <c r="B1371">
        <v>100186</v>
      </c>
      <c r="C1371" t="s">
        <v>68</v>
      </c>
      <c r="D1371" s="1">
        <v>45971</v>
      </c>
      <c r="E1371" t="s">
        <v>213</v>
      </c>
      <c r="F1371" t="s">
        <v>5506</v>
      </c>
      <c r="G1371" t="s">
        <v>15</v>
      </c>
      <c r="H1371" t="s">
        <v>5507</v>
      </c>
      <c r="I1371" t="s">
        <v>5508</v>
      </c>
      <c r="J1371" s="2">
        <v>46081.500098321492</v>
      </c>
    </row>
    <row r="1372" spans="1:10" x14ac:dyDescent="0.55000000000000004">
      <c r="A1372" t="s">
        <v>5509</v>
      </c>
      <c r="B1372">
        <v>101010</v>
      </c>
      <c r="C1372" t="s">
        <v>248</v>
      </c>
      <c r="D1372" s="1">
        <v>46083</v>
      </c>
      <c r="E1372" t="s">
        <v>83</v>
      </c>
      <c r="F1372" t="s">
        <v>5510</v>
      </c>
      <c r="G1372" t="s">
        <v>22</v>
      </c>
      <c r="H1372" t="s">
        <v>5511</v>
      </c>
      <c r="I1372" t="s">
        <v>5512</v>
      </c>
      <c r="J1372" s="2">
        <v>46087.45357054846</v>
      </c>
    </row>
    <row r="1373" spans="1:10" x14ac:dyDescent="0.55000000000000004">
      <c r="A1373" t="s">
        <v>5513</v>
      </c>
      <c r="B1373">
        <v>101043</v>
      </c>
      <c r="C1373" t="s">
        <v>19</v>
      </c>
      <c r="D1373" s="1">
        <v>45953</v>
      </c>
      <c r="E1373" t="s">
        <v>89</v>
      </c>
      <c r="F1373" t="s">
        <v>5514</v>
      </c>
      <c r="G1373" t="s">
        <v>22</v>
      </c>
      <c r="H1373" t="s">
        <v>5515</v>
      </c>
      <c r="I1373" t="s">
        <v>5516</v>
      </c>
      <c r="J1373" s="2">
        <v>46076.860514996712</v>
      </c>
    </row>
    <row r="1374" spans="1:10" x14ac:dyDescent="0.55000000000000004">
      <c r="A1374" t="s">
        <v>2937</v>
      </c>
      <c r="B1374">
        <v>100283</v>
      </c>
      <c r="C1374" t="s">
        <v>533</v>
      </c>
      <c r="D1374" s="1">
        <v>46042</v>
      </c>
      <c r="E1374" t="s">
        <v>418</v>
      </c>
      <c r="F1374" t="s">
        <v>5517</v>
      </c>
      <c r="G1374" t="s">
        <v>22</v>
      </c>
      <c r="H1374" t="s">
        <v>5518</v>
      </c>
      <c r="I1374" t="s">
        <v>5519</v>
      </c>
      <c r="J1374" s="2">
        <v>46073.846626112572</v>
      </c>
    </row>
    <row r="1375" spans="1:10" x14ac:dyDescent="0.55000000000000004">
      <c r="A1375" t="s">
        <v>5520</v>
      </c>
      <c r="B1375">
        <v>101404</v>
      </c>
      <c r="C1375" t="s">
        <v>131</v>
      </c>
      <c r="D1375" s="1">
        <v>45962</v>
      </c>
      <c r="E1375" t="s">
        <v>155</v>
      </c>
      <c r="F1375" t="s">
        <v>5521</v>
      </c>
      <c r="G1375" t="s">
        <v>22</v>
      </c>
      <c r="H1375" t="s">
        <v>5522</v>
      </c>
      <c r="I1375" t="s">
        <v>5523</v>
      </c>
      <c r="J1375" s="2">
        <v>46060.163292783873</v>
      </c>
    </row>
    <row r="1376" spans="1:10" x14ac:dyDescent="0.55000000000000004">
      <c r="A1376" t="s">
        <v>5524</v>
      </c>
      <c r="B1376">
        <v>100741</v>
      </c>
      <c r="C1376" t="s">
        <v>68</v>
      </c>
      <c r="D1376" s="1">
        <v>46041</v>
      </c>
      <c r="E1376" t="s">
        <v>495</v>
      </c>
      <c r="F1376" t="s">
        <v>5525</v>
      </c>
      <c r="G1376" t="s">
        <v>15</v>
      </c>
      <c r="H1376" t="s">
        <v>5526</v>
      </c>
      <c r="I1376" t="s">
        <v>5527</v>
      </c>
      <c r="J1376" s="2">
        <v>46090.490376120972</v>
      </c>
    </row>
    <row r="1377" spans="1:11" x14ac:dyDescent="0.55000000000000004">
      <c r="A1377" t="s">
        <v>5528</v>
      </c>
      <c r="B1377">
        <v>100817</v>
      </c>
      <c r="D1377" s="1">
        <v>45951</v>
      </c>
      <c r="E1377" t="s">
        <v>20</v>
      </c>
      <c r="F1377" t="s">
        <v>5529</v>
      </c>
      <c r="G1377" t="s">
        <v>15</v>
      </c>
      <c r="H1377" t="s">
        <v>5530</v>
      </c>
      <c r="I1377" t="s">
        <v>5531</v>
      </c>
      <c r="J1377" s="2">
        <v>46093.440376124781</v>
      </c>
      <c r="K1377" t="s">
        <v>217</v>
      </c>
    </row>
    <row r="1378" spans="1:11" x14ac:dyDescent="0.55000000000000004">
      <c r="A1378" t="s">
        <v>5532</v>
      </c>
      <c r="B1378">
        <v>101195</v>
      </c>
      <c r="C1378" t="s">
        <v>63</v>
      </c>
      <c r="D1378" s="1">
        <v>45922</v>
      </c>
      <c r="E1378" t="s">
        <v>20</v>
      </c>
      <c r="F1378" t="s">
        <v>5533</v>
      </c>
      <c r="G1378" t="s">
        <v>15</v>
      </c>
      <c r="H1378" t="s">
        <v>5534</v>
      </c>
      <c r="I1378" t="s">
        <v>5535</v>
      </c>
      <c r="J1378" s="2">
        <v>46097.293153907151</v>
      </c>
    </row>
    <row r="1379" spans="1:11" x14ac:dyDescent="0.55000000000000004">
      <c r="A1379" t="s">
        <v>5536</v>
      </c>
      <c r="B1379">
        <v>100877</v>
      </c>
      <c r="C1379" t="s">
        <v>37</v>
      </c>
      <c r="D1379" s="1">
        <v>46099</v>
      </c>
      <c r="E1379" t="s">
        <v>418</v>
      </c>
      <c r="F1379" t="s">
        <v>5537</v>
      </c>
      <c r="G1379" t="s">
        <v>22</v>
      </c>
      <c r="H1379" t="s">
        <v>5538</v>
      </c>
      <c r="I1379" t="s">
        <v>5539</v>
      </c>
      <c r="J1379" s="2">
        <v>46082.947320577863</v>
      </c>
    </row>
    <row r="1380" spans="1:11" x14ac:dyDescent="0.55000000000000004">
      <c r="A1380" t="s">
        <v>5540</v>
      </c>
      <c r="B1380">
        <v>101197</v>
      </c>
      <c r="C1380" t="s">
        <v>131</v>
      </c>
      <c r="D1380" s="1">
        <v>45929</v>
      </c>
      <c r="E1380" t="s">
        <v>409</v>
      </c>
      <c r="F1380" t="s">
        <v>5541</v>
      </c>
      <c r="G1380" t="s">
        <v>15</v>
      </c>
      <c r="H1380" t="s">
        <v>5542</v>
      </c>
      <c r="I1380" t="s">
        <v>5543</v>
      </c>
      <c r="J1380" s="2">
        <v>46090.948709470533</v>
      </c>
    </row>
    <row r="1381" spans="1:11" x14ac:dyDescent="0.55000000000000004">
      <c r="A1381" t="s">
        <v>5544</v>
      </c>
      <c r="B1381">
        <v>100538</v>
      </c>
      <c r="C1381" t="s">
        <v>32</v>
      </c>
      <c r="D1381" s="1">
        <v>46098</v>
      </c>
      <c r="E1381" t="s">
        <v>243</v>
      </c>
      <c r="F1381" t="s">
        <v>5545</v>
      </c>
      <c r="G1381" t="s">
        <v>22</v>
      </c>
      <c r="H1381" t="s">
        <v>5546</v>
      </c>
      <c r="I1381" t="s">
        <v>5547</v>
      </c>
      <c r="J1381" s="2">
        <v>46077.291070586238</v>
      </c>
    </row>
    <row r="1382" spans="1:11" x14ac:dyDescent="0.55000000000000004">
      <c r="A1382" t="s">
        <v>5548</v>
      </c>
      <c r="B1382">
        <v>101103</v>
      </c>
      <c r="C1382" t="s">
        <v>248</v>
      </c>
      <c r="D1382" s="1">
        <v>45832</v>
      </c>
      <c r="E1382" t="s">
        <v>69</v>
      </c>
      <c r="F1382" t="s">
        <v>5549</v>
      </c>
      <c r="G1382" t="s">
        <v>22</v>
      </c>
      <c r="H1382" t="s">
        <v>5550</v>
      </c>
      <c r="I1382" t="s">
        <v>5551</v>
      </c>
      <c r="J1382" s="2">
        <v>46095.355653923609</v>
      </c>
    </row>
    <row r="1383" spans="1:11" x14ac:dyDescent="0.55000000000000004">
      <c r="A1383" t="s">
        <v>5552</v>
      </c>
      <c r="B1383">
        <v>101478</v>
      </c>
      <c r="C1383" t="s">
        <v>94</v>
      </c>
      <c r="D1383" s="1">
        <v>45793</v>
      </c>
      <c r="E1383" t="s">
        <v>69</v>
      </c>
      <c r="F1383" t="s">
        <v>5553</v>
      </c>
      <c r="G1383" t="s">
        <v>15</v>
      </c>
      <c r="H1383" t="s">
        <v>5554</v>
      </c>
      <c r="I1383" t="s">
        <v>5555</v>
      </c>
      <c r="J1383" s="2">
        <v>46059.281348372657</v>
      </c>
    </row>
    <row r="1384" spans="1:11" x14ac:dyDescent="0.55000000000000004">
      <c r="A1384" t="s">
        <v>5556</v>
      </c>
      <c r="B1384">
        <v>100505</v>
      </c>
      <c r="C1384" t="s">
        <v>26</v>
      </c>
      <c r="D1384" s="1">
        <v>45928</v>
      </c>
      <c r="E1384" t="s">
        <v>38</v>
      </c>
      <c r="F1384" t="s">
        <v>5557</v>
      </c>
      <c r="G1384" t="s">
        <v>15</v>
      </c>
      <c r="H1384" t="s">
        <v>5558</v>
      </c>
      <c r="I1384" t="s">
        <v>5559</v>
      </c>
      <c r="J1384" s="2">
        <v>46079.720931710392</v>
      </c>
    </row>
    <row r="1385" spans="1:11" x14ac:dyDescent="0.55000000000000004">
      <c r="A1385" t="s">
        <v>5560</v>
      </c>
      <c r="B1385">
        <v>101493</v>
      </c>
      <c r="C1385" t="s">
        <v>26</v>
      </c>
      <c r="D1385" s="1">
        <v>45734</v>
      </c>
      <c r="E1385" t="s">
        <v>356</v>
      </c>
      <c r="F1385" t="s">
        <v>5561</v>
      </c>
      <c r="G1385" t="s">
        <v>22</v>
      </c>
      <c r="H1385" t="s">
        <v>5562</v>
      </c>
      <c r="I1385" t="s">
        <v>5563</v>
      </c>
      <c r="J1385" s="2">
        <v>46094.987598381573</v>
      </c>
    </row>
    <row r="1386" spans="1:11" x14ac:dyDescent="0.55000000000000004">
      <c r="A1386" t="s">
        <v>5564</v>
      </c>
      <c r="B1386">
        <v>100542</v>
      </c>
      <c r="C1386" t="s">
        <v>82</v>
      </c>
      <c r="D1386" s="1">
        <v>45752</v>
      </c>
      <c r="E1386" t="s">
        <v>141</v>
      </c>
      <c r="F1386" t="s">
        <v>5565</v>
      </c>
      <c r="G1386" t="s">
        <v>15</v>
      </c>
      <c r="H1386" t="s">
        <v>5566</v>
      </c>
      <c r="I1386" t="s">
        <v>5567</v>
      </c>
      <c r="J1386" s="2">
        <v>46067.611209497081</v>
      </c>
    </row>
    <row r="1387" spans="1:11" x14ac:dyDescent="0.55000000000000004">
      <c r="A1387" t="s">
        <v>5568</v>
      </c>
      <c r="B1387">
        <v>100292</v>
      </c>
      <c r="C1387" t="s">
        <v>94</v>
      </c>
      <c r="D1387" s="1">
        <v>46102</v>
      </c>
      <c r="E1387" t="s">
        <v>49</v>
      </c>
      <c r="F1387" t="s">
        <v>5569</v>
      </c>
      <c r="G1387" t="s">
        <v>22</v>
      </c>
      <c r="H1387" t="s">
        <v>5570</v>
      </c>
      <c r="I1387" t="s">
        <v>5571</v>
      </c>
      <c r="J1387" s="2">
        <v>46072.632737278531</v>
      </c>
    </row>
    <row r="1388" spans="1:11" x14ac:dyDescent="0.55000000000000004">
      <c r="A1388" t="s">
        <v>5572</v>
      </c>
      <c r="B1388">
        <v>100939</v>
      </c>
      <c r="C1388" t="s">
        <v>146</v>
      </c>
      <c r="D1388" s="1">
        <v>46128</v>
      </c>
      <c r="E1388" t="s">
        <v>89</v>
      </c>
      <c r="F1388" t="s">
        <v>5573</v>
      </c>
      <c r="G1388" t="s">
        <v>15</v>
      </c>
      <c r="H1388" t="s">
        <v>5574</v>
      </c>
      <c r="I1388" t="s">
        <v>5575</v>
      </c>
      <c r="J1388" s="2">
        <v>46072.321626171877</v>
      </c>
    </row>
    <row r="1389" spans="1:11" x14ac:dyDescent="0.55000000000000004">
      <c r="A1389" t="s">
        <v>5576</v>
      </c>
      <c r="B1389">
        <v>101316</v>
      </c>
      <c r="C1389" t="s">
        <v>88</v>
      </c>
      <c r="D1389" s="1">
        <v>45984</v>
      </c>
      <c r="E1389" t="s">
        <v>13</v>
      </c>
      <c r="F1389" t="s">
        <v>5577</v>
      </c>
      <c r="G1389" t="s">
        <v>15</v>
      </c>
      <c r="H1389" t="s">
        <v>5578</v>
      </c>
      <c r="I1389" t="s">
        <v>5579</v>
      </c>
      <c r="J1389" s="2">
        <v>46083.678570620141</v>
      </c>
    </row>
    <row r="1390" spans="1:11" x14ac:dyDescent="0.55000000000000004">
      <c r="A1390" t="s">
        <v>5580</v>
      </c>
      <c r="B1390">
        <v>100810</v>
      </c>
      <c r="C1390" t="s">
        <v>37</v>
      </c>
      <c r="D1390" s="1">
        <v>45803</v>
      </c>
      <c r="E1390" t="s">
        <v>20</v>
      </c>
      <c r="F1390" t="s">
        <v>5581</v>
      </c>
      <c r="G1390" t="s">
        <v>22</v>
      </c>
      <c r="H1390" t="s">
        <v>5582</v>
      </c>
      <c r="I1390" t="s">
        <v>5583</v>
      </c>
      <c r="J1390" s="2">
        <v>46083.504265068557</v>
      </c>
    </row>
    <row r="1391" spans="1:11" x14ac:dyDescent="0.55000000000000004">
      <c r="A1391" t="s">
        <v>5584</v>
      </c>
      <c r="B1391">
        <v>101022</v>
      </c>
      <c r="C1391" t="s">
        <v>131</v>
      </c>
      <c r="D1391" s="1">
        <v>45829</v>
      </c>
      <c r="E1391" t="s">
        <v>343</v>
      </c>
      <c r="F1391" t="s">
        <v>5585</v>
      </c>
      <c r="G1391" t="s">
        <v>15</v>
      </c>
      <c r="H1391" t="s">
        <v>5586</v>
      </c>
      <c r="I1391" t="s">
        <v>5587</v>
      </c>
      <c r="J1391" s="2">
        <v>46081.684820627786</v>
      </c>
    </row>
    <row r="1392" spans="1:11" x14ac:dyDescent="0.55000000000000004">
      <c r="A1392" t="s">
        <v>5588</v>
      </c>
      <c r="B1392">
        <v>101342</v>
      </c>
      <c r="C1392" t="s">
        <v>533</v>
      </c>
      <c r="D1392" s="1">
        <v>45756</v>
      </c>
      <c r="E1392" t="s">
        <v>295</v>
      </c>
      <c r="F1392" t="s">
        <v>5589</v>
      </c>
      <c r="G1392" t="s">
        <v>22</v>
      </c>
      <c r="H1392" t="s">
        <v>5590</v>
      </c>
      <c r="I1392" t="s">
        <v>5591</v>
      </c>
      <c r="J1392" s="2">
        <v>46052.875098409422</v>
      </c>
    </row>
    <row r="1393" spans="1:11" x14ac:dyDescent="0.55000000000000004">
      <c r="A1393" t="s">
        <v>5592</v>
      </c>
      <c r="B1393">
        <v>100435</v>
      </c>
      <c r="C1393" t="s">
        <v>179</v>
      </c>
      <c r="D1393" s="1">
        <v>45870</v>
      </c>
      <c r="E1393" t="s">
        <v>680</v>
      </c>
      <c r="F1393" t="s">
        <v>5593</v>
      </c>
      <c r="G1393" t="s">
        <v>15</v>
      </c>
      <c r="H1393" t="s">
        <v>5594</v>
      </c>
      <c r="I1393" t="s">
        <v>5595</v>
      </c>
      <c r="J1393" s="2">
        <v>46089.292459524928</v>
      </c>
      <c r="K1393" t="s">
        <v>119</v>
      </c>
    </row>
    <row r="1394" spans="1:11" x14ac:dyDescent="0.55000000000000004">
      <c r="A1394" t="s">
        <v>5596</v>
      </c>
      <c r="B1394">
        <v>100644</v>
      </c>
      <c r="C1394" t="s">
        <v>114</v>
      </c>
      <c r="D1394" s="1">
        <v>46117</v>
      </c>
      <c r="E1394" t="s">
        <v>243</v>
      </c>
      <c r="F1394" t="s">
        <v>5597</v>
      </c>
      <c r="G1394" t="s">
        <v>15</v>
      </c>
      <c r="H1394" t="s">
        <v>5598</v>
      </c>
      <c r="I1394" t="s">
        <v>5599</v>
      </c>
      <c r="J1394" s="2">
        <v>46061.066765084957</v>
      </c>
    </row>
    <row r="1395" spans="1:11" x14ac:dyDescent="0.55000000000000004">
      <c r="A1395" t="s">
        <v>5600</v>
      </c>
      <c r="B1395">
        <v>101161</v>
      </c>
      <c r="C1395" t="s">
        <v>19</v>
      </c>
      <c r="D1395" s="1">
        <v>45875</v>
      </c>
      <c r="E1395" t="s">
        <v>757</v>
      </c>
      <c r="F1395" t="s">
        <v>5601</v>
      </c>
      <c r="G1395" t="s">
        <v>15</v>
      </c>
      <c r="H1395" t="s">
        <v>5602</v>
      </c>
      <c r="I1395" t="s">
        <v>5603</v>
      </c>
      <c r="J1395" s="2">
        <v>46092.37093175605</v>
      </c>
    </row>
    <row r="1396" spans="1:11" x14ac:dyDescent="0.55000000000000004">
      <c r="A1396" t="s">
        <v>5604</v>
      </c>
      <c r="B1396">
        <v>100432</v>
      </c>
      <c r="C1396" t="s">
        <v>68</v>
      </c>
      <c r="D1396" s="1">
        <v>46096</v>
      </c>
      <c r="E1396" t="s">
        <v>20</v>
      </c>
      <c r="F1396" t="s">
        <v>5605</v>
      </c>
      <c r="G1396" t="s">
        <v>15</v>
      </c>
      <c r="H1396" t="s">
        <v>5606</v>
      </c>
      <c r="I1396" t="s">
        <v>5607</v>
      </c>
      <c r="J1396" s="2">
        <v>46054.825792871663</v>
      </c>
    </row>
    <row r="1397" spans="1:11" x14ac:dyDescent="0.55000000000000004">
      <c r="A1397" t="s">
        <v>5608</v>
      </c>
      <c r="B1397">
        <v>100135</v>
      </c>
      <c r="C1397" t="s">
        <v>248</v>
      </c>
      <c r="D1397" s="1">
        <v>46087</v>
      </c>
      <c r="E1397" t="s">
        <v>155</v>
      </c>
      <c r="F1397" t="s">
        <v>5609</v>
      </c>
      <c r="G1397" t="s">
        <v>22</v>
      </c>
      <c r="H1397" t="s">
        <v>5610</v>
      </c>
      <c r="I1397" t="s">
        <v>5611</v>
      </c>
      <c r="J1397" s="2">
        <v>46094.44384843162</v>
      </c>
    </row>
    <row r="1398" spans="1:11" x14ac:dyDescent="0.55000000000000004">
      <c r="A1398" t="s">
        <v>5612</v>
      </c>
      <c r="B1398">
        <v>100548</v>
      </c>
      <c r="C1398" t="s">
        <v>37</v>
      </c>
      <c r="D1398" s="1">
        <v>46075</v>
      </c>
      <c r="E1398" t="s">
        <v>69</v>
      </c>
      <c r="F1398" t="s">
        <v>5613</v>
      </c>
      <c r="G1398" t="s">
        <v>22</v>
      </c>
      <c r="H1398" t="s">
        <v>5614</v>
      </c>
      <c r="I1398" t="s">
        <v>5615</v>
      </c>
      <c r="J1398" s="2">
        <v>46085.052876213762</v>
      </c>
    </row>
    <row r="1399" spans="1:11" x14ac:dyDescent="0.55000000000000004">
      <c r="A1399" t="s">
        <v>1583</v>
      </c>
      <c r="B1399">
        <v>100821</v>
      </c>
      <c r="C1399" t="s">
        <v>533</v>
      </c>
      <c r="D1399" s="1">
        <v>45906</v>
      </c>
      <c r="E1399" t="s">
        <v>38</v>
      </c>
      <c r="F1399" t="s">
        <v>5616</v>
      </c>
      <c r="G1399" t="s">
        <v>22</v>
      </c>
      <c r="H1399" t="s">
        <v>5617</v>
      </c>
      <c r="I1399" t="s">
        <v>5618</v>
      </c>
      <c r="J1399" s="2">
        <v>46078.100792884223</v>
      </c>
    </row>
    <row r="1400" spans="1:11" x14ac:dyDescent="0.55000000000000004">
      <c r="A1400" t="s">
        <v>5619</v>
      </c>
      <c r="B1400">
        <v>100646</v>
      </c>
      <c r="C1400" t="s">
        <v>114</v>
      </c>
      <c r="D1400" s="1">
        <v>45990</v>
      </c>
      <c r="E1400" t="s">
        <v>115</v>
      </c>
      <c r="F1400" t="s">
        <v>5620</v>
      </c>
      <c r="G1400" t="s">
        <v>15</v>
      </c>
      <c r="H1400" t="s">
        <v>5621</v>
      </c>
      <c r="I1400" t="s">
        <v>5622</v>
      </c>
      <c r="J1400" s="2">
        <v>46074.198015110072</v>
      </c>
    </row>
    <row r="1401" spans="1:11" x14ac:dyDescent="0.55000000000000004">
      <c r="A1401" t="s">
        <v>5623</v>
      </c>
      <c r="B1401">
        <v>101486</v>
      </c>
      <c r="C1401" t="s">
        <v>88</v>
      </c>
      <c r="D1401" s="1">
        <v>46049</v>
      </c>
      <c r="E1401" t="s">
        <v>680</v>
      </c>
      <c r="F1401" t="s">
        <v>5624</v>
      </c>
      <c r="G1401" t="s">
        <v>15</v>
      </c>
      <c r="H1401" t="s">
        <v>5625</v>
      </c>
      <c r="I1401" t="s">
        <v>5626</v>
      </c>
      <c r="J1401" s="2">
        <v>46080.144542892318</v>
      </c>
    </row>
    <row r="1402" spans="1:11" x14ac:dyDescent="0.55000000000000004">
      <c r="A1402" t="s">
        <v>5627</v>
      </c>
      <c r="B1402">
        <v>100469</v>
      </c>
      <c r="C1402" t="s">
        <v>48</v>
      </c>
      <c r="D1402" s="1">
        <v>46083</v>
      </c>
      <c r="E1402" t="s">
        <v>170</v>
      </c>
      <c r="F1402" t="s">
        <v>5628</v>
      </c>
      <c r="G1402" t="s">
        <v>15</v>
      </c>
      <c r="H1402" t="s">
        <v>5629</v>
      </c>
      <c r="I1402" t="s">
        <v>5630</v>
      </c>
      <c r="J1402" s="2">
        <v>46068.593848452343</v>
      </c>
    </row>
    <row r="1403" spans="1:11" x14ac:dyDescent="0.55000000000000004">
      <c r="A1403" t="s">
        <v>5631</v>
      </c>
      <c r="B1403">
        <v>100114</v>
      </c>
      <c r="C1403" t="s">
        <v>533</v>
      </c>
      <c r="D1403" s="1">
        <v>45855</v>
      </c>
      <c r="E1403" t="s">
        <v>69</v>
      </c>
      <c r="F1403" t="s">
        <v>5632</v>
      </c>
      <c r="G1403" t="s">
        <v>15</v>
      </c>
      <c r="H1403" t="s">
        <v>5633</v>
      </c>
      <c r="I1403" t="s">
        <v>5634</v>
      </c>
      <c r="J1403" s="2">
        <v>46080.705654011523</v>
      </c>
    </row>
    <row r="1404" spans="1:11" x14ac:dyDescent="0.55000000000000004">
      <c r="A1404" t="s">
        <v>5635</v>
      </c>
      <c r="B1404">
        <v>100664</v>
      </c>
      <c r="C1404" t="s">
        <v>19</v>
      </c>
      <c r="D1404" s="1">
        <v>46070</v>
      </c>
      <c r="E1404" t="s">
        <v>495</v>
      </c>
      <c r="F1404" t="s">
        <v>5636</v>
      </c>
      <c r="G1404" t="s">
        <v>15</v>
      </c>
      <c r="H1404" t="s">
        <v>5637</v>
      </c>
      <c r="I1404" t="s">
        <v>5638</v>
      </c>
      <c r="J1404" s="2">
        <v>46062.626487348469</v>
      </c>
    </row>
    <row r="1405" spans="1:11" x14ac:dyDescent="0.55000000000000004">
      <c r="A1405" t="s">
        <v>5639</v>
      </c>
      <c r="B1405">
        <v>101402</v>
      </c>
      <c r="C1405" t="s">
        <v>63</v>
      </c>
      <c r="D1405" s="1">
        <v>45952</v>
      </c>
      <c r="E1405" t="s">
        <v>115</v>
      </c>
      <c r="F1405" t="s">
        <v>5640</v>
      </c>
      <c r="G1405" t="s">
        <v>22</v>
      </c>
      <c r="H1405" t="s">
        <v>5641</v>
      </c>
      <c r="I1405" t="s">
        <v>5642</v>
      </c>
      <c r="J1405" s="2">
        <v>46065.133431796523</v>
      </c>
    </row>
    <row r="1406" spans="1:11" x14ac:dyDescent="0.55000000000000004">
      <c r="A1406" t="s">
        <v>5643</v>
      </c>
      <c r="B1406">
        <v>100449</v>
      </c>
      <c r="C1406" t="s">
        <v>82</v>
      </c>
      <c r="D1406" s="1">
        <v>45902</v>
      </c>
      <c r="E1406" t="s">
        <v>69</v>
      </c>
      <c r="F1406" t="s">
        <v>5644</v>
      </c>
      <c r="G1406" t="s">
        <v>22</v>
      </c>
      <c r="H1406" t="s">
        <v>5645</v>
      </c>
      <c r="I1406" t="s">
        <v>5646</v>
      </c>
      <c r="J1406" s="2">
        <v>46074.60704291147</v>
      </c>
    </row>
    <row r="1407" spans="1:11" x14ac:dyDescent="0.55000000000000004">
      <c r="A1407" t="s">
        <v>5647</v>
      </c>
      <c r="B1407">
        <v>101140</v>
      </c>
      <c r="C1407" t="s">
        <v>12</v>
      </c>
      <c r="D1407" s="1">
        <v>46064</v>
      </c>
      <c r="E1407" t="s">
        <v>757</v>
      </c>
      <c r="F1407" t="s">
        <v>5648</v>
      </c>
      <c r="G1407" t="s">
        <v>15</v>
      </c>
      <c r="H1407" t="s">
        <v>5649</v>
      </c>
      <c r="I1407" t="s">
        <v>5650</v>
      </c>
      <c r="J1407" s="2">
        <v>46079.477181804228</v>
      </c>
    </row>
    <row r="1408" spans="1:11" x14ac:dyDescent="0.55000000000000004">
      <c r="A1408" t="s">
        <v>5651</v>
      </c>
      <c r="B1408">
        <v>101310</v>
      </c>
      <c r="C1408" t="s">
        <v>179</v>
      </c>
      <c r="D1408" s="1">
        <v>45822</v>
      </c>
      <c r="E1408" t="s">
        <v>495</v>
      </c>
      <c r="F1408" t="s">
        <v>5652</v>
      </c>
      <c r="G1408" t="s">
        <v>22</v>
      </c>
      <c r="H1408" t="s">
        <v>5653</v>
      </c>
      <c r="I1408" t="s">
        <v>5654</v>
      </c>
      <c r="J1408" s="2">
        <v>46090.777181807927</v>
      </c>
    </row>
    <row r="1409" spans="1:11" x14ac:dyDescent="0.55000000000000004">
      <c r="A1409" t="s">
        <v>5655</v>
      </c>
      <c r="B1409">
        <v>100552</v>
      </c>
      <c r="C1409" t="s">
        <v>12</v>
      </c>
      <c r="D1409" s="1">
        <v>46062</v>
      </c>
      <c r="E1409" t="s">
        <v>155</v>
      </c>
      <c r="F1409" t="s">
        <v>5656</v>
      </c>
      <c r="G1409" t="s">
        <v>15</v>
      </c>
      <c r="H1409" t="s">
        <v>5657</v>
      </c>
      <c r="I1409" t="s">
        <v>5658</v>
      </c>
      <c r="J1409" s="2">
        <v>46090.670931812339</v>
      </c>
    </row>
    <row r="1410" spans="1:11" x14ac:dyDescent="0.55000000000000004">
      <c r="A1410" t="s">
        <v>5659</v>
      </c>
      <c r="B1410">
        <v>100777</v>
      </c>
      <c r="C1410" t="s">
        <v>12</v>
      </c>
      <c r="D1410" s="1">
        <v>46026</v>
      </c>
      <c r="E1410" t="s">
        <v>265</v>
      </c>
      <c r="F1410" t="s">
        <v>5660</v>
      </c>
      <c r="G1410" t="s">
        <v>15</v>
      </c>
      <c r="H1410" t="s">
        <v>5661</v>
      </c>
      <c r="I1410" t="s">
        <v>5662</v>
      </c>
      <c r="J1410" s="2">
        <v>46080.42440403816</v>
      </c>
      <c r="K1410" t="s">
        <v>119</v>
      </c>
    </row>
    <row r="1411" spans="1:11" x14ac:dyDescent="0.55000000000000004">
      <c r="A1411" t="s">
        <v>5663</v>
      </c>
      <c r="B1411">
        <v>100946</v>
      </c>
      <c r="C1411" t="s">
        <v>99</v>
      </c>
      <c r="D1411" s="1">
        <v>46090</v>
      </c>
      <c r="E1411" t="s">
        <v>213</v>
      </c>
      <c r="F1411" t="s">
        <v>5664</v>
      </c>
      <c r="G1411" t="s">
        <v>15</v>
      </c>
      <c r="H1411" t="s">
        <v>5665</v>
      </c>
      <c r="I1411" t="s">
        <v>5666</v>
      </c>
      <c r="J1411" s="2">
        <v>46082.762598487127</v>
      </c>
    </row>
    <row r="1412" spans="1:11" x14ac:dyDescent="0.55000000000000004">
      <c r="A1412" t="s">
        <v>5667</v>
      </c>
      <c r="C1412" t="s">
        <v>32</v>
      </c>
      <c r="D1412" s="1">
        <v>45985</v>
      </c>
      <c r="E1412" t="s">
        <v>115</v>
      </c>
      <c r="F1412" t="s">
        <v>5668</v>
      </c>
      <c r="G1412" t="s">
        <v>15</v>
      </c>
      <c r="H1412" t="s">
        <v>5669</v>
      </c>
      <c r="I1412" t="s">
        <v>5670</v>
      </c>
      <c r="J1412" s="2">
        <v>46074.840376269342</v>
      </c>
      <c r="K1412" t="s">
        <v>112</v>
      </c>
    </row>
    <row r="1413" spans="1:11" x14ac:dyDescent="0.55000000000000004">
      <c r="A1413" t="s">
        <v>5671</v>
      </c>
      <c r="B1413">
        <v>101495</v>
      </c>
      <c r="C1413" t="s">
        <v>68</v>
      </c>
      <c r="D1413" s="1">
        <v>46093</v>
      </c>
      <c r="E1413" t="s">
        <v>343</v>
      </c>
      <c r="F1413" t="s">
        <v>5672</v>
      </c>
      <c r="G1413" t="s">
        <v>15</v>
      </c>
      <c r="H1413" t="s">
        <v>5673</v>
      </c>
      <c r="I1413" t="s">
        <v>5674</v>
      </c>
      <c r="J1413" s="2">
        <v>46064.750098496319</v>
      </c>
    </row>
    <row r="1414" spans="1:11" x14ac:dyDescent="0.55000000000000004">
      <c r="A1414" t="s">
        <v>5675</v>
      </c>
      <c r="B1414">
        <v>101093</v>
      </c>
      <c r="C1414" t="s">
        <v>99</v>
      </c>
      <c r="D1414" s="1">
        <v>45976</v>
      </c>
      <c r="E1414" t="s">
        <v>160</v>
      </c>
      <c r="F1414" t="s">
        <v>5676</v>
      </c>
      <c r="G1414" t="s">
        <v>22</v>
      </c>
      <c r="H1414" t="s">
        <v>5677</v>
      </c>
      <c r="I1414" t="s">
        <v>5678</v>
      </c>
      <c r="J1414" s="2">
        <v>46054.647320723168</v>
      </c>
    </row>
    <row r="1415" spans="1:11" x14ac:dyDescent="0.55000000000000004">
      <c r="A1415" t="s">
        <v>5679</v>
      </c>
      <c r="B1415">
        <v>100350</v>
      </c>
      <c r="C1415" t="s">
        <v>48</v>
      </c>
      <c r="D1415" s="1">
        <v>45827</v>
      </c>
      <c r="E1415" t="s">
        <v>418</v>
      </c>
      <c r="F1415" t="s">
        <v>5680</v>
      </c>
      <c r="G1415" t="s">
        <v>15</v>
      </c>
      <c r="H1415" t="s">
        <v>5681</v>
      </c>
      <c r="I1415" t="s">
        <v>5682</v>
      </c>
      <c r="J1415" s="2">
        <v>46055.071626284393</v>
      </c>
    </row>
    <row r="1416" spans="1:11" x14ac:dyDescent="0.55000000000000004">
      <c r="A1416" t="s">
        <v>5683</v>
      </c>
      <c r="B1416">
        <v>101300</v>
      </c>
      <c r="C1416" t="s">
        <v>94</v>
      </c>
      <c r="D1416" s="1">
        <v>45903</v>
      </c>
      <c r="E1416" t="s">
        <v>115</v>
      </c>
      <c r="F1416" t="s">
        <v>5684</v>
      </c>
      <c r="G1416" t="s">
        <v>22</v>
      </c>
      <c r="H1416" t="s">
        <v>5685</v>
      </c>
      <c r="I1416" t="s">
        <v>5686</v>
      </c>
      <c r="J1416" s="2">
        <v>46093.50357073429</v>
      </c>
    </row>
    <row r="1417" spans="1:11" x14ac:dyDescent="0.55000000000000004">
      <c r="A1417" t="s">
        <v>5687</v>
      </c>
      <c r="B1417">
        <v>101247</v>
      </c>
      <c r="C1417" t="s">
        <v>37</v>
      </c>
      <c r="D1417" s="1">
        <v>46036</v>
      </c>
      <c r="E1417" t="s">
        <v>89</v>
      </c>
      <c r="F1417" t="s">
        <v>5688</v>
      </c>
      <c r="G1417" t="s">
        <v>15</v>
      </c>
      <c r="H1417" t="s">
        <v>5689</v>
      </c>
      <c r="I1417" t="s">
        <v>5690</v>
      </c>
      <c r="J1417" s="2">
        <v>46066.394542961752</v>
      </c>
    </row>
    <row r="1418" spans="1:11" x14ac:dyDescent="0.55000000000000004">
      <c r="A1418" t="s">
        <v>5691</v>
      </c>
      <c r="B1418">
        <v>100146</v>
      </c>
      <c r="C1418" t="s">
        <v>19</v>
      </c>
      <c r="D1418" s="1">
        <v>45788</v>
      </c>
      <c r="E1418" t="s">
        <v>155</v>
      </c>
      <c r="F1418" t="s">
        <v>5692</v>
      </c>
      <c r="G1418" t="s">
        <v>22</v>
      </c>
      <c r="H1418" t="s">
        <v>5693</v>
      </c>
      <c r="I1418" t="s">
        <v>5694</v>
      </c>
      <c r="J1418" s="2">
        <v>46082.999404078219</v>
      </c>
    </row>
    <row r="1419" spans="1:11" x14ac:dyDescent="0.55000000000000004">
      <c r="A1419" t="s">
        <v>5695</v>
      </c>
      <c r="B1419">
        <v>101327</v>
      </c>
      <c r="C1419" t="s">
        <v>82</v>
      </c>
      <c r="D1419" s="1">
        <v>45817</v>
      </c>
      <c r="E1419" t="s">
        <v>155</v>
      </c>
      <c r="F1419" t="s">
        <v>5696</v>
      </c>
      <c r="G1419" t="s">
        <v>15</v>
      </c>
      <c r="H1419" t="s">
        <v>5697</v>
      </c>
      <c r="I1419" t="s">
        <v>5698</v>
      </c>
      <c r="J1419" s="2">
        <v>46078.268848527077</v>
      </c>
    </row>
    <row r="1420" spans="1:11" x14ac:dyDescent="0.55000000000000004">
      <c r="A1420" t="s">
        <v>5699</v>
      </c>
      <c r="B1420">
        <v>101399</v>
      </c>
      <c r="C1420" t="s">
        <v>88</v>
      </c>
      <c r="D1420" s="1">
        <v>45983</v>
      </c>
      <c r="E1420" t="s">
        <v>126</v>
      </c>
      <c r="F1420" t="s">
        <v>5700</v>
      </c>
      <c r="G1420" t="s">
        <v>22</v>
      </c>
      <c r="H1420" t="s">
        <v>5701</v>
      </c>
      <c r="I1420" t="s">
        <v>5702</v>
      </c>
      <c r="J1420" s="2">
        <v>46081.227876308527</v>
      </c>
    </row>
    <row r="1421" spans="1:11" x14ac:dyDescent="0.55000000000000004">
      <c r="A1421" t="s">
        <v>377</v>
      </c>
      <c r="B1421">
        <v>100546</v>
      </c>
      <c r="C1421" t="s">
        <v>88</v>
      </c>
      <c r="D1421" s="1">
        <v>45738</v>
      </c>
      <c r="E1421" t="s">
        <v>49</v>
      </c>
      <c r="F1421" t="s">
        <v>5703</v>
      </c>
      <c r="G1421" t="s">
        <v>22</v>
      </c>
      <c r="H1421" t="s">
        <v>5704</v>
      </c>
      <c r="I1421" t="s">
        <v>5705</v>
      </c>
      <c r="J1421" s="2">
        <v>46090.362598535226</v>
      </c>
    </row>
    <row r="1422" spans="1:11" x14ac:dyDescent="0.55000000000000004">
      <c r="A1422" t="s">
        <v>5706</v>
      </c>
      <c r="C1422" t="s">
        <v>82</v>
      </c>
      <c r="D1422" s="1">
        <v>46104</v>
      </c>
      <c r="E1422" t="s">
        <v>121</v>
      </c>
      <c r="F1422" t="s">
        <v>5707</v>
      </c>
      <c r="G1422" t="s">
        <v>15</v>
      </c>
      <c r="H1422" t="s">
        <v>5708</v>
      </c>
      <c r="I1422" t="s">
        <v>5709</v>
      </c>
      <c r="J1422" s="2">
        <v>46055.544542984142</v>
      </c>
      <c r="K1422" t="s">
        <v>112</v>
      </c>
    </row>
    <row r="1423" spans="1:11" x14ac:dyDescent="0.55000000000000004">
      <c r="A1423" t="s">
        <v>5710</v>
      </c>
      <c r="B1423">
        <v>100429</v>
      </c>
      <c r="C1423" t="s">
        <v>63</v>
      </c>
      <c r="D1423" s="1">
        <v>45986</v>
      </c>
      <c r="E1423" t="s">
        <v>115</v>
      </c>
      <c r="F1423" t="s">
        <v>5711</v>
      </c>
      <c r="G1423" t="s">
        <v>22</v>
      </c>
      <c r="H1423" t="s">
        <v>5712</v>
      </c>
      <c r="I1423" t="s">
        <v>5713</v>
      </c>
      <c r="J1423" s="2">
        <v>46074.452876321993</v>
      </c>
    </row>
    <row r="1424" spans="1:11" x14ac:dyDescent="0.55000000000000004">
      <c r="A1424" t="s">
        <v>5714</v>
      </c>
      <c r="B1424">
        <v>100727</v>
      </c>
      <c r="C1424" t="s">
        <v>131</v>
      </c>
      <c r="D1424" s="1">
        <v>45831</v>
      </c>
      <c r="E1424" t="s">
        <v>141</v>
      </c>
      <c r="F1424" t="s">
        <v>5715</v>
      </c>
      <c r="G1424" t="s">
        <v>22</v>
      </c>
      <c r="H1424" t="s">
        <v>5716</v>
      </c>
      <c r="I1424" t="s">
        <v>5717</v>
      </c>
      <c r="J1424" s="2">
        <v>46056.780654103612</v>
      </c>
    </row>
    <row r="1425" spans="1:11" x14ac:dyDescent="0.55000000000000004">
      <c r="A1425" t="s">
        <v>5718</v>
      </c>
      <c r="B1425">
        <v>100758</v>
      </c>
      <c r="C1425" t="s">
        <v>146</v>
      </c>
      <c r="D1425" s="1">
        <v>45962</v>
      </c>
      <c r="E1425" t="s">
        <v>160</v>
      </c>
      <c r="F1425" t="s">
        <v>5719</v>
      </c>
      <c r="G1425" t="s">
        <v>22</v>
      </c>
      <c r="H1425" t="s">
        <v>5720</v>
      </c>
      <c r="I1425" t="s">
        <v>5721</v>
      </c>
      <c r="J1425" s="2">
        <v>46071.908431885822</v>
      </c>
    </row>
    <row r="1426" spans="1:11" x14ac:dyDescent="0.55000000000000004">
      <c r="A1426" t="s">
        <v>5722</v>
      </c>
      <c r="B1426">
        <v>100333</v>
      </c>
      <c r="C1426" t="s">
        <v>94</v>
      </c>
      <c r="D1426" s="1">
        <v>45873</v>
      </c>
      <c r="E1426" t="s">
        <v>265</v>
      </c>
      <c r="F1426" t="s">
        <v>5723</v>
      </c>
      <c r="G1426" t="s">
        <v>22</v>
      </c>
      <c r="H1426" t="s">
        <v>5724</v>
      </c>
      <c r="I1426" t="s">
        <v>5725</v>
      </c>
      <c r="J1426" s="2">
        <v>46058.571626334073</v>
      </c>
    </row>
    <row r="1427" spans="1:11" x14ac:dyDescent="0.55000000000000004">
      <c r="A1427" t="s">
        <v>5726</v>
      </c>
      <c r="B1427">
        <v>100747</v>
      </c>
      <c r="D1427" s="1">
        <v>46139</v>
      </c>
      <c r="E1427" t="s">
        <v>467</v>
      </c>
      <c r="F1427" t="s">
        <v>5727</v>
      </c>
      <c r="G1427" t="s">
        <v>22</v>
      </c>
      <c r="H1427" t="s">
        <v>5728</v>
      </c>
      <c r="I1427" t="s">
        <v>5729</v>
      </c>
      <c r="J1427" s="2">
        <v>46090.734126337709</v>
      </c>
      <c r="K1427" t="s">
        <v>217</v>
      </c>
    </row>
    <row r="1428" spans="1:11" x14ac:dyDescent="0.55000000000000004">
      <c r="A1428" t="s">
        <v>5730</v>
      </c>
      <c r="B1428">
        <v>101301</v>
      </c>
      <c r="C1428" t="s">
        <v>19</v>
      </c>
      <c r="D1428" s="1">
        <v>46082</v>
      </c>
      <c r="E1428" t="s">
        <v>69</v>
      </c>
      <c r="F1428" t="s">
        <v>5731</v>
      </c>
      <c r="G1428" t="s">
        <v>15</v>
      </c>
      <c r="H1428" t="s">
        <v>5732</v>
      </c>
      <c r="I1428" t="s">
        <v>5733</v>
      </c>
      <c r="J1428" s="2">
        <v>46064.334126341389</v>
      </c>
    </row>
    <row r="1429" spans="1:11" x14ac:dyDescent="0.55000000000000004">
      <c r="A1429" t="s">
        <v>3020</v>
      </c>
      <c r="B1429">
        <v>100928</v>
      </c>
      <c r="C1429" t="s">
        <v>99</v>
      </c>
      <c r="D1429" s="1">
        <v>46017</v>
      </c>
      <c r="E1429" t="s">
        <v>208</v>
      </c>
      <c r="F1429" t="s">
        <v>5734</v>
      </c>
      <c r="G1429" t="s">
        <v>22</v>
      </c>
      <c r="H1429" t="s">
        <v>5735</v>
      </c>
      <c r="I1429" t="s">
        <v>5736</v>
      </c>
      <c r="J1429" s="2">
        <v>46093.32718190139</v>
      </c>
    </row>
    <row r="1430" spans="1:11" x14ac:dyDescent="0.55000000000000004">
      <c r="A1430" t="s">
        <v>5737</v>
      </c>
      <c r="B1430">
        <v>101462</v>
      </c>
      <c r="C1430" t="s">
        <v>37</v>
      </c>
      <c r="D1430" s="1">
        <v>45964</v>
      </c>
      <c r="E1430" t="s">
        <v>115</v>
      </c>
      <c r="F1430" t="s">
        <v>5738</v>
      </c>
      <c r="G1430" t="s">
        <v>22</v>
      </c>
      <c r="H1430" t="s">
        <v>5739</v>
      </c>
      <c r="I1430" t="s">
        <v>5740</v>
      </c>
      <c r="J1430" s="2">
        <v>46060.570931905211</v>
      </c>
    </row>
    <row r="1431" spans="1:11" x14ac:dyDescent="0.55000000000000004">
      <c r="A1431" t="s">
        <v>5741</v>
      </c>
      <c r="B1431">
        <v>101456</v>
      </c>
      <c r="C1431" t="s">
        <v>12</v>
      </c>
      <c r="D1431" s="1">
        <v>45982</v>
      </c>
      <c r="E1431" t="s">
        <v>334</v>
      </c>
      <c r="F1431" t="s">
        <v>5742</v>
      </c>
      <c r="G1431" t="s">
        <v>22</v>
      </c>
      <c r="H1431" t="s">
        <v>5743</v>
      </c>
      <c r="I1431" t="s">
        <v>5744</v>
      </c>
      <c r="J1431" s="2">
        <v>46055.745237464573</v>
      </c>
      <c r="K1431" t="s">
        <v>119</v>
      </c>
    </row>
    <row r="1432" spans="1:11" x14ac:dyDescent="0.55000000000000004">
      <c r="A1432" t="s">
        <v>5745</v>
      </c>
      <c r="B1432">
        <v>100206</v>
      </c>
      <c r="D1432" s="1">
        <v>45860</v>
      </c>
      <c r="E1432" t="s">
        <v>20</v>
      </c>
      <c r="F1432" t="s">
        <v>5746</v>
      </c>
      <c r="G1432" t="s">
        <v>22</v>
      </c>
      <c r="H1432" t="s">
        <v>5747</v>
      </c>
      <c r="I1432" t="s">
        <v>5748</v>
      </c>
      <c r="J1432" s="2">
        <v>46064.800098579377</v>
      </c>
      <c r="K1432" t="s">
        <v>217</v>
      </c>
    </row>
    <row r="1433" spans="1:11" x14ac:dyDescent="0.55000000000000004">
      <c r="A1433" t="s">
        <v>5749</v>
      </c>
      <c r="B1433">
        <v>101482</v>
      </c>
      <c r="C1433" t="s">
        <v>146</v>
      </c>
      <c r="D1433" s="1">
        <v>45811</v>
      </c>
      <c r="E1433" t="s">
        <v>317</v>
      </c>
      <c r="F1433" t="s">
        <v>5750</v>
      </c>
      <c r="G1433" t="s">
        <v>22</v>
      </c>
      <c r="H1433" t="s">
        <v>5751</v>
      </c>
      <c r="I1433" t="s">
        <v>5752</v>
      </c>
      <c r="J1433" s="2">
        <v>46088.466765250523</v>
      </c>
    </row>
    <row r="1434" spans="1:11" x14ac:dyDescent="0.55000000000000004">
      <c r="A1434" t="s">
        <v>5753</v>
      </c>
      <c r="B1434">
        <v>100163</v>
      </c>
      <c r="C1434" t="s">
        <v>94</v>
      </c>
      <c r="D1434" s="1">
        <v>46031</v>
      </c>
      <c r="E1434" t="s">
        <v>20</v>
      </c>
      <c r="F1434" t="s">
        <v>5754</v>
      </c>
      <c r="G1434" t="s">
        <v>15</v>
      </c>
      <c r="H1434" t="s">
        <v>5755</v>
      </c>
      <c r="I1434" t="s">
        <v>5756</v>
      </c>
      <c r="J1434" s="2">
        <v>46095.073015255002</v>
      </c>
    </row>
    <row r="1435" spans="1:11" x14ac:dyDescent="0.55000000000000004">
      <c r="A1435" t="s">
        <v>5757</v>
      </c>
      <c r="B1435">
        <v>100592</v>
      </c>
      <c r="C1435" t="s">
        <v>63</v>
      </c>
      <c r="D1435" s="1">
        <v>45859</v>
      </c>
      <c r="E1435" t="s">
        <v>213</v>
      </c>
      <c r="F1435" t="s">
        <v>5758</v>
      </c>
      <c r="G1435" t="s">
        <v>22</v>
      </c>
      <c r="H1435" t="s">
        <v>5759</v>
      </c>
      <c r="I1435" t="s">
        <v>5760</v>
      </c>
      <c r="J1435" s="2">
        <v>46091.374404148322</v>
      </c>
    </row>
    <row r="1436" spans="1:11" x14ac:dyDescent="0.55000000000000004">
      <c r="A1436" t="s">
        <v>5761</v>
      </c>
      <c r="B1436">
        <v>100466</v>
      </c>
      <c r="C1436" t="s">
        <v>68</v>
      </c>
      <c r="D1436" s="1">
        <v>46037</v>
      </c>
      <c r="E1436" t="s">
        <v>409</v>
      </c>
      <c r="F1436" t="s">
        <v>5762</v>
      </c>
      <c r="G1436" t="s">
        <v>22</v>
      </c>
      <c r="H1436" t="s">
        <v>5763</v>
      </c>
      <c r="I1436" t="s">
        <v>5764</v>
      </c>
      <c r="J1436" s="2">
        <v>46054.28759859714</v>
      </c>
    </row>
    <row r="1437" spans="1:11" x14ac:dyDescent="0.55000000000000004">
      <c r="A1437" t="s">
        <v>5765</v>
      </c>
      <c r="B1437">
        <v>101354</v>
      </c>
      <c r="C1437" t="s">
        <v>26</v>
      </c>
      <c r="D1437" s="1">
        <v>45803</v>
      </c>
      <c r="E1437" t="s">
        <v>562</v>
      </c>
      <c r="F1437" t="s">
        <v>5766</v>
      </c>
      <c r="G1437" t="s">
        <v>22</v>
      </c>
      <c r="H1437" t="s">
        <v>5767</v>
      </c>
      <c r="I1437" t="s">
        <v>5768</v>
      </c>
      <c r="J1437" s="2">
        <v>46062.462598600752</v>
      </c>
    </row>
    <row r="1438" spans="1:11" x14ac:dyDescent="0.55000000000000004">
      <c r="A1438" t="s">
        <v>5769</v>
      </c>
      <c r="C1438" t="s">
        <v>68</v>
      </c>
      <c r="D1438" s="1">
        <v>45888</v>
      </c>
      <c r="E1438" t="s">
        <v>20</v>
      </c>
      <c r="F1438" t="s">
        <v>5770</v>
      </c>
      <c r="G1438" t="s">
        <v>22</v>
      </c>
      <c r="H1438" t="s">
        <v>5771</v>
      </c>
      <c r="I1438" t="s">
        <v>5772</v>
      </c>
      <c r="J1438" s="2">
        <v>46063.485515271219</v>
      </c>
      <c r="K1438" t="s">
        <v>112</v>
      </c>
    </row>
    <row r="1439" spans="1:11" x14ac:dyDescent="0.55000000000000004">
      <c r="A1439" t="s">
        <v>5773</v>
      </c>
      <c r="B1439">
        <v>100142</v>
      </c>
      <c r="C1439" t="s">
        <v>179</v>
      </c>
      <c r="D1439" s="1">
        <v>46132</v>
      </c>
      <c r="E1439" t="s">
        <v>265</v>
      </c>
      <c r="F1439" t="s">
        <v>5774</v>
      </c>
      <c r="G1439" t="s">
        <v>22</v>
      </c>
      <c r="H1439" t="s">
        <v>5775</v>
      </c>
      <c r="I1439" t="s">
        <v>5776</v>
      </c>
      <c r="J1439" s="2">
        <v>46053.300793053393</v>
      </c>
    </row>
    <row r="1440" spans="1:11" x14ac:dyDescent="0.55000000000000004">
      <c r="A1440" t="s">
        <v>5777</v>
      </c>
      <c r="B1440">
        <v>100393</v>
      </c>
      <c r="C1440" t="s">
        <v>82</v>
      </c>
      <c r="D1440" s="1">
        <v>46082</v>
      </c>
      <c r="E1440" t="s">
        <v>300</v>
      </c>
      <c r="F1440" t="s">
        <v>5778</v>
      </c>
      <c r="G1440" t="s">
        <v>22</v>
      </c>
      <c r="H1440" t="s">
        <v>5779</v>
      </c>
      <c r="I1440" t="s">
        <v>5780</v>
      </c>
      <c r="J1440" s="2">
        <v>46068.14801527933</v>
      </c>
    </row>
    <row r="1441" spans="1:10" x14ac:dyDescent="0.55000000000000004">
      <c r="A1441" t="s">
        <v>5781</v>
      </c>
      <c r="B1441">
        <v>101182</v>
      </c>
      <c r="C1441" t="s">
        <v>94</v>
      </c>
      <c r="D1441" s="1">
        <v>45968</v>
      </c>
      <c r="E1441" t="s">
        <v>38</v>
      </c>
      <c r="F1441" t="s">
        <v>5782</v>
      </c>
      <c r="G1441" t="s">
        <v>15</v>
      </c>
      <c r="H1441" t="s">
        <v>5783</v>
      </c>
      <c r="I1441" t="s">
        <v>5784</v>
      </c>
      <c r="J1441" s="2">
        <v>46071.62023750598</v>
      </c>
    </row>
    <row r="1442" spans="1:10" x14ac:dyDescent="0.55000000000000004">
      <c r="A1442" t="s">
        <v>5785</v>
      </c>
      <c r="B1442">
        <v>100740</v>
      </c>
      <c r="C1442" t="s">
        <v>114</v>
      </c>
      <c r="D1442" s="1">
        <v>46046</v>
      </c>
      <c r="E1442" t="s">
        <v>409</v>
      </c>
      <c r="F1442" t="s">
        <v>5786</v>
      </c>
      <c r="G1442" t="s">
        <v>22</v>
      </c>
      <c r="H1442" t="s">
        <v>5787</v>
      </c>
      <c r="I1442" t="s">
        <v>5788</v>
      </c>
      <c r="J1442" s="2">
        <v>46088.863293066068</v>
      </c>
    </row>
    <row r="1443" spans="1:10" x14ac:dyDescent="0.55000000000000004">
      <c r="A1443" t="s">
        <v>5789</v>
      </c>
      <c r="B1443">
        <v>101266</v>
      </c>
      <c r="C1443" t="s">
        <v>146</v>
      </c>
      <c r="D1443" s="1">
        <v>46021</v>
      </c>
      <c r="E1443" t="s">
        <v>334</v>
      </c>
      <c r="F1443" t="s">
        <v>5790</v>
      </c>
      <c r="G1443" t="s">
        <v>15</v>
      </c>
      <c r="H1443" t="s">
        <v>5791</v>
      </c>
      <c r="I1443" t="s">
        <v>5792</v>
      </c>
      <c r="J1443" s="2">
        <v>46071.793154181592</v>
      </c>
    </row>
    <row r="1444" spans="1:10" x14ac:dyDescent="0.55000000000000004">
      <c r="A1444" t="s">
        <v>5793</v>
      </c>
      <c r="B1444">
        <v>101287</v>
      </c>
      <c r="C1444" t="s">
        <v>37</v>
      </c>
      <c r="D1444" s="1">
        <v>45968</v>
      </c>
      <c r="E1444" t="s">
        <v>270</v>
      </c>
      <c r="F1444" t="s">
        <v>5794</v>
      </c>
      <c r="G1444" t="s">
        <v>15</v>
      </c>
      <c r="H1444" t="s">
        <v>5795</v>
      </c>
      <c r="I1444" t="s">
        <v>5796</v>
      </c>
      <c r="J1444" s="2">
        <v>46079.822320852662</v>
      </c>
    </row>
    <row r="1445" spans="1:10" x14ac:dyDescent="0.55000000000000004">
      <c r="A1445" t="s">
        <v>5797</v>
      </c>
      <c r="B1445">
        <v>100600</v>
      </c>
      <c r="C1445" t="s">
        <v>533</v>
      </c>
      <c r="D1445" s="1">
        <v>45902</v>
      </c>
      <c r="E1445" t="s">
        <v>83</v>
      </c>
      <c r="F1445" t="s">
        <v>5798</v>
      </c>
      <c r="G1445" t="s">
        <v>22</v>
      </c>
      <c r="H1445" t="s">
        <v>5799</v>
      </c>
      <c r="I1445" t="s">
        <v>5800</v>
      </c>
      <c r="J1445" s="2">
        <v>46094.57370974603</v>
      </c>
    </row>
    <row r="1446" spans="1:10" x14ac:dyDescent="0.55000000000000004">
      <c r="A1446" t="s">
        <v>5801</v>
      </c>
      <c r="B1446">
        <v>101130</v>
      </c>
      <c r="C1446" t="s">
        <v>26</v>
      </c>
      <c r="D1446" s="1">
        <v>46077</v>
      </c>
      <c r="E1446" t="s">
        <v>108</v>
      </c>
      <c r="F1446" t="s">
        <v>5802</v>
      </c>
      <c r="G1446" t="s">
        <v>15</v>
      </c>
      <c r="H1446" t="s">
        <v>5803</v>
      </c>
      <c r="I1446" t="s">
        <v>5804</v>
      </c>
      <c r="J1446" s="2">
        <v>46062.041765305446</v>
      </c>
    </row>
    <row r="1447" spans="1:10" x14ac:dyDescent="0.55000000000000004">
      <c r="A1447" t="s">
        <v>5805</v>
      </c>
      <c r="B1447">
        <v>100161</v>
      </c>
      <c r="C1447" t="s">
        <v>114</v>
      </c>
      <c r="D1447" s="1">
        <v>45846</v>
      </c>
      <c r="E1447" t="s">
        <v>562</v>
      </c>
      <c r="F1447" t="s">
        <v>5806</v>
      </c>
      <c r="G1447" t="s">
        <v>22</v>
      </c>
      <c r="H1447" t="s">
        <v>5807</v>
      </c>
      <c r="I1447" t="s">
        <v>5808</v>
      </c>
      <c r="J1447" s="2">
        <v>46097.056348642567</v>
      </c>
    </row>
    <row r="1448" spans="1:10" x14ac:dyDescent="0.55000000000000004">
      <c r="A1448" t="s">
        <v>5809</v>
      </c>
      <c r="B1448">
        <v>100775</v>
      </c>
      <c r="C1448" t="s">
        <v>99</v>
      </c>
      <c r="D1448" s="1">
        <v>46084</v>
      </c>
      <c r="E1448" t="s">
        <v>155</v>
      </c>
      <c r="F1448" t="s">
        <v>5810</v>
      </c>
      <c r="G1448" t="s">
        <v>15</v>
      </c>
      <c r="H1448" t="s">
        <v>5811</v>
      </c>
      <c r="I1448" t="s">
        <v>5812</v>
      </c>
      <c r="J1448" s="2">
        <v>46097.528570869443</v>
      </c>
    </row>
    <row r="1449" spans="1:10" x14ac:dyDescent="0.55000000000000004">
      <c r="A1449" t="s">
        <v>5813</v>
      </c>
      <c r="B1449">
        <v>100255</v>
      </c>
      <c r="C1449" t="s">
        <v>99</v>
      </c>
      <c r="D1449" s="1">
        <v>45793</v>
      </c>
      <c r="E1449" t="s">
        <v>528</v>
      </c>
      <c r="F1449" t="s">
        <v>5814</v>
      </c>
      <c r="G1449" t="s">
        <v>15</v>
      </c>
      <c r="H1449" t="s">
        <v>5815</v>
      </c>
      <c r="I1449" t="s">
        <v>5816</v>
      </c>
      <c r="J1449" s="2">
        <v>46067.711209762361</v>
      </c>
    </row>
    <row r="1450" spans="1:10" x14ac:dyDescent="0.55000000000000004">
      <c r="A1450" t="s">
        <v>5817</v>
      </c>
      <c r="B1450">
        <v>101098</v>
      </c>
      <c r="C1450" t="s">
        <v>82</v>
      </c>
      <c r="D1450" s="1">
        <v>45959</v>
      </c>
      <c r="E1450" t="s">
        <v>141</v>
      </c>
      <c r="F1450" t="s">
        <v>5818</v>
      </c>
      <c r="G1450" t="s">
        <v>22</v>
      </c>
      <c r="H1450" t="s">
        <v>5819</v>
      </c>
      <c r="I1450" t="s">
        <v>5820</v>
      </c>
      <c r="J1450" s="2">
        <v>46072.058431988407</v>
      </c>
    </row>
    <row r="1451" spans="1:10" x14ac:dyDescent="0.55000000000000004">
      <c r="A1451" t="s">
        <v>5821</v>
      </c>
      <c r="B1451">
        <v>100940</v>
      </c>
      <c r="C1451" t="s">
        <v>48</v>
      </c>
      <c r="D1451" s="1">
        <v>46151</v>
      </c>
      <c r="E1451" t="s">
        <v>38</v>
      </c>
      <c r="F1451" t="s">
        <v>5822</v>
      </c>
      <c r="G1451" t="s">
        <v>22</v>
      </c>
      <c r="H1451" t="s">
        <v>5823</v>
      </c>
      <c r="I1451" t="s">
        <v>5824</v>
      </c>
      <c r="J1451" s="2">
        <v>46057.777181992133</v>
      </c>
    </row>
    <row r="1452" spans="1:10" x14ac:dyDescent="0.55000000000000004">
      <c r="A1452" t="s">
        <v>5825</v>
      </c>
      <c r="B1452">
        <v>100088</v>
      </c>
      <c r="C1452" t="s">
        <v>88</v>
      </c>
      <c r="D1452" s="1">
        <v>46068</v>
      </c>
      <c r="E1452" t="s">
        <v>121</v>
      </c>
      <c r="F1452" t="s">
        <v>5826</v>
      </c>
      <c r="G1452" t="s">
        <v>15</v>
      </c>
      <c r="H1452" t="s">
        <v>5827</v>
      </c>
      <c r="I1452" t="s">
        <v>5828</v>
      </c>
      <c r="J1452" s="2">
        <v>46086.544543107753</v>
      </c>
    </row>
    <row r="1453" spans="1:10" x14ac:dyDescent="0.55000000000000004">
      <c r="A1453" t="s">
        <v>5829</v>
      </c>
      <c r="B1453">
        <v>100541</v>
      </c>
      <c r="C1453" t="s">
        <v>194</v>
      </c>
      <c r="D1453" s="1">
        <v>45819</v>
      </c>
      <c r="E1453" t="s">
        <v>587</v>
      </c>
      <c r="F1453" t="s">
        <v>5830</v>
      </c>
      <c r="G1453" t="s">
        <v>22</v>
      </c>
      <c r="H1453" t="s">
        <v>5831</v>
      </c>
      <c r="I1453" t="s">
        <v>5832</v>
      </c>
      <c r="J1453" s="2">
        <v>46067.334126445501</v>
      </c>
    </row>
    <row r="1454" spans="1:10" x14ac:dyDescent="0.55000000000000004">
      <c r="A1454" t="s">
        <v>5833</v>
      </c>
      <c r="B1454">
        <v>101236</v>
      </c>
      <c r="C1454" t="s">
        <v>68</v>
      </c>
      <c r="D1454" s="1">
        <v>46073</v>
      </c>
      <c r="E1454" t="s">
        <v>38</v>
      </c>
      <c r="F1454" t="s">
        <v>5834</v>
      </c>
      <c r="G1454" t="s">
        <v>22</v>
      </c>
      <c r="H1454" t="s">
        <v>5835</v>
      </c>
      <c r="I1454" t="s">
        <v>5836</v>
      </c>
      <c r="J1454" s="2">
        <v>46073.796626449082</v>
      </c>
    </row>
    <row r="1455" spans="1:10" x14ac:dyDescent="0.55000000000000004">
      <c r="A1455" t="s">
        <v>5837</v>
      </c>
      <c r="B1455">
        <v>100704</v>
      </c>
      <c r="C1455" t="s">
        <v>32</v>
      </c>
      <c r="D1455" s="1">
        <v>45932</v>
      </c>
      <c r="E1455" t="s">
        <v>141</v>
      </c>
      <c r="F1455" t="s">
        <v>5838</v>
      </c>
      <c r="G1455" t="s">
        <v>22</v>
      </c>
      <c r="H1455" t="s">
        <v>5839</v>
      </c>
      <c r="I1455" t="s">
        <v>5840</v>
      </c>
      <c r="J1455" s="2">
        <v>46071.141765342392</v>
      </c>
    </row>
    <row r="1456" spans="1:10" x14ac:dyDescent="0.55000000000000004">
      <c r="A1456" t="s">
        <v>5841</v>
      </c>
      <c r="B1456">
        <v>100735</v>
      </c>
      <c r="C1456" t="s">
        <v>114</v>
      </c>
      <c r="D1456" s="1">
        <v>45746</v>
      </c>
      <c r="E1456" t="s">
        <v>334</v>
      </c>
      <c r="F1456" t="s">
        <v>5842</v>
      </c>
      <c r="G1456" t="s">
        <v>22</v>
      </c>
      <c r="H1456" t="s">
        <v>5843</v>
      </c>
      <c r="I1456" t="s">
        <v>5844</v>
      </c>
      <c r="J1456" s="2">
        <v>46096.920932012872</v>
      </c>
    </row>
    <row r="1457" spans="1:10" x14ac:dyDescent="0.55000000000000004">
      <c r="A1457" t="s">
        <v>5845</v>
      </c>
      <c r="B1457">
        <v>100198</v>
      </c>
      <c r="C1457" t="s">
        <v>68</v>
      </c>
      <c r="D1457" s="1">
        <v>45749</v>
      </c>
      <c r="E1457" t="s">
        <v>213</v>
      </c>
      <c r="F1457" t="s">
        <v>5846</v>
      </c>
      <c r="G1457" t="s">
        <v>15</v>
      </c>
      <c r="H1457" t="s">
        <v>5847</v>
      </c>
      <c r="I1457" t="s">
        <v>5848</v>
      </c>
      <c r="J1457" s="2">
        <v>46075.548015349952</v>
      </c>
    </row>
    <row r="1458" spans="1:10" x14ac:dyDescent="0.55000000000000004">
      <c r="A1458" t="s">
        <v>5849</v>
      </c>
      <c r="B1458">
        <v>100778</v>
      </c>
      <c r="C1458" t="s">
        <v>88</v>
      </c>
      <c r="D1458" s="1">
        <v>46102</v>
      </c>
      <c r="E1458" t="s">
        <v>295</v>
      </c>
      <c r="F1458" t="s">
        <v>5850</v>
      </c>
      <c r="G1458" t="s">
        <v>15</v>
      </c>
      <c r="H1458" t="s">
        <v>5851</v>
      </c>
      <c r="I1458" t="s">
        <v>5852</v>
      </c>
      <c r="J1458" s="2">
        <v>46075.034126465704</v>
      </c>
    </row>
    <row r="1459" spans="1:10" x14ac:dyDescent="0.55000000000000004">
      <c r="A1459" t="s">
        <v>5853</v>
      </c>
      <c r="B1459">
        <v>100189</v>
      </c>
      <c r="C1459" t="s">
        <v>82</v>
      </c>
      <c r="D1459" s="1">
        <v>45839</v>
      </c>
      <c r="E1459" t="s">
        <v>27</v>
      </c>
      <c r="F1459" t="s">
        <v>5854</v>
      </c>
      <c r="G1459" t="s">
        <v>22</v>
      </c>
      <c r="H1459" t="s">
        <v>5855</v>
      </c>
      <c r="I1459" t="s">
        <v>5856</v>
      </c>
      <c r="J1459" s="2">
        <v>46065.657043136373</v>
      </c>
    </row>
    <row r="1460" spans="1:10" x14ac:dyDescent="0.55000000000000004">
      <c r="A1460" t="s">
        <v>5857</v>
      </c>
      <c r="B1460">
        <v>101492</v>
      </c>
      <c r="C1460" t="s">
        <v>48</v>
      </c>
      <c r="D1460" s="1">
        <v>46067</v>
      </c>
      <c r="E1460" t="s">
        <v>20</v>
      </c>
      <c r="F1460" t="s">
        <v>5858</v>
      </c>
      <c r="G1460" t="s">
        <v>22</v>
      </c>
      <c r="H1460" t="s">
        <v>5859</v>
      </c>
      <c r="I1460" t="s">
        <v>5860</v>
      </c>
      <c r="J1460" s="2">
        <v>46068.547320919497</v>
      </c>
    </row>
    <row r="1461" spans="1:10" x14ac:dyDescent="0.55000000000000004">
      <c r="A1461" t="s">
        <v>5861</v>
      </c>
      <c r="B1461">
        <v>100689</v>
      </c>
      <c r="C1461" t="s">
        <v>32</v>
      </c>
      <c r="D1461" s="1">
        <v>46133</v>
      </c>
      <c r="E1461" t="s">
        <v>83</v>
      </c>
      <c r="F1461" t="s">
        <v>5862</v>
      </c>
      <c r="G1461" t="s">
        <v>22</v>
      </c>
      <c r="H1461" t="s">
        <v>5863</v>
      </c>
      <c r="I1461" t="s">
        <v>5864</v>
      </c>
      <c r="J1461" s="2">
        <v>46073.075098701011</v>
      </c>
    </row>
    <row r="1462" spans="1:10" x14ac:dyDescent="0.55000000000000004">
      <c r="A1462" t="s">
        <v>5865</v>
      </c>
      <c r="B1462">
        <v>100440</v>
      </c>
      <c r="C1462" t="s">
        <v>99</v>
      </c>
      <c r="D1462" s="1">
        <v>46069</v>
      </c>
      <c r="E1462" t="s">
        <v>38</v>
      </c>
      <c r="F1462" t="s">
        <v>2249</v>
      </c>
      <c r="G1462" t="s">
        <v>22</v>
      </c>
      <c r="H1462" t="s">
        <v>5866</v>
      </c>
      <c r="I1462" t="s">
        <v>5867</v>
      </c>
      <c r="J1462" s="2">
        <v>46088.753570927809</v>
      </c>
    </row>
    <row r="1463" spans="1:10" x14ac:dyDescent="0.55000000000000004">
      <c r="A1463" t="s">
        <v>5868</v>
      </c>
      <c r="B1463">
        <v>100318</v>
      </c>
      <c r="C1463" t="s">
        <v>169</v>
      </c>
      <c r="D1463" s="1">
        <v>46033</v>
      </c>
      <c r="E1463" t="s">
        <v>495</v>
      </c>
      <c r="F1463" t="s">
        <v>5869</v>
      </c>
      <c r="G1463" t="s">
        <v>15</v>
      </c>
      <c r="H1463" t="s">
        <v>5870</v>
      </c>
      <c r="I1463" t="s">
        <v>5871</v>
      </c>
      <c r="J1463" s="2">
        <v>46095.704265376648</v>
      </c>
    </row>
    <row r="1464" spans="1:10" x14ac:dyDescent="0.55000000000000004">
      <c r="A1464" t="s">
        <v>5872</v>
      </c>
      <c r="B1464">
        <v>101468</v>
      </c>
      <c r="C1464" t="s">
        <v>48</v>
      </c>
      <c r="D1464" s="1">
        <v>45850</v>
      </c>
      <c r="E1464" t="s">
        <v>317</v>
      </c>
      <c r="F1464" t="s">
        <v>5873</v>
      </c>
      <c r="G1464" t="s">
        <v>15</v>
      </c>
      <c r="H1464" t="s">
        <v>5874</v>
      </c>
      <c r="I1464" t="s">
        <v>5875</v>
      </c>
      <c r="J1464" s="2">
        <v>46065.779959825522</v>
      </c>
    </row>
    <row r="1465" spans="1:10" x14ac:dyDescent="0.55000000000000004">
      <c r="A1465" t="s">
        <v>5876</v>
      </c>
      <c r="B1465">
        <v>100696</v>
      </c>
      <c r="C1465" t="s">
        <v>19</v>
      </c>
      <c r="D1465" s="1">
        <v>45897</v>
      </c>
      <c r="E1465" t="s">
        <v>317</v>
      </c>
      <c r="F1465" t="s">
        <v>5877</v>
      </c>
      <c r="G1465" t="s">
        <v>15</v>
      </c>
      <c r="H1465" t="s">
        <v>5878</v>
      </c>
      <c r="I1465" t="s">
        <v>5879</v>
      </c>
      <c r="J1465" s="2">
        <v>46091.498709829939</v>
      </c>
    </row>
    <row r="1466" spans="1:10" x14ac:dyDescent="0.55000000000000004">
      <c r="A1466" t="s">
        <v>5880</v>
      </c>
      <c r="B1466">
        <v>100865</v>
      </c>
      <c r="C1466" t="s">
        <v>179</v>
      </c>
      <c r="D1466" s="1">
        <v>46118</v>
      </c>
      <c r="E1466" t="s">
        <v>141</v>
      </c>
      <c r="F1466" t="s">
        <v>5881</v>
      </c>
      <c r="G1466" t="s">
        <v>22</v>
      </c>
      <c r="H1466" t="s">
        <v>5882</v>
      </c>
      <c r="I1466" t="s">
        <v>5883</v>
      </c>
      <c r="J1466" s="2">
        <v>46090.693154278197</v>
      </c>
    </row>
    <row r="1467" spans="1:10" x14ac:dyDescent="0.55000000000000004">
      <c r="A1467" t="s">
        <v>5884</v>
      </c>
      <c r="B1467">
        <v>101429</v>
      </c>
      <c r="C1467" t="s">
        <v>131</v>
      </c>
      <c r="D1467" s="1">
        <v>45958</v>
      </c>
      <c r="E1467" t="s">
        <v>170</v>
      </c>
      <c r="F1467" t="s">
        <v>5885</v>
      </c>
      <c r="G1467" t="s">
        <v>15</v>
      </c>
      <c r="H1467" t="s">
        <v>5886</v>
      </c>
      <c r="I1467" t="s">
        <v>5887</v>
      </c>
      <c r="J1467" s="2">
        <v>46077.593154282687</v>
      </c>
    </row>
    <row r="1468" spans="1:10" x14ac:dyDescent="0.55000000000000004">
      <c r="A1468" t="s">
        <v>5888</v>
      </c>
      <c r="B1468">
        <v>100326</v>
      </c>
      <c r="C1468" t="s">
        <v>88</v>
      </c>
      <c r="D1468" s="1">
        <v>45925</v>
      </c>
      <c r="E1468" t="s">
        <v>317</v>
      </c>
      <c r="F1468" t="s">
        <v>5889</v>
      </c>
      <c r="G1468" t="s">
        <v>15</v>
      </c>
      <c r="H1468" t="s">
        <v>5890</v>
      </c>
      <c r="I1468" t="s">
        <v>5891</v>
      </c>
      <c r="J1468" s="2">
        <v>46085.386904287327</v>
      </c>
    </row>
    <row r="1469" spans="1:10" x14ac:dyDescent="0.55000000000000004">
      <c r="A1469" t="s">
        <v>5892</v>
      </c>
      <c r="B1469">
        <v>100013</v>
      </c>
      <c r="C1469" t="s">
        <v>19</v>
      </c>
      <c r="D1469" s="1">
        <v>45956</v>
      </c>
      <c r="E1469" t="s">
        <v>160</v>
      </c>
      <c r="F1469" t="s">
        <v>5893</v>
      </c>
      <c r="G1469" t="s">
        <v>15</v>
      </c>
      <c r="H1469" t="s">
        <v>5894</v>
      </c>
      <c r="I1469" t="s">
        <v>5895</v>
      </c>
      <c r="J1469" s="2">
        <v>46069.994543179957</v>
      </c>
    </row>
    <row r="1470" spans="1:10" x14ac:dyDescent="0.55000000000000004">
      <c r="A1470" t="s">
        <v>5896</v>
      </c>
      <c r="B1470">
        <v>100569</v>
      </c>
      <c r="C1470" t="s">
        <v>248</v>
      </c>
      <c r="D1470" s="1">
        <v>45776</v>
      </c>
      <c r="E1470" t="s">
        <v>108</v>
      </c>
      <c r="F1470" t="s">
        <v>5897</v>
      </c>
      <c r="G1470" t="s">
        <v>15</v>
      </c>
      <c r="H1470" t="s">
        <v>5898</v>
      </c>
      <c r="I1470" t="s">
        <v>5899</v>
      </c>
      <c r="J1470" s="2">
        <v>46089.738987628923</v>
      </c>
    </row>
    <row r="1471" spans="1:10" x14ac:dyDescent="0.55000000000000004">
      <c r="A1471" t="s">
        <v>5900</v>
      </c>
      <c r="B1471">
        <v>101206</v>
      </c>
      <c r="C1471" t="s">
        <v>63</v>
      </c>
      <c r="D1471" s="1">
        <v>46128</v>
      </c>
      <c r="E1471" t="s">
        <v>27</v>
      </c>
      <c r="F1471" t="s">
        <v>5901</v>
      </c>
      <c r="G1471" t="s">
        <v>15</v>
      </c>
      <c r="H1471" t="s">
        <v>5902</v>
      </c>
      <c r="I1471" t="s">
        <v>5903</v>
      </c>
      <c r="J1471" s="2">
        <v>46076.482737632978</v>
      </c>
    </row>
    <row r="1472" spans="1:10" x14ac:dyDescent="0.55000000000000004">
      <c r="A1472" t="s">
        <v>5904</v>
      </c>
      <c r="B1472">
        <v>100919</v>
      </c>
      <c r="C1472" t="s">
        <v>82</v>
      </c>
      <c r="D1472" s="1">
        <v>45986</v>
      </c>
      <c r="E1472" t="s">
        <v>115</v>
      </c>
      <c r="F1472" t="s">
        <v>5905</v>
      </c>
      <c r="G1472" t="s">
        <v>22</v>
      </c>
      <c r="H1472" t="s">
        <v>5906</v>
      </c>
      <c r="I1472" t="s">
        <v>5907</v>
      </c>
      <c r="J1472" s="2">
        <v>46065.245237636722</v>
      </c>
    </row>
    <row r="1473" spans="1:10" x14ac:dyDescent="0.55000000000000004">
      <c r="A1473" t="s">
        <v>5908</v>
      </c>
      <c r="B1473">
        <v>100451</v>
      </c>
      <c r="C1473" t="s">
        <v>63</v>
      </c>
      <c r="D1473" s="1">
        <v>46048</v>
      </c>
      <c r="E1473" t="s">
        <v>121</v>
      </c>
      <c r="F1473" t="s">
        <v>5909</v>
      </c>
      <c r="G1473" t="s">
        <v>22</v>
      </c>
      <c r="H1473" t="s">
        <v>5910</v>
      </c>
      <c r="I1473" t="s">
        <v>5911</v>
      </c>
      <c r="J1473" s="2">
        <v>46057.211209862791</v>
      </c>
    </row>
    <row r="1474" spans="1:10" x14ac:dyDescent="0.55000000000000004">
      <c r="A1474" t="s">
        <v>5912</v>
      </c>
      <c r="B1474">
        <v>100859</v>
      </c>
      <c r="C1474" t="s">
        <v>131</v>
      </c>
      <c r="D1474" s="1">
        <v>46023</v>
      </c>
      <c r="E1474" t="s">
        <v>115</v>
      </c>
      <c r="F1474" t="s">
        <v>5913</v>
      </c>
      <c r="G1474" t="s">
        <v>22</v>
      </c>
      <c r="H1474" t="s">
        <v>5914</v>
      </c>
      <c r="I1474" t="s">
        <v>5915</v>
      </c>
      <c r="J1474" s="2">
        <v>46091.578570977712</v>
      </c>
    </row>
    <row r="1475" spans="1:10" x14ac:dyDescent="0.55000000000000004">
      <c r="A1475" t="s">
        <v>5916</v>
      </c>
      <c r="B1475">
        <v>101490</v>
      </c>
      <c r="C1475" t="s">
        <v>19</v>
      </c>
      <c r="D1475" s="1">
        <v>45850</v>
      </c>
      <c r="E1475" t="s">
        <v>38</v>
      </c>
      <c r="F1475" t="s">
        <v>5917</v>
      </c>
      <c r="G1475" t="s">
        <v>22</v>
      </c>
      <c r="H1475" t="s">
        <v>5918</v>
      </c>
      <c r="I1475" t="s">
        <v>5919</v>
      </c>
      <c r="J1475" s="2">
        <v>46096.427876537142</v>
      </c>
    </row>
    <row r="1476" spans="1:10" x14ac:dyDescent="0.55000000000000004">
      <c r="A1476" t="s">
        <v>5920</v>
      </c>
      <c r="B1476">
        <v>101436</v>
      </c>
      <c r="C1476" t="s">
        <v>68</v>
      </c>
      <c r="D1476" s="1">
        <v>46156</v>
      </c>
      <c r="E1476" t="s">
        <v>58</v>
      </c>
      <c r="F1476" t="s">
        <v>5921</v>
      </c>
      <c r="G1476" t="s">
        <v>15</v>
      </c>
      <c r="H1476" t="s">
        <v>5922</v>
      </c>
      <c r="I1476" t="s">
        <v>5923</v>
      </c>
      <c r="J1476" s="2">
        <v>46087.336904319352</v>
      </c>
    </row>
    <row r="1477" spans="1:10" x14ac:dyDescent="0.55000000000000004">
      <c r="A1477" t="s">
        <v>5924</v>
      </c>
      <c r="B1477">
        <v>101330</v>
      </c>
      <c r="C1477" t="s">
        <v>131</v>
      </c>
      <c r="D1477" s="1">
        <v>46005</v>
      </c>
      <c r="E1477" t="s">
        <v>160</v>
      </c>
      <c r="F1477" t="s">
        <v>4286</v>
      </c>
      <c r="G1477" t="s">
        <v>22</v>
      </c>
      <c r="H1477" t="s">
        <v>5925</v>
      </c>
      <c r="I1477" t="s">
        <v>5926</v>
      </c>
      <c r="J1477" s="2">
        <v>46058.665376545541</v>
      </c>
    </row>
    <row r="1478" spans="1:10" x14ac:dyDescent="0.55000000000000004">
      <c r="A1478" t="s">
        <v>5927</v>
      </c>
      <c r="B1478">
        <v>101466</v>
      </c>
      <c r="C1478" t="s">
        <v>146</v>
      </c>
      <c r="D1478" s="1">
        <v>46089</v>
      </c>
      <c r="E1478" t="s">
        <v>38</v>
      </c>
      <c r="F1478" t="s">
        <v>5928</v>
      </c>
      <c r="G1478" t="s">
        <v>22</v>
      </c>
      <c r="H1478" t="s">
        <v>5929</v>
      </c>
      <c r="I1478" t="s">
        <v>5930</v>
      </c>
      <c r="J1478" s="2">
        <v>46080.81745988359</v>
      </c>
    </row>
    <row r="1479" spans="1:10" x14ac:dyDescent="0.55000000000000004">
      <c r="A1479" t="s">
        <v>5931</v>
      </c>
      <c r="B1479">
        <v>100407</v>
      </c>
      <c r="C1479" t="s">
        <v>37</v>
      </c>
      <c r="D1479" s="1">
        <v>45748</v>
      </c>
      <c r="E1479" t="s">
        <v>58</v>
      </c>
      <c r="F1479" t="s">
        <v>5932</v>
      </c>
      <c r="G1479" t="s">
        <v>15</v>
      </c>
      <c r="H1479" t="s">
        <v>5933</v>
      </c>
      <c r="I1479" t="s">
        <v>5934</v>
      </c>
      <c r="J1479" s="2">
        <v>46076.661904332061</v>
      </c>
    </row>
    <row r="1480" spans="1:10" x14ac:dyDescent="0.55000000000000004">
      <c r="A1480" t="s">
        <v>5935</v>
      </c>
      <c r="B1480">
        <v>101149</v>
      </c>
      <c r="C1480" t="s">
        <v>114</v>
      </c>
      <c r="D1480" s="1">
        <v>45836</v>
      </c>
      <c r="E1480" t="s">
        <v>13</v>
      </c>
      <c r="F1480" t="s">
        <v>5936</v>
      </c>
      <c r="G1480" t="s">
        <v>15</v>
      </c>
      <c r="H1480" t="s">
        <v>5937</v>
      </c>
      <c r="I1480" t="s">
        <v>5938</v>
      </c>
      <c r="J1480" s="2">
        <v>46066.642459892151</v>
      </c>
    </row>
    <row r="1481" spans="1:10" x14ac:dyDescent="0.55000000000000004">
      <c r="A1481" t="s">
        <v>5939</v>
      </c>
      <c r="B1481">
        <v>100054</v>
      </c>
      <c r="C1481" t="s">
        <v>26</v>
      </c>
      <c r="D1481" s="1">
        <v>46044</v>
      </c>
      <c r="E1481" t="s">
        <v>13</v>
      </c>
      <c r="F1481" t="s">
        <v>5940</v>
      </c>
      <c r="G1481" t="s">
        <v>22</v>
      </c>
      <c r="H1481" t="s">
        <v>5941</v>
      </c>
      <c r="I1481" t="s">
        <v>5942</v>
      </c>
      <c r="J1481" s="2">
        <v>46058.875098785531</v>
      </c>
    </row>
    <row r="1482" spans="1:10" x14ac:dyDescent="0.55000000000000004">
      <c r="A1482" t="s">
        <v>5943</v>
      </c>
      <c r="B1482">
        <v>101232</v>
      </c>
      <c r="C1482" t="s">
        <v>131</v>
      </c>
      <c r="D1482" s="1">
        <v>46014</v>
      </c>
      <c r="E1482" t="s">
        <v>356</v>
      </c>
      <c r="F1482" t="s">
        <v>5944</v>
      </c>
      <c r="G1482" t="s">
        <v>15</v>
      </c>
      <c r="H1482" t="s">
        <v>5945</v>
      </c>
      <c r="I1482" t="s">
        <v>5946</v>
      </c>
      <c r="J1482" s="2">
        <v>46091.695932122879</v>
      </c>
    </row>
    <row r="1483" spans="1:10" x14ac:dyDescent="0.55000000000000004">
      <c r="A1483" t="s">
        <v>5947</v>
      </c>
      <c r="B1483">
        <v>101034</v>
      </c>
      <c r="C1483" t="s">
        <v>19</v>
      </c>
      <c r="D1483" s="1">
        <v>45991</v>
      </c>
      <c r="E1483" t="s">
        <v>317</v>
      </c>
      <c r="F1483" t="s">
        <v>5948</v>
      </c>
      <c r="G1483" t="s">
        <v>22</v>
      </c>
      <c r="H1483" t="s">
        <v>5949</v>
      </c>
      <c r="I1483" t="s">
        <v>5950</v>
      </c>
      <c r="J1483" s="2">
        <v>46070.066765460731</v>
      </c>
    </row>
    <row r="1484" spans="1:10" x14ac:dyDescent="0.55000000000000004">
      <c r="A1484" t="s">
        <v>5951</v>
      </c>
      <c r="B1484">
        <v>100476</v>
      </c>
      <c r="C1484" t="s">
        <v>68</v>
      </c>
      <c r="D1484" s="1">
        <v>46132</v>
      </c>
      <c r="E1484" t="s">
        <v>155</v>
      </c>
      <c r="F1484" t="s">
        <v>5952</v>
      </c>
      <c r="G1484" t="s">
        <v>15</v>
      </c>
      <c r="H1484" t="s">
        <v>5953</v>
      </c>
      <c r="I1484" t="s">
        <v>5954</v>
      </c>
      <c r="J1484" s="2">
        <v>46096.467459909793</v>
      </c>
    </row>
    <row r="1485" spans="1:10" x14ac:dyDescent="0.55000000000000004">
      <c r="A1485" t="s">
        <v>5955</v>
      </c>
      <c r="B1485">
        <v>100447</v>
      </c>
      <c r="C1485" t="s">
        <v>146</v>
      </c>
      <c r="D1485" s="1">
        <v>46043</v>
      </c>
      <c r="E1485" t="s">
        <v>141</v>
      </c>
      <c r="F1485" t="s">
        <v>5956</v>
      </c>
      <c r="G1485" t="s">
        <v>22</v>
      </c>
      <c r="H1485" t="s">
        <v>5957</v>
      </c>
      <c r="I1485" t="s">
        <v>5958</v>
      </c>
      <c r="J1485" s="2">
        <v>46094.195932135961</v>
      </c>
    </row>
    <row r="1486" spans="1:10" x14ac:dyDescent="0.55000000000000004">
      <c r="A1486" t="s">
        <v>3726</v>
      </c>
      <c r="B1486">
        <v>100191</v>
      </c>
      <c r="C1486" t="s">
        <v>179</v>
      </c>
      <c r="D1486" s="1">
        <v>46088</v>
      </c>
      <c r="E1486" t="s">
        <v>69</v>
      </c>
      <c r="F1486" t="s">
        <v>5959</v>
      </c>
      <c r="G1486" t="s">
        <v>22</v>
      </c>
      <c r="H1486" t="s">
        <v>5960</v>
      </c>
      <c r="I1486" t="s">
        <v>5961</v>
      </c>
      <c r="J1486" s="2">
        <v>46062.550098807122</v>
      </c>
    </row>
    <row r="1487" spans="1:10" x14ac:dyDescent="0.55000000000000004">
      <c r="A1487" t="s">
        <v>5962</v>
      </c>
      <c r="B1487">
        <v>100061</v>
      </c>
      <c r="C1487" t="s">
        <v>533</v>
      </c>
      <c r="D1487" s="1">
        <v>45956</v>
      </c>
      <c r="E1487" t="s">
        <v>38</v>
      </c>
      <c r="F1487" t="s">
        <v>5963</v>
      </c>
      <c r="G1487" t="s">
        <v>22</v>
      </c>
      <c r="H1487" t="s">
        <v>5964</v>
      </c>
      <c r="I1487" t="s">
        <v>5965</v>
      </c>
      <c r="J1487" s="2">
        <v>46075.470932145152</v>
      </c>
    </row>
    <row r="1488" spans="1:10" x14ac:dyDescent="0.55000000000000004">
      <c r="A1488" t="s">
        <v>5966</v>
      </c>
      <c r="B1488">
        <v>100065</v>
      </c>
      <c r="C1488" t="s">
        <v>169</v>
      </c>
      <c r="D1488" s="1">
        <v>45955</v>
      </c>
      <c r="E1488" t="s">
        <v>115</v>
      </c>
      <c r="F1488" t="s">
        <v>5967</v>
      </c>
      <c r="G1488" t="s">
        <v>15</v>
      </c>
      <c r="H1488" t="s">
        <v>5968</v>
      </c>
      <c r="I1488" t="s">
        <v>5969</v>
      </c>
      <c r="J1488" s="2">
        <v>46091.909126593193</v>
      </c>
    </row>
    <row r="1489" spans="1:10" x14ac:dyDescent="0.55000000000000004">
      <c r="A1489" t="s">
        <v>5970</v>
      </c>
      <c r="B1489">
        <v>100864</v>
      </c>
      <c r="C1489" t="s">
        <v>37</v>
      </c>
      <c r="D1489" s="1">
        <v>45848</v>
      </c>
      <c r="E1489" t="s">
        <v>27</v>
      </c>
      <c r="F1489" t="s">
        <v>5971</v>
      </c>
      <c r="G1489" t="s">
        <v>15</v>
      </c>
      <c r="H1489" t="s">
        <v>5972</v>
      </c>
      <c r="I1489" t="s">
        <v>5973</v>
      </c>
      <c r="J1489" s="2">
        <v>46097.391071041391</v>
      </c>
    </row>
    <row r="1490" spans="1:10" x14ac:dyDescent="0.55000000000000004">
      <c r="A1490" t="s">
        <v>5974</v>
      </c>
      <c r="B1490">
        <v>101209</v>
      </c>
      <c r="C1490" t="s">
        <v>12</v>
      </c>
      <c r="D1490" s="1">
        <v>45771</v>
      </c>
      <c r="E1490" t="s">
        <v>115</v>
      </c>
      <c r="F1490" t="s">
        <v>5975</v>
      </c>
      <c r="G1490" t="s">
        <v>22</v>
      </c>
      <c r="H1490" t="s">
        <v>5976</v>
      </c>
      <c r="I1490" t="s">
        <v>5977</v>
      </c>
      <c r="J1490" s="2">
        <v>46086.344543267427</v>
      </c>
    </row>
    <row r="1491" spans="1:10" x14ac:dyDescent="0.55000000000000004">
      <c r="A1491" t="s">
        <v>5978</v>
      </c>
      <c r="B1491">
        <v>100178</v>
      </c>
      <c r="C1491" t="s">
        <v>12</v>
      </c>
      <c r="D1491" s="1">
        <v>45892</v>
      </c>
      <c r="E1491" t="s">
        <v>409</v>
      </c>
      <c r="F1491" t="s">
        <v>5979</v>
      </c>
      <c r="G1491" t="s">
        <v>22</v>
      </c>
      <c r="H1491" t="s">
        <v>5980</v>
      </c>
      <c r="I1491" t="s">
        <v>5981</v>
      </c>
      <c r="J1491" s="2">
        <v>46088.884126604491</v>
      </c>
    </row>
    <row r="1492" spans="1:10" x14ac:dyDescent="0.55000000000000004">
      <c r="A1492" t="s">
        <v>5982</v>
      </c>
      <c r="B1492">
        <v>101116</v>
      </c>
      <c r="C1492" t="s">
        <v>179</v>
      </c>
      <c r="D1492" s="1">
        <v>45977</v>
      </c>
      <c r="E1492" t="s">
        <v>184</v>
      </c>
      <c r="F1492" t="s">
        <v>5983</v>
      </c>
      <c r="G1492" t="s">
        <v>22</v>
      </c>
      <c r="H1492" t="s">
        <v>5984</v>
      </c>
      <c r="I1492" t="s">
        <v>5985</v>
      </c>
      <c r="J1492" s="2">
        <v>46063.453571052807</v>
      </c>
    </row>
    <row r="1493" spans="1:10" x14ac:dyDescent="0.55000000000000004">
      <c r="A1493" t="s">
        <v>5986</v>
      </c>
      <c r="B1493">
        <v>101385</v>
      </c>
      <c r="C1493" t="s">
        <v>19</v>
      </c>
      <c r="D1493" s="1">
        <v>46093</v>
      </c>
      <c r="E1493" t="s">
        <v>208</v>
      </c>
      <c r="F1493" t="s">
        <v>5987</v>
      </c>
      <c r="G1493" t="s">
        <v>22</v>
      </c>
      <c r="H1493" t="s">
        <v>5988</v>
      </c>
      <c r="I1493" t="s">
        <v>5989</v>
      </c>
      <c r="J1493" s="2">
        <v>46073.961904390031</v>
      </c>
    </row>
    <row r="1494" spans="1:10" x14ac:dyDescent="0.55000000000000004">
      <c r="A1494" t="s">
        <v>5990</v>
      </c>
      <c r="B1494">
        <v>100209</v>
      </c>
      <c r="C1494" t="s">
        <v>68</v>
      </c>
      <c r="D1494" s="1">
        <v>46066</v>
      </c>
      <c r="E1494" t="s">
        <v>38</v>
      </c>
      <c r="F1494" t="s">
        <v>5991</v>
      </c>
      <c r="G1494" t="s">
        <v>22</v>
      </c>
      <c r="H1494" t="s">
        <v>5992</v>
      </c>
      <c r="I1494" t="s">
        <v>5993</v>
      </c>
      <c r="J1494" s="2">
        <v>46076.753571060573</v>
      </c>
    </row>
    <row r="1495" spans="1:10" x14ac:dyDescent="0.55000000000000004">
      <c r="A1495" t="s">
        <v>5994</v>
      </c>
      <c r="B1495">
        <v>100285</v>
      </c>
      <c r="C1495" t="s">
        <v>146</v>
      </c>
      <c r="D1495" s="1">
        <v>45989</v>
      </c>
      <c r="E1495" t="s">
        <v>155</v>
      </c>
      <c r="F1495" t="s">
        <v>5995</v>
      </c>
      <c r="G1495" t="s">
        <v>22</v>
      </c>
      <c r="H1495" t="s">
        <v>5996</v>
      </c>
      <c r="I1495" t="s">
        <v>5997</v>
      </c>
      <c r="J1495" s="2">
        <v>46070.861904397672</v>
      </c>
    </row>
    <row r="1496" spans="1:10" x14ac:dyDescent="0.55000000000000004">
      <c r="A1496" t="s">
        <v>5998</v>
      </c>
      <c r="B1496">
        <v>100457</v>
      </c>
      <c r="C1496" t="s">
        <v>19</v>
      </c>
      <c r="D1496" s="1">
        <v>45875</v>
      </c>
      <c r="E1496" t="s">
        <v>115</v>
      </c>
      <c r="F1496" t="s">
        <v>5999</v>
      </c>
      <c r="G1496" t="s">
        <v>15</v>
      </c>
      <c r="H1496" t="s">
        <v>6000</v>
      </c>
      <c r="I1496" t="s">
        <v>6001</v>
      </c>
      <c r="J1496" s="2">
        <v>46064.418154401668</v>
      </c>
    </row>
    <row r="1497" spans="1:10" x14ac:dyDescent="0.55000000000000004">
      <c r="A1497" t="s">
        <v>6002</v>
      </c>
      <c r="B1497">
        <v>100501</v>
      </c>
      <c r="C1497" t="s">
        <v>68</v>
      </c>
      <c r="D1497" s="1">
        <v>46111</v>
      </c>
      <c r="E1497" t="s">
        <v>199</v>
      </c>
      <c r="F1497" t="s">
        <v>6003</v>
      </c>
      <c r="G1497" t="s">
        <v>15</v>
      </c>
      <c r="H1497" t="s">
        <v>6004</v>
      </c>
      <c r="I1497" t="s">
        <v>6005</v>
      </c>
      <c r="J1497" s="2">
        <v>46095.41190440557</v>
      </c>
    </row>
    <row r="1498" spans="1:10" x14ac:dyDescent="0.55000000000000004">
      <c r="A1498" t="s">
        <v>6006</v>
      </c>
      <c r="B1498">
        <v>100563</v>
      </c>
      <c r="C1498" t="s">
        <v>88</v>
      </c>
      <c r="D1498" s="1">
        <v>46064</v>
      </c>
      <c r="E1498" t="s">
        <v>141</v>
      </c>
      <c r="F1498" t="s">
        <v>6007</v>
      </c>
      <c r="G1498" t="s">
        <v>22</v>
      </c>
      <c r="H1498" t="s">
        <v>6008</v>
      </c>
      <c r="I1498" t="s">
        <v>6009</v>
      </c>
      <c r="J1498" s="2">
        <v>46095.361904410151</v>
      </c>
    </row>
    <row r="1499" spans="1:10" x14ac:dyDescent="0.55000000000000004">
      <c r="A1499" t="s">
        <v>6010</v>
      </c>
      <c r="B1499">
        <v>100051</v>
      </c>
      <c r="C1499" t="s">
        <v>32</v>
      </c>
      <c r="D1499" s="1">
        <v>46033</v>
      </c>
      <c r="E1499" t="s">
        <v>295</v>
      </c>
      <c r="F1499" t="s">
        <v>6011</v>
      </c>
      <c r="G1499" t="s">
        <v>15</v>
      </c>
      <c r="H1499" t="s">
        <v>6012</v>
      </c>
      <c r="I1499" t="s">
        <v>6013</v>
      </c>
      <c r="J1499" s="2">
        <v>46079.879265525968</v>
      </c>
    </row>
    <row r="1500" spans="1:10" x14ac:dyDescent="0.55000000000000004">
      <c r="A1500" t="s">
        <v>6014</v>
      </c>
      <c r="B1500">
        <v>100228</v>
      </c>
      <c r="C1500" t="s">
        <v>179</v>
      </c>
      <c r="D1500" s="1">
        <v>45985</v>
      </c>
      <c r="E1500" t="s">
        <v>69</v>
      </c>
      <c r="F1500" t="s">
        <v>6015</v>
      </c>
      <c r="G1500" t="s">
        <v>22</v>
      </c>
      <c r="H1500" t="s">
        <v>6016</v>
      </c>
      <c r="I1500" t="s">
        <v>6017</v>
      </c>
      <c r="J1500" s="2">
        <v>46069.683432196347</v>
      </c>
    </row>
    <row r="1501" spans="1:10" x14ac:dyDescent="0.55000000000000004">
      <c r="A1501" t="s">
        <v>6018</v>
      </c>
      <c r="B1501">
        <v>101309</v>
      </c>
      <c r="C1501" t="s">
        <v>194</v>
      </c>
      <c r="D1501" s="1">
        <v>45837</v>
      </c>
      <c r="E1501" t="s">
        <v>418</v>
      </c>
      <c r="F1501" t="s">
        <v>6019</v>
      </c>
      <c r="G1501" t="s">
        <v>15</v>
      </c>
      <c r="H1501" t="s">
        <v>6020</v>
      </c>
      <c r="I1501" t="s">
        <v>6021</v>
      </c>
      <c r="J1501" s="2">
        <v>46055.312604166669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D5D0DD-4A35-48FF-8604-E2F703D47270}">
  <sheetPr codeName="Sheet3">
    <tabColor theme="3"/>
  </sheetPr>
  <dimension ref="A1:K2978"/>
  <sheetViews>
    <sheetView workbookViewId="0">
      <selection activeCell="H13" sqref="H13"/>
    </sheetView>
  </sheetViews>
  <sheetFormatPr defaultRowHeight="14.4" x14ac:dyDescent="0.55000000000000004"/>
  <cols>
    <col min="1" max="1" width="21.05078125" bestFit="1" customWidth="1"/>
    <col min="2" max="2" width="13.26171875" bestFit="1" customWidth="1"/>
    <col min="3" max="3" width="12.578125" bestFit="1" customWidth="1"/>
    <col min="4" max="4" width="11.05078125" bestFit="1" customWidth="1"/>
    <col min="5" max="5" width="13.1015625" bestFit="1" customWidth="1"/>
    <col min="6" max="6" width="20.5234375" bestFit="1" customWidth="1"/>
    <col min="7" max="7" width="17.9453125" bestFit="1" customWidth="1"/>
    <col min="8" max="8" width="28.68359375" bestFit="1" customWidth="1"/>
    <col min="9" max="9" width="21.3671875" bestFit="1" customWidth="1"/>
    <col min="10" max="10" width="22.734375" bestFit="1" customWidth="1"/>
    <col min="11" max="11" width="33.68359375" bestFit="1" customWidth="1"/>
  </cols>
  <sheetData>
    <row r="1" spans="1:11" x14ac:dyDescent="0.55000000000000004">
      <c r="A1" t="s">
        <v>0</v>
      </c>
      <c r="B1" t="s">
        <v>1</v>
      </c>
      <c r="C1" t="s">
        <v>2</v>
      </c>
      <c r="D1" t="s">
        <v>3</v>
      </c>
      <c r="E1" t="s">
        <v>6061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</row>
    <row r="2" spans="1:11" x14ac:dyDescent="0.55000000000000004">
      <c r="A2" t="s">
        <v>11</v>
      </c>
      <c r="B2">
        <v>101303</v>
      </c>
      <c r="C2" t="s">
        <v>37</v>
      </c>
      <c r="D2" s="3">
        <v>45879</v>
      </c>
      <c r="E2" t="s">
        <v>317</v>
      </c>
      <c r="F2" t="s">
        <v>14</v>
      </c>
      <c r="G2" t="s">
        <v>15</v>
      </c>
      <c r="H2" t="s">
        <v>16</v>
      </c>
      <c r="I2" t="s">
        <v>17</v>
      </c>
      <c r="J2" s="4">
        <v>46087.812591678237</v>
      </c>
    </row>
    <row r="3" spans="1:11" x14ac:dyDescent="0.55000000000000004">
      <c r="A3" t="s">
        <v>11</v>
      </c>
      <c r="B3">
        <v>101303</v>
      </c>
      <c r="C3" t="s">
        <v>37</v>
      </c>
      <c r="D3" s="3">
        <v>45879</v>
      </c>
      <c r="E3" t="s">
        <v>20</v>
      </c>
      <c r="F3" t="s">
        <v>14</v>
      </c>
      <c r="G3" t="s">
        <v>15</v>
      </c>
      <c r="H3" t="s">
        <v>16</v>
      </c>
      <c r="I3" t="s">
        <v>17</v>
      </c>
      <c r="J3" s="4">
        <v>46087.812591678237</v>
      </c>
    </row>
    <row r="4" spans="1:11" x14ac:dyDescent="0.55000000000000004">
      <c r="A4" t="s">
        <v>11</v>
      </c>
      <c r="B4">
        <v>101303</v>
      </c>
      <c r="C4" t="s">
        <v>37</v>
      </c>
      <c r="D4" s="3">
        <v>45879</v>
      </c>
      <c r="E4" t="s">
        <v>155</v>
      </c>
      <c r="F4" t="s">
        <v>14</v>
      </c>
      <c r="G4" t="s">
        <v>15</v>
      </c>
      <c r="H4" t="s">
        <v>16</v>
      </c>
      <c r="I4" t="s">
        <v>17</v>
      </c>
      <c r="J4" s="4">
        <v>46087.812591678237</v>
      </c>
    </row>
    <row r="5" spans="1:11" x14ac:dyDescent="0.55000000000000004">
      <c r="A5" t="s">
        <v>18</v>
      </c>
      <c r="B5">
        <v>100397</v>
      </c>
      <c r="C5" t="s">
        <v>19</v>
      </c>
      <c r="D5" s="3">
        <v>45846</v>
      </c>
      <c r="E5" t="s">
        <v>20</v>
      </c>
      <c r="F5" t="s">
        <v>21</v>
      </c>
      <c r="G5" t="s">
        <v>22</v>
      </c>
      <c r="H5" t="s">
        <v>23</v>
      </c>
      <c r="I5" t="s">
        <v>24</v>
      </c>
      <c r="J5" s="4">
        <v>46090.350091678243</v>
      </c>
    </row>
    <row r="6" spans="1:11" x14ac:dyDescent="0.55000000000000004">
      <c r="A6" t="s">
        <v>25</v>
      </c>
      <c r="B6">
        <v>100386</v>
      </c>
      <c r="C6" t="s">
        <v>19</v>
      </c>
      <c r="D6" s="3">
        <v>45847</v>
      </c>
      <c r="E6" t="s">
        <v>317</v>
      </c>
      <c r="F6" t="s">
        <v>28</v>
      </c>
      <c r="G6" t="s">
        <v>15</v>
      </c>
      <c r="H6" t="s">
        <v>29</v>
      </c>
      <c r="I6" t="s">
        <v>30</v>
      </c>
      <c r="J6" s="4">
        <v>46058.810508344905</v>
      </c>
    </row>
    <row r="7" spans="1:11" x14ac:dyDescent="0.55000000000000004">
      <c r="A7" t="s">
        <v>25</v>
      </c>
      <c r="B7">
        <v>100386</v>
      </c>
      <c r="C7" t="s">
        <v>19</v>
      </c>
      <c r="D7" s="3">
        <v>45847</v>
      </c>
      <c r="E7" t="s">
        <v>38</v>
      </c>
      <c r="F7" t="s">
        <v>28</v>
      </c>
      <c r="G7" t="s">
        <v>15</v>
      </c>
      <c r="H7" t="s">
        <v>29</v>
      </c>
      <c r="I7" t="s">
        <v>30</v>
      </c>
      <c r="J7" s="4">
        <v>46058.810508344905</v>
      </c>
    </row>
    <row r="8" spans="1:11" x14ac:dyDescent="0.55000000000000004">
      <c r="A8" t="s">
        <v>31</v>
      </c>
      <c r="B8">
        <v>100549</v>
      </c>
      <c r="C8" t="s">
        <v>248</v>
      </c>
      <c r="D8" s="3">
        <v>45746</v>
      </c>
      <c r="E8" t="s">
        <v>20</v>
      </c>
      <c r="F8" t="s">
        <v>33</v>
      </c>
      <c r="G8" t="s">
        <v>22</v>
      </c>
      <c r="H8" t="s">
        <v>34</v>
      </c>
      <c r="I8" t="s">
        <v>35</v>
      </c>
      <c r="J8" s="4">
        <v>46076.247313912034</v>
      </c>
    </row>
    <row r="9" spans="1:11" x14ac:dyDescent="0.55000000000000004">
      <c r="A9" t="s">
        <v>36</v>
      </c>
      <c r="B9">
        <v>100597</v>
      </c>
      <c r="C9" t="s">
        <v>37</v>
      </c>
      <c r="D9" s="3">
        <v>45824</v>
      </c>
      <c r="E9" t="s">
        <v>38</v>
      </c>
      <c r="F9" t="s">
        <v>39</v>
      </c>
      <c r="G9" t="s">
        <v>22</v>
      </c>
      <c r="H9" t="s">
        <v>40</v>
      </c>
      <c r="I9" t="s">
        <v>41</v>
      </c>
      <c r="J9" s="4">
        <v>46093.544536134257</v>
      </c>
    </row>
    <row r="10" spans="1:11" x14ac:dyDescent="0.55000000000000004">
      <c r="A10" t="s">
        <v>42</v>
      </c>
      <c r="B10">
        <v>101113</v>
      </c>
      <c r="C10" t="s">
        <v>37</v>
      </c>
      <c r="D10" s="3">
        <v>45778</v>
      </c>
      <c r="E10" t="s">
        <v>38</v>
      </c>
      <c r="F10" t="s">
        <v>44</v>
      </c>
      <c r="G10" t="s">
        <v>22</v>
      </c>
      <c r="H10" t="s">
        <v>45</v>
      </c>
      <c r="I10" t="s">
        <v>46</v>
      </c>
      <c r="J10" s="4">
        <v>46068.2612028125</v>
      </c>
    </row>
    <row r="11" spans="1:11" x14ac:dyDescent="0.55000000000000004">
      <c r="A11" t="s">
        <v>42</v>
      </c>
      <c r="B11">
        <v>101113</v>
      </c>
      <c r="C11" t="s">
        <v>37</v>
      </c>
      <c r="D11" s="3">
        <v>45778</v>
      </c>
      <c r="E11" t="s">
        <v>115</v>
      </c>
      <c r="F11" t="s">
        <v>44</v>
      </c>
      <c r="G11" t="s">
        <v>22</v>
      </c>
      <c r="H11" t="s">
        <v>45</v>
      </c>
      <c r="I11" t="s">
        <v>46</v>
      </c>
      <c r="J11" s="4">
        <v>46068.2612028125</v>
      </c>
    </row>
    <row r="12" spans="1:11" x14ac:dyDescent="0.55000000000000004">
      <c r="A12" t="s">
        <v>42</v>
      </c>
      <c r="B12">
        <v>101113</v>
      </c>
      <c r="C12" t="s">
        <v>37</v>
      </c>
      <c r="D12" s="3">
        <v>45778</v>
      </c>
      <c r="E12" t="s">
        <v>69</v>
      </c>
      <c r="F12" t="s">
        <v>44</v>
      </c>
      <c r="G12" t="s">
        <v>22</v>
      </c>
      <c r="H12" t="s">
        <v>45</v>
      </c>
      <c r="I12" t="s">
        <v>46</v>
      </c>
      <c r="J12" s="4">
        <v>46068.2612028125</v>
      </c>
    </row>
    <row r="13" spans="1:11" x14ac:dyDescent="0.55000000000000004">
      <c r="A13" t="s">
        <v>47</v>
      </c>
      <c r="B13">
        <v>101365</v>
      </c>
      <c r="C13" t="s">
        <v>533</v>
      </c>
      <c r="D13" s="3">
        <v>45921</v>
      </c>
      <c r="E13" t="s">
        <v>317</v>
      </c>
      <c r="F13" t="s">
        <v>50</v>
      </c>
      <c r="G13" t="s">
        <v>15</v>
      </c>
      <c r="H13" t="s">
        <v>51</v>
      </c>
      <c r="I13" t="s">
        <v>52</v>
      </c>
      <c r="J13" s="4">
        <v>46094.525091701391</v>
      </c>
    </row>
    <row r="14" spans="1:11" x14ac:dyDescent="0.55000000000000004">
      <c r="A14" t="s">
        <v>47</v>
      </c>
      <c r="B14">
        <v>101365</v>
      </c>
      <c r="C14" t="s">
        <v>533</v>
      </c>
      <c r="D14" s="3">
        <v>45921</v>
      </c>
      <c r="E14" t="s">
        <v>20</v>
      </c>
      <c r="F14" t="s">
        <v>50</v>
      </c>
      <c r="G14" t="s">
        <v>15</v>
      </c>
      <c r="H14" t="s">
        <v>51</v>
      </c>
      <c r="I14" t="s">
        <v>52</v>
      </c>
      <c r="J14" s="4">
        <v>46094.525091701391</v>
      </c>
    </row>
    <row r="15" spans="1:11" x14ac:dyDescent="0.55000000000000004">
      <c r="A15" t="s">
        <v>53</v>
      </c>
      <c r="B15">
        <v>100134</v>
      </c>
      <c r="C15" t="s">
        <v>533</v>
      </c>
      <c r="D15" s="3">
        <v>46118</v>
      </c>
      <c r="E15" t="s">
        <v>317</v>
      </c>
      <c r="F15" t="s">
        <v>54</v>
      </c>
      <c r="G15" t="s">
        <v>22</v>
      </c>
      <c r="H15" t="s">
        <v>55</v>
      </c>
      <c r="I15" t="s">
        <v>56</v>
      </c>
      <c r="J15" s="4">
        <v>46055.143148148149</v>
      </c>
    </row>
    <row r="16" spans="1:11" x14ac:dyDescent="0.55000000000000004">
      <c r="A16" t="s">
        <v>53</v>
      </c>
      <c r="B16">
        <v>100134</v>
      </c>
      <c r="C16" t="s">
        <v>533</v>
      </c>
      <c r="D16" s="3">
        <v>46118</v>
      </c>
      <c r="E16" t="s">
        <v>20</v>
      </c>
      <c r="F16" t="s">
        <v>54</v>
      </c>
      <c r="G16" t="s">
        <v>22</v>
      </c>
      <c r="H16" t="s">
        <v>55</v>
      </c>
      <c r="I16" t="s">
        <v>56</v>
      </c>
      <c r="J16" s="4">
        <v>46055.143148148149</v>
      </c>
    </row>
    <row r="17" spans="1:10" x14ac:dyDescent="0.55000000000000004">
      <c r="A17" t="s">
        <v>53</v>
      </c>
      <c r="B17">
        <v>100134</v>
      </c>
      <c r="C17" t="s">
        <v>533</v>
      </c>
      <c r="D17" s="3">
        <v>46118</v>
      </c>
      <c r="E17" t="s">
        <v>155</v>
      </c>
      <c r="F17" t="s">
        <v>54</v>
      </c>
      <c r="G17" t="s">
        <v>22</v>
      </c>
      <c r="H17" t="s">
        <v>55</v>
      </c>
      <c r="I17" t="s">
        <v>56</v>
      </c>
      <c r="J17" s="4">
        <v>46055.143148148149</v>
      </c>
    </row>
    <row r="18" spans="1:10" x14ac:dyDescent="0.55000000000000004">
      <c r="A18" t="s">
        <v>57</v>
      </c>
      <c r="B18">
        <v>101117</v>
      </c>
      <c r="C18" t="s">
        <v>19</v>
      </c>
      <c r="D18" s="3">
        <v>46042</v>
      </c>
      <c r="E18" t="s">
        <v>20</v>
      </c>
      <c r="F18" t="s">
        <v>59</v>
      </c>
      <c r="G18" t="s">
        <v>15</v>
      </c>
      <c r="H18" t="s">
        <v>60</v>
      </c>
      <c r="I18" t="s">
        <v>61</v>
      </c>
      <c r="J18" s="4">
        <v>46065.584119490741</v>
      </c>
    </row>
    <row r="19" spans="1:10" x14ac:dyDescent="0.55000000000000004">
      <c r="A19" t="s">
        <v>57</v>
      </c>
      <c r="B19">
        <v>101117</v>
      </c>
      <c r="C19" t="s">
        <v>19</v>
      </c>
      <c r="D19" s="3">
        <v>46042</v>
      </c>
      <c r="E19" t="s">
        <v>69</v>
      </c>
      <c r="F19" t="s">
        <v>59</v>
      </c>
      <c r="G19" t="s">
        <v>15</v>
      </c>
      <c r="H19" t="s">
        <v>60</v>
      </c>
      <c r="I19" t="s">
        <v>61</v>
      </c>
      <c r="J19" s="4">
        <v>46065.584119490741</v>
      </c>
    </row>
    <row r="20" spans="1:10" x14ac:dyDescent="0.55000000000000004">
      <c r="A20" t="s">
        <v>62</v>
      </c>
      <c r="B20">
        <v>101164</v>
      </c>
      <c r="C20" t="s">
        <v>68</v>
      </c>
      <c r="D20" s="3">
        <v>45952</v>
      </c>
      <c r="E20" t="s">
        <v>20</v>
      </c>
      <c r="F20" t="s">
        <v>64</v>
      </c>
      <c r="G20" t="s">
        <v>22</v>
      </c>
      <c r="H20" t="s">
        <v>65</v>
      </c>
      <c r="I20" t="s">
        <v>66</v>
      </c>
      <c r="J20" s="4">
        <v>46063.797313935182</v>
      </c>
    </row>
    <row r="21" spans="1:10" x14ac:dyDescent="0.55000000000000004">
      <c r="A21" t="s">
        <v>67</v>
      </c>
      <c r="B21">
        <v>100213</v>
      </c>
      <c r="C21" t="s">
        <v>68</v>
      </c>
      <c r="D21" s="3">
        <v>45755</v>
      </c>
      <c r="E21" t="s">
        <v>69</v>
      </c>
      <c r="F21" t="s">
        <v>70</v>
      </c>
      <c r="G21" t="s">
        <v>15</v>
      </c>
      <c r="H21" t="s">
        <v>71</v>
      </c>
      <c r="I21" t="s">
        <v>72</v>
      </c>
      <c r="J21" s="4">
        <v>46097.455647268522</v>
      </c>
    </row>
    <row r="22" spans="1:10" x14ac:dyDescent="0.55000000000000004">
      <c r="A22" t="s">
        <v>73</v>
      </c>
      <c r="B22">
        <v>101181</v>
      </c>
      <c r="C22" t="s">
        <v>68</v>
      </c>
      <c r="D22" s="3">
        <v>45840</v>
      </c>
      <c r="E22" t="s">
        <v>20</v>
      </c>
      <c r="F22" t="s">
        <v>74</v>
      </c>
      <c r="G22" t="s">
        <v>22</v>
      </c>
      <c r="H22" t="s">
        <v>75</v>
      </c>
      <c r="I22" t="s">
        <v>76</v>
      </c>
      <c r="J22" s="4">
        <v>46077.575786168978</v>
      </c>
    </row>
    <row r="23" spans="1:10" x14ac:dyDescent="0.55000000000000004">
      <c r="A23" t="s">
        <v>77</v>
      </c>
      <c r="B23">
        <v>100789</v>
      </c>
      <c r="C23" t="s">
        <v>37</v>
      </c>
      <c r="D23" s="3">
        <v>45986</v>
      </c>
      <c r="E23" t="s">
        <v>38</v>
      </c>
      <c r="F23" t="s">
        <v>78</v>
      </c>
      <c r="G23" t="s">
        <v>22</v>
      </c>
      <c r="H23" t="s">
        <v>79</v>
      </c>
      <c r="I23" t="s">
        <v>80</v>
      </c>
      <c r="J23" s="4">
        <v>46063.418841724539</v>
      </c>
    </row>
    <row r="24" spans="1:10" x14ac:dyDescent="0.55000000000000004">
      <c r="A24" t="s">
        <v>77</v>
      </c>
      <c r="B24">
        <v>100789</v>
      </c>
      <c r="C24" t="s">
        <v>37</v>
      </c>
      <c r="D24" s="3">
        <v>45986</v>
      </c>
      <c r="E24" t="s">
        <v>115</v>
      </c>
      <c r="F24" t="s">
        <v>78</v>
      </c>
      <c r="G24" t="s">
        <v>22</v>
      </c>
      <c r="H24" t="s">
        <v>79</v>
      </c>
      <c r="I24" t="s">
        <v>80</v>
      </c>
      <c r="J24" s="4">
        <v>46063.418841724539</v>
      </c>
    </row>
    <row r="25" spans="1:10" x14ac:dyDescent="0.55000000000000004">
      <c r="A25" t="s">
        <v>77</v>
      </c>
      <c r="B25">
        <v>100789</v>
      </c>
      <c r="C25" t="s">
        <v>37</v>
      </c>
      <c r="D25" s="3">
        <v>45986</v>
      </c>
      <c r="E25" t="s">
        <v>69</v>
      </c>
      <c r="F25" t="s">
        <v>78</v>
      </c>
      <c r="G25" t="s">
        <v>22</v>
      </c>
      <c r="H25" t="s">
        <v>79</v>
      </c>
      <c r="I25" t="s">
        <v>80</v>
      </c>
      <c r="J25" s="4">
        <v>46063.418841724539</v>
      </c>
    </row>
    <row r="26" spans="1:10" x14ac:dyDescent="0.55000000000000004">
      <c r="A26" t="s">
        <v>81</v>
      </c>
      <c r="B26">
        <v>100760</v>
      </c>
      <c r="C26" t="s">
        <v>19</v>
      </c>
      <c r="D26" s="3">
        <v>46018</v>
      </c>
      <c r="E26" t="s">
        <v>20</v>
      </c>
      <c r="F26" t="s">
        <v>84</v>
      </c>
      <c r="G26" t="s">
        <v>15</v>
      </c>
      <c r="H26" t="s">
        <v>85</v>
      </c>
      <c r="I26" t="s">
        <v>86</v>
      </c>
      <c r="J26" s="4">
        <v>46070.719536180557</v>
      </c>
    </row>
    <row r="27" spans="1:10" x14ac:dyDescent="0.55000000000000004">
      <c r="A27" t="s">
        <v>81</v>
      </c>
      <c r="B27">
        <v>100760</v>
      </c>
      <c r="C27" t="s">
        <v>19</v>
      </c>
      <c r="D27" s="3">
        <v>46018</v>
      </c>
      <c r="E27" t="s">
        <v>155</v>
      </c>
      <c r="F27" t="s">
        <v>84</v>
      </c>
      <c r="G27" t="s">
        <v>15</v>
      </c>
      <c r="H27" t="s">
        <v>85</v>
      </c>
      <c r="I27" t="s">
        <v>86</v>
      </c>
      <c r="J27" s="4">
        <v>46070.719536180557</v>
      </c>
    </row>
    <row r="28" spans="1:10" x14ac:dyDescent="0.55000000000000004">
      <c r="A28" t="s">
        <v>81</v>
      </c>
      <c r="B28">
        <v>100760</v>
      </c>
      <c r="C28" t="s">
        <v>19</v>
      </c>
      <c r="D28" s="3">
        <v>46018</v>
      </c>
      <c r="E28" t="s">
        <v>69</v>
      </c>
      <c r="F28" t="s">
        <v>84</v>
      </c>
      <c r="G28" t="s">
        <v>15</v>
      </c>
      <c r="H28" t="s">
        <v>85</v>
      </c>
      <c r="I28" t="s">
        <v>86</v>
      </c>
      <c r="J28" s="4">
        <v>46070.719536180557</v>
      </c>
    </row>
    <row r="29" spans="1:10" x14ac:dyDescent="0.55000000000000004">
      <c r="A29" t="s">
        <v>87</v>
      </c>
      <c r="B29">
        <v>100510</v>
      </c>
      <c r="C29" t="s">
        <v>179</v>
      </c>
      <c r="D29" s="3">
        <v>45771</v>
      </c>
      <c r="E29" t="s">
        <v>38</v>
      </c>
      <c r="F29" t="s">
        <v>90</v>
      </c>
      <c r="G29" t="s">
        <v>22</v>
      </c>
      <c r="H29" t="s">
        <v>91</v>
      </c>
      <c r="I29" t="s">
        <v>92</v>
      </c>
      <c r="J29" s="4">
        <v>46051.835508402779</v>
      </c>
    </row>
    <row r="30" spans="1:10" x14ac:dyDescent="0.55000000000000004">
      <c r="A30" t="s">
        <v>87</v>
      </c>
      <c r="B30">
        <v>100510</v>
      </c>
      <c r="C30" t="s">
        <v>179</v>
      </c>
      <c r="D30" s="3">
        <v>45771</v>
      </c>
      <c r="E30" t="s">
        <v>69</v>
      </c>
      <c r="F30" t="s">
        <v>90</v>
      </c>
      <c r="G30" t="s">
        <v>22</v>
      </c>
      <c r="H30" t="s">
        <v>91</v>
      </c>
      <c r="I30" t="s">
        <v>92</v>
      </c>
      <c r="J30" s="4">
        <v>46051.835508402779</v>
      </c>
    </row>
    <row r="31" spans="1:10" x14ac:dyDescent="0.55000000000000004">
      <c r="A31" t="s">
        <v>93</v>
      </c>
      <c r="B31">
        <v>100444</v>
      </c>
      <c r="C31" t="s">
        <v>179</v>
      </c>
      <c r="D31" s="3">
        <v>45880</v>
      </c>
      <c r="E31" t="s">
        <v>69</v>
      </c>
      <c r="F31" t="s">
        <v>95</v>
      </c>
      <c r="G31" t="s">
        <v>15</v>
      </c>
      <c r="H31" t="s">
        <v>96</v>
      </c>
      <c r="I31" t="s">
        <v>97</v>
      </c>
      <c r="J31" s="4">
        <v>46077.502175069443</v>
      </c>
    </row>
    <row r="32" spans="1:10" x14ac:dyDescent="0.55000000000000004">
      <c r="A32" t="s">
        <v>98</v>
      </c>
      <c r="B32">
        <v>100705</v>
      </c>
      <c r="C32" t="s">
        <v>19</v>
      </c>
      <c r="D32" s="3">
        <v>45967</v>
      </c>
      <c r="E32" t="s">
        <v>20</v>
      </c>
      <c r="F32" t="s">
        <v>100</v>
      </c>
      <c r="G32" t="s">
        <v>15</v>
      </c>
      <c r="H32" t="s">
        <v>101</v>
      </c>
      <c r="I32" t="s">
        <v>102</v>
      </c>
      <c r="J32" s="4">
        <v>46082.126480636573</v>
      </c>
    </row>
    <row r="33" spans="1:11" x14ac:dyDescent="0.55000000000000004">
      <c r="A33" t="s">
        <v>98</v>
      </c>
      <c r="B33">
        <v>100705</v>
      </c>
      <c r="C33" t="s">
        <v>19</v>
      </c>
      <c r="D33" s="3">
        <v>45967</v>
      </c>
      <c r="E33" t="s">
        <v>155</v>
      </c>
      <c r="F33" t="s">
        <v>100</v>
      </c>
      <c r="G33" t="s">
        <v>15</v>
      </c>
      <c r="H33" t="s">
        <v>101</v>
      </c>
      <c r="I33" t="s">
        <v>102</v>
      </c>
      <c r="J33" s="4">
        <v>46082.126480636573</v>
      </c>
    </row>
    <row r="34" spans="1:11" x14ac:dyDescent="0.55000000000000004">
      <c r="A34" t="s">
        <v>98</v>
      </c>
      <c r="B34">
        <v>100705</v>
      </c>
      <c r="C34" t="s">
        <v>19</v>
      </c>
      <c r="D34" s="3">
        <v>45967</v>
      </c>
      <c r="E34" t="s">
        <v>69</v>
      </c>
      <c r="F34" t="s">
        <v>100</v>
      </c>
      <c r="G34" t="s">
        <v>15</v>
      </c>
      <c r="H34" t="s">
        <v>101</v>
      </c>
      <c r="I34" t="s">
        <v>102</v>
      </c>
      <c r="J34" s="4">
        <v>46082.126480636573</v>
      </c>
    </row>
    <row r="35" spans="1:11" x14ac:dyDescent="0.55000000000000004">
      <c r="A35" t="s">
        <v>103</v>
      </c>
      <c r="B35">
        <v>101007</v>
      </c>
      <c r="C35" t="s">
        <v>19</v>
      </c>
      <c r="D35" s="3">
        <v>45937</v>
      </c>
      <c r="E35" t="s">
        <v>20</v>
      </c>
      <c r="F35" t="s">
        <v>104</v>
      </c>
      <c r="G35" t="s">
        <v>22</v>
      </c>
      <c r="H35" t="s">
        <v>105</v>
      </c>
      <c r="I35" t="s">
        <v>106</v>
      </c>
      <c r="J35" s="4">
        <v>46083.272313969908</v>
      </c>
    </row>
    <row r="36" spans="1:11" x14ac:dyDescent="0.55000000000000004">
      <c r="A36" t="s">
        <v>103</v>
      </c>
      <c r="B36">
        <v>101007</v>
      </c>
      <c r="C36" t="s">
        <v>19</v>
      </c>
      <c r="D36" s="3">
        <v>45937</v>
      </c>
      <c r="E36" t="s">
        <v>155</v>
      </c>
      <c r="F36" t="s">
        <v>104</v>
      </c>
      <c r="G36" t="s">
        <v>22</v>
      </c>
      <c r="H36" t="s">
        <v>105</v>
      </c>
      <c r="I36" t="s">
        <v>106</v>
      </c>
      <c r="J36" s="4">
        <v>46083.272313969908</v>
      </c>
    </row>
    <row r="37" spans="1:11" x14ac:dyDescent="0.55000000000000004">
      <c r="A37" t="s">
        <v>103</v>
      </c>
      <c r="B37">
        <v>101007</v>
      </c>
      <c r="C37" t="s">
        <v>19</v>
      </c>
      <c r="D37" s="3">
        <v>45937</v>
      </c>
      <c r="E37" t="s">
        <v>69</v>
      </c>
      <c r="F37" t="s">
        <v>104</v>
      </c>
      <c r="G37" t="s">
        <v>22</v>
      </c>
      <c r="H37" t="s">
        <v>105</v>
      </c>
      <c r="I37" t="s">
        <v>106</v>
      </c>
      <c r="J37" s="4">
        <v>46083.272313969908</v>
      </c>
    </row>
    <row r="38" spans="1:11" x14ac:dyDescent="0.55000000000000004">
      <c r="A38" t="s">
        <v>107</v>
      </c>
      <c r="C38" t="s">
        <v>533</v>
      </c>
      <c r="D38" s="3">
        <v>45771</v>
      </c>
      <c r="E38" t="s">
        <v>317</v>
      </c>
      <c r="F38" t="s">
        <v>109</v>
      </c>
      <c r="G38" t="s">
        <v>22</v>
      </c>
      <c r="H38" t="s">
        <v>110</v>
      </c>
      <c r="I38" t="s">
        <v>111</v>
      </c>
      <c r="J38" s="4">
        <v>46074.828563981479</v>
      </c>
      <c r="K38" t="s">
        <v>112</v>
      </c>
    </row>
    <row r="39" spans="1:11" x14ac:dyDescent="0.55000000000000004">
      <c r="A39" t="s">
        <v>107</v>
      </c>
      <c r="C39" t="s">
        <v>533</v>
      </c>
      <c r="D39" s="3">
        <v>45771</v>
      </c>
      <c r="E39" t="s">
        <v>155</v>
      </c>
      <c r="F39" t="s">
        <v>109</v>
      </c>
      <c r="G39" t="s">
        <v>22</v>
      </c>
      <c r="H39" t="s">
        <v>110</v>
      </c>
      <c r="I39" t="s">
        <v>111</v>
      </c>
      <c r="J39" s="4">
        <v>46074.828563981479</v>
      </c>
      <c r="K39" t="s">
        <v>112</v>
      </c>
    </row>
    <row r="40" spans="1:11" x14ac:dyDescent="0.55000000000000004">
      <c r="A40" t="s">
        <v>107</v>
      </c>
      <c r="C40" t="s">
        <v>533</v>
      </c>
      <c r="D40" s="3">
        <v>45771</v>
      </c>
      <c r="E40" t="s">
        <v>115</v>
      </c>
      <c r="F40" t="s">
        <v>109</v>
      </c>
      <c r="G40" t="s">
        <v>22</v>
      </c>
      <c r="H40" t="s">
        <v>110</v>
      </c>
      <c r="I40" t="s">
        <v>111</v>
      </c>
      <c r="J40" s="4">
        <v>46074.828563981479</v>
      </c>
      <c r="K40" t="s">
        <v>112</v>
      </c>
    </row>
    <row r="41" spans="1:11" x14ac:dyDescent="0.55000000000000004">
      <c r="A41" t="s">
        <v>3957</v>
      </c>
      <c r="B41">
        <v>100632</v>
      </c>
      <c r="C41" t="s">
        <v>533</v>
      </c>
      <c r="D41" s="3">
        <v>45852</v>
      </c>
      <c r="E41" t="s">
        <v>115</v>
      </c>
      <c r="F41" t="s">
        <v>116</v>
      </c>
      <c r="G41" t="s">
        <v>22</v>
      </c>
      <c r="H41" t="s">
        <v>117</v>
      </c>
      <c r="I41" t="s">
        <v>118</v>
      </c>
      <c r="J41" s="4">
        <v>46085.499397314816</v>
      </c>
      <c r="K41" t="s">
        <v>119</v>
      </c>
    </row>
    <row r="42" spans="1:11" x14ac:dyDescent="0.55000000000000004">
      <c r="A42" t="s">
        <v>120</v>
      </c>
      <c r="B42">
        <v>101425</v>
      </c>
      <c r="C42" t="s">
        <v>19</v>
      </c>
      <c r="D42" s="3">
        <v>45810</v>
      </c>
      <c r="E42" t="s">
        <v>155</v>
      </c>
      <c r="F42" t="s">
        <v>122</v>
      </c>
      <c r="G42" t="s">
        <v>22</v>
      </c>
      <c r="H42" t="s">
        <v>123</v>
      </c>
      <c r="I42" t="s">
        <v>124</v>
      </c>
      <c r="J42" s="4">
        <v>46060.922313981479</v>
      </c>
    </row>
    <row r="43" spans="1:11" x14ac:dyDescent="0.55000000000000004">
      <c r="A43" t="s">
        <v>120</v>
      </c>
      <c r="B43">
        <v>101425</v>
      </c>
      <c r="C43" t="s">
        <v>19</v>
      </c>
      <c r="D43" s="3">
        <v>45810</v>
      </c>
      <c r="E43" t="s">
        <v>115</v>
      </c>
      <c r="F43" t="s">
        <v>122</v>
      </c>
      <c r="G43" t="s">
        <v>22</v>
      </c>
      <c r="H43" t="s">
        <v>123</v>
      </c>
      <c r="I43" t="s">
        <v>124</v>
      </c>
      <c r="J43" s="4">
        <v>46060.922313981479</v>
      </c>
    </row>
    <row r="44" spans="1:11" x14ac:dyDescent="0.55000000000000004">
      <c r="A44" t="s">
        <v>120</v>
      </c>
      <c r="B44">
        <v>101425</v>
      </c>
      <c r="C44" t="s">
        <v>19</v>
      </c>
      <c r="D44" s="3">
        <v>45810</v>
      </c>
      <c r="E44" t="s">
        <v>69</v>
      </c>
      <c r="F44" t="s">
        <v>122</v>
      </c>
      <c r="G44" t="s">
        <v>22</v>
      </c>
      <c r="H44" t="s">
        <v>123</v>
      </c>
      <c r="I44" t="s">
        <v>124</v>
      </c>
      <c r="J44" s="4">
        <v>46060.922313981479</v>
      </c>
    </row>
    <row r="45" spans="1:11" x14ac:dyDescent="0.55000000000000004">
      <c r="A45" t="s">
        <v>125</v>
      </c>
      <c r="B45">
        <v>100550</v>
      </c>
      <c r="C45" t="s">
        <v>179</v>
      </c>
      <c r="D45" s="3">
        <v>46080</v>
      </c>
      <c r="E45" t="s">
        <v>317</v>
      </c>
      <c r="F45" t="s">
        <v>127</v>
      </c>
      <c r="G45" t="s">
        <v>22</v>
      </c>
      <c r="H45" t="s">
        <v>128</v>
      </c>
      <c r="I45" t="s">
        <v>129</v>
      </c>
      <c r="J45" s="4">
        <v>46088.120925104166</v>
      </c>
    </row>
    <row r="46" spans="1:11" x14ac:dyDescent="0.55000000000000004">
      <c r="A46" t="s">
        <v>125</v>
      </c>
      <c r="B46">
        <v>100550</v>
      </c>
      <c r="C46" t="s">
        <v>179</v>
      </c>
      <c r="D46" s="3">
        <v>46080</v>
      </c>
      <c r="E46" t="s">
        <v>38</v>
      </c>
      <c r="F46" t="s">
        <v>127</v>
      </c>
      <c r="G46" t="s">
        <v>22</v>
      </c>
      <c r="H46" t="s">
        <v>128</v>
      </c>
      <c r="I46" t="s">
        <v>129</v>
      </c>
      <c r="J46" s="4">
        <v>46088.120925104166</v>
      </c>
    </row>
    <row r="47" spans="1:11" x14ac:dyDescent="0.55000000000000004">
      <c r="A47" t="s">
        <v>125</v>
      </c>
      <c r="B47">
        <v>100550</v>
      </c>
      <c r="C47" t="s">
        <v>179</v>
      </c>
      <c r="D47" s="3">
        <v>46080</v>
      </c>
      <c r="E47" t="s">
        <v>20</v>
      </c>
      <c r="F47" t="s">
        <v>127</v>
      </c>
      <c r="G47" t="s">
        <v>22</v>
      </c>
      <c r="H47" t="s">
        <v>128</v>
      </c>
      <c r="I47" t="s">
        <v>129</v>
      </c>
      <c r="J47" s="4">
        <v>46088.120925104166</v>
      </c>
    </row>
    <row r="48" spans="1:11" x14ac:dyDescent="0.55000000000000004">
      <c r="A48" t="s">
        <v>130</v>
      </c>
      <c r="B48">
        <v>100068</v>
      </c>
      <c r="C48" t="s">
        <v>37</v>
      </c>
      <c r="D48" s="3">
        <v>45972</v>
      </c>
      <c r="E48" t="s">
        <v>317</v>
      </c>
      <c r="F48" t="s">
        <v>132</v>
      </c>
      <c r="G48" t="s">
        <v>22</v>
      </c>
      <c r="H48" t="s">
        <v>133</v>
      </c>
      <c r="I48" t="s">
        <v>134</v>
      </c>
      <c r="J48" s="4">
        <v>46060.666063993056</v>
      </c>
    </row>
    <row r="49" spans="1:11" x14ac:dyDescent="0.55000000000000004">
      <c r="A49" t="s">
        <v>130</v>
      </c>
      <c r="B49">
        <v>100068</v>
      </c>
      <c r="C49" t="s">
        <v>37</v>
      </c>
      <c r="D49" s="3">
        <v>45972</v>
      </c>
      <c r="E49" t="s">
        <v>20</v>
      </c>
      <c r="F49" t="s">
        <v>132</v>
      </c>
      <c r="G49" t="s">
        <v>22</v>
      </c>
      <c r="H49" t="s">
        <v>133</v>
      </c>
      <c r="I49" t="s">
        <v>134</v>
      </c>
      <c r="J49" s="4">
        <v>46060.666063993056</v>
      </c>
    </row>
    <row r="50" spans="1:11" x14ac:dyDescent="0.55000000000000004">
      <c r="A50" t="s">
        <v>135</v>
      </c>
      <c r="B50">
        <v>100226</v>
      </c>
      <c r="C50" t="s">
        <v>68</v>
      </c>
      <c r="D50" s="3">
        <v>45991</v>
      </c>
      <c r="E50" t="s">
        <v>20</v>
      </c>
      <c r="F50" t="s">
        <v>136</v>
      </c>
      <c r="G50" t="s">
        <v>22</v>
      </c>
      <c r="H50" t="s">
        <v>137</v>
      </c>
      <c r="I50" t="s">
        <v>138</v>
      </c>
      <c r="J50" s="4">
        <v>46069.692452881944</v>
      </c>
      <c r="K50" t="s">
        <v>139</v>
      </c>
    </row>
    <row r="51" spans="1:11" x14ac:dyDescent="0.55000000000000004">
      <c r="A51" t="s">
        <v>140</v>
      </c>
      <c r="B51">
        <v>100558</v>
      </c>
      <c r="C51" t="s">
        <v>37</v>
      </c>
      <c r="D51" s="3">
        <v>45920</v>
      </c>
      <c r="E51" t="s">
        <v>317</v>
      </c>
      <c r="F51" t="s">
        <v>142</v>
      </c>
      <c r="G51" t="s">
        <v>22</v>
      </c>
      <c r="H51" t="s">
        <v>143</v>
      </c>
      <c r="I51" t="s">
        <v>144</v>
      </c>
      <c r="J51" s="4">
        <v>46067.920925115737</v>
      </c>
    </row>
    <row r="52" spans="1:11" x14ac:dyDescent="0.55000000000000004">
      <c r="A52" t="s">
        <v>140</v>
      </c>
      <c r="B52">
        <v>100558</v>
      </c>
      <c r="C52" t="s">
        <v>37</v>
      </c>
      <c r="D52" s="3">
        <v>45920</v>
      </c>
      <c r="E52" t="s">
        <v>155</v>
      </c>
      <c r="F52" t="s">
        <v>142</v>
      </c>
      <c r="G52" t="s">
        <v>22</v>
      </c>
      <c r="H52" t="s">
        <v>143</v>
      </c>
      <c r="I52" t="s">
        <v>144</v>
      </c>
      <c r="J52" s="4">
        <v>46067.920925115737</v>
      </c>
    </row>
    <row r="53" spans="1:11" x14ac:dyDescent="0.55000000000000004">
      <c r="A53" t="s">
        <v>145</v>
      </c>
      <c r="B53">
        <v>100762</v>
      </c>
      <c r="C53" t="s">
        <v>19</v>
      </c>
      <c r="D53" s="3">
        <v>46137</v>
      </c>
      <c r="E53" t="s">
        <v>155</v>
      </c>
      <c r="F53" t="s">
        <v>147</v>
      </c>
      <c r="G53" t="s">
        <v>22</v>
      </c>
      <c r="H53" t="s">
        <v>148</v>
      </c>
      <c r="I53" t="s">
        <v>149</v>
      </c>
      <c r="J53" s="4">
        <v>46059.069536226853</v>
      </c>
    </row>
    <row r="54" spans="1:11" x14ac:dyDescent="0.55000000000000004">
      <c r="A54" t="s">
        <v>145</v>
      </c>
      <c r="B54">
        <v>100762</v>
      </c>
      <c r="C54" t="s">
        <v>19</v>
      </c>
      <c r="D54" s="3">
        <v>46137</v>
      </c>
      <c r="E54" t="s">
        <v>115</v>
      </c>
      <c r="F54" t="s">
        <v>147</v>
      </c>
      <c r="G54" t="s">
        <v>22</v>
      </c>
      <c r="H54" t="s">
        <v>148</v>
      </c>
      <c r="I54" t="s">
        <v>149</v>
      </c>
      <c r="J54" s="4">
        <v>46059.069536226853</v>
      </c>
    </row>
    <row r="55" spans="1:11" x14ac:dyDescent="0.55000000000000004">
      <c r="A55" t="s">
        <v>145</v>
      </c>
      <c r="B55">
        <v>100762</v>
      </c>
      <c r="C55" t="s">
        <v>19</v>
      </c>
      <c r="D55" s="3">
        <v>46137</v>
      </c>
      <c r="E55" t="s">
        <v>69</v>
      </c>
      <c r="F55" t="s">
        <v>147</v>
      </c>
      <c r="G55" t="s">
        <v>22</v>
      </c>
      <c r="H55" t="s">
        <v>148</v>
      </c>
      <c r="I55" t="s">
        <v>149</v>
      </c>
      <c r="J55" s="4">
        <v>46059.069536226853</v>
      </c>
    </row>
    <row r="56" spans="1:11" x14ac:dyDescent="0.55000000000000004">
      <c r="A56" t="s">
        <v>150</v>
      </c>
      <c r="B56">
        <v>101289</v>
      </c>
      <c r="C56" t="s">
        <v>19</v>
      </c>
      <c r="D56" s="3">
        <v>45809</v>
      </c>
      <c r="E56" t="s">
        <v>69</v>
      </c>
      <c r="F56" t="s">
        <v>151</v>
      </c>
      <c r="G56" t="s">
        <v>15</v>
      </c>
      <c r="H56" t="s">
        <v>152</v>
      </c>
      <c r="I56" t="s">
        <v>153</v>
      </c>
      <c r="J56" s="4">
        <v>46076.626480682869</v>
      </c>
    </row>
    <row r="57" spans="1:11" x14ac:dyDescent="0.55000000000000004">
      <c r="A57" t="s">
        <v>154</v>
      </c>
      <c r="B57">
        <v>100640</v>
      </c>
      <c r="C57" t="s">
        <v>19</v>
      </c>
      <c r="D57" s="3">
        <v>46062</v>
      </c>
      <c r="E57" t="s">
        <v>155</v>
      </c>
      <c r="F57" t="s">
        <v>156</v>
      </c>
      <c r="G57" t="s">
        <v>15</v>
      </c>
      <c r="H57" t="s">
        <v>157</v>
      </c>
      <c r="I57" t="s">
        <v>158</v>
      </c>
      <c r="J57" s="4">
        <v>46052.12370290509</v>
      </c>
    </row>
    <row r="58" spans="1:11" x14ac:dyDescent="0.55000000000000004">
      <c r="A58" t="s">
        <v>159</v>
      </c>
      <c r="B58">
        <v>100133</v>
      </c>
      <c r="C58" t="s">
        <v>179</v>
      </c>
      <c r="D58" s="3">
        <v>46000</v>
      </c>
      <c r="E58" t="s">
        <v>38</v>
      </c>
      <c r="F58" t="s">
        <v>161</v>
      </c>
      <c r="G58" t="s">
        <v>22</v>
      </c>
      <c r="H58" t="s">
        <v>162</v>
      </c>
      <c r="I58" t="s">
        <v>163</v>
      </c>
      <c r="J58" s="4">
        <v>46079.195230682868</v>
      </c>
    </row>
    <row r="59" spans="1:11" x14ac:dyDescent="0.55000000000000004">
      <c r="A59" t="s">
        <v>159</v>
      </c>
      <c r="B59">
        <v>100133</v>
      </c>
      <c r="C59" t="s">
        <v>179</v>
      </c>
      <c r="D59" s="3">
        <v>46000</v>
      </c>
      <c r="E59" t="s">
        <v>20</v>
      </c>
      <c r="F59" t="s">
        <v>161</v>
      </c>
      <c r="G59" t="s">
        <v>22</v>
      </c>
      <c r="H59" t="s">
        <v>162</v>
      </c>
      <c r="I59" t="s">
        <v>163</v>
      </c>
      <c r="J59" s="4">
        <v>46079.195230682868</v>
      </c>
    </row>
    <row r="60" spans="1:11" x14ac:dyDescent="0.55000000000000004">
      <c r="A60" t="s">
        <v>159</v>
      </c>
      <c r="B60">
        <v>100133</v>
      </c>
      <c r="C60" t="s">
        <v>179</v>
      </c>
      <c r="D60" s="3">
        <v>46000</v>
      </c>
      <c r="E60" t="s">
        <v>115</v>
      </c>
      <c r="F60" t="s">
        <v>161</v>
      </c>
      <c r="G60" t="s">
        <v>22</v>
      </c>
      <c r="H60" t="s">
        <v>162</v>
      </c>
      <c r="I60" t="s">
        <v>163</v>
      </c>
      <c r="J60" s="4">
        <v>46079.195230682868</v>
      </c>
    </row>
    <row r="61" spans="1:11" x14ac:dyDescent="0.55000000000000004">
      <c r="A61" t="s">
        <v>164</v>
      </c>
      <c r="B61">
        <v>100315</v>
      </c>
      <c r="C61" t="s">
        <v>179</v>
      </c>
      <c r="D61" s="3">
        <v>46128</v>
      </c>
      <c r="E61" t="s">
        <v>317</v>
      </c>
      <c r="F61" t="s">
        <v>165</v>
      </c>
      <c r="G61" t="s">
        <v>15</v>
      </c>
      <c r="H61" t="s">
        <v>166</v>
      </c>
      <c r="I61" t="s">
        <v>167</v>
      </c>
      <c r="J61" s="4">
        <v>46056.825786250003</v>
      </c>
    </row>
    <row r="62" spans="1:11" x14ac:dyDescent="0.55000000000000004">
      <c r="A62" t="s">
        <v>164</v>
      </c>
      <c r="B62">
        <v>100315</v>
      </c>
      <c r="C62" t="s">
        <v>179</v>
      </c>
      <c r="D62" s="3">
        <v>46128</v>
      </c>
      <c r="E62" t="s">
        <v>38</v>
      </c>
      <c r="F62" t="s">
        <v>165</v>
      </c>
      <c r="G62" t="s">
        <v>15</v>
      </c>
      <c r="H62" t="s">
        <v>166</v>
      </c>
      <c r="I62" t="s">
        <v>167</v>
      </c>
      <c r="J62" s="4">
        <v>46056.825786250003</v>
      </c>
    </row>
    <row r="63" spans="1:11" x14ac:dyDescent="0.55000000000000004">
      <c r="A63" t="s">
        <v>168</v>
      </c>
      <c r="B63">
        <v>100346</v>
      </c>
      <c r="C63" t="s">
        <v>68</v>
      </c>
      <c r="D63" s="3">
        <v>45765</v>
      </c>
      <c r="E63" t="s">
        <v>38</v>
      </c>
      <c r="F63" t="s">
        <v>171</v>
      </c>
      <c r="G63" t="s">
        <v>22</v>
      </c>
      <c r="H63" t="s">
        <v>172</v>
      </c>
      <c r="I63" t="s">
        <v>173</v>
      </c>
      <c r="J63" s="4">
        <v>46079.387591805556</v>
      </c>
    </row>
    <row r="64" spans="1:11" x14ac:dyDescent="0.55000000000000004">
      <c r="A64" t="s">
        <v>168</v>
      </c>
      <c r="B64">
        <v>100346</v>
      </c>
      <c r="C64" t="s">
        <v>68</v>
      </c>
      <c r="D64" s="3">
        <v>45765</v>
      </c>
      <c r="E64" t="s">
        <v>155</v>
      </c>
      <c r="F64" t="s">
        <v>171</v>
      </c>
      <c r="G64" t="s">
        <v>22</v>
      </c>
      <c r="H64" t="s">
        <v>172</v>
      </c>
      <c r="I64" t="s">
        <v>173</v>
      </c>
      <c r="J64" s="4">
        <v>46079.387591805556</v>
      </c>
    </row>
    <row r="65" spans="1:10" x14ac:dyDescent="0.55000000000000004">
      <c r="A65" t="s">
        <v>174</v>
      </c>
      <c r="B65">
        <v>100373</v>
      </c>
      <c r="C65" t="s">
        <v>19</v>
      </c>
      <c r="D65" s="3">
        <v>45808</v>
      </c>
      <c r="E65" t="s">
        <v>38</v>
      </c>
      <c r="F65" t="s">
        <v>175</v>
      </c>
      <c r="G65" t="s">
        <v>15</v>
      </c>
      <c r="H65" t="s">
        <v>176</v>
      </c>
      <c r="I65" t="s">
        <v>177</v>
      </c>
      <c r="J65" s="4">
        <v>46075.304952928243</v>
      </c>
    </row>
    <row r="66" spans="1:10" x14ac:dyDescent="0.55000000000000004">
      <c r="A66" t="s">
        <v>174</v>
      </c>
      <c r="B66">
        <v>100373</v>
      </c>
      <c r="C66" t="s">
        <v>19</v>
      </c>
      <c r="D66" s="3">
        <v>45808</v>
      </c>
      <c r="E66" t="s">
        <v>155</v>
      </c>
      <c r="F66" t="s">
        <v>175</v>
      </c>
      <c r="G66" t="s">
        <v>15</v>
      </c>
      <c r="H66" t="s">
        <v>176</v>
      </c>
      <c r="I66" t="s">
        <v>177</v>
      </c>
      <c r="J66" s="4">
        <v>46075.304952928243</v>
      </c>
    </row>
    <row r="67" spans="1:10" x14ac:dyDescent="0.55000000000000004">
      <c r="A67" t="s">
        <v>178</v>
      </c>
      <c r="B67">
        <v>100294</v>
      </c>
      <c r="C67" t="s">
        <v>179</v>
      </c>
      <c r="D67" s="3">
        <v>45798</v>
      </c>
      <c r="E67" t="s">
        <v>317</v>
      </c>
      <c r="F67" t="s">
        <v>180</v>
      </c>
      <c r="G67" t="s">
        <v>22</v>
      </c>
      <c r="H67" t="s">
        <v>181</v>
      </c>
      <c r="I67" t="s">
        <v>182</v>
      </c>
      <c r="J67" s="4">
        <v>46056.279258483795</v>
      </c>
    </row>
    <row r="68" spans="1:10" x14ac:dyDescent="0.55000000000000004">
      <c r="A68" t="s">
        <v>178</v>
      </c>
      <c r="B68">
        <v>100294</v>
      </c>
      <c r="C68" t="s">
        <v>179</v>
      </c>
      <c r="D68" s="3">
        <v>45798</v>
      </c>
      <c r="E68" t="s">
        <v>20</v>
      </c>
      <c r="F68" t="s">
        <v>180</v>
      </c>
      <c r="G68" t="s">
        <v>22</v>
      </c>
      <c r="H68" t="s">
        <v>181</v>
      </c>
      <c r="I68" t="s">
        <v>182</v>
      </c>
      <c r="J68" s="4">
        <v>46056.279258483795</v>
      </c>
    </row>
    <row r="69" spans="1:10" x14ac:dyDescent="0.55000000000000004">
      <c r="A69" t="s">
        <v>178</v>
      </c>
      <c r="B69">
        <v>100294</v>
      </c>
      <c r="C69" t="s">
        <v>179</v>
      </c>
      <c r="D69" s="3">
        <v>45798</v>
      </c>
      <c r="E69" t="s">
        <v>155</v>
      </c>
      <c r="F69" t="s">
        <v>180</v>
      </c>
      <c r="G69" t="s">
        <v>22</v>
      </c>
      <c r="H69" t="s">
        <v>181</v>
      </c>
      <c r="I69" t="s">
        <v>182</v>
      </c>
      <c r="J69" s="4">
        <v>46056.279258483795</v>
      </c>
    </row>
    <row r="70" spans="1:10" x14ac:dyDescent="0.55000000000000004">
      <c r="A70" t="s">
        <v>183</v>
      </c>
      <c r="B70">
        <v>101441</v>
      </c>
      <c r="C70" t="s">
        <v>533</v>
      </c>
      <c r="D70" s="3">
        <v>46075</v>
      </c>
      <c r="E70" t="s">
        <v>317</v>
      </c>
      <c r="F70" t="s">
        <v>185</v>
      </c>
      <c r="G70" t="s">
        <v>22</v>
      </c>
      <c r="H70" t="s">
        <v>186</v>
      </c>
      <c r="I70" t="s">
        <v>187</v>
      </c>
      <c r="J70" s="4">
        <v>46065.231341817132</v>
      </c>
    </row>
    <row r="71" spans="1:10" x14ac:dyDescent="0.55000000000000004">
      <c r="A71" t="s">
        <v>183</v>
      </c>
      <c r="B71">
        <v>101441</v>
      </c>
      <c r="C71" t="s">
        <v>533</v>
      </c>
      <c r="D71" s="3">
        <v>46075</v>
      </c>
      <c r="E71" t="s">
        <v>38</v>
      </c>
      <c r="F71" t="s">
        <v>185</v>
      </c>
      <c r="G71" t="s">
        <v>22</v>
      </c>
      <c r="H71" t="s">
        <v>186</v>
      </c>
      <c r="I71" t="s">
        <v>187</v>
      </c>
      <c r="J71" s="4">
        <v>46065.231341817132</v>
      </c>
    </row>
    <row r="72" spans="1:10" x14ac:dyDescent="0.55000000000000004">
      <c r="A72" t="s">
        <v>183</v>
      </c>
      <c r="B72">
        <v>101441</v>
      </c>
      <c r="C72" t="s">
        <v>533</v>
      </c>
      <c r="D72" s="3">
        <v>46075</v>
      </c>
      <c r="E72" t="s">
        <v>155</v>
      </c>
      <c r="F72" t="s">
        <v>185</v>
      </c>
      <c r="G72" t="s">
        <v>22</v>
      </c>
      <c r="H72" t="s">
        <v>186</v>
      </c>
      <c r="I72" t="s">
        <v>187</v>
      </c>
      <c r="J72" s="4">
        <v>46065.231341817132</v>
      </c>
    </row>
    <row r="73" spans="1:10" x14ac:dyDescent="0.55000000000000004">
      <c r="A73" t="s">
        <v>188</v>
      </c>
      <c r="B73">
        <v>100526</v>
      </c>
      <c r="C73" t="s">
        <v>37</v>
      </c>
      <c r="D73" s="3">
        <v>45917</v>
      </c>
      <c r="E73" t="s">
        <v>317</v>
      </c>
      <c r="F73" t="s">
        <v>190</v>
      </c>
      <c r="G73" t="s">
        <v>22</v>
      </c>
      <c r="H73" t="s">
        <v>191</v>
      </c>
      <c r="I73" t="s">
        <v>192</v>
      </c>
      <c r="J73" s="4">
        <v>46066.47300849537</v>
      </c>
    </row>
    <row r="74" spans="1:10" x14ac:dyDescent="0.55000000000000004">
      <c r="A74" t="s">
        <v>188</v>
      </c>
      <c r="B74">
        <v>100526</v>
      </c>
      <c r="C74" t="s">
        <v>37</v>
      </c>
      <c r="D74" s="3">
        <v>45917</v>
      </c>
      <c r="E74" t="s">
        <v>115</v>
      </c>
      <c r="F74" t="s">
        <v>190</v>
      </c>
      <c r="G74" t="s">
        <v>22</v>
      </c>
      <c r="H74" t="s">
        <v>191</v>
      </c>
      <c r="I74" t="s">
        <v>192</v>
      </c>
      <c r="J74" s="4">
        <v>46066.47300849537</v>
      </c>
    </row>
    <row r="75" spans="1:10" x14ac:dyDescent="0.55000000000000004">
      <c r="A75" t="s">
        <v>193</v>
      </c>
      <c r="B75">
        <v>101212</v>
      </c>
      <c r="C75" t="s">
        <v>248</v>
      </c>
      <c r="D75" s="3">
        <v>45802</v>
      </c>
      <c r="E75" t="s">
        <v>155</v>
      </c>
      <c r="F75" t="s">
        <v>195</v>
      </c>
      <c r="G75" t="s">
        <v>22</v>
      </c>
      <c r="H75" t="s">
        <v>196</v>
      </c>
      <c r="I75" t="s">
        <v>197</v>
      </c>
      <c r="J75" s="4">
        <v>46091.024397384259</v>
      </c>
    </row>
    <row r="76" spans="1:10" x14ac:dyDescent="0.55000000000000004">
      <c r="A76" t="s">
        <v>198</v>
      </c>
      <c r="B76">
        <v>101062</v>
      </c>
      <c r="C76" t="s">
        <v>19</v>
      </c>
      <c r="D76" s="3">
        <v>46110</v>
      </c>
      <c r="E76" t="s">
        <v>20</v>
      </c>
      <c r="F76" t="s">
        <v>200</v>
      </c>
      <c r="G76" t="s">
        <v>22</v>
      </c>
      <c r="H76" t="s">
        <v>201</v>
      </c>
      <c r="I76" t="s">
        <v>202</v>
      </c>
      <c r="J76" s="4">
        <v>46088.515369618057</v>
      </c>
    </row>
    <row r="77" spans="1:10" x14ac:dyDescent="0.55000000000000004">
      <c r="A77" t="s">
        <v>198</v>
      </c>
      <c r="B77">
        <v>101062</v>
      </c>
      <c r="C77" t="s">
        <v>19</v>
      </c>
      <c r="D77" s="3">
        <v>46110</v>
      </c>
      <c r="E77" t="s">
        <v>155</v>
      </c>
      <c r="F77" t="s">
        <v>200</v>
      </c>
      <c r="G77" t="s">
        <v>22</v>
      </c>
      <c r="H77" t="s">
        <v>201</v>
      </c>
      <c r="I77" t="s">
        <v>202</v>
      </c>
      <c r="J77" s="4">
        <v>46088.515369618057</v>
      </c>
    </row>
    <row r="78" spans="1:10" x14ac:dyDescent="0.55000000000000004">
      <c r="A78" t="s">
        <v>198</v>
      </c>
      <c r="B78">
        <v>101062</v>
      </c>
      <c r="C78" t="s">
        <v>19</v>
      </c>
      <c r="D78" s="3">
        <v>46110</v>
      </c>
      <c r="E78" t="s">
        <v>115</v>
      </c>
      <c r="F78" t="s">
        <v>200</v>
      </c>
      <c r="G78" t="s">
        <v>22</v>
      </c>
      <c r="H78" t="s">
        <v>201</v>
      </c>
      <c r="I78" t="s">
        <v>202</v>
      </c>
      <c r="J78" s="4">
        <v>46088.515369618057</v>
      </c>
    </row>
    <row r="79" spans="1:10" x14ac:dyDescent="0.55000000000000004">
      <c r="A79" t="s">
        <v>203</v>
      </c>
      <c r="B79">
        <v>100383</v>
      </c>
      <c r="C79" t="s">
        <v>533</v>
      </c>
      <c r="D79" s="3">
        <v>46157</v>
      </c>
      <c r="E79" t="s">
        <v>38</v>
      </c>
      <c r="F79" t="s">
        <v>204</v>
      </c>
      <c r="G79" t="s">
        <v>15</v>
      </c>
      <c r="H79" t="s">
        <v>205</v>
      </c>
      <c r="I79" t="s">
        <v>206</v>
      </c>
      <c r="J79" s="4">
        <v>46071.227869618058</v>
      </c>
    </row>
    <row r="80" spans="1:10" x14ac:dyDescent="0.55000000000000004">
      <c r="A80" t="s">
        <v>203</v>
      </c>
      <c r="B80">
        <v>100383</v>
      </c>
      <c r="C80" t="s">
        <v>533</v>
      </c>
      <c r="D80" s="3">
        <v>46157</v>
      </c>
      <c r="E80" t="s">
        <v>115</v>
      </c>
      <c r="F80" t="s">
        <v>204</v>
      </c>
      <c r="G80" t="s">
        <v>15</v>
      </c>
      <c r="H80" t="s">
        <v>205</v>
      </c>
      <c r="I80" t="s">
        <v>206</v>
      </c>
      <c r="J80" s="4">
        <v>46071.227869618058</v>
      </c>
    </row>
    <row r="81" spans="1:11" x14ac:dyDescent="0.55000000000000004">
      <c r="A81" t="s">
        <v>203</v>
      </c>
      <c r="B81">
        <v>100383</v>
      </c>
      <c r="C81" t="s">
        <v>533</v>
      </c>
      <c r="D81" s="3">
        <v>46157</v>
      </c>
      <c r="E81" t="s">
        <v>69</v>
      </c>
      <c r="F81" t="s">
        <v>204</v>
      </c>
      <c r="G81" t="s">
        <v>15</v>
      </c>
      <c r="H81" t="s">
        <v>205</v>
      </c>
      <c r="I81" t="s">
        <v>206</v>
      </c>
      <c r="J81" s="4">
        <v>46071.227869618058</v>
      </c>
    </row>
    <row r="82" spans="1:11" x14ac:dyDescent="0.55000000000000004">
      <c r="A82" t="s">
        <v>207</v>
      </c>
      <c r="B82">
        <v>101082</v>
      </c>
      <c r="C82" t="s">
        <v>248</v>
      </c>
      <c r="D82" s="3">
        <v>45959</v>
      </c>
      <c r="E82" t="s">
        <v>20</v>
      </c>
      <c r="F82" t="s">
        <v>209</v>
      </c>
      <c r="G82" t="s">
        <v>15</v>
      </c>
      <c r="H82" t="s">
        <v>210</v>
      </c>
      <c r="I82" t="s">
        <v>211</v>
      </c>
      <c r="J82" s="4">
        <v>46078.079258506943</v>
      </c>
    </row>
    <row r="83" spans="1:11" x14ac:dyDescent="0.55000000000000004">
      <c r="A83" t="s">
        <v>207</v>
      </c>
      <c r="B83">
        <v>101082</v>
      </c>
      <c r="C83" t="s">
        <v>248</v>
      </c>
      <c r="D83" s="3">
        <v>45959</v>
      </c>
      <c r="E83" t="s">
        <v>115</v>
      </c>
      <c r="F83" t="s">
        <v>209</v>
      </c>
      <c r="G83" t="s">
        <v>15</v>
      </c>
      <c r="H83" t="s">
        <v>210</v>
      </c>
      <c r="I83" t="s">
        <v>211</v>
      </c>
      <c r="J83" s="4">
        <v>46078.079258506943</v>
      </c>
    </row>
    <row r="84" spans="1:11" x14ac:dyDescent="0.55000000000000004">
      <c r="A84" t="s">
        <v>207</v>
      </c>
      <c r="B84">
        <v>101082</v>
      </c>
      <c r="C84" t="s">
        <v>248</v>
      </c>
      <c r="D84" s="3">
        <v>45959</v>
      </c>
      <c r="E84" t="s">
        <v>69</v>
      </c>
      <c r="F84" t="s">
        <v>209</v>
      </c>
      <c r="G84" t="s">
        <v>15</v>
      </c>
      <c r="H84" t="s">
        <v>210</v>
      </c>
      <c r="I84" t="s">
        <v>211</v>
      </c>
      <c r="J84" s="4">
        <v>46078.079258506943</v>
      </c>
    </row>
    <row r="85" spans="1:11" x14ac:dyDescent="0.55000000000000004">
      <c r="A85" t="s">
        <v>212</v>
      </c>
      <c r="B85">
        <v>100701</v>
      </c>
      <c r="D85" s="3">
        <v>45920</v>
      </c>
      <c r="E85" t="s">
        <v>317</v>
      </c>
      <c r="F85" t="s">
        <v>214</v>
      </c>
      <c r="G85" t="s">
        <v>22</v>
      </c>
      <c r="H85" t="s">
        <v>215</v>
      </c>
      <c r="I85" t="s">
        <v>216</v>
      </c>
      <c r="J85" s="4">
        <v>46073.031341851849</v>
      </c>
      <c r="K85" t="s">
        <v>217</v>
      </c>
    </row>
    <row r="86" spans="1:11" x14ac:dyDescent="0.55000000000000004">
      <c r="A86" t="s">
        <v>212</v>
      </c>
      <c r="B86">
        <v>100701</v>
      </c>
      <c r="D86" s="3">
        <v>45920</v>
      </c>
      <c r="E86" t="s">
        <v>38</v>
      </c>
      <c r="F86" t="s">
        <v>214</v>
      </c>
      <c r="G86" t="s">
        <v>22</v>
      </c>
      <c r="H86" t="s">
        <v>215</v>
      </c>
      <c r="I86" t="s">
        <v>216</v>
      </c>
      <c r="J86" s="4">
        <v>46073.031341851849</v>
      </c>
      <c r="K86" t="s">
        <v>217</v>
      </c>
    </row>
    <row r="87" spans="1:11" x14ac:dyDescent="0.55000000000000004">
      <c r="A87" t="s">
        <v>212</v>
      </c>
      <c r="B87">
        <v>100701</v>
      </c>
      <c r="D87" s="3">
        <v>45920</v>
      </c>
      <c r="E87" t="s">
        <v>69</v>
      </c>
      <c r="F87" t="s">
        <v>214</v>
      </c>
      <c r="G87" t="s">
        <v>22</v>
      </c>
      <c r="H87" t="s">
        <v>215</v>
      </c>
      <c r="I87" t="s">
        <v>216</v>
      </c>
      <c r="J87" s="4">
        <v>46073.031341851849</v>
      </c>
      <c r="K87" t="s">
        <v>217</v>
      </c>
    </row>
    <row r="88" spans="1:11" x14ac:dyDescent="0.55000000000000004">
      <c r="A88" t="s">
        <v>218</v>
      </c>
      <c r="B88">
        <v>100405</v>
      </c>
      <c r="C88" t="s">
        <v>19</v>
      </c>
      <c r="D88" s="3">
        <v>45946</v>
      </c>
      <c r="E88" t="s">
        <v>115</v>
      </c>
      <c r="F88" t="s">
        <v>219</v>
      </c>
      <c r="G88" t="s">
        <v>15</v>
      </c>
      <c r="H88" t="s">
        <v>220</v>
      </c>
      <c r="I88" t="s">
        <v>221</v>
      </c>
      <c r="J88" s="4">
        <v>46081.672314074072</v>
      </c>
    </row>
    <row r="89" spans="1:11" x14ac:dyDescent="0.55000000000000004">
      <c r="A89" t="s">
        <v>222</v>
      </c>
      <c r="B89">
        <v>100876</v>
      </c>
      <c r="C89" t="s">
        <v>19</v>
      </c>
      <c r="D89" s="3">
        <v>45922</v>
      </c>
      <c r="E89" t="s">
        <v>317</v>
      </c>
      <c r="F89" t="s">
        <v>223</v>
      </c>
      <c r="G89" t="s">
        <v>22</v>
      </c>
      <c r="H89" t="s">
        <v>224</v>
      </c>
      <c r="I89" t="s">
        <v>225</v>
      </c>
      <c r="J89" s="4">
        <v>46092.518147407405</v>
      </c>
    </row>
    <row r="90" spans="1:11" x14ac:dyDescent="0.55000000000000004">
      <c r="A90" t="s">
        <v>222</v>
      </c>
      <c r="B90">
        <v>100876</v>
      </c>
      <c r="C90" t="s">
        <v>19</v>
      </c>
      <c r="D90" s="3">
        <v>45922</v>
      </c>
      <c r="E90" t="s">
        <v>38</v>
      </c>
      <c r="F90" t="s">
        <v>223</v>
      </c>
      <c r="G90" t="s">
        <v>22</v>
      </c>
      <c r="H90" t="s">
        <v>224</v>
      </c>
      <c r="I90" t="s">
        <v>225</v>
      </c>
      <c r="J90" s="4">
        <v>46092.518147407405</v>
      </c>
    </row>
    <row r="91" spans="1:11" x14ac:dyDescent="0.55000000000000004">
      <c r="A91" t="s">
        <v>222</v>
      </c>
      <c r="B91">
        <v>100876</v>
      </c>
      <c r="C91" t="s">
        <v>19</v>
      </c>
      <c r="D91" s="3">
        <v>45922</v>
      </c>
      <c r="E91" t="s">
        <v>155</v>
      </c>
      <c r="F91" t="s">
        <v>223</v>
      </c>
      <c r="G91" t="s">
        <v>22</v>
      </c>
      <c r="H91" t="s">
        <v>224</v>
      </c>
      <c r="I91" t="s">
        <v>225</v>
      </c>
      <c r="J91" s="4">
        <v>46092.518147407405</v>
      </c>
    </row>
    <row r="92" spans="1:11" x14ac:dyDescent="0.55000000000000004">
      <c r="A92" t="s">
        <v>226</v>
      </c>
      <c r="B92">
        <v>101409</v>
      </c>
      <c r="C92" t="s">
        <v>248</v>
      </c>
      <c r="D92" s="3">
        <v>45962</v>
      </c>
      <c r="E92" t="s">
        <v>155</v>
      </c>
      <c r="F92" t="s">
        <v>227</v>
      </c>
      <c r="G92" t="s">
        <v>15</v>
      </c>
      <c r="H92" t="s">
        <v>228</v>
      </c>
      <c r="I92" t="s">
        <v>229</v>
      </c>
      <c r="J92" s="4">
        <v>46069.249397418978</v>
      </c>
    </row>
    <row r="93" spans="1:11" x14ac:dyDescent="0.55000000000000004">
      <c r="A93" t="s">
        <v>226</v>
      </c>
      <c r="B93">
        <v>101409</v>
      </c>
      <c r="C93" t="s">
        <v>248</v>
      </c>
      <c r="D93" s="3">
        <v>45962</v>
      </c>
      <c r="E93" t="s">
        <v>115</v>
      </c>
      <c r="F93" t="s">
        <v>227</v>
      </c>
      <c r="G93" t="s">
        <v>15</v>
      </c>
      <c r="H93" t="s">
        <v>228</v>
      </c>
      <c r="I93" t="s">
        <v>229</v>
      </c>
      <c r="J93" s="4">
        <v>46069.249397418978</v>
      </c>
    </row>
    <row r="94" spans="1:11" x14ac:dyDescent="0.55000000000000004">
      <c r="A94" t="s">
        <v>226</v>
      </c>
      <c r="B94">
        <v>101409</v>
      </c>
      <c r="C94" t="s">
        <v>248</v>
      </c>
      <c r="D94" s="3">
        <v>45962</v>
      </c>
      <c r="E94" t="s">
        <v>69</v>
      </c>
      <c r="F94" t="s">
        <v>227</v>
      </c>
      <c r="G94" t="s">
        <v>15</v>
      </c>
      <c r="H94" t="s">
        <v>228</v>
      </c>
      <c r="I94" t="s">
        <v>229</v>
      </c>
      <c r="J94" s="4">
        <v>46069.249397418978</v>
      </c>
    </row>
    <row r="95" spans="1:11" x14ac:dyDescent="0.55000000000000004">
      <c r="A95" t="s">
        <v>230</v>
      </c>
      <c r="B95">
        <v>100434</v>
      </c>
      <c r="C95" t="s">
        <v>37</v>
      </c>
      <c r="D95" s="3">
        <v>45944</v>
      </c>
      <c r="E95" t="s">
        <v>69</v>
      </c>
      <c r="F95" t="s">
        <v>231</v>
      </c>
      <c r="G95" t="s">
        <v>22</v>
      </c>
      <c r="H95" t="s">
        <v>232</v>
      </c>
      <c r="I95" t="s">
        <v>233</v>
      </c>
      <c r="J95" s="4">
        <v>46082.19731408565</v>
      </c>
    </row>
    <row r="96" spans="1:11" x14ac:dyDescent="0.55000000000000004">
      <c r="A96" t="s">
        <v>234</v>
      </c>
      <c r="B96">
        <v>101008</v>
      </c>
      <c r="C96" t="s">
        <v>37</v>
      </c>
      <c r="D96" s="3">
        <v>45923</v>
      </c>
      <c r="E96" t="s">
        <v>155</v>
      </c>
      <c r="F96" t="s">
        <v>235</v>
      </c>
      <c r="G96" t="s">
        <v>22</v>
      </c>
      <c r="H96" t="s">
        <v>236</v>
      </c>
      <c r="I96" t="s">
        <v>237</v>
      </c>
      <c r="J96" s="4">
        <v>46090.821619652779</v>
      </c>
    </row>
    <row r="97" spans="1:11" x14ac:dyDescent="0.55000000000000004">
      <c r="A97" t="s">
        <v>238</v>
      </c>
      <c r="B97">
        <v>101095</v>
      </c>
      <c r="C97" t="s">
        <v>68</v>
      </c>
      <c r="D97" s="3">
        <v>46137</v>
      </c>
      <c r="E97" t="s">
        <v>115</v>
      </c>
      <c r="F97" t="s">
        <v>239</v>
      </c>
      <c r="G97" t="s">
        <v>15</v>
      </c>
      <c r="H97" t="s">
        <v>240</v>
      </c>
      <c r="I97" t="s">
        <v>241</v>
      </c>
      <c r="J97" s="4">
        <v>46079.074397430559</v>
      </c>
      <c r="K97" t="s">
        <v>139</v>
      </c>
    </row>
    <row r="98" spans="1:11" x14ac:dyDescent="0.55000000000000004">
      <c r="A98" t="s">
        <v>242</v>
      </c>
      <c r="B98">
        <v>100391</v>
      </c>
      <c r="C98" t="s">
        <v>533</v>
      </c>
      <c r="D98" s="3">
        <v>46120</v>
      </c>
      <c r="E98" t="s">
        <v>317</v>
      </c>
      <c r="F98" t="s">
        <v>244</v>
      </c>
      <c r="G98" t="s">
        <v>15</v>
      </c>
      <c r="H98" t="s">
        <v>245</v>
      </c>
      <c r="I98" t="s">
        <v>246</v>
      </c>
      <c r="J98" s="4">
        <v>46096.382036319446</v>
      </c>
    </row>
    <row r="99" spans="1:11" x14ac:dyDescent="0.55000000000000004">
      <c r="A99" t="s">
        <v>242</v>
      </c>
      <c r="B99">
        <v>100391</v>
      </c>
      <c r="C99" t="s">
        <v>533</v>
      </c>
      <c r="D99" s="3">
        <v>46120</v>
      </c>
      <c r="E99" t="s">
        <v>155</v>
      </c>
      <c r="F99" t="s">
        <v>244</v>
      </c>
      <c r="G99" t="s">
        <v>15</v>
      </c>
      <c r="H99" t="s">
        <v>245</v>
      </c>
      <c r="I99" t="s">
        <v>246</v>
      </c>
      <c r="J99" s="4">
        <v>46096.382036319446</v>
      </c>
    </row>
    <row r="100" spans="1:11" x14ac:dyDescent="0.55000000000000004">
      <c r="A100" t="s">
        <v>242</v>
      </c>
      <c r="B100">
        <v>100391</v>
      </c>
      <c r="C100" t="s">
        <v>533</v>
      </c>
      <c r="D100" s="3">
        <v>46120</v>
      </c>
      <c r="E100" t="s">
        <v>69</v>
      </c>
      <c r="F100" t="s">
        <v>244</v>
      </c>
      <c r="G100" t="s">
        <v>15</v>
      </c>
      <c r="H100" t="s">
        <v>245</v>
      </c>
      <c r="I100" t="s">
        <v>246</v>
      </c>
      <c r="J100" s="4">
        <v>46096.382036319446</v>
      </c>
    </row>
    <row r="101" spans="1:11" x14ac:dyDescent="0.55000000000000004">
      <c r="A101" t="s">
        <v>247</v>
      </c>
      <c r="B101">
        <v>100297</v>
      </c>
      <c r="C101" t="s">
        <v>248</v>
      </c>
      <c r="D101" s="3">
        <v>45808</v>
      </c>
      <c r="E101" t="s">
        <v>317</v>
      </c>
      <c r="F101" t="s">
        <v>249</v>
      </c>
      <c r="G101" t="s">
        <v>15</v>
      </c>
      <c r="H101" t="s">
        <v>250</v>
      </c>
      <c r="I101" t="s">
        <v>251</v>
      </c>
      <c r="J101" s="4">
        <v>46079.40842521991</v>
      </c>
    </row>
    <row r="102" spans="1:11" x14ac:dyDescent="0.55000000000000004">
      <c r="A102" t="s">
        <v>247</v>
      </c>
      <c r="B102">
        <v>100297</v>
      </c>
      <c r="C102" t="s">
        <v>248</v>
      </c>
      <c r="D102" s="3">
        <v>45808</v>
      </c>
      <c r="E102" t="s">
        <v>38</v>
      </c>
      <c r="F102" t="s">
        <v>249</v>
      </c>
      <c r="G102" t="s">
        <v>15</v>
      </c>
      <c r="H102" t="s">
        <v>250</v>
      </c>
      <c r="I102" t="s">
        <v>251</v>
      </c>
      <c r="J102" s="4">
        <v>46079.40842521991</v>
      </c>
    </row>
    <row r="103" spans="1:11" x14ac:dyDescent="0.55000000000000004">
      <c r="A103" t="s">
        <v>247</v>
      </c>
      <c r="B103">
        <v>100297</v>
      </c>
      <c r="C103" t="s">
        <v>248</v>
      </c>
      <c r="D103" s="3">
        <v>45808</v>
      </c>
      <c r="E103" t="s">
        <v>69</v>
      </c>
      <c r="F103" t="s">
        <v>249</v>
      </c>
      <c r="G103" t="s">
        <v>15</v>
      </c>
      <c r="H103" t="s">
        <v>250</v>
      </c>
      <c r="I103" t="s">
        <v>251</v>
      </c>
      <c r="J103" s="4">
        <v>46079.40842521991</v>
      </c>
    </row>
    <row r="104" spans="1:11" x14ac:dyDescent="0.55000000000000004">
      <c r="A104" t="s">
        <v>252</v>
      </c>
      <c r="B104">
        <v>100157</v>
      </c>
      <c r="C104" t="s">
        <v>68</v>
      </c>
      <c r="D104" s="3">
        <v>45794</v>
      </c>
      <c r="E104" t="s">
        <v>115</v>
      </c>
      <c r="F104" t="s">
        <v>253</v>
      </c>
      <c r="G104" t="s">
        <v>22</v>
      </c>
      <c r="H104" t="s">
        <v>254</v>
      </c>
      <c r="I104" t="s">
        <v>255</v>
      </c>
      <c r="J104" s="4">
        <v>46056.86050855324</v>
      </c>
    </row>
    <row r="105" spans="1:11" x14ac:dyDescent="0.55000000000000004">
      <c r="A105" t="s">
        <v>256</v>
      </c>
      <c r="B105">
        <v>100933</v>
      </c>
      <c r="C105" t="s">
        <v>179</v>
      </c>
      <c r="D105" s="3">
        <v>45764</v>
      </c>
      <c r="E105" t="s">
        <v>69</v>
      </c>
      <c r="F105" t="s">
        <v>257</v>
      </c>
      <c r="G105" t="s">
        <v>15</v>
      </c>
      <c r="H105" t="s">
        <v>258</v>
      </c>
      <c r="I105" t="s">
        <v>259</v>
      </c>
      <c r="J105" s="4">
        <v>46057.01328634259</v>
      </c>
    </row>
    <row r="106" spans="1:11" x14ac:dyDescent="0.55000000000000004">
      <c r="A106" t="s">
        <v>260</v>
      </c>
      <c r="B106">
        <v>101122</v>
      </c>
      <c r="C106" t="s">
        <v>19</v>
      </c>
      <c r="D106" s="3">
        <v>45855</v>
      </c>
      <c r="E106" t="s">
        <v>20</v>
      </c>
      <c r="F106" t="s">
        <v>261</v>
      </c>
      <c r="G106" t="s">
        <v>15</v>
      </c>
      <c r="H106" t="s">
        <v>262</v>
      </c>
      <c r="I106" t="s">
        <v>263</v>
      </c>
      <c r="J106" s="4">
        <v>46058.244536342594</v>
      </c>
    </row>
    <row r="107" spans="1:11" x14ac:dyDescent="0.55000000000000004">
      <c r="A107" t="s">
        <v>260</v>
      </c>
      <c r="B107">
        <v>101122</v>
      </c>
      <c r="C107" t="s">
        <v>19</v>
      </c>
      <c r="D107" s="3">
        <v>45855</v>
      </c>
      <c r="E107" t="s">
        <v>115</v>
      </c>
      <c r="F107" t="s">
        <v>261</v>
      </c>
      <c r="G107" t="s">
        <v>15</v>
      </c>
      <c r="H107" t="s">
        <v>262</v>
      </c>
      <c r="I107" t="s">
        <v>263</v>
      </c>
      <c r="J107" s="4">
        <v>46058.244536342594</v>
      </c>
    </row>
    <row r="108" spans="1:11" x14ac:dyDescent="0.55000000000000004">
      <c r="A108" t="s">
        <v>260</v>
      </c>
      <c r="B108">
        <v>101122</v>
      </c>
      <c r="C108" t="s">
        <v>19</v>
      </c>
      <c r="D108" s="3">
        <v>45855</v>
      </c>
      <c r="E108" t="s">
        <v>69</v>
      </c>
      <c r="F108" t="s">
        <v>261</v>
      </c>
      <c r="G108" t="s">
        <v>15</v>
      </c>
      <c r="H108" t="s">
        <v>262</v>
      </c>
      <c r="I108" t="s">
        <v>263</v>
      </c>
      <c r="J108" s="4">
        <v>46058.244536342594</v>
      </c>
    </row>
    <row r="109" spans="1:11" x14ac:dyDescent="0.55000000000000004">
      <c r="A109" t="s">
        <v>264</v>
      </c>
      <c r="B109">
        <v>100879</v>
      </c>
      <c r="C109" t="s">
        <v>248</v>
      </c>
      <c r="D109" s="3">
        <v>46024</v>
      </c>
      <c r="E109" t="s">
        <v>155</v>
      </c>
      <c r="F109" t="s">
        <v>266</v>
      </c>
      <c r="G109" t="s">
        <v>22</v>
      </c>
      <c r="H109" t="s">
        <v>267</v>
      </c>
      <c r="I109" t="s">
        <v>268</v>
      </c>
      <c r="J109" s="4">
        <v>46092.998008564813</v>
      </c>
    </row>
    <row r="110" spans="1:11" x14ac:dyDescent="0.55000000000000004">
      <c r="A110" t="s">
        <v>264</v>
      </c>
      <c r="B110">
        <v>100879</v>
      </c>
      <c r="C110" t="s">
        <v>248</v>
      </c>
      <c r="D110" s="3">
        <v>46024</v>
      </c>
      <c r="E110" t="s">
        <v>115</v>
      </c>
      <c r="F110" t="s">
        <v>266</v>
      </c>
      <c r="G110" t="s">
        <v>22</v>
      </c>
      <c r="H110" t="s">
        <v>267</v>
      </c>
      <c r="I110" t="s">
        <v>268</v>
      </c>
      <c r="J110" s="4">
        <v>46092.998008564813</v>
      </c>
    </row>
    <row r="111" spans="1:11" x14ac:dyDescent="0.55000000000000004">
      <c r="A111" t="s">
        <v>269</v>
      </c>
      <c r="B111">
        <v>100182</v>
      </c>
      <c r="C111" t="s">
        <v>19</v>
      </c>
      <c r="D111" s="3">
        <v>45991</v>
      </c>
      <c r="E111" t="s">
        <v>38</v>
      </c>
      <c r="F111" t="s">
        <v>271</v>
      </c>
      <c r="G111" t="s">
        <v>22</v>
      </c>
      <c r="H111" t="s">
        <v>272</v>
      </c>
      <c r="I111" t="s">
        <v>273</v>
      </c>
      <c r="J111" s="4">
        <v>46094.842453020836</v>
      </c>
    </row>
    <row r="112" spans="1:11" x14ac:dyDescent="0.55000000000000004">
      <c r="A112" t="s">
        <v>269</v>
      </c>
      <c r="B112">
        <v>100182</v>
      </c>
      <c r="C112" t="s">
        <v>19</v>
      </c>
      <c r="D112" s="3">
        <v>45991</v>
      </c>
      <c r="E112" t="s">
        <v>155</v>
      </c>
      <c r="F112" t="s">
        <v>271</v>
      </c>
      <c r="G112" t="s">
        <v>22</v>
      </c>
      <c r="H112" t="s">
        <v>272</v>
      </c>
      <c r="I112" t="s">
        <v>273</v>
      </c>
      <c r="J112" s="4">
        <v>46094.842453020836</v>
      </c>
    </row>
    <row r="113" spans="1:11" x14ac:dyDescent="0.55000000000000004">
      <c r="A113" t="s">
        <v>269</v>
      </c>
      <c r="B113">
        <v>100182</v>
      </c>
      <c r="C113" t="s">
        <v>19</v>
      </c>
      <c r="D113" s="3">
        <v>45991</v>
      </c>
      <c r="E113" t="s">
        <v>69</v>
      </c>
      <c r="F113" t="s">
        <v>271</v>
      </c>
      <c r="G113" t="s">
        <v>22</v>
      </c>
      <c r="H113" t="s">
        <v>272</v>
      </c>
      <c r="I113" t="s">
        <v>273</v>
      </c>
      <c r="J113" s="4">
        <v>46094.842453020836</v>
      </c>
    </row>
    <row r="114" spans="1:11" x14ac:dyDescent="0.55000000000000004">
      <c r="A114" t="s">
        <v>274</v>
      </c>
      <c r="B114">
        <v>101357</v>
      </c>
      <c r="C114" t="s">
        <v>179</v>
      </c>
      <c r="D114" s="3">
        <v>45923</v>
      </c>
      <c r="E114" t="s">
        <v>317</v>
      </c>
      <c r="F114" t="s">
        <v>275</v>
      </c>
      <c r="G114" t="s">
        <v>22</v>
      </c>
      <c r="H114" t="s">
        <v>276</v>
      </c>
      <c r="I114" t="s">
        <v>277</v>
      </c>
      <c r="J114" s="4">
        <v>46093.255647465281</v>
      </c>
    </row>
    <row r="115" spans="1:11" x14ac:dyDescent="0.55000000000000004">
      <c r="A115" t="s">
        <v>274</v>
      </c>
      <c r="B115">
        <v>101357</v>
      </c>
      <c r="C115" t="s">
        <v>179</v>
      </c>
      <c r="D115" s="3">
        <v>45923</v>
      </c>
      <c r="E115" t="s">
        <v>155</v>
      </c>
      <c r="F115" t="s">
        <v>275</v>
      </c>
      <c r="G115" t="s">
        <v>22</v>
      </c>
      <c r="H115" t="s">
        <v>276</v>
      </c>
      <c r="I115" t="s">
        <v>277</v>
      </c>
      <c r="J115" s="4">
        <v>46093.255647465281</v>
      </c>
    </row>
    <row r="116" spans="1:11" x14ac:dyDescent="0.55000000000000004">
      <c r="A116" t="s">
        <v>278</v>
      </c>
      <c r="B116">
        <v>100513</v>
      </c>
      <c r="C116" t="s">
        <v>248</v>
      </c>
      <c r="D116" s="3">
        <v>46107</v>
      </c>
      <c r="E116" t="s">
        <v>317</v>
      </c>
      <c r="F116" t="s">
        <v>279</v>
      </c>
      <c r="G116" t="s">
        <v>15</v>
      </c>
      <c r="H116" t="s">
        <v>280</v>
      </c>
      <c r="I116" t="s">
        <v>281</v>
      </c>
      <c r="J116" s="4">
        <v>46095.245230810186</v>
      </c>
    </row>
    <row r="117" spans="1:11" x14ac:dyDescent="0.55000000000000004">
      <c r="A117" t="s">
        <v>278</v>
      </c>
      <c r="B117">
        <v>100513</v>
      </c>
      <c r="C117" t="s">
        <v>248</v>
      </c>
      <c r="D117" s="3">
        <v>46107</v>
      </c>
      <c r="E117" t="s">
        <v>20</v>
      </c>
      <c r="F117" t="s">
        <v>279</v>
      </c>
      <c r="G117" t="s">
        <v>15</v>
      </c>
      <c r="H117" t="s">
        <v>280</v>
      </c>
      <c r="I117" t="s">
        <v>281</v>
      </c>
      <c r="J117" s="4">
        <v>46095.245230810186</v>
      </c>
    </row>
    <row r="118" spans="1:11" x14ac:dyDescent="0.55000000000000004">
      <c r="A118" t="s">
        <v>278</v>
      </c>
      <c r="B118">
        <v>100513</v>
      </c>
      <c r="C118" t="s">
        <v>248</v>
      </c>
      <c r="D118" s="3">
        <v>46107</v>
      </c>
      <c r="E118" t="s">
        <v>155</v>
      </c>
      <c r="F118" t="s">
        <v>279</v>
      </c>
      <c r="G118" t="s">
        <v>15</v>
      </c>
      <c r="H118" t="s">
        <v>280</v>
      </c>
      <c r="I118" t="s">
        <v>281</v>
      </c>
      <c r="J118" s="4">
        <v>46095.245230810186</v>
      </c>
    </row>
    <row r="119" spans="1:11" x14ac:dyDescent="0.55000000000000004">
      <c r="A119" t="s">
        <v>282</v>
      </c>
      <c r="B119">
        <v>101229</v>
      </c>
      <c r="C119" t="s">
        <v>19</v>
      </c>
      <c r="D119" s="3">
        <v>45905</v>
      </c>
      <c r="E119" t="s">
        <v>38</v>
      </c>
      <c r="F119" t="s">
        <v>283</v>
      </c>
      <c r="G119" t="s">
        <v>15</v>
      </c>
      <c r="H119" t="s">
        <v>284</v>
      </c>
      <c r="I119" t="s">
        <v>285</v>
      </c>
      <c r="J119" s="4">
        <v>46089.656341921298</v>
      </c>
    </row>
    <row r="120" spans="1:11" x14ac:dyDescent="0.55000000000000004">
      <c r="A120" t="s">
        <v>282</v>
      </c>
      <c r="B120">
        <v>101229</v>
      </c>
      <c r="C120" t="s">
        <v>19</v>
      </c>
      <c r="D120" s="3">
        <v>45905</v>
      </c>
      <c r="E120" t="s">
        <v>115</v>
      </c>
      <c r="F120" t="s">
        <v>283</v>
      </c>
      <c r="G120" t="s">
        <v>15</v>
      </c>
      <c r="H120" t="s">
        <v>284</v>
      </c>
      <c r="I120" t="s">
        <v>285</v>
      </c>
      <c r="J120" s="4">
        <v>46089.656341921298</v>
      </c>
    </row>
    <row r="121" spans="1:11" x14ac:dyDescent="0.55000000000000004">
      <c r="A121" t="s">
        <v>282</v>
      </c>
      <c r="B121">
        <v>101229</v>
      </c>
      <c r="C121" t="s">
        <v>19</v>
      </c>
      <c r="D121" s="3">
        <v>45905</v>
      </c>
      <c r="E121" t="s">
        <v>69</v>
      </c>
      <c r="F121" t="s">
        <v>283</v>
      </c>
      <c r="G121" t="s">
        <v>15</v>
      </c>
      <c r="H121" t="s">
        <v>284</v>
      </c>
      <c r="I121" t="s">
        <v>285</v>
      </c>
      <c r="J121" s="4">
        <v>46089.656341921298</v>
      </c>
    </row>
    <row r="122" spans="1:11" x14ac:dyDescent="0.55000000000000004">
      <c r="A122" t="s">
        <v>286</v>
      </c>
      <c r="B122">
        <v>100374</v>
      </c>
      <c r="C122" t="s">
        <v>179</v>
      </c>
      <c r="D122" s="3">
        <v>45750</v>
      </c>
      <c r="E122" t="s">
        <v>155</v>
      </c>
      <c r="F122" t="s">
        <v>287</v>
      </c>
      <c r="G122" t="s">
        <v>15</v>
      </c>
      <c r="H122" t="s">
        <v>288</v>
      </c>
      <c r="I122" t="s">
        <v>289</v>
      </c>
      <c r="J122" s="4">
        <v>46095.297314143521</v>
      </c>
    </row>
    <row r="123" spans="1:11" x14ac:dyDescent="0.55000000000000004">
      <c r="A123" t="s">
        <v>286</v>
      </c>
      <c r="B123">
        <v>100374</v>
      </c>
      <c r="C123" t="s">
        <v>179</v>
      </c>
      <c r="D123" s="3">
        <v>45750</v>
      </c>
      <c r="E123" t="s">
        <v>115</v>
      </c>
      <c r="F123" t="s">
        <v>287</v>
      </c>
      <c r="G123" t="s">
        <v>15</v>
      </c>
      <c r="H123" t="s">
        <v>288</v>
      </c>
      <c r="I123" t="s">
        <v>289</v>
      </c>
      <c r="J123" s="4">
        <v>46095.297314143521</v>
      </c>
    </row>
    <row r="124" spans="1:11" x14ac:dyDescent="0.55000000000000004">
      <c r="A124" t="s">
        <v>290</v>
      </c>
      <c r="B124">
        <v>101141</v>
      </c>
      <c r="C124" t="s">
        <v>68</v>
      </c>
      <c r="D124" s="3">
        <v>45995</v>
      </c>
      <c r="E124" t="s">
        <v>38</v>
      </c>
      <c r="F124" t="s">
        <v>291</v>
      </c>
      <c r="G124" t="s">
        <v>22</v>
      </c>
      <c r="H124" t="s">
        <v>292</v>
      </c>
      <c r="I124" t="s">
        <v>293</v>
      </c>
      <c r="J124" s="4">
        <v>46094.826480821757</v>
      </c>
    </row>
    <row r="125" spans="1:11" x14ac:dyDescent="0.55000000000000004">
      <c r="A125" t="s">
        <v>290</v>
      </c>
      <c r="B125">
        <v>101141</v>
      </c>
      <c r="C125" t="s">
        <v>68</v>
      </c>
      <c r="D125" s="3">
        <v>45995</v>
      </c>
      <c r="E125" t="s">
        <v>69</v>
      </c>
      <c r="F125" t="s">
        <v>291</v>
      </c>
      <c r="G125" t="s">
        <v>22</v>
      </c>
      <c r="H125" t="s">
        <v>292</v>
      </c>
      <c r="I125" t="s">
        <v>293</v>
      </c>
      <c r="J125" s="4">
        <v>46094.826480821757</v>
      </c>
    </row>
    <row r="126" spans="1:11" x14ac:dyDescent="0.55000000000000004">
      <c r="A126" t="s">
        <v>294</v>
      </c>
      <c r="B126">
        <v>100307</v>
      </c>
      <c r="C126" t="s">
        <v>248</v>
      </c>
      <c r="D126" s="3">
        <v>45878</v>
      </c>
      <c r="E126" t="s">
        <v>20</v>
      </c>
      <c r="F126" t="s">
        <v>296</v>
      </c>
      <c r="G126" t="s">
        <v>22</v>
      </c>
      <c r="H126" t="s">
        <v>297</v>
      </c>
      <c r="I126" t="s">
        <v>298</v>
      </c>
      <c r="J126" s="4">
        <v>46090.22300859954</v>
      </c>
    </row>
    <row r="127" spans="1:11" x14ac:dyDescent="0.55000000000000004">
      <c r="A127" t="s">
        <v>294</v>
      </c>
      <c r="B127">
        <v>100307</v>
      </c>
      <c r="C127" t="s">
        <v>248</v>
      </c>
      <c r="D127" s="3">
        <v>45878</v>
      </c>
      <c r="E127" t="s">
        <v>155</v>
      </c>
      <c r="F127" t="s">
        <v>296</v>
      </c>
      <c r="G127" t="s">
        <v>22</v>
      </c>
      <c r="H127" t="s">
        <v>297</v>
      </c>
      <c r="I127" t="s">
        <v>298</v>
      </c>
      <c r="J127" s="4">
        <v>46090.22300859954</v>
      </c>
    </row>
    <row r="128" spans="1:11" x14ac:dyDescent="0.55000000000000004">
      <c r="A128" t="s">
        <v>299</v>
      </c>
      <c r="C128" t="s">
        <v>179</v>
      </c>
      <c r="D128" s="3">
        <v>45936</v>
      </c>
      <c r="E128" t="s">
        <v>317</v>
      </c>
      <c r="F128" t="s">
        <v>301</v>
      </c>
      <c r="G128" t="s">
        <v>15</v>
      </c>
      <c r="H128" t="s">
        <v>302</v>
      </c>
      <c r="I128" t="s">
        <v>303</v>
      </c>
      <c r="J128" s="4">
        <v>46065.7618975</v>
      </c>
      <c r="K128" t="s">
        <v>112</v>
      </c>
    </row>
    <row r="129" spans="1:11" x14ac:dyDescent="0.55000000000000004">
      <c r="A129" t="s">
        <v>299</v>
      </c>
      <c r="C129" t="s">
        <v>179</v>
      </c>
      <c r="D129" s="3">
        <v>45936</v>
      </c>
      <c r="E129" t="s">
        <v>20</v>
      </c>
      <c r="F129" t="s">
        <v>301</v>
      </c>
      <c r="G129" t="s">
        <v>15</v>
      </c>
      <c r="H129" t="s">
        <v>302</v>
      </c>
      <c r="I129" t="s">
        <v>303</v>
      </c>
      <c r="J129" s="4">
        <v>46065.7618975</v>
      </c>
      <c r="K129" t="s">
        <v>112</v>
      </c>
    </row>
    <row r="130" spans="1:11" x14ac:dyDescent="0.55000000000000004">
      <c r="A130" t="s">
        <v>299</v>
      </c>
      <c r="C130" t="s">
        <v>179</v>
      </c>
      <c r="D130" s="3">
        <v>45936</v>
      </c>
      <c r="E130" t="s">
        <v>69</v>
      </c>
      <c r="F130" t="s">
        <v>301</v>
      </c>
      <c r="G130" t="s">
        <v>15</v>
      </c>
      <c r="H130" t="s">
        <v>302</v>
      </c>
      <c r="I130" t="s">
        <v>303</v>
      </c>
      <c r="J130" s="4">
        <v>46065.7618975</v>
      </c>
      <c r="K130" t="s">
        <v>112</v>
      </c>
    </row>
    <row r="131" spans="1:11" x14ac:dyDescent="0.55000000000000004">
      <c r="A131" t="s">
        <v>304</v>
      </c>
      <c r="B131">
        <v>100491</v>
      </c>
      <c r="C131" t="s">
        <v>19</v>
      </c>
      <c r="D131" s="3">
        <v>45920</v>
      </c>
      <c r="E131" t="s">
        <v>20</v>
      </c>
      <c r="F131" t="s">
        <v>305</v>
      </c>
      <c r="G131" t="s">
        <v>15</v>
      </c>
      <c r="H131" t="s">
        <v>306</v>
      </c>
      <c r="I131" t="s">
        <v>307</v>
      </c>
      <c r="J131" s="4">
        <v>46069.88967527778</v>
      </c>
    </row>
    <row r="132" spans="1:11" x14ac:dyDescent="0.55000000000000004">
      <c r="A132" t="s">
        <v>304</v>
      </c>
      <c r="B132">
        <v>100491</v>
      </c>
      <c r="C132" t="s">
        <v>19</v>
      </c>
      <c r="D132" s="3">
        <v>45920</v>
      </c>
      <c r="E132" t="s">
        <v>155</v>
      </c>
      <c r="F132" t="s">
        <v>305</v>
      </c>
      <c r="G132" t="s">
        <v>15</v>
      </c>
      <c r="H132" t="s">
        <v>306</v>
      </c>
      <c r="I132" t="s">
        <v>307</v>
      </c>
      <c r="J132" s="4">
        <v>46069.88967527778</v>
      </c>
    </row>
    <row r="133" spans="1:11" x14ac:dyDescent="0.55000000000000004">
      <c r="A133" t="s">
        <v>304</v>
      </c>
      <c r="B133">
        <v>100491</v>
      </c>
      <c r="C133" t="s">
        <v>19</v>
      </c>
      <c r="D133" s="3">
        <v>45920</v>
      </c>
      <c r="E133" t="s">
        <v>69</v>
      </c>
      <c r="F133" t="s">
        <v>305</v>
      </c>
      <c r="G133" t="s">
        <v>15</v>
      </c>
      <c r="H133" t="s">
        <v>306</v>
      </c>
      <c r="I133" t="s">
        <v>307</v>
      </c>
      <c r="J133" s="4">
        <v>46069.88967527778</v>
      </c>
    </row>
    <row r="134" spans="1:11" x14ac:dyDescent="0.55000000000000004">
      <c r="A134" t="s">
        <v>308</v>
      </c>
      <c r="B134">
        <v>101319</v>
      </c>
      <c r="C134" t="s">
        <v>533</v>
      </c>
      <c r="D134" s="3">
        <v>46011</v>
      </c>
      <c r="E134" t="s">
        <v>20</v>
      </c>
      <c r="F134" t="s">
        <v>309</v>
      </c>
      <c r="G134" t="s">
        <v>15</v>
      </c>
      <c r="H134" t="s">
        <v>310</v>
      </c>
      <c r="I134" t="s">
        <v>311</v>
      </c>
      <c r="J134" s="4">
        <v>46076.806341944444</v>
      </c>
    </row>
    <row r="135" spans="1:11" x14ac:dyDescent="0.55000000000000004">
      <c r="A135" t="s">
        <v>308</v>
      </c>
      <c r="B135">
        <v>101319</v>
      </c>
      <c r="C135" t="s">
        <v>533</v>
      </c>
      <c r="D135" s="3">
        <v>46011</v>
      </c>
      <c r="E135" t="s">
        <v>155</v>
      </c>
      <c r="F135" t="s">
        <v>309</v>
      </c>
      <c r="G135" t="s">
        <v>15</v>
      </c>
      <c r="H135" t="s">
        <v>310</v>
      </c>
      <c r="I135" t="s">
        <v>311</v>
      </c>
      <c r="J135" s="4">
        <v>46076.806341944444</v>
      </c>
    </row>
    <row r="136" spans="1:11" x14ac:dyDescent="0.55000000000000004">
      <c r="A136" t="s">
        <v>312</v>
      </c>
      <c r="B136">
        <v>100722</v>
      </c>
      <c r="C136" t="s">
        <v>68</v>
      </c>
      <c r="D136" s="3">
        <v>45888</v>
      </c>
      <c r="E136" t="s">
        <v>38</v>
      </c>
      <c r="F136" t="s">
        <v>313</v>
      </c>
      <c r="G136" t="s">
        <v>15</v>
      </c>
      <c r="H136" t="s">
        <v>314</v>
      </c>
      <c r="I136" t="s">
        <v>315</v>
      </c>
      <c r="J136" s="4">
        <v>46053.114675289355</v>
      </c>
    </row>
    <row r="137" spans="1:11" x14ac:dyDescent="0.55000000000000004">
      <c r="A137" t="s">
        <v>312</v>
      </c>
      <c r="B137">
        <v>100722</v>
      </c>
      <c r="C137" t="s">
        <v>68</v>
      </c>
      <c r="D137" s="3">
        <v>45888</v>
      </c>
      <c r="E137" t="s">
        <v>69</v>
      </c>
      <c r="F137" t="s">
        <v>313</v>
      </c>
      <c r="G137" t="s">
        <v>15</v>
      </c>
      <c r="H137" t="s">
        <v>314</v>
      </c>
      <c r="I137" t="s">
        <v>315</v>
      </c>
      <c r="J137" s="4">
        <v>46053.114675289355</v>
      </c>
    </row>
    <row r="138" spans="1:11" x14ac:dyDescent="0.55000000000000004">
      <c r="A138" t="s">
        <v>316</v>
      </c>
      <c r="B138">
        <v>101401</v>
      </c>
      <c r="C138" t="s">
        <v>68</v>
      </c>
      <c r="D138" s="3">
        <v>45960</v>
      </c>
      <c r="E138" t="s">
        <v>317</v>
      </c>
      <c r="F138" t="s">
        <v>318</v>
      </c>
      <c r="G138" t="s">
        <v>22</v>
      </c>
      <c r="H138" t="s">
        <v>319</v>
      </c>
      <c r="I138" t="s">
        <v>320</v>
      </c>
      <c r="J138" s="4">
        <v>46058.127869733798</v>
      </c>
    </row>
    <row r="139" spans="1:11" x14ac:dyDescent="0.55000000000000004">
      <c r="A139" t="s">
        <v>321</v>
      </c>
      <c r="B139">
        <v>100098</v>
      </c>
      <c r="C139" t="s">
        <v>248</v>
      </c>
      <c r="D139" s="3">
        <v>46059</v>
      </c>
      <c r="E139" t="s">
        <v>155</v>
      </c>
      <c r="F139" t="s">
        <v>322</v>
      </c>
      <c r="G139" t="s">
        <v>22</v>
      </c>
      <c r="H139" t="s">
        <v>323</v>
      </c>
      <c r="I139" t="s">
        <v>324</v>
      </c>
      <c r="J139" s="4">
        <v>46074.016758634258</v>
      </c>
    </row>
    <row r="140" spans="1:11" x14ac:dyDescent="0.55000000000000004">
      <c r="A140" t="s">
        <v>325</v>
      </c>
      <c r="B140">
        <v>100682</v>
      </c>
      <c r="C140" t="s">
        <v>533</v>
      </c>
      <c r="D140" s="3">
        <v>45747</v>
      </c>
      <c r="E140" t="s">
        <v>38</v>
      </c>
      <c r="F140" t="s">
        <v>326</v>
      </c>
      <c r="G140" t="s">
        <v>22</v>
      </c>
      <c r="H140" t="s">
        <v>327</v>
      </c>
      <c r="I140" t="s">
        <v>328</v>
      </c>
      <c r="J140" s="4">
        <v>46095.566758634261</v>
      </c>
    </row>
    <row r="141" spans="1:11" x14ac:dyDescent="0.55000000000000004">
      <c r="A141" t="s">
        <v>329</v>
      </c>
      <c r="B141">
        <v>100602</v>
      </c>
      <c r="C141" t="s">
        <v>37</v>
      </c>
      <c r="D141" s="3">
        <v>45852</v>
      </c>
      <c r="E141" t="s">
        <v>317</v>
      </c>
      <c r="F141" t="s">
        <v>330</v>
      </c>
      <c r="G141" t="s">
        <v>15</v>
      </c>
      <c r="H141" t="s">
        <v>331</v>
      </c>
      <c r="I141" t="s">
        <v>332</v>
      </c>
      <c r="J141" s="4">
        <v>46059.527869745369</v>
      </c>
    </row>
    <row r="142" spans="1:11" x14ac:dyDescent="0.55000000000000004">
      <c r="A142" t="s">
        <v>329</v>
      </c>
      <c r="B142">
        <v>100602</v>
      </c>
      <c r="C142" t="s">
        <v>37</v>
      </c>
      <c r="D142" s="3">
        <v>45852</v>
      </c>
      <c r="E142" t="s">
        <v>20</v>
      </c>
      <c r="F142" t="s">
        <v>330</v>
      </c>
      <c r="G142" t="s">
        <v>15</v>
      </c>
      <c r="H142" t="s">
        <v>331</v>
      </c>
      <c r="I142" t="s">
        <v>332</v>
      </c>
      <c r="J142" s="4">
        <v>46059.527869745369</v>
      </c>
    </row>
    <row r="143" spans="1:11" x14ac:dyDescent="0.55000000000000004">
      <c r="A143" t="s">
        <v>329</v>
      </c>
      <c r="B143">
        <v>100602</v>
      </c>
      <c r="C143" t="s">
        <v>37</v>
      </c>
      <c r="D143" s="3">
        <v>45852</v>
      </c>
      <c r="E143" t="s">
        <v>69</v>
      </c>
      <c r="F143" t="s">
        <v>330</v>
      </c>
      <c r="G143" t="s">
        <v>15</v>
      </c>
      <c r="H143" t="s">
        <v>331</v>
      </c>
      <c r="I143" t="s">
        <v>332</v>
      </c>
      <c r="J143" s="4">
        <v>46059.527869745369</v>
      </c>
    </row>
    <row r="144" spans="1:11" x14ac:dyDescent="0.55000000000000004">
      <c r="A144" t="s">
        <v>333</v>
      </c>
      <c r="B144">
        <v>101162</v>
      </c>
      <c r="C144" t="s">
        <v>179</v>
      </c>
      <c r="D144" s="3">
        <v>45921</v>
      </c>
      <c r="E144" t="s">
        <v>155</v>
      </c>
      <c r="F144" t="s">
        <v>335</v>
      </c>
      <c r="G144" t="s">
        <v>15</v>
      </c>
      <c r="H144" t="s">
        <v>336</v>
      </c>
      <c r="I144" t="s">
        <v>337</v>
      </c>
      <c r="J144" s="4">
        <v>46064.224397534723</v>
      </c>
    </row>
    <row r="145" spans="1:10" x14ac:dyDescent="0.55000000000000004">
      <c r="A145" t="s">
        <v>333</v>
      </c>
      <c r="B145">
        <v>101162</v>
      </c>
      <c r="C145" t="s">
        <v>179</v>
      </c>
      <c r="D145" s="3">
        <v>45921</v>
      </c>
      <c r="E145" t="s">
        <v>69</v>
      </c>
      <c r="F145" t="s">
        <v>335</v>
      </c>
      <c r="G145" t="s">
        <v>15</v>
      </c>
      <c r="H145" t="s">
        <v>336</v>
      </c>
      <c r="I145" t="s">
        <v>337</v>
      </c>
      <c r="J145" s="4">
        <v>46064.224397534723</v>
      </c>
    </row>
    <row r="146" spans="1:10" x14ac:dyDescent="0.55000000000000004">
      <c r="A146" t="s">
        <v>338</v>
      </c>
      <c r="B146">
        <v>100132</v>
      </c>
      <c r="C146" t="s">
        <v>179</v>
      </c>
      <c r="D146" s="3">
        <v>45892</v>
      </c>
      <c r="E146" t="s">
        <v>20</v>
      </c>
      <c r="F146" t="s">
        <v>339</v>
      </c>
      <c r="G146" t="s">
        <v>15</v>
      </c>
      <c r="H146" t="s">
        <v>340</v>
      </c>
      <c r="I146" t="s">
        <v>341</v>
      </c>
      <c r="J146" s="4">
        <v>46086.036203090276</v>
      </c>
    </row>
    <row r="147" spans="1:10" x14ac:dyDescent="0.55000000000000004">
      <c r="A147" t="s">
        <v>338</v>
      </c>
      <c r="B147">
        <v>100132</v>
      </c>
      <c r="C147" t="s">
        <v>179</v>
      </c>
      <c r="D147" s="3">
        <v>45892</v>
      </c>
      <c r="E147" t="s">
        <v>155</v>
      </c>
      <c r="F147" t="s">
        <v>339</v>
      </c>
      <c r="G147" t="s">
        <v>15</v>
      </c>
      <c r="H147" t="s">
        <v>340</v>
      </c>
      <c r="I147" t="s">
        <v>341</v>
      </c>
      <c r="J147" s="4">
        <v>46086.036203090276</v>
      </c>
    </row>
    <row r="148" spans="1:10" x14ac:dyDescent="0.55000000000000004">
      <c r="A148" t="s">
        <v>338</v>
      </c>
      <c r="B148">
        <v>100132</v>
      </c>
      <c r="C148" t="s">
        <v>179</v>
      </c>
      <c r="D148" s="3">
        <v>45892</v>
      </c>
      <c r="E148" t="s">
        <v>115</v>
      </c>
      <c r="F148" t="s">
        <v>339</v>
      </c>
      <c r="G148" t="s">
        <v>15</v>
      </c>
      <c r="H148" t="s">
        <v>340</v>
      </c>
      <c r="I148" t="s">
        <v>341</v>
      </c>
      <c r="J148" s="4">
        <v>46086.036203090276</v>
      </c>
    </row>
    <row r="149" spans="1:10" x14ac:dyDescent="0.55000000000000004">
      <c r="A149" t="s">
        <v>342</v>
      </c>
      <c r="B149">
        <v>100608</v>
      </c>
      <c r="C149" t="s">
        <v>19</v>
      </c>
      <c r="D149" s="3">
        <v>45930</v>
      </c>
      <c r="E149" t="s">
        <v>38</v>
      </c>
      <c r="F149" t="s">
        <v>344</v>
      </c>
      <c r="G149" t="s">
        <v>22</v>
      </c>
      <c r="H149" t="s">
        <v>345</v>
      </c>
      <c r="I149" t="s">
        <v>346</v>
      </c>
      <c r="J149" s="4">
        <v>46083.875786435186</v>
      </c>
    </row>
    <row r="150" spans="1:10" x14ac:dyDescent="0.55000000000000004">
      <c r="A150" t="s">
        <v>342</v>
      </c>
      <c r="B150">
        <v>100608</v>
      </c>
      <c r="C150" t="s">
        <v>19</v>
      </c>
      <c r="D150" s="3">
        <v>45930</v>
      </c>
      <c r="E150" t="s">
        <v>20</v>
      </c>
      <c r="F150" t="s">
        <v>344</v>
      </c>
      <c r="G150" t="s">
        <v>22</v>
      </c>
      <c r="H150" t="s">
        <v>345</v>
      </c>
      <c r="I150" t="s">
        <v>346</v>
      </c>
      <c r="J150" s="4">
        <v>46083.875786435186</v>
      </c>
    </row>
    <row r="151" spans="1:10" x14ac:dyDescent="0.55000000000000004">
      <c r="A151" t="s">
        <v>342</v>
      </c>
      <c r="B151">
        <v>100608</v>
      </c>
      <c r="C151" t="s">
        <v>19</v>
      </c>
      <c r="D151" s="3">
        <v>45930</v>
      </c>
      <c r="E151" t="s">
        <v>155</v>
      </c>
      <c r="F151" t="s">
        <v>344</v>
      </c>
      <c r="G151" t="s">
        <v>22</v>
      </c>
      <c r="H151" t="s">
        <v>345</v>
      </c>
      <c r="I151" t="s">
        <v>346</v>
      </c>
      <c r="J151" s="4">
        <v>46083.875786435186</v>
      </c>
    </row>
    <row r="152" spans="1:10" x14ac:dyDescent="0.55000000000000004">
      <c r="A152" t="s">
        <v>347</v>
      </c>
      <c r="B152">
        <v>101331</v>
      </c>
      <c r="C152" t="s">
        <v>68</v>
      </c>
      <c r="D152" s="3">
        <v>46087</v>
      </c>
      <c r="E152" t="s">
        <v>155</v>
      </c>
      <c r="F152" t="s">
        <v>348</v>
      </c>
      <c r="G152" t="s">
        <v>15</v>
      </c>
      <c r="H152" t="s">
        <v>349</v>
      </c>
      <c r="I152" t="s">
        <v>350</v>
      </c>
      <c r="J152" s="4">
        <v>46093.103564212965</v>
      </c>
    </row>
    <row r="153" spans="1:10" x14ac:dyDescent="0.55000000000000004">
      <c r="A153" t="s">
        <v>347</v>
      </c>
      <c r="B153">
        <v>101331</v>
      </c>
      <c r="C153" t="s">
        <v>68</v>
      </c>
      <c r="D153" s="3">
        <v>46087</v>
      </c>
      <c r="E153" t="s">
        <v>115</v>
      </c>
      <c r="F153" t="s">
        <v>348</v>
      </c>
      <c r="G153" t="s">
        <v>15</v>
      </c>
      <c r="H153" t="s">
        <v>349</v>
      </c>
      <c r="I153" t="s">
        <v>350</v>
      </c>
      <c r="J153" s="4">
        <v>46093.103564212965</v>
      </c>
    </row>
    <row r="154" spans="1:10" x14ac:dyDescent="0.55000000000000004">
      <c r="A154" t="s">
        <v>351</v>
      </c>
      <c r="B154">
        <v>100845</v>
      </c>
      <c r="C154" t="s">
        <v>533</v>
      </c>
      <c r="D154" s="3">
        <v>46097</v>
      </c>
      <c r="E154" t="s">
        <v>20</v>
      </c>
      <c r="F154" t="s">
        <v>352</v>
      </c>
      <c r="G154" t="s">
        <v>22</v>
      </c>
      <c r="H154" t="s">
        <v>353</v>
      </c>
      <c r="I154" t="s">
        <v>354</v>
      </c>
      <c r="J154" s="4">
        <v>46052.654258668983</v>
      </c>
    </row>
    <row r="155" spans="1:10" x14ac:dyDescent="0.55000000000000004">
      <c r="A155" t="s">
        <v>351</v>
      </c>
      <c r="B155">
        <v>100845</v>
      </c>
      <c r="C155" t="s">
        <v>533</v>
      </c>
      <c r="D155" s="3">
        <v>46097</v>
      </c>
      <c r="E155" t="s">
        <v>155</v>
      </c>
      <c r="F155" t="s">
        <v>352</v>
      </c>
      <c r="G155" t="s">
        <v>22</v>
      </c>
      <c r="H155" t="s">
        <v>353</v>
      </c>
      <c r="I155" t="s">
        <v>354</v>
      </c>
      <c r="J155" s="4">
        <v>46052.654258668983</v>
      </c>
    </row>
    <row r="156" spans="1:10" x14ac:dyDescent="0.55000000000000004">
      <c r="A156" t="s">
        <v>355</v>
      </c>
      <c r="B156">
        <v>100547</v>
      </c>
      <c r="C156" t="s">
        <v>19</v>
      </c>
      <c r="D156" s="3">
        <v>46009</v>
      </c>
      <c r="E156" t="s">
        <v>20</v>
      </c>
      <c r="F156" t="s">
        <v>357</v>
      </c>
      <c r="G156" t="s">
        <v>15</v>
      </c>
      <c r="H156" t="s">
        <v>358</v>
      </c>
      <c r="I156" t="s">
        <v>359</v>
      </c>
      <c r="J156" s="4">
        <v>46074.023008668984</v>
      </c>
    </row>
    <row r="157" spans="1:10" x14ac:dyDescent="0.55000000000000004">
      <c r="A157" t="s">
        <v>355</v>
      </c>
      <c r="B157">
        <v>100547</v>
      </c>
      <c r="C157" t="s">
        <v>19</v>
      </c>
      <c r="D157" s="3">
        <v>46009</v>
      </c>
      <c r="E157" t="s">
        <v>115</v>
      </c>
      <c r="F157" t="s">
        <v>357</v>
      </c>
      <c r="G157" t="s">
        <v>15</v>
      </c>
      <c r="H157" t="s">
        <v>358</v>
      </c>
      <c r="I157" t="s">
        <v>359</v>
      </c>
      <c r="J157" s="4">
        <v>46074.023008668984</v>
      </c>
    </row>
    <row r="158" spans="1:10" x14ac:dyDescent="0.55000000000000004">
      <c r="A158" t="s">
        <v>360</v>
      </c>
      <c r="B158">
        <v>100359</v>
      </c>
      <c r="C158" t="s">
        <v>248</v>
      </c>
      <c r="D158" s="3">
        <v>45794</v>
      </c>
      <c r="E158" t="s">
        <v>115</v>
      </c>
      <c r="F158" t="s">
        <v>361</v>
      </c>
      <c r="G158" t="s">
        <v>15</v>
      </c>
      <c r="H158" t="s">
        <v>362</v>
      </c>
      <c r="I158" t="s">
        <v>363</v>
      </c>
      <c r="J158" s="4">
        <v>46066.709119780091</v>
      </c>
    </row>
    <row r="159" spans="1:10" x14ac:dyDescent="0.55000000000000004">
      <c r="A159" t="s">
        <v>364</v>
      </c>
      <c r="B159">
        <v>101068</v>
      </c>
      <c r="C159" t="s">
        <v>68</v>
      </c>
      <c r="D159" s="3">
        <v>46015</v>
      </c>
      <c r="E159" t="s">
        <v>20</v>
      </c>
      <c r="F159" t="s">
        <v>365</v>
      </c>
      <c r="G159" t="s">
        <v>15</v>
      </c>
      <c r="H159" t="s">
        <v>366</v>
      </c>
      <c r="I159" t="s">
        <v>367</v>
      </c>
      <c r="J159" s="4">
        <v>46093.306342013886</v>
      </c>
    </row>
    <row r="160" spans="1:10" x14ac:dyDescent="0.55000000000000004">
      <c r="A160" t="s">
        <v>364</v>
      </c>
      <c r="B160">
        <v>101068</v>
      </c>
      <c r="C160" t="s">
        <v>68</v>
      </c>
      <c r="D160" s="3">
        <v>46015</v>
      </c>
      <c r="E160" t="s">
        <v>115</v>
      </c>
      <c r="F160" t="s">
        <v>365</v>
      </c>
      <c r="G160" t="s">
        <v>15</v>
      </c>
      <c r="H160" t="s">
        <v>366</v>
      </c>
      <c r="I160" t="s">
        <v>367</v>
      </c>
      <c r="J160" s="4">
        <v>46093.306342013886</v>
      </c>
    </row>
    <row r="161" spans="1:11" x14ac:dyDescent="0.55000000000000004">
      <c r="A161" t="s">
        <v>364</v>
      </c>
      <c r="B161">
        <v>101068</v>
      </c>
      <c r="C161" t="s">
        <v>68</v>
      </c>
      <c r="D161" s="3">
        <v>46015</v>
      </c>
      <c r="E161" t="s">
        <v>69</v>
      </c>
      <c r="F161" t="s">
        <v>365</v>
      </c>
      <c r="G161" t="s">
        <v>15</v>
      </c>
      <c r="H161" t="s">
        <v>366</v>
      </c>
      <c r="I161" t="s">
        <v>367</v>
      </c>
      <c r="J161" s="4">
        <v>46093.306342013886</v>
      </c>
    </row>
    <row r="162" spans="1:11" x14ac:dyDescent="0.55000000000000004">
      <c r="A162" t="s">
        <v>368</v>
      </c>
      <c r="B162">
        <v>100635</v>
      </c>
      <c r="C162" t="s">
        <v>179</v>
      </c>
      <c r="D162" s="3">
        <v>46099</v>
      </c>
      <c r="E162" t="s">
        <v>317</v>
      </c>
      <c r="F162" t="s">
        <v>369</v>
      </c>
      <c r="G162" t="s">
        <v>22</v>
      </c>
      <c r="H162" t="s">
        <v>370</v>
      </c>
      <c r="I162" t="s">
        <v>371</v>
      </c>
      <c r="J162" s="4">
        <v>46061.641064236108</v>
      </c>
      <c r="K162" t="s">
        <v>139</v>
      </c>
    </row>
    <row r="163" spans="1:11" x14ac:dyDescent="0.55000000000000004">
      <c r="A163" t="s">
        <v>368</v>
      </c>
      <c r="B163">
        <v>100635</v>
      </c>
      <c r="C163" t="s">
        <v>179</v>
      </c>
      <c r="D163" s="3">
        <v>46099</v>
      </c>
      <c r="E163" t="s">
        <v>38</v>
      </c>
      <c r="F163" t="s">
        <v>369</v>
      </c>
      <c r="G163" t="s">
        <v>22</v>
      </c>
      <c r="H163" t="s">
        <v>370</v>
      </c>
      <c r="I163" t="s">
        <v>371</v>
      </c>
      <c r="J163" s="4">
        <v>46061.641064236108</v>
      </c>
      <c r="K163" t="s">
        <v>139</v>
      </c>
    </row>
    <row r="164" spans="1:11" x14ac:dyDescent="0.55000000000000004">
      <c r="A164" t="s">
        <v>368</v>
      </c>
      <c r="B164">
        <v>100635</v>
      </c>
      <c r="C164" t="s">
        <v>179</v>
      </c>
      <c r="D164" s="3">
        <v>46099</v>
      </c>
      <c r="E164" t="s">
        <v>69</v>
      </c>
      <c r="F164" t="s">
        <v>369</v>
      </c>
      <c r="G164" t="s">
        <v>22</v>
      </c>
      <c r="H164" t="s">
        <v>370</v>
      </c>
      <c r="I164" t="s">
        <v>371</v>
      </c>
      <c r="J164" s="4">
        <v>46061.641064236108</v>
      </c>
      <c r="K164" t="s">
        <v>139</v>
      </c>
    </row>
    <row r="165" spans="1:11" x14ac:dyDescent="0.55000000000000004">
      <c r="A165" t="s">
        <v>372</v>
      </c>
      <c r="B165">
        <v>100354</v>
      </c>
      <c r="C165" t="s">
        <v>533</v>
      </c>
      <c r="D165" s="3">
        <v>45894</v>
      </c>
      <c r="E165" t="s">
        <v>38</v>
      </c>
      <c r="F165" t="s">
        <v>373</v>
      </c>
      <c r="G165" t="s">
        <v>22</v>
      </c>
      <c r="H165" t="s">
        <v>374</v>
      </c>
      <c r="I165" t="s">
        <v>375</v>
      </c>
      <c r="J165" s="4">
        <v>46088.961897569447</v>
      </c>
    </row>
    <row r="166" spans="1:11" x14ac:dyDescent="0.55000000000000004">
      <c r="A166" t="s">
        <v>372</v>
      </c>
      <c r="B166">
        <v>100354</v>
      </c>
      <c r="C166" t="s">
        <v>533</v>
      </c>
      <c r="D166" s="3">
        <v>45894</v>
      </c>
      <c r="E166" t="s">
        <v>155</v>
      </c>
      <c r="F166" t="s">
        <v>373</v>
      </c>
      <c r="G166" t="s">
        <v>22</v>
      </c>
      <c r="H166" t="s">
        <v>374</v>
      </c>
      <c r="I166" t="s">
        <v>375</v>
      </c>
      <c r="J166" s="4">
        <v>46088.961897569447</v>
      </c>
    </row>
    <row r="167" spans="1:11" x14ac:dyDescent="0.55000000000000004">
      <c r="A167" t="s">
        <v>372</v>
      </c>
      <c r="B167">
        <v>100354</v>
      </c>
      <c r="C167" t="s">
        <v>533</v>
      </c>
      <c r="D167" s="3">
        <v>45894</v>
      </c>
      <c r="E167" t="s">
        <v>69</v>
      </c>
      <c r="F167" t="s">
        <v>373</v>
      </c>
      <c r="G167" t="s">
        <v>22</v>
      </c>
      <c r="H167" t="s">
        <v>374</v>
      </c>
      <c r="I167" t="s">
        <v>375</v>
      </c>
      <c r="J167" s="4">
        <v>46088.961897569447</v>
      </c>
    </row>
    <row r="168" spans="1:11" x14ac:dyDescent="0.55000000000000004">
      <c r="A168" t="s">
        <v>376</v>
      </c>
      <c r="B168">
        <v>100977</v>
      </c>
      <c r="C168" t="s">
        <v>19</v>
      </c>
      <c r="D168" s="3">
        <v>45825</v>
      </c>
      <c r="E168" t="s">
        <v>69</v>
      </c>
      <c r="F168" t="s">
        <v>377</v>
      </c>
      <c r="G168" t="s">
        <v>15</v>
      </c>
      <c r="H168" t="s">
        <v>378</v>
      </c>
      <c r="I168" t="s">
        <v>379</v>
      </c>
      <c r="J168" s="4">
        <v>46090.009119803239</v>
      </c>
    </row>
    <row r="169" spans="1:11" x14ac:dyDescent="0.55000000000000004">
      <c r="A169" t="s">
        <v>380</v>
      </c>
      <c r="B169">
        <v>101358</v>
      </c>
      <c r="D169" s="3">
        <v>45887</v>
      </c>
      <c r="E169" t="s">
        <v>115</v>
      </c>
      <c r="F169" t="s">
        <v>381</v>
      </c>
      <c r="G169" t="s">
        <v>22</v>
      </c>
      <c r="H169" t="s">
        <v>382</v>
      </c>
      <c r="I169" t="s">
        <v>383</v>
      </c>
      <c r="J169" s="4">
        <v>46052.42578646991</v>
      </c>
      <c r="K169" t="s">
        <v>217</v>
      </c>
    </row>
    <row r="170" spans="1:11" x14ac:dyDescent="0.55000000000000004">
      <c r="A170" t="s">
        <v>384</v>
      </c>
      <c r="B170">
        <v>100950</v>
      </c>
      <c r="C170" t="s">
        <v>68</v>
      </c>
      <c r="D170" s="3">
        <v>45997</v>
      </c>
      <c r="E170" t="s">
        <v>20</v>
      </c>
      <c r="F170" t="s">
        <v>385</v>
      </c>
      <c r="G170" t="s">
        <v>15</v>
      </c>
      <c r="H170" t="s">
        <v>386</v>
      </c>
      <c r="I170" t="s">
        <v>387</v>
      </c>
      <c r="J170" s="4">
        <v>46056.962592037038</v>
      </c>
    </row>
    <row r="171" spans="1:11" x14ac:dyDescent="0.55000000000000004">
      <c r="A171" t="s">
        <v>384</v>
      </c>
      <c r="B171">
        <v>100950</v>
      </c>
      <c r="C171" t="s">
        <v>68</v>
      </c>
      <c r="D171" s="3">
        <v>45997</v>
      </c>
      <c r="E171" t="s">
        <v>155</v>
      </c>
      <c r="F171" t="s">
        <v>385</v>
      </c>
      <c r="G171" t="s">
        <v>15</v>
      </c>
      <c r="H171" t="s">
        <v>386</v>
      </c>
      <c r="I171" t="s">
        <v>387</v>
      </c>
      <c r="J171" s="4">
        <v>46056.962592037038</v>
      </c>
    </row>
    <row r="172" spans="1:11" x14ac:dyDescent="0.55000000000000004">
      <c r="A172" t="s">
        <v>388</v>
      </c>
      <c r="B172">
        <v>100780</v>
      </c>
      <c r="C172" t="s">
        <v>248</v>
      </c>
      <c r="D172" s="3">
        <v>45796</v>
      </c>
      <c r="E172" t="s">
        <v>38</v>
      </c>
      <c r="F172" t="s">
        <v>389</v>
      </c>
      <c r="G172" t="s">
        <v>15</v>
      </c>
      <c r="H172" t="s">
        <v>390</v>
      </c>
      <c r="I172" t="s">
        <v>391</v>
      </c>
      <c r="J172" s="4">
        <v>46059.920230925927</v>
      </c>
    </row>
    <row r="173" spans="1:11" x14ac:dyDescent="0.55000000000000004">
      <c r="A173" t="s">
        <v>388</v>
      </c>
      <c r="B173">
        <v>100780</v>
      </c>
      <c r="C173" t="s">
        <v>248</v>
      </c>
      <c r="D173" s="3">
        <v>45796</v>
      </c>
      <c r="E173" t="s">
        <v>20</v>
      </c>
      <c r="F173" t="s">
        <v>389</v>
      </c>
      <c r="G173" t="s">
        <v>15</v>
      </c>
      <c r="H173" t="s">
        <v>390</v>
      </c>
      <c r="I173" t="s">
        <v>391</v>
      </c>
      <c r="J173" s="4">
        <v>46059.920230925927</v>
      </c>
    </row>
    <row r="174" spans="1:11" x14ac:dyDescent="0.55000000000000004">
      <c r="A174" t="s">
        <v>388</v>
      </c>
      <c r="B174">
        <v>100780</v>
      </c>
      <c r="C174" t="s">
        <v>248</v>
      </c>
      <c r="D174" s="3">
        <v>45796</v>
      </c>
      <c r="E174" t="s">
        <v>155</v>
      </c>
      <c r="F174" t="s">
        <v>389</v>
      </c>
      <c r="G174" t="s">
        <v>15</v>
      </c>
      <c r="H174" t="s">
        <v>390</v>
      </c>
      <c r="I174" t="s">
        <v>391</v>
      </c>
      <c r="J174" s="4">
        <v>46059.920230925927</v>
      </c>
    </row>
    <row r="175" spans="1:11" x14ac:dyDescent="0.55000000000000004">
      <c r="A175" t="s">
        <v>392</v>
      </c>
      <c r="B175">
        <v>100368</v>
      </c>
      <c r="C175" t="s">
        <v>533</v>
      </c>
      <c r="D175" s="3">
        <v>45819</v>
      </c>
      <c r="E175" t="s">
        <v>317</v>
      </c>
      <c r="F175" t="s">
        <v>393</v>
      </c>
      <c r="G175" t="s">
        <v>15</v>
      </c>
      <c r="H175" t="s">
        <v>394</v>
      </c>
      <c r="I175" t="s">
        <v>395</v>
      </c>
      <c r="J175" s="4">
        <v>46096.630647592596</v>
      </c>
    </row>
    <row r="176" spans="1:11" x14ac:dyDescent="0.55000000000000004">
      <c r="A176" t="s">
        <v>392</v>
      </c>
      <c r="B176">
        <v>100368</v>
      </c>
      <c r="C176" t="s">
        <v>533</v>
      </c>
      <c r="D176" s="3">
        <v>45819</v>
      </c>
      <c r="E176" t="s">
        <v>38</v>
      </c>
      <c r="F176" t="s">
        <v>393</v>
      </c>
      <c r="G176" t="s">
        <v>15</v>
      </c>
      <c r="H176" t="s">
        <v>394</v>
      </c>
      <c r="I176" t="s">
        <v>395</v>
      </c>
      <c r="J176" s="4">
        <v>46096.630647592596</v>
      </c>
    </row>
    <row r="177" spans="1:10" x14ac:dyDescent="0.55000000000000004">
      <c r="A177" t="s">
        <v>392</v>
      </c>
      <c r="B177">
        <v>100368</v>
      </c>
      <c r="C177" t="s">
        <v>533</v>
      </c>
      <c r="D177" s="3">
        <v>45819</v>
      </c>
      <c r="E177" t="s">
        <v>20</v>
      </c>
      <c r="F177" t="s">
        <v>393</v>
      </c>
      <c r="G177" t="s">
        <v>15</v>
      </c>
      <c r="H177" t="s">
        <v>394</v>
      </c>
      <c r="I177" t="s">
        <v>395</v>
      </c>
      <c r="J177" s="4">
        <v>46096.630647592596</v>
      </c>
    </row>
    <row r="178" spans="1:10" x14ac:dyDescent="0.55000000000000004">
      <c r="A178" t="s">
        <v>396</v>
      </c>
      <c r="B178">
        <v>101470</v>
      </c>
      <c r="C178" t="s">
        <v>37</v>
      </c>
      <c r="D178" s="3">
        <v>46060</v>
      </c>
      <c r="E178" t="s">
        <v>20</v>
      </c>
      <c r="F178" t="s">
        <v>397</v>
      </c>
      <c r="G178" t="s">
        <v>15</v>
      </c>
      <c r="H178" t="s">
        <v>398</v>
      </c>
      <c r="I178" t="s">
        <v>399</v>
      </c>
      <c r="J178" s="4">
        <v>46065.854258715277</v>
      </c>
    </row>
    <row r="179" spans="1:10" x14ac:dyDescent="0.55000000000000004">
      <c r="A179" t="s">
        <v>396</v>
      </c>
      <c r="B179">
        <v>101470</v>
      </c>
      <c r="C179" t="s">
        <v>37</v>
      </c>
      <c r="D179" s="3">
        <v>46060</v>
      </c>
      <c r="E179" t="s">
        <v>115</v>
      </c>
      <c r="F179" t="s">
        <v>397</v>
      </c>
      <c r="G179" t="s">
        <v>15</v>
      </c>
      <c r="H179" t="s">
        <v>398</v>
      </c>
      <c r="I179" t="s">
        <v>399</v>
      </c>
      <c r="J179" s="4">
        <v>46065.854258715277</v>
      </c>
    </row>
    <row r="180" spans="1:10" x14ac:dyDescent="0.55000000000000004">
      <c r="A180" t="s">
        <v>396</v>
      </c>
      <c r="B180">
        <v>101470</v>
      </c>
      <c r="C180" t="s">
        <v>37</v>
      </c>
      <c r="D180" s="3">
        <v>46060</v>
      </c>
      <c r="E180" t="s">
        <v>69</v>
      </c>
      <c r="F180" t="s">
        <v>397</v>
      </c>
      <c r="G180" t="s">
        <v>15</v>
      </c>
      <c r="H180" t="s">
        <v>398</v>
      </c>
      <c r="I180" t="s">
        <v>399</v>
      </c>
      <c r="J180" s="4">
        <v>46065.854258715277</v>
      </c>
    </row>
    <row r="181" spans="1:10" x14ac:dyDescent="0.55000000000000004">
      <c r="A181" t="s">
        <v>400</v>
      </c>
      <c r="B181">
        <v>101467</v>
      </c>
      <c r="C181" t="s">
        <v>19</v>
      </c>
      <c r="D181" s="3">
        <v>45880</v>
      </c>
      <c r="E181" t="s">
        <v>20</v>
      </c>
      <c r="F181" t="s">
        <v>401</v>
      </c>
      <c r="G181" t="s">
        <v>22</v>
      </c>
      <c r="H181" t="s">
        <v>402</v>
      </c>
      <c r="I181" t="s">
        <v>403</v>
      </c>
      <c r="J181" s="4">
        <v>46078.101480937497</v>
      </c>
    </row>
    <row r="182" spans="1:10" x14ac:dyDescent="0.55000000000000004">
      <c r="A182" t="s">
        <v>400</v>
      </c>
      <c r="B182">
        <v>101467</v>
      </c>
      <c r="C182" t="s">
        <v>19</v>
      </c>
      <c r="D182" s="3">
        <v>45880</v>
      </c>
      <c r="E182" t="s">
        <v>115</v>
      </c>
      <c r="F182" t="s">
        <v>401</v>
      </c>
      <c r="G182" t="s">
        <v>22</v>
      </c>
      <c r="H182" t="s">
        <v>402</v>
      </c>
      <c r="I182" t="s">
        <v>403</v>
      </c>
      <c r="J182" s="4">
        <v>46078.101480937497</v>
      </c>
    </row>
    <row r="183" spans="1:10" x14ac:dyDescent="0.55000000000000004">
      <c r="A183" t="s">
        <v>400</v>
      </c>
      <c r="B183">
        <v>101467</v>
      </c>
      <c r="C183" t="s">
        <v>19</v>
      </c>
      <c r="D183" s="3">
        <v>45880</v>
      </c>
      <c r="E183" t="s">
        <v>69</v>
      </c>
      <c r="F183" t="s">
        <v>401</v>
      </c>
      <c r="G183" t="s">
        <v>22</v>
      </c>
      <c r="H183" t="s">
        <v>402</v>
      </c>
      <c r="I183" t="s">
        <v>403</v>
      </c>
      <c r="J183" s="4">
        <v>46078.101480937497</v>
      </c>
    </row>
    <row r="184" spans="1:10" x14ac:dyDescent="0.55000000000000004">
      <c r="A184" t="s">
        <v>404</v>
      </c>
      <c r="B184">
        <v>100754</v>
      </c>
      <c r="C184" t="s">
        <v>37</v>
      </c>
      <c r="D184" s="3">
        <v>46084</v>
      </c>
      <c r="E184" t="s">
        <v>115</v>
      </c>
      <c r="F184" t="s">
        <v>405</v>
      </c>
      <c r="G184" t="s">
        <v>22</v>
      </c>
      <c r="H184" t="s">
        <v>406</v>
      </c>
      <c r="I184" t="s">
        <v>407</v>
      </c>
      <c r="J184" s="4">
        <v>46071.057730949076</v>
      </c>
    </row>
    <row r="185" spans="1:10" x14ac:dyDescent="0.55000000000000004">
      <c r="A185" t="s">
        <v>408</v>
      </c>
      <c r="B185">
        <v>101102</v>
      </c>
      <c r="C185" t="s">
        <v>179</v>
      </c>
      <c r="D185" s="3">
        <v>45836</v>
      </c>
      <c r="E185" t="s">
        <v>38</v>
      </c>
      <c r="F185" t="s">
        <v>410</v>
      </c>
      <c r="G185" t="s">
        <v>22</v>
      </c>
      <c r="H185" t="s">
        <v>411</v>
      </c>
      <c r="I185" t="s">
        <v>412</v>
      </c>
      <c r="J185" s="4">
        <v>46052.2924531713</v>
      </c>
    </row>
    <row r="186" spans="1:10" x14ac:dyDescent="0.55000000000000004">
      <c r="A186" t="s">
        <v>408</v>
      </c>
      <c r="B186">
        <v>101102</v>
      </c>
      <c r="C186" t="s">
        <v>179</v>
      </c>
      <c r="D186" s="3">
        <v>45836</v>
      </c>
      <c r="E186" t="s">
        <v>115</v>
      </c>
      <c r="F186" t="s">
        <v>410</v>
      </c>
      <c r="G186" t="s">
        <v>22</v>
      </c>
      <c r="H186" t="s">
        <v>411</v>
      </c>
      <c r="I186" t="s">
        <v>412</v>
      </c>
      <c r="J186" s="4">
        <v>46052.2924531713</v>
      </c>
    </row>
    <row r="187" spans="1:10" x14ac:dyDescent="0.55000000000000004">
      <c r="A187" t="s">
        <v>413</v>
      </c>
      <c r="B187">
        <v>101294</v>
      </c>
      <c r="C187" t="s">
        <v>68</v>
      </c>
      <c r="D187" s="3">
        <v>45936</v>
      </c>
      <c r="E187" t="s">
        <v>20</v>
      </c>
      <c r="F187" t="s">
        <v>414</v>
      </c>
      <c r="G187" t="s">
        <v>15</v>
      </c>
      <c r="H187" t="s">
        <v>415</v>
      </c>
      <c r="I187" t="s">
        <v>416</v>
      </c>
      <c r="J187" s="4">
        <v>46077.402175393516</v>
      </c>
    </row>
    <row r="188" spans="1:10" x14ac:dyDescent="0.55000000000000004">
      <c r="A188" t="s">
        <v>417</v>
      </c>
      <c r="B188">
        <v>100400</v>
      </c>
      <c r="C188" t="s">
        <v>179</v>
      </c>
      <c r="D188" s="3">
        <v>45794</v>
      </c>
      <c r="E188" t="s">
        <v>115</v>
      </c>
      <c r="F188" t="s">
        <v>419</v>
      </c>
      <c r="G188" t="s">
        <v>15</v>
      </c>
      <c r="H188" t="s">
        <v>420</v>
      </c>
      <c r="I188" t="s">
        <v>421</v>
      </c>
      <c r="J188" s="4">
        <v>46091.674397627314</v>
      </c>
    </row>
    <row r="189" spans="1:10" x14ac:dyDescent="0.55000000000000004">
      <c r="A189" t="s">
        <v>417</v>
      </c>
      <c r="B189">
        <v>100400</v>
      </c>
      <c r="C189" t="s">
        <v>179</v>
      </c>
      <c r="D189" s="3">
        <v>45794</v>
      </c>
      <c r="E189" t="s">
        <v>69</v>
      </c>
      <c r="F189" t="s">
        <v>419</v>
      </c>
      <c r="G189" t="s">
        <v>15</v>
      </c>
      <c r="H189" t="s">
        <v>420</v>
      </c>
      <c r="I189" t="s">
        <v>421</v>
      </c>
      <c r="J189" s="4">
        <v>46091.674397627314</v>
      </c>
    </row>
    <row r="190" spans="1:10" x14ac:dyDescent="0.55000000000000004">
      <c r="A190" t="s">
        <v>422</v>
      </c>
      <c r="B190">
        <v>100961</v>
      </c>
      <c r="C190" t="s">
        <v>68</v>
      </c>
      <c r="D190" s="3">
        <v>45928</v>
      </c>
      <c r="E190" t="s">
        <v>38</v>
      </c>
      <c r="F190" t="s">
        <v>423</v>
      </c>
      <c r="G190" t="s">
        <v>22</v>
      </c>
      <c r="H190" t="s">
        <v>424</v>
      </c>
      <c r="I190" t="s">
        <v>425</v>
      </c>
      <c r="J190" s="4">
        <v>46061.301480960647</v>
      </c>
    </row>
    <row r="191" spans="1:10" x14ac:dyDescent="0.55000000000000004">
      <c r="A191" t="s">
        <v>422</v>
      </c>
      <c r="B191">
        <v>100961</v>
      </c>
      <c r="C191" t="s">
        <v>68</v>
      </c>
      <c r="D191" s="3">
        <v>45928</v>
      </c>
      <c r="E191" t="s">
        <v>115</v>
      </c>
      <c r="F191" t="s">
        <v>423</v>
      </c>
      <c r="G191" t="s">
        <v>22</v>
      </c>
      <c r="H191" t="s">
        <v>424</v>
      </c>
      <c r="I191" t="s">
        <v>425</v>
      </c>
      <c r="J191" s="4">
        <v>46061.301480960647</v>
      </c>
    </row>
    <row r="192" spans="1:10" x14ac:dyDescent="0.55000000000000004">
      <c r="A192" t="s">
        <v>422</v>
      </c>
      <c r="B192">
        <v>100961</v>
      </c>
      <c r="C192" t="s">
        <v>68</v>
      </c>
      <c r="D192" s="3">
        <v>45928</v>
      </c>
      <c r="E192" t="s">
        <v>69</v>
      </c>
      <c r="F192" t="s">
        <v>423</v>
      </c>
      <c r="G192" t="s">
        <v>22</v>
      </c>
      <c r="H192" t="s">
        <v>424</v>
      </c>
      <c r="I192" t="s">
        <v>425</v>
      </c>
      <c r="J192" s="4">
        <v>46061.301480960647</v>
      </c>
    </row>
    <row r="193" spans="1:10" x14ac:dyDescent="0.55000000000000004">
      <c r="A193" t="s">
        <v>426</v>
      </c>
      <c r="B193">
        <v>100520</v>
      </c>
      <c r="C193" t="s">
        <v>248</v>
      </c>
      <c r="D193" s="3">
        <v>46122</v>
      </c>
      <c r="E193" t="s">
        <v>69</v>
      </c>
      <c r="F193" t="s">
        <v>427</v>
      </c>
      <c r="G193" t="s">
        <v>22</v>
      </c>
      <c r="H193" t="s">
        <v>428</v>
      </c>
      <c r="I193" t="s">
        <v>429</v>
      </c>
      <c r="J193" s="4">
        <v>46066.307730972221</v>
      </c>
    </row>
    <row r="194" spans="1:10" x14ac:dyDescent="0.55000000000000004">
      <c r="A194" t="s">
        <v>430</v>
      </c>
      <c r="B194">
        <v>101254</v>
      </c>
      <c r="C194" t="s">
        <v>19</v>
      </c>
      <c r="D194" s="3">
        <v>45743</v>
      </c>
      <c r="E194" t="s">
        <v>69</v>
      </c>
      <c r="F194" t="s">
        <v>431</v>
      </c>
      <c r="G194" t="s">
        <v>22</v>
      </c>
      <c r="H194" t="s">
        <v>432</v>
      </c>
      <c r="I194" t="s">
        <v>433</v>
      </c>
      <c r="J194" s="4">
        <v>46082.440369861113</v>
      </c>
    </row>
    <row r="195" spans="1:10" x14ac:dyDescent="0.55000000000000004">
      <c r="A195" t="s">
        <v>434</v>
      </c>
      <c r="B195">
        <v>101230</v>
      </c>
      <c r="C195" t="s">
        <v>19</v>
      </c>
      <c r="D195" s="3">
        <v>45912</v>
      </c>
      <c r="E195" t="s">
        <v>155</v>
      </c>
      <c r="F195" t="s">
        <v>435</v>
      </c>
      <c r="G195" t="s">
        <v>22</v>
      </c>
      <c r="H195" t="s">
        <v>436</v>
      </c>
      <c r="I195" t="s">
        <v>437</v>
      </c>
      <c r="J195" s="4">
        <v>46065.896619861109</v>
      </c>
    </row>
    <row r="196" spans="1:10" x14ac:dyDescent="0.55000000000000004">
      <c r="A196" t="s">
        <v>438</v>
      </c>
      <c r="B196">
        <v>100353</v>
      </c>
      <c r="C196" t="s">
        <v>19</v>
      </c>
      <c r="D196" s="3">
        <v>45878</v>
      </c>
      <c r="E196" t="s">
        <v>317</v>
      </c>
      <c r="F196" t="s">
        <v>439</v>
      </c>
      <c r="G196" t="s">
        <v>15</v>
      </c>
      <c r="H196" t="s">
        <v>440</v>
      </c>
      <c r="I196" t="s">
        <v>441</v>
      </c>
      <c r="J196" s="4">
        <v>46081.225786539355</v>
      </c>
    </row>
    <row r="197" spans="1:10" x14ac:dyDescent="0.55000000000000004">
      <c r="A197" t="s">
        <v>438</v>
      </c>
      <c r="B197">
        <v>100353</v>
      </c>
      <c r="C197" t="s">
        <v>19</v>
      </c>
      <c r="D197" s="3">
        <v>45878</v>
      </c>
      <c r="E197" t="s">
        <v>155</v>
      </c>
      <c r="F197" t="s">
        <v>439</v>
      </c>
      <c r="G197" t="s">
        <v>15</v>
      </c>
      <c r="H197" t="s">
        <v>440</v>
      </c>
      <c r="I197" t="s">
        <v>441</v>
      </c>
      <c r="J197" s="4">
        <v>46081.225786539355</v>
      </c>
    </row>
    <row r="198" spans="1:10" x14ac:dyDescent="0.55000000000000004">
      <c r="A198" t="s">
        <v>438</v>
      </c>
      <c r="B198">
        <v>100353</v>
      </c>
      <c r="C198" t="s">
        <v>19</v>
      </c>
      <c r="D198" s="3">
        <v>45878</v>
      </c>
      <c r="E198" t="s">
        <v>69</v>
      </c>
      <c r="F198" t="s">
        <v>439</v>
      </c>
      <c r="G198" t="s">
        <v>15</v>
      </c>
      <c r="H198" t="s">
        <v>440</v>
      </c>
      <c r="I198" t="s">
        <v>441</v>
      </c>
      <c r="J198" s="4">
        <v>46081.225786539355</v>
      </c>
    </row>
    <row r="199" spans="1:10" x14ac:dyDescent="0.55000000000000004">
      <c r="A199" t="s">
        <v>442</v>
      </c>
      <c r="B199">
        <v>100616</v>
      </c>
      <c r="C199" t="s">
        <v>179</v>
      </c>
      <c r="D199" s="3">
        <v>45919</v>
      </c>
      <c r="E199" t="s">
        <v>69</v>
      </c>
      <c r="F199" t="s">
        <v>443</v>
      </c>
      <c r="G199" t="s">
        <v>15</v>
      </c>
      <c r="H199" t="s">
        <v>444</v>
      </c>
      <c r="I199" t="s">
        <v>445</v>
      </c>
      <c r="J199" s="4">
        <v>46060.947314317127</v>
      </c>
    </row>
    <row r="200" spans="1:10" x14ac:dyDescent="0.55000000000000004">
      <c r="A200" t="s">
        <v>446</v>
      </c>
      <c r="B200">
        <v>100990</v>
      </c>
      <c r="C200" t="s">
        <v>248</v>
      </c>
      <c r="D200" s="3">
        <v>45917</v>
      </c>
      <c r="E200" t="s">
        <v>20</v>
      </c>
      <c r="F200" t="s">
        <v>447</v>
      </c>
      <c r="G200" t="s">
        <v>22</v>
      </c>
      <c r="H200" t="s">
        <v>448</v>
      </c>
      <c r="I200" t="s">
        <v>449</v>
      </c>
      <c r="J200" s="4">
        <v>46062.348703217591</v>
      </c>
    </row>
    <row r="201" spans="1:10" x14ac:dyDescent="0.55000000000000004">
      <c r="A201" t="s">
        <v>446</v>
      </c>
      <c r="B201">
        <v>100990</v>
      </c>
      <c r="C201" t="s">
        <v>248</v>
      </c>
      <c r="D201" s="3">
        <v>45917</v>
      </c>
      <c r="E201" t="s">
        <v>155</v>
      </c>
      <c r="F201" t="s">
        <v>447</v>
      </c>
      <c r="G201" t="s">
        <v>22</v>
      </c>
      <c r="H201" t="s">
        <v>448</v>
      </c>
      <c r="I201" t="s">
        <v>449</v>
      </c>
      <c r="J201" s="4">
        <v>46062.348703217591</v>
      </c>
    </row>
    <row r="202" spans="1:10" x14ac:dyDescent="0.55000000000000004">
      <c r="A202" t="s">
        <v>446</v>
      </c>
      <c r="B202">
        <v>100990</v>
      </c>
      <c r="C202" t="s">
        <v>248</v>
      </c>
      <c r="D202" s="3">
        <v>45917</v>
      </c>
      <c r="E202" t="s">
        <v>69</v>
      </c>
      <c r="F202" t="s">
        <v>447</v>
      </c>
      <c r="G202" t="s">
        <v>22</v>
      </c>
      <c r="H202" t="s">
        <v>448</v>
      </c>
      <c r="I202" t="s">
        <v>449</v>
      </c>
      <c r="J202" s="4">
        <v>46062.348703217591</v>
      </c>
    </row>
    <row r="203" spans="1:10" x14ac:dyDescent="0.55000000000000004">
      <c r="A203" t="s">
        <v>450</v>
      </c>
      <c r="B203">
        <v>100993</v>
      </c>
      <c r="C203" t="s">
        <v>19</v>
      </c>
      <c r="D203" s="3">
        <v>46080</v>
      </c>
      <c r="E203" t="s">
        <v>317</v>
      </c>
      <c r="F203" t="s">
        <v>451</v>
      </c>
      <c r="G203" t="s">
        <v>22</v>
      </c>
      <c r="H203" t="s">
        <v>452</v>
      </c>
      <c r="I203" t="s">
        <v>453</v>
      </c>
      <c r="J203" s="4">
        <v>46074.263980995369</v>
      </c>
    </row>
    <row r="204" spans="1:10" x14ac:dyDescent="0.55000000000000004">
      <c r="A204" t="s">
        <v>450</v>
      </c>
      <c r="B204">
        <v>100993</v>
      </c>
      <c r="C204" t="s">
        <v>19</v>
      </c>
      <c r="D204" s="3">
        <v>46080</v>
      </c>
      <c r="E204" t="s">
        <v>155</v>
      </c>
      <c r="F204" t="s">
        <v>451</v>
      </c>
      <c r="G204" t="s">
        <v>22</v>
      </c>
      <c r="H204" t="s">
        <v>452</v>
      </c>
      <c r="I204" t="s">
        <v>453</v>
      </c>
      <c r="J204" s="4">
        <v>46074.263980995369</v>
      </c>
    </row>
    <row r="205" spans="1:10" x14ac:dyDescent="0.55000000000000004">
      <c r="A205" t="s">
        <v>450</v>
      </c>
      <c r="B205">
        <v>100993</v>
      </c>
      <c r="C205" t="s">
        <v>19</v>
      </c>
      <c r="D205" s="3">
        <v>46080</v>
      </c>
      <c r="E205" t="s">
        <v>115</v>
      </c>
      <c r="F205" t="s">
        <v>451</v>
      </c>
      <c r="G205" t="s">
        <v>22</v>
      </c>
      <c r="H205" t="s">
        <v>452</v>
      </c>
      <c r="I205" t="s">
        <v>453</v>
      </c>
      <c r="J205" s="4">
        <v>46074.263980995369</v>
      </c>
    </row>
    <row r="206" spans="1:10" x14ac:dyDescent="0.55000000000000004">
      <c r="A206" t="s">
        <v>454</v>
      </c>
      <c r="B206">
        <v>100243</v>
      </c>
      <c r="C206" t="s">
        <v>19</v>
      </c>
      <c r="D206" s="3">
        <v>45919</v>
      </c>
      <c r="E206" t="s">
        <v>115</v>
      </c>
      <c r="F206" t="s">
        <v>455</v>
      </c>
      <c r="G206" t="s">
        <v>22</v>
      </c>
      <c r="H206" t="s">
        <v>456</v>
      </c>
      <c r="I206" t="s">
        <v>457</v>
      </c>
      <c r="J206" s="4">
        <v>46065.688980995372</v>
      </c>
    </row>
    <row r="207" spans="1:10" x14ac:dyDescent="0.55000000000000004">
      <c r="A207" t="s">
        <v>458</v>
      </c>
      <c r="B207">
        <v>100675</v>
      </c>
      <c r="C207" t="s">
        <v>37</v>
      </c>
      <c r="D207" s="3">
        <v>45751</v>
      </c>
      <c r="E207" t="s">
        <v>317</v>
      </c>
      <c r="F207" t="s">
        <v>459</v>
      </c>
      <c r="G207" t="s">
        <v>22</v>
      </c>
      <c r="H207" t="s">
        <v>460</v>
      </c>
      <c r="I207" t="s">
        <v>461</v>
      </c>
      <c r="J207" s="4">
        <v>46067.007731006946</v>
      </c>
    </row>
    <row r="208" spans="1:10" x14ac:dyDescent="0.55000000000000004">
      <c r="A208" t="s">
        <v>462</v>
      </c>
      <c r="B208">
        <v>100347</v>
      </c>
      <c r="C208" t="s">
        <v>179</v>
      </c>
      <c r="D208" s="3">
        <v>45808</v>
      </c>
      <c r="E208" t="s">
        <v>38</v>
      </c>
      <c r="F208" t="s">
        <v>463</v>
      </c>
      <c r="G208" t="s">
        <v>22</v>
      </c>
      <c r="H208" t="s">
        <v>464</v>
      </c>
      <c r="I208" t="s">
        <v>465</v>
      </c>
      <c r="J208" s="4">
        <v>46087.187592118054</v>
      </c>
    </row>
    <row r="209" spans="1:11" x14ac:dyDescent="0.55000000000000004">
      <c r="A209" t="s">
        <v>462</v>
      </c>
      <c r="B209">
        <v>100347</v>
      </c>
      <c r="C209" t="s">
        <v>179</v>
      </c>
      <c r="D209" s="3">
        <v>45808</v>
      </c>
      <c r="E209" t="s">
        <v>20</v>
      </c>
      <c r="F209" t="s">
        <v>463</v>
      </c>
      <c r="G209" t="s">
        <v>22</v>
      </c>
      <c r="H209" t="s">
        <v>464</v>
      </c>
      <c r="I209" t="s">
        <v>465</v>
      </c>
      <c r="J209" s="4">
        <v>46087.187592118054</v>
      </c>
    </row>
    <row r="210" spans="1:11" x14ac:dyDescent="0.55000000000000004">
      <c r="A210" t="s">
        <v>462</v>
      </c>
      <c r="B210">
        <v>100347</v>
      </c>
      <c r="C210" t="s">
        <v>179</v>
      </c>
      <c r="D210" s="3">
        <v>45808</v>
      </c>
      <c r="E210" t="s">
        <v>115</v>
      </c>
      <c r="F210" t="s">
        <v>463</v>
      </c>
      <c r="G210" t="s">
        <v>22</v>
      </c>
      <c r="H210" t="s">
        <v>464</v>
      </c>
      <c r="I210" t="s">
        <v>465</v>
      </c>
      <c r="J210" s="4">
        <v>46087.187592118054</v>
      </c>
    </row>
    <row r="211" spans="1:11" x14ac:dyDescent="0.55000000000000004">
      <c r="A211" t="s">
        <v>466</v>
      </c>
      <c r="B211">
        <v>100793</v>
      </c>
      <c r="C211" t="s">
        <v>19</v>
      </c>
      <c r="D211" s="3">
        <v>46110</v>
      </c>
      <c r="E211" t="s">
        <v>38</v>
      </c>
      <c r="F211" t="s">
        <v>468</v>
      </c>
      <c r="G211" t="s">
        <v>22</v>
      </c>
      <c r="H211" t="s">
        <v>469</v>
      </c>
      <c r="I211" t="s">
        <v>470</v>
      </c>
      <c r="J211" s="4">
        <v>46051.945925462962</v>
      </c>
    </row>
    <row r="212" spans="1:11" x14ac:dyDescent="0.55000000000000004">
      <c r="A212" t="s">
        <v>466</v>
      </c>
      <c r="B212">
        <v>100793</v>
      </c>
      <c r="C212" t="s">
        <v>19</v>
      </c>
      <c r="D212" s="3">
        <v>46110</v>
      </c>
      <c r="E212" t="s">
        <v>20</v>
      </c>
      <c r="F212" t="s">
        <v>468</v>
      </c>
      <c r="G212" t="s">
        <v>22</v>
      </c>
      <c r="H212" t="s">
        <v>469</v>
      </c>
      <c r="I212" t="s">
        <v>470</v>
      </c>
      <c r="J212" s="4">
        <v>46051.945925462962</v>
      </c>
    </row>
    <row r="213" spans="1:11" x14ac:dyDescent="0.55000000000000004">
      <c r="A213" t="s">
        <v>6022</v>
      </c>
      <c r="B213">
        <v>101227</v>
      </c>
      <c r="C213" t="s">
        <v>68</v>
      </c>
      <c r="D213" s="3">
        <v>45975</v>
      </c>
      <c r="E213" t="s">
        <v>20</v>
      </c>
      <c r="F213" t="s">
        <v>472</v>
      </c>
      <c r="G213" t="s">
        <v>22</v>
      </c>
      <c r="H213" t="s">
        <v>473</v>
      </c>
      <c r="I213" t="s">
        <v>474</v>
      </c>
      <c r="J213" s="4">
        <v>46054.590369907404</v>
      </c>
      <c r="K213" t="s">
        <v>119</v>
      </c>
    </row>
    <row r="214" spans="1:11" x14ac:dyDescent="0.55000000000000004">
      <c r="A214" t="s">
        <v>475</v>
      </c>
      <c r="B214">
        <v>100192</v>
      </c>
      <c r="C214" t="s">
        <v>179</v>
      </c>
      <c r="D214" s="3">
        <v>46030</v>
      </c>
      <c r="E214" t="s">
        <v>317</v>
      </c>
      <c r="F214" t="s">
        <v>476</v>
      </c>
      <c r="G214" t="s">
        <v>22</v>
      </c>
      <c r="H214" t="s">
        <v>477</v>
      </c>
      <c r="I214" t="s">
        <v>478</v>
      </c>
      <c r="J214" s="4">
        <v>46080.813981018517</v>
      </c>
    </row>
    <row r="215" spans="1:11" x14ac:dyDescent="0.55000000000000004">
      <c r="A215" t="s">
        <v>475</v>
      </c>
      <c r="B215">
        <v>100192</v>
      </c>
      <c r="C215" t="s">
        <v>179</v>
      </c>
      <c r="D215" s="3">
        <v>46030</v>
      </c>
      <c r="E215" t="s">
        <v>155</v>
      </c>
      <c r="F215" t="s">
        <v>476</v>
      </c>
      <c r="G215" t="s">
        <v>22</v>
      </c>
      <c r="H215" t="s">
        <v>477</v>
      </c>
      <c r="I215" t="s">
        <v>478</v>
      </c>
      <c r="J215" s="4">
        <v>46080.813981018517</v>
      </c>
    </row>
    <row r="216" spans="1:11" x14ac:dyDescent="0.55000000000000004">
      <c r="A216" t="s">
        <v>479</v>
      </c>
      <c r="B216">
        <v>100214</v>
      </c>
      <c r="C216" t="s">
        <v>19</v>
      </c>
      <c r="D216" s="3">
        <v>46027</v>
      </c>
      <c r="E216" t="s">
        <v>317</v>
      </c>
      <c r="F216" t="s">
        <v>480</v>
      </c>
      <c r="G216" t="s">
        <v>15</v>
      </c>
      <c r="H216" t="s">
        <v>481</v>
      </c>
      <c r="I216" t="s">
        <v>482</v>
      </c>
      <c r="J216" s="4">
        <v>46060.063286585646</v>
      </c>
    </row>
    <row r="217" spans="1:11" x14ac:dyDescent="0.55000000000000004">
      <c r="A217" t="s">
        <v>483</v>
      </c>
      <c r="B217">
        <v>101315</v>
      </c>
      <c r="C217" t="s">
        <v>533</v>
      </c>
      <c r="D217" s="3">
        <v>46000</v>
      </c>
      <c r="E217" t="s">
        <v>317</v>
      </c>
      <c r="F217" t="s">
        <v>484</v>
      </c>
      <c r="G217" t="s">
        <v>15</v>
      </c>
      <c r="H217" t="s">
        <v>485</v>
      </c>
      <c r="I217" t="s">
        <v>486</v>
      </c>
      <c r="J217" s="4">
        <v>46054.401481030094</v>
      </c>
    </row>
    <row r="218" spans="1:11" x14ac:dyDescent="0.55000000000000004">
      <c r="A218" t="s">
        <v>483</v>
      </c>
      <c r="B218">
        <v>101315</v>
      </c>
      <c r="C218" t="s">
        <v>533</v>
      </c>
      <c r="D218" s="3">
        <v>46000</v>
      </c>
      <c r="E218" t="s">
        <v>38</v>
      </c>
      <c r="F218" t="s">
        <v>484</v>
      </c>
      <c r="G218" t="s">
        <v>15</v>
      </c>
      <c r="H218" t="s">
        <v>485</v>
      </c>
      <c r="I218" t="s">
        <v>486</v>
      </c>
      <c r="J218" s="4">
        <v>46054.401481030094</v>
      </c>
    </row>
    <row r="219" spans="1:11" x14ac:dyDescent="0.55000000000000004">
      <c r="A219" t="s">
        <v>483</v>
      </c>
      <c r="B219">
        <v>101315</v>
      </c>
      <c r="C219" t="s">
        <v>533</v>
      </c>
      <c r="D219" s="3">
        <v>46000</v>
      </c>
      <c r="E219" t="s">
        <v>69</v>
      </c>
      <c r="F219" t="s">
        <v>484</v>
      </c>
      <c r="G219" t="s">
        <v>15</v>
      </c>
      <c r="H219" t="s">
        <v>485</v>
      </c>
      <c r="I219" t="s">
        <v>486</v>
      </c>
      <c r="J219" s="4">
        <v>46054.401481030094</v>
      </c>
    </row>
    <row r="220" spans="1:11" x14ac:dyDescent="0.55000000000000004">
      <c r="A220" t="s">
        <v>487</v>
      </c>
      <c r="B220">
        <v>101311</v>
      </c>
      <c r="C220" t="s">
        <v>37</v>
      </c>
      <c r="D220" s="3">
        <v>46025</v>
      </c>
      <c r="E220" t="s">
        <v>317</v>
      </c>
      <c r="F220" t="s">
        <v>488</v>
      </c>
      <c r="G220" t="s">
        <v>22</v>
      </c>
      <c r="H220" t="s">
        <v>489</v>
      </c>
      <c r="I220" t="s">
        <v>490</v>
      </c>
      <c r="J220" s="4">
        <v>46077.150786585647</v>
      </c>
    </row>
    <row r="221" spans="1:11" x14ac:dyDescent="0.55000000000000004">
      <c r="A221" t="s">
        <v>487</v>
      </c>
      <c r="B221">
        <v>101311</v>
      </c>
      <c r="C221" t="s">
        <v>37</v>
      </c>
      <c r="D221" s="3">
        <v>46025</v>
      </c>
      <c r="E221" t="s">
        <v>155</v>
      </c>
      <c r="F221" t="s">
        <v>488</v>
      </c>
      <c r="G221" t="s">
        <v>22</v>
      </c>
      <c r="H221" t="s">
        <v>489</v>
      </c>
      <c r="I221" t="s">
        <v>490</v>
      </c>
      <c r="J221" s="4">
        <v>46077.150786585647</v>
      </c>
    </row>
    <row r="222" spans="1:11" x14ac:dyDescent="0.55000000000000004">
      <c r="A222" t="s">
        <v>487</v>
      </c>
      <c r="B222">
        <v>101311</v>
      </c>
      <c r="C222" t="s">
        <v>37</v>
      </c>
      <c r="D222" s="3">
        <v>46025</v>
      </c>
      <c r="E222" t="s">
        <v>115</v>
      </c>
      <c r="F222" t="s">
        <v>488</v>
      </c>
      <c r="G222" t="s">
        <v>22</v>
      </c>
      <c r="H222" t="s">
        <v>489</v>
      </c>
      <c r="I222" t="s">
        <v>490</v>
      </c>
      <c r="J222" s="4">
        <v>46077.150786585647</v>
      </c>
    </row>
    <row r="223" spans="1:11" x14ac:dyDescent="0.55000000000000004">
      <c r="A223" t="s">
        <v>491</v>
      </c>
      <c r="B223">
        <v>100492</v>
      </c>
      <c r="C223" t="s">
        <v>533</v>
      </c>
      <c r="D223" s="3">
        <v>45943</v>
      </c>
      <c r="E223" t="s">
        <v>38</v>
      </c>
      <c r="F223" t="s">
        <v>81</v>
      </c>
      <c r="G223" t="s">
        <v>15</v>
      </c>
      <c r="H223" t="s">
        <v>492</v>
      </c>
      <c r="I223" t="s">
        <v>493</v>
      </c>
      <c r="J223" s="4">
        <v>46052.550092152778</v>
      </c>
    </row>
    <row r="224" spans="1:11" x14ac:dyDescent="0.55000000000000004">
      <c r="A224" t="s">
        <v>491</v>
      </c>
      <c r="B224">
        <v>100492</v>
      </c>
      <c r="C224" t="s">
        <v>533</v>
      </c>
      <c r="D224" s="3">
        <v>45943</v>
      </c>
      <c r="E224" t="s">
        <v>115</v>
      </c>
      <c r="F224" t="s">
        <v>81</v>
      </c>
      <c r="G224" t="s">
        <v>15</v>
      </c>
      <c r="H224" t="s">
        <v>492</v>
      </c>
      <c r="I224" t="s">
        <v>493</v>
      </c>
      <c r="J224" s="4">
        <v>46052.550092152778</v>
      </c>
    </row>
    <row r="225" spans="1:10" x14ac:dyDescent="0.55000000000000004">
      <c r="A225" t="s">
        <v>491</v>
      </c>
      <c r="B225">
        <v>100492</v>
      </c>
      <c r="C225" t="s">
        <v>533</v>
      </c>
      <c r="D225" s="3">
        <v>45943</v>
      </c>
      <c r="E225" t="s">
        <v>69</v>
      </c>
      <c r="F225" t="s">
        <v>81</v>
      </c>
      <c r="G225" t="s">
        <v>15</v>
      </c>
      <c r="H225" t="s">
        <v>492</v>
      </c>
      <c r="I225" t="s">
        <v>493</v>
      </c>
      <c r="J225" s="4">
        <v>46052.550092152778</v>
      </c>
    </row>
    <row r="226" spans="1:10" x14ac:dyDescent="0.55000000000000004">
      <c r="A226" t="s">
        <v>494</v>
      </c>
      <c r="B226">
        <v>100385</v>
      </c>
      <c r="C226" t="s">
        <v>19</v>
      </c>
      <c r="D226" s="3">
        <v>45838</v>
      </c>
      <c r="E226" t="s">
        <v>38</v>
      </c>
      <c r="F226" t="s">
        <v>496</v>
      </c>
      <c r="G226" t="s">
        <v>22</v>
      </c>
      <c r="H226" t="s">
        <v>497</v>
      </c>
      <c r="I226" t="s">
        <v>498</v>
      </c>
      <c r="J226" s="4">
        <v>46086.092453263889</v>
      </c>
    </row>
    <row r="227" spans="1:10" x14ac:dyDescent="0.55000000000000004">
      <c r="A227" t="s">
        <v>494</v>
      </c>
      <c r="B227">
        <v>100385</v>
      </c>
      <c r="C227" t="s">
        <v>19</v>
      </c>
      <c r="D227" s="3">
        <v>45838</v>
      </c>
      <c r="E227" t="s">
        <v>20</v>
      </c>
      <c r="F227" t="s">
        <v>496</v>
      </c>
      <c r="G227" t="s">
        <v>22</v>
      </c>
      <c r="H227" t="s">
        <v>497</v>
      </c>
      <c r="I227" t="s">
        <v>498</v>
      </c>
      <c r="J227" s="4">
        <v>46086.092453263889</v>
      </c>
    </row>
    <row r="228" spans="1:10" x14ac:dyDescent="0.55000000000000004">
      <c r="A228" t="s">
        <v>494</v>
      </c>
      <c r="B228">
        <v>100385</v>
      </c>
      <c r="C228" t="s">
        <v>19</v>
      </c>
      <c r="D228" s="3">
        <v>45838</v>
      </c>
      <c r="E228" t="s">
        <v>69</v>
      </c>
      <c r="F228" t="s">
        <v>496</v>
      </c>
      <c r="G228" t="s">
        <v>22</v>
      </c>
      <c r="H228" t="s">
        <v>497</v>
      </c>
      <c r="I228" t="s">
        <v>498</v>
      </c>
      <c r="J228" s="4">
        <v>46086.092453263889</v>
      </c>
    </row>
    <row r="229" spans="1:10" x14ac:dyDescent="0.55000000000000004">
      <c r="A229" t="s">
        <v>499</v>
      </c>
      <c r="B229">
        <v>100084</v>
      </c>
      <c r="C229" t="s">
        <v>19</v>
      </c>
      <c r="D229" s="3">
        <v>45907</v>
      </c>
      <c r="E229" t="s">
        <v>317</v>
      </c>
      <c r="F229" t="s">
        <v>500</v>
      </c>
      <c r="G229" t="s">
        <v>15</v>
      </c>
      <c r="H229" t="s">
        <v>501</v>
      </c>
      <c r="I229" t="s">
        <v>502</v>
      </c>
      <c r="J229" s="4">
        <v>46082.34939771991</v>
      </c>
    </row>
    <row r="230" spans="1:10" x14ac:dyDescent="0.55000000000000004">
      <c r="A230" t="s">
        <v>499</v>
      </c>
      <c r="B230">
        <v>100084</v>
      </c>
      <c r="C230" t="s">
        <v>19</v>
      </c>
      <c r="D230" s="3">
        <v>45907</v>
      </c>
      <c r="E230" t="s">
        <v>20</v>
      </c>
      <c r="F230" t="s">
        <v>500</v>
      </c>
      <c r="G230" t="s">
        <v>15</v>
      </c>
      <c r="H230" t="s">
        <v>501</v>
      </c>
      <c r="I230" t="s">
        <v>502</v>
      </c>
      <c r="J230" s="4">
        <v>46082.34939771991</v>
      </c>
    </row>
    <row r="231" spans="1:10" x14ac:dyDescent="0.55000000000000004">
      <c r="A231" t="s">
        <v>499</v>
      </c>
      <c r="B231">
        <v>100084</v>
      </c>
      <c r="C231" t="s">
        <v>19</v>
      </c>
      <c r="D231" s="3">
        <v>45907</v>
      </c>
      <c r="E231" t="s">
        <v>69</v>
      </c>
      <c r="F231" t="s">
        <v>500</v>
      </c>
      <c r="G231" t="s">
        <v>15</v>
      </c>
      <c r="H231" t="s">
        <v>501</v>
      </c>
      <c r="I231" t="s">
        <v>502</v>
      </c>
      <c r="J231" s="4">
        <v>46082.34939771991</v>
      </c>
    </row>
    <row r="232" spans="1:10" x14ac:dyDescent="0.55000000000000004">
      <c r="A232" t="s">
        <v>503</v>
      </c>
      <c r="B232">
        <v>100805</v>
      </c>
      <c r="C232" t="s">
        <v>19</v>
      </c>
      <c r="D232" s="3">
        <v>45884</v>
      </c>
      <c r="E232" t="s">
        <v>20</v>
      </c>
      <c r="F232" t="s">
        <v>504</v>
      </c>
      <c r="G232" t="s">
        <v>22</v>
      </c>
      <c r="H232" t="s">
        <v>505</v>
      </c>
      <c r="I232" t="s">
        <v>506</v>
      </c>
      <c r="J232" s="4">
        <v>46052.451481053242</v>
      </c>
    </row>
    <row r="233" spans="1:10" x14ac:dyDescent="0.55000000000000004">
      <c r="A233" t="s">
        <v>507</v>
      </c>
      <c r="B233">
        <v>100733</v>
      </c>
      <c r="C233" t="s">
        <v>19</v>
      </c>
      <c r="D233" s="3">
        <v>45894</v>
      </c>
      <c r="E233" t="s">
        <v>38</v>
      </c>
      <c r="F233" t="s">
        <v>508</v>
      </c>
      <c r="G233" t="s">
        <v>22</v>
      </c>
      <c r="H233" t="s">
        <v>509</v>
      </c>
      <c r="I233" t="s">
        <v>510</v>
      </c>
      <c r="J233" s="4">
        <v>46079.573008831016</v>
      </c>
    </row>
    <row r="234" spans="1:10" x14ac:dyDescent="0.55000000000000004">
      <c r="A234" t="s">
        <v>507</v>
      </c>
      <c r="B234">
        <v>100733</v>
      </c>
      <c r="C234" t="s">
        <v>19</v>
      </c>
      <c r="D234" s="3">
        <v>45894</v>
      </c>
      <c r="E234" t="s">
        <v>20</v>
      </c>
      <c r="F234" t="s">
        <v>508</v>
      </c>
      <c r="G234" t="s">
        <v>22</v>
      </c>
      <c r="H234" t="s">
        <v>509</v>
      </c>
      <c r="I234" t="s">
        <v>510</v>
      </c>
      <c r="J234" s="4">
        <v>46079.573008831016</v>
      </c>
    </row>
    <row r="235" spans="1:10" x14ac:dyDescent="0.55000000000000004">
      <c r="A235" t="s">
        <v>511</v>
      </c>
      <c r="B235">
        <v>101032</v>
      </c>
      <c r="C235" t="s">
        <v>19</v>
      </c>
      <c r="D235" s="3">
        <v>46078</v>
      </c>
      <c r="E235" t="s">
        <v>317</v>
      </c>
      <c r="F235" t="s">
        <v>512</v>
      </c>
      <c r="G235" t="s">
        <v>15</v>
      </c>
      <c r="H235" t="s">
        <v>513</v>
      </c>
      <c r="I235" t="s">
        <v>514</v>
      </c>
      <c r="J235" s="4">
        <v>46079.686203287034</v>
      </c>
    </row>
    <row r="236" spans="1:10" x14ac:dyDescent="0.55000000000000004">
      <c r="A236" t="s">
        <v>511</v>
      </c>
      <c r="B236">
        <v>101032</v>
      </c>
      <c r="C236" t="s">
        <v>19</v>
      </c>
      <c r="D236" s="3">
        <v>46078</v>
      </c>
      <c r="E236" t="s">
        <v>20</v>
      </c>
      <c r="F236" t="s">
        <v>512</v>
      </c>
      <c r="G236" t="s">
        <v>15</v>
      </c>
      <c r="H236" t="s">
        <v>513</v>
      </c>
      <c r="I236" t="s">
        <v>514</v>
      </c>
      <c r="J236" s="4">
        <v>46079.686203287034</v>
      </c>
    </row>
    <row r="237" spans="1:10" x14ac:dyDescent="0.55000000000000004">
      <c r="A237" t="s">
        <v>511</v>
      </c>
      <c r="B237">
        <v>101032</v>
      </c>
      <c r="C237" t="s">
        <v>19</v>
      </c>
      <c r="D237" s="3">
        <v>46078</v>
      </c>
      <c r="E237" t="s">
        <v>69</v>
      </c>
      <c r="F237" t="s">
        <v>512</v>
      </c>
      <c r="G237" t="s">
        <v>15</v>
      </c>
      <c r="H237" t="s">
        <v>513</v>
      </c>
      <c r="I237" t="s">
        <v>514</v>
      </c>
      <c r="J237" s="4">
        <v>46079.686203287034</v>
      </c>
    </row>
    <row r="238" spans="1:10" x14ac:dyDescent="0.55000000000000004">
      <c r="A238" t="s">
        <v>515</v>
      </c>
      <c r="B238">
        <v>101442</v>
      </c>
      <c r="C238" t="s">
        <v>68</v>
      </c>
      <c r="D238" s="3">
        <v>46097</v>
      </c>
      <c r="E238" t="s">
        <v>20</v>
      </c>
      <c r="F238" t="s">
        <v>516</v>
      </c>
      <c r="G238" t="s">
        <v>22</v>
      </c>
      <c r="H238" t="s">
        <v>517</v>
      </c>
      <c r="I238" t="s">
        <v>518</v>
      </c>
      <c r="J238" s="4">
        <v>46056.381342175926</v>
      </c>
    </row>
    <row r="239" spans="1:10" x14ac:dyDescent="0.55000000000000004">
      <c r="A239" t="s">
        <v>519</v>
      </c>
      <c r="B239">
        <v>100544</v>
      </c>
      <c r="C239" t="s">
        <v>19</v>
      </c>
      <c r="D239" s="3">
        <v>45841</v>
      </c>
      <c r="E239" t="s">
        <v>38</v>
      </c>
      <c r="F239" t="s">
        <v>520</v>
      </c>
      <c r="G239" t="s">
        <v>22</v>
      </c>
      <c r="H239" t="s">
        <v>521</v>
      </c>
      <c r="I239" t="s">
        <v>522</v>
      </c>
      <c r="J239" s="4">
        <v>46061.756342187502</v>
      </c>
    </row>
    <row r="240" spans="1:10" x14ac:dyDescent="0.55000000000000004">
      <c r="A240" t="s">
        <v>523</v>
      </c>
      <c r="B240">
        <v>100184</v>
      </c>
      <c r="C240" t="s">
        <v>248</v>
      </c>
      <c r="D240" s="3">
        <v>45802</v>
      </c>
      <c r="E240" t="s">
        <v>38</v>
      </c>
      <c r="F240" t="s">
        <v>524</v>
      </c>
      <c r="G240" t="s">
        <v>15</v>
      </c>
      <c r="H240" t="s">
        <v>525</v>
      </c>
      <c r="I240" t="s">
        <v>526</v>
      </c>
      <c r="J240" s="4">
        <v>46082.674397743052</v>
      </c>
    </row>
    <row r="241" spans="1:10" x14ac:dyDescent="0.55000000000000004">
      <c r="A241" t="s">
        <v>527</v>
      </c>
      <c r="B241">
        <v>101014</v>
      </c>
      <c r="C241" t="s">
        <v>19</v>
      </c>
      <c r="D241" s="3">
        <v>45847</v>
      </c>
      <c r="E241" t="s">
        <v>38</v>
      </c>
      <c r="F241" t="s">
        <v>529</v>
      </c>
      <c r="G241" t="s">
        <v>22</v>
      </c>
      <c r="H241" t="s">
        <v>530</v>
      </c>
      <c r="I241" t="s">
        <v>531</v>
      </c>
      <c r="J241" s="4">
        <v>46076.074397743054</v>
      </c>
    </row>
    <row r="242" spans="1:10" x14ac:dyDescent="0.55000000000000004">
      <c r="A242" t="s">
        <v>527</v>
      </c>
      <c r="B242">
        <v>101014</v>
      </c>
      <c r="C242" t="s">
        <v>19</v>
      </c>
      <c r="D242" s="3">
        <v>45847</v>
      </c>
      <c r="E242" t="s">
        <v>155</v>
      </c>
      <c r="F242" t="s">
        <v>529</v>
      </c>
      <c r="G242" t="s">
        <v>22</v>
      </c>
      <c r="H242" t="s">
        <v>530</v>
      </c>
      <c r="I242" t="s">
        <v>531</v>
      </c>
      <c r="J242" s="4">
        <v>46076.074397743054</v>
      </c>
    </row>
    <row r="243" spans="1:10" x14ac:dyDescent="0.55000000000000004">
      <c r="A243" t="s">
        <v>527</v>
      </c>
      <c r="B243">
        <v>101014</v>
      </c>
      <c r="C243" t="s">
        <v>19</v>
      </c>
      <c r="D243" s="3">
        <v>45847</v>
      </c>
      <c r="E243" t="s">
        <v>115</v>
      </c>
      <c r="F243" t="s">
        <v>529</v>
      </c>
      <c r="G243" t="s">
        <v>22</v>
      </c>
      <c r="H243" t="s">
        <v>530</v>
      </c>
      <c r="I243" t="s">
        <v>531</v>
      </c>
      <c r="J243" s="4">
        <v>46076.074397743054</v>
      </c>
    </row>
    <row r="244" spans="1:10" x14ac:dyDescent="0.55000000000000004">
      <c r="A244" t="s">
        <v>532</v>
      </c>
      <c r="B244">
        <v>100945</v>
      </c>
      <c r="C244" t="s">
        <v>533</v>
      </c>
      <c r="D244" s="3">
        <v>46080</v>
      </c>
      <c r="E244" t="s">
        <v>155</v>
      </c>
      <c r="F244" t="s">
        <v>534</v>
      </c>
      <c r="G244" t="s">
        <v>15</v>
      </c>
      <c r="H244" t="s">
        <v>535</v>
      </c>
      <c r="I244" t="s">
        <v>536</v>
      </c>
      <c r="J244" s="4">
        <v>46070.817453310185</v>
      </c>
    </row>
    <row r="245" spans="1:10" x14ac:dyDescent="0.55000000000000004">
      <c r="A245" t="s">
        <v>537</v>
      </c>
      <c r="B245">
        <v>100454</v>
      </c>
      <c r="C245" t="s">
        <v>19</v>
      </c>
      <c r="D245" s="3">
        <v>45976</v>
      </c>
      <c r="E245" t="s">
        <v>38</v>
      </c>
      <c r="F245" t="s">
        <v>538</v>
      </c>
      <c r="G245" t="s">
        <v>22</v>
      </c>
      <c r="H245" t="s">
        <v>539</v>
      </c>
      <c r="I245" t="s">
        <v>540</v>
      </c>
      <c r="J245" s="4">
        <v>46056.661897754631</v>
      </c>
    </row>
    <row r="246" spans="1:10" x14ac:dyDescent="0.55000000000000004">
      <c r="A246" t="s">
        <v>537</v>
      </c>
      <c r="B246">
        <v>100454</v>
      </c>
      <c r="C246" t="s">
        <v>19</v>
      </c>
      <c r="D246" s="3">
        <v>45976</v>
      </c>
      <c r="E246" t="s">
        <v>20</v>
      </c>
      <c r="F246" t="s">
        <v>538</v>
      </c>
      <c r="G246" t="s">
        <v>22</v>
      </c>
      <c r="H246" t="s">
        <v>539</v>
      </c>
      <c r="I246" t="s">
        <v>540</v>
      </c>
      <c r="J246" s="4">
        <v>46056.661897754631</v>
      </c>
    </row>
    <row r="247" spans="1:10" x14ac:dyDescent="0.55000000000000004">
      <c r="A247" t="s">
        <v>537</v>
      </c>
      <c r="B247">
        <v>100454</v>
      </c>
      <c r="C247" t="s">
        <v>19</v>
      </c>
      <c r="D247" s="3">
        <v>45976</v>
      </c>
      <c r="E247" t="s">
        <v>115</v>
      </c>
      <c r="F247" t="s">
        <v>538</v>
      </c>
      <c r="G247" t="s">
        <v>22</v>
      </c>
      <c r="H247" t="s">
        <v>539</v>
      </c>
      <c r="I247" t="s">
        <v>540</v>
      </c>
      <c r="J247" s="4">
        <v>46056.661897754631</v>
      </c>
    </row>
    <row r="248" spans="1:10" x14ac:dyDescent="0.55000000000000004">
      <c r="A248" t="s">
        <v>541</v>
      </c>
      <c r="B248">
        <v>101156</v>
      </c>
      <c r="C248" t="s">
        <v>37</v>
      </c>
      <c r="D248" s="3">
        <v>46065</v>
      </c>
      <c r="E248" t="s">
        <v>38</v>
      </c>
      <c r="F248" t="s">
        <v>542</v>
      </c>
      <c r="G248" t="s">
        <v>15</v>
      </c>
      <c r="H248" t="s">
        <v>543</v>
      </c>
      <c r="I248" t="s">
        <v>544</v>
      </c>
      <c r="J248" s="4">
        <v>46071.495925543983</v>
      </c>
    </row>
    <row r="249" spans="1:10" x14ac:dyDescent="0.55000000000000004">
      <c r="A249" t="s">
        <v>541</v>
      </c>
      <c r="B249">
        <v>101156</v>
      </c>
      <c r="C249" t="s">
        <v>37</v>
      </c>
      <c r="D249" s="3">
        <v>46065</v>
      </c>
      <c r="E249" t="s">
        <v>155</v>
      </c>
      <c r="F249" t="s">
        <v>542</v>
      </c>
      <c r="G249" t="s">
        <v>15</v>
      </c>
      <c r="H249" t="s">
        <v>543</v>
      </c>
      <c r="I249" t="s">
        <v>544</v>
      </c>
      <c r="J249" s="4">
        <v>46071.495925543983</v>
      </c>
    </row>
    <row r="250" spans="1:10" x14ac:dyDescent="0.55000000000000004">
      <c r="A250" t="s">
        <v>541</v>
      </c>
      <c r="B250">
        <v>101156</v>
      </c>
      <c r="C250" t="s">
        <v>37</v>
      </c>
      <c r="D250" s="3">
        <v>46065</v>
      </c>
      <c r="E250" t="s">
        <v>115</v>
      </c>
      <c r="F250" t="s">
        <v>542</v>
      </c>
      <c r="G250" t="s">
        <v>15</v>
      </c>
      <c r="H250" t="s">
        <v>543</v>
      </c>
      <c r="I250" t="s">
        <v>544</v>
      </c>
      <c r="J250" s="4">
        <v>46071.495925543983</v>
      </c>
    </row>
    <row r="251" spans="1:10" x14ac:dyDescent="0.55000000000000004">
      <c r="A251" t="s">
        <v>545</v>
      </c>
      <c r="B251">
        <v>100835</v>
      </c>
      <c r="C251" t="s">
        <v>37</v>
      </c>
      <c r="D251" s="3">
        <v>45935</v>
      </c>
      <c r="E251" t="s">
        <v>20</v>
      </c>
      <c r="F251" t="s">
        <v>546</v>
      </c>
      <c r="G251" t="s">
        <v>15</v>
      </c>
      <c r="H251" t="s">
        <v>547</v>
      </c>
      <c r="I251" t="s">
        <v>548</v>
      </c>
      <c r="J251" s="4">
        <v>46097.321619988426</v>
      </c>
    </row>
    <row r="252" spans="1:10" x14ac:dyDescent="0.55000000000000004">
      <c r="A252" t="s">
        <v>545</v>
      </c>
      <c r="B252">
        <v>100835</v>
      </c>
      <c r="C252" t="s">
        <v>37</v>
      </c>
      <c r="D252" s="3">
        <v>45935</v>
      </c>
      <c r="E252" t="s">
        <v>115</v>
      </c>
      <c r="F252" t="s">
        <v>546</v>
      </c>
      <c r="G252" t="s">
        <v>15</v>
      </c>
      <c r="H252" t="s">
        <v>547</v>
      </c>
      <c r="I252" t="s">
        <v>548</v>
      </c>
      <c r="J252" s="4">
        <v>46097.321619988426</v>
      </c>
    </row>
    <row r="253" spans="1:10" x14ac:dyDescent="0.55000000000000004">
      <c r="A253" t="s">
        <v>549</v>
      </c>
      <c r="B253">
        <v>101095</v>
      </c>
      <c r="C253" t="s">
        <v>19</v>
      </c>
      <c r="D253" s="3">
        <v>46040</v>
      </c>
      <c r="E253" t="s">
        <v>20</v>
      </c>
      <c r="F253" t="s">
        <v>550</v>
      </c>
      <c r="G253" t="s">
        <v>22</v>
      </c>
      <c r="H253" t="s">
        <v>551</v>
      </c>
      <c r="I253" t="s">
        <v>552</v>
      </c>
      <c r="J253" s="4">
        <v>46067.834119988423</v>
      </c>
    </row>
    <row r="254" spans="1:10" x14ac:dyDescent="0.55000000000000004">
      <c r="A254" t="s">
        <v>553</v>
      </c>
      <c r="B254">
        <v>100100</v>
      </c>
      <c r="C254" t="s">
        <v>19</v>
      </c>
      <c r="D254" s="3">
        <v>46000</v>
      </c>
      <c r="E254" t="s">
        <v>38</v>
      </c>
      <c r="F254" t="s">
        <v>554</v>
      </c>
      <c r="G254" t="s">
        <v>22</v>
      </c>
      <c r="H254" t="s">
        <v>555</v>
      </c>
      <c r="I254" t="s">
        <v>556</v>
      </c>
      <c r="J254" s="4">
        <v>46080.472314444443</v>
      </c>
    </row>
    <row r="255" spans="1:10" x14ac:dyDescent="0.55000000000000004">
      <c r="A255" t="s">
        <v>553</v>
      </c>
      <c r="B255">
        <v>100100</v>
      </c>
      <c r="C255" t="s">
        <v>19</v>
      </c>
      <c r="D255" s="3">
        <v>46000</v>
      </c>
      <c r="E255" t="s">
        <v>115</v>
      </c>
      <c r="F255" t="s">
        <v>554</v>
      </c>
      <c r="G255" t="s">
        <v>22</v>
      </c>
      <c r="H255" t="s">
        <v>555</v>
      </c>
      <c r="I255" t="s">
        <v>556</v>
      </c>
      <c r="J255" s="4">
        <v>46080.472314444443</v>
      </c>
    </row>
    <row r="256" spans="1:10" x14ac:dyDescent="0.55000000000000004">
      <c r="A256" t="s">
        <v>557</v>
      </c>
      <c r="B256">
        <v>100654</v>
      </c>
      <c r="C256" t="s">
        <v>533</v>
      </c>
      <c r="D256" s="3">
        <v>45901</v>
      </c>
      <c r="E256" t="s">
        <v>317</v>
      </c>
      <c r="F256" t="s">
        <v>558</v>
      </c>
      <c r="G256" t="s">
        <v>22</v>
      </c>
      <c r="H256" t="s">
        <v>559</v>
      </c>
      <c r="I256" t="s">
        <v>560</v>
      </c>
      <c r="J256" s="4">
        <v>46056.380647777776</v>
      </c>
    </row>
    <row r="257" spans="1:11" x14ac:dyDescent="0.55000000000000004">
      <c r="A257" t="s">
        <v>561</v>
      </c>
      <c r="B257">
        <v>100181</v>
      </c>
      <c r="C257" t="s">
        <v>533</v>
      </c>
      <c r="D257" s="3">
        <v>45739</v>
      </c>
      <c r="E257" t="s">
        <v>317</v>
      </c>
      <c r="F257" t="s">
        <v>563</v>
      </c>
      <c r="G257" t="s">
        <v>15</v>
      </c>
      <c r="H257" t="s">
        <v>564</v>
      </c>
      <c r="I257" t="s">
        <v>565</v>
      </c>
      <c r="J257" s="4">
        <v>46057.837592233795</v>
      </c>
    </row>
    <row r="258" spans="1:11" x14ac:dyDescent="0.55000000000000004">
      <c r="A258" t="s">
        <v>561</v>
      </c>
      <c r="B258">
        <v>100181</v>
      </c>
      <c r="C258" t="s">
        <v>533</v>
      </c>
      <c r="D258" s="3">
        <v>45739</v>
      </c>
      <c r="E258" t="s">
        <v>20</v>
      </c>
      <c r="F258" t="s">
        <v>563</v>
      </c>
      <c r="G258" t="s">
        <v>15</v>
      </c>
      <c r="H258" t="s">
        <v>564</v>
      </c>
      <c r="I258" t="s">
        <v>565</v>
      </c>
      <c r="J258" s="4">
        <v>46057.837592233795</v>
      </c>
    </row>
    <row r="259" spans="1:11" x14ac:dyDescent="0.55000000000000004">
      <c r="A259" t="s">
        <v>561</v>
      </c>
      <c r="B259">
        <v>100181</v>
      </c>
      <c r="C259" t="s">
        <v>533</v>
      </c>
      <c r="D259" s="3">
        <v>45739</v>
      </c>
      <c r="E259" t="s">
        <v>115</v>
      </c>
      <c r="F259" t="s">
        <v>563</v>
      </c>
      <c r="G259" t="s">
        <v>15</v>
      </c>
      <c r="H259" t="s">
        <v>564</v>
      </c>
      <c r="I259" t="s">
        <v>565</v>
      </c>
      <c r="J259" s="4">
        <v>46057.837592233795</v>
      </c>
    </row>
    <row r="260" spans="1:11" x14ac:dyDescent="0.55000000000000004">
      <c r="A260" t="s">
        <v>566</v>
      </c>
      <c r="B260">
        <v>100402</v>
      </c>
      <c r="C260" t="s">
        <v>179</v>
      </c>
      <c r="D260" s="3">
        <v>46155</v>
      </c>
      <c r="E260" t="s">
        <v>38</v>
      </c>
      <c r="F260" t="s">
        <v>567</v>
      </c>
      <c r="G260" t="s">
        <v>15</v>
      </c>
      <c r="H260" t="s">
        <v>568</v>
      </c>
      <c r="I260" t="s">
        <v>569</v>
      </c>
      <c r="J260" s="4">
        <v>46071.794536678244</v>
      </c>
    </row>
    <row r="261" spans="1:11" x14ac:dyDescent="0.55000000000000004">
      <c r="A261" t="s">
        <v>566</v>
      </c>
      <c r="B261">
        <v>100402</v>
      </c>
      <c r="C261" t="s">
        <v>179</v>
      </c>
      <c r="D261" s="3">
        <v>46155</v>
      </c>
      <c r="E261" t="s">
        <v>20</v>
      </c>
      <c r="F261" t="s">
        <v>567</v>
      </c>
      <c r="G261" t="s">
        <v>15</v>
      </c>
      <c r="H261" t="s">
        <v>568</v>
      </c>
      <c r="I261" t="s">
        <v>569</v>
      </c>
      <c r="J261" s="4">
        <v>46071.794536678244</v>
      </c>
    </row>
    <row r="262" spans="1:11" x14ac:dyDescent="0.55000000000000004">
      <c r="A262" t="s">
        <v>6023</v>
      </c>
      <c r="B262">
        <v>100794</v>
      </c>
      <c r="C262" t="s">
        <v>533</v>
      </c>
      <c r="D262" s="3">
        <v>45826</v>
      </c>
      <c r="E262" t="s">
        <v>69</v>
      </c>
      <c r="F262" t="s">
        <v>571</v>
      </c>
      <c r="G262" t="s">
        <v>22</v>
      </c>
      <c r="H262" t="s">
        <v>572</v>
      </c>
      <c r="I262" t="s">
        <v>573</v>
      </c>
      <c r="J262" s="4">
        <v>46082.736897789349</v>
      </c>
      <c r="K262" t="s">
        <v>119</v>
      </c>
    </row>
    <row r="263" spans="1:11" x14ac:dyDescent="0.55000000000000004">
      <c r="A263" t="s">
        <v>574</v>
      </c>
      <c r="B263">
        <v>100111</v>
      </c>
      <c r="C263" t="s">
        <v>248</v>
      </c>
      <c r="D263" s="3">
        <v>45928</v>
      </c>
      <c r="E263" t="s">
        <v>69</v>
      </c>
      <c r="F263" t="s">
        <v>575</v>
      </c>
      <c r="G263" t="s">
        <v>22</v>
      </c>
      <c r="H263" t="s">
        <v>576</v>
      </c>
      <c r="I263" t="s">
        <v>577</v>
      </c>
      <c r="J263" s="4">
        <v>46076.316758912035</v>
      </c>
    </row>
    <row r="264" spans="1:11" x14ac:dyDescent="0.55000000000000004">
      <c r="A264" t="s">
        <v>6024</v>
      </c>
      <c r="B264">
        <v>100187</v>
      </c>
      <c r="C264" t="s">
        <v>19</v>
      </c>
      <c r="D264" s="3">
        <v>46102</v>
      </c>
      <c r="E264" t="s">
        <v>38</v>
      </c>
      <c r="F264" t="s">
        <v>579</v>
      </c>
      <c r="G264" t="s">
        <v>15</v>
      </c>
      <c r="H264" t="s">
        <v>580</v>
      </c>
      <c r="I264" t="s">
        <v>581</v>
      </c>
      <c r="J264" s="4">
        <v>46093.796620023146</v>
      </c>
      <c r="K264" t="s">
        <v>119</v>
      </c>
    </row>
    <row r="265" spans="1:11" x14ac:dyDescent="0.55000000000000004">
      <c r="A265" t="s">
        <v>6024</v>
      </c>
      <c r="B265">
        <v>100187</v>
      </c>
      <c r="C265" t="s">
        <v>19</v>
      </c>
      <c r="D265" s="3">
        <v>46102</v>
      </c>
      <c r="E265" t="s">
        <v>20</v>
      </c>
      <c r="F265" t="s">
        <v>579</v>
      </c>
      <c r="G265" t="s">
        <v>15</v>
      </c>
      <c r="H265" t="s">
        <v>580</v>
      </c>
      <c r="I265" t="s">
        <v>581</v>
      </c>
      <c r="J265" s="4">
        <v>46093.796620023146</v>
      </c>
      <c r="K265" t="s">
        <v>119</v>
      </c>
    </row>
    <row r="266" spans="1:11" x14ac:dyDescent="0.55000000000000004">
      <c r="A266" t="s">
        <v>6024</v>
      </c>
      <c r="B266">
        <v>100187</v>
      </c>
      <c r="C266" t="s">
        <v>19</v>
      </c>
      <c r="D266" s="3">
        <v>46102</v>
      </c>
      <c r="E266" t="s">
        <v>155</v>
      </c>
      <c r="F266" t="s">
        <v>579</v>
      </c>
      <c r="G266" t="s">
        <v>15</v>
      </c>
      <c r="H266" t="s">
        <v>580</v>
      </c>
      <c r="I266" t="s">
        <v>581</v>
      </c>
      <c r="J266" s="4">
        <v>46093.796620023146</v>
      </c>
      <c r="K266" t="s">
        <v>119</v>
      </c>
    </row>
    <row r="267" spans="1:11" x14ac:dyDescent="0.55000000000000004">
      <c r="A267" t="s">
        <v>582</v>
      </c>
      <c r="B267">
        <v>101211</v>
      </c>
      <c r="C267" t="s">
        <v>533</v>
      </c>
      <c r="D267" s="3">
        <v>45970</v>
      </c>
      <c r="E267" t="s">
        <v>115</v>
      </c>
      <c r="F267" t="s">
        <v>583</v>
      </c>
      <c r="G267" t="s">
        <v>22</v>
      </c>
      <c r="H267" t="s">
        <v>584</v>
      </c>
      <c r="I267" t="s">
        <v>585</v>
      </c>
      <c r="J267" s="4">
        <v>46053.579258912039</v>
      </c>
    </row>
    <row r="268" spans="1:11" x14ac:dyDescent="0.55000000000000004">
      <c r="A268" t="s">
        <v>582</v>
      </c>
      <c r="B268">
        <v>101211</v>
      </c>
      <c r="C268" t="s">
        <v>533</v>
      </c>
      <c r="D268" s="3">
        <v>45970</v>
      </c>
      <c r="E268" t="s">
        <v>69</v>
      </c>
      <c r="F268" t="s">
        <v>583</v>
      </c>
      <c r="G268" t="s">
        <v>22</v>
      </c>
      <c r="H268" t="s">
        <v>584</v>
      </c>
      <c r="I268" t="s">
        <v>585</v>
      </c>
      <c r="J268" s="4">
        <v>46053.579258912039</v>
      </c>
    </row>
    <row r="269" spans="1:11" x14ac:dyDescent="0.55000000000000004">
      <c r="A269" t="s">
        <v>586</v>
      </c>
      <c r="B269">
        <v>101244</v>
      </c>
      <c r="C269" t="s">
        <v>68</v>
      </c>
      <c r="D269" s="3">
        <v>45920</v>
      </c>
      <c r="E269" t="s">
        <v>317</v>
      </c>
      <c r="F269" t="s">
        <v>588</v>
      </c>
      <c r="G269" t="s">
        <v>22</v>
      </c>
      <c r="H269" t="s">
        <v>589</v>
      </c>
      <c r="I269" t="s">
        <v>590</v>
      </c>
      <c r="J269" s="4">
        <v>46088.099397812497</v>
      </c>
    </row>
    <row r="270" spans="1:11" x14ac:dyDescent="0.55000000000000004">
      <c r="A270" t="s">
        <v>586</v>
      </c>
      <c r="B270">
        <v>101244</v>
      </c>
      <c r="C270" t="s">
        <v>68</v>
      </c>
      <c r="D270" s="3">
        <v>45920</v>
      </c>
      <c r="E270" t="s">
        <v>38</v>
      </c>
      <c r="F270" t="s">
        <v>588</v>
      </c>
      <c r="G270" t="s">
        <v>22</v>
      </c>
      <c r="H270" t="s">
        <v>589</v>
      </c>
      <c r="I270" t="s">
        <v>590</v>
      </c>
      <c r="J270" s="4">
        <v>46088.099397812497</v>
      </c>
    </row>
    <row r="271" spans="1:11" x14ac:dyDescent="0.55000000000000004">
      <c r="A271" t="s">
        <v>586</v>
      </c>
      <c r="B271">
        <v>101244</v>
      </c>
      <c r="C271" t="s">
        <v>68</v>
      </c>
      <c r="D271" s="3">
        <v>45920</v>
      </c>
      <c r="E271" t="s">
        <v>115</v>
      </c>
      <c r="F271" t="s">
        <v>588</v>
      </c>
      <c r="G271" t="s">
        <v>22</v>
      </c>
      <c r="H271" t="s">
        <v>589</v>
      </c>
      <c r="I271" t="s">
        <v>590</v>
      </c>
      <c r="J271" s="4">
        <v>46088.099397812497</v>
      </c>
    </row>
    <row r="272" spans="1:11" x14ac:dyDescent="0.55000000000000004">
      <c r="A272" t="s">
        <v>591</v>
      </c>
      <c r="B272">
        <v>101193</v>
      </c>
      <c r="C272" t="s">
        <v>19</v>
      </c>
      <c r="D272" s="3">
        <v>45923</v>
      </c>
      <c r="E272" t="s">
        <v>317</v>
      </c>
      <c r="F272" t="s">
        <v>592</v>
      </c>
      <c r="G272" t="s">
        <v>22</v>
      </c>
      <c r="H272" t="s">
        <v>593</v>
      </c>
      <c r="I272" t="s">
        <v>594</v>
      </c>
      <c r="J272" s="4">
        <v>46062.801481145834</v>
      </c>
    </row>
    <row r="273" spans="1:11" x14ac:dyDescent="0.55000000000000004">
      <c r="A273" t="s">
        <v>591</v>
      </c>
      <c r="B273">
        <v>101193</v>
      </c>
      <c r="C273" t="s">
        <v>19</v>
      </c>
      <c r="D273" s="3">
        <v>45923</v>
      </c>
      <c r="E273" t="s">
        <v>38</v>
      </c>
      <c r="F273" t="s">
        <v>592</v>
      </c>
      <c r="G273" t="s">
        <v>22</v>
      </c>
      <c r="H273" t="s">
        <v>593</v>
      </c>
      <c r="I273" t="s">
        <v>594</v>
      </c>
      <c r="J273" s="4">
        <v>46062.801481145834</v>
      </c>
    </row>
    <row r="274" spans="1:11" x14ac:dyDescent="0.55000000000000004">
      <c r="A274" t="s">
        <v>595</v>
      </c>
      <c r="B274">
        <v>101281</v>
      </c>
      <c r="C274" t="s">
        <v>248</v>
      </c>
      <c r="D274" s="3">
        <v>46122</v>
      </c>
      <c r="E274" t="s">
        <v>317</v>
      </c>
      <c r="F274" t="s">
        <v>596</v>
      </c>
      <c r="G274" t="s">
        <v>15</v>
      </c>
      <c r="H274" t="s">
        <v>597</v>
      </c>
      <c r="I274" t="s">
        <v>598</v>
      </c>
      <c r="J274" s="4">
        <v>46064.111203379631</v>
      </c>
    </row>
    <row r="275" spans="1:11" x14ac:dyDescent="0.55000000000000004">
      <c r="A275" t="s">
        <v>599</v>
      </c>
      <c r="B275">
        <v>100032</v>
      </c>
      <c r="C275" t="s">
        <v>19</v>
      </c>
      <c r="D275" s="3">
        <v>46092</v>
      </c>
      <c r="E275" t="s">
        <v>38</v>
      </c>
      <c r="F275" t="s">
        <v>600</v>
      </c>
      <c r="G275" t="s">
        <v>15</v>
      </c>
      <c r="H275" t="s">
        <v>601</v>
      </c>
      <c r="I275" t="s">
        <v>602</v>
      </c>
      <c r="J275" s="4">
        <v>46093.967453379628</v>
      </c>
    </row>
    <row r="276" spans="1:11" x14ac:dyDescent="0.55000000000000004">
      <c r="A276" t="s">
        <v>599</v>
      </c>
      <c r="B276">
        <v>100032</v>
      </c>
      <c r="C276" t="s">
        <v>19</v>
      </c>
      <c r="D276" s="3">
        <v>46092</v>
      </c>
      <c r="E276" t="s">
        <v>155</v>
      </c>
      <c r="F276" t="s">
        <v>600</v>
      </c>
      <c r="G276" t="s">
        <v>15</v>
      </c>
      <c r="H276" t="s">
        <v>601</v>
      </c>
      <c r="I276" t="s">
        <v>602</v>
      </c>
      <c r="J276" s="4">
        <v>46093.967453379628</v>
      </c>
    </row>
    <row r="277" spans="1:11" x14ac:dyDescent="0.55000000000000004">
      <c r="A277" t="s">
        <v>603</v>
      </c>
      <c r="B277">
        <v>101494</v>
      </c>
      <c r="C277" t="s">
        <v>19</v>
      </c>
      <c r="D277" s="3">
        <v>45835</v>
      </c>
      <c r="E277" t="s">
        <v>317</v>
      </c>
      <c r="F277" t="s">
        <v>604</v>
      </c>
      <c r="G277" t="s">
        <v>22</v>
      </c>
      <c r="H277" t="s">
        <v>605</v>
      </c>
      <c r="I277" t="s">
        <v>606</v>
      </c>
      <c r="J277" s="4">
        <v>46064.118147824076</v>
      </c>
    </row>
    <row r="278" spans="1:11" x14ac:dyDescent="0.55000000000000004">
      <c r="A278" t="s">
        <v>603</v>
      </c>
      <c r="B278">
        <v>101494</v>
      </c>
      <c r="C278" t="s">
        <v>19</v>
      </c>
      <c r="D278" s="3">
        <v>45835</v>
      </c>
      <c r="E278" t="s">
        <v>38</v>
      </c>
      <c r="F278" t="s">
        <v>604</v>
      </c>
      <c r="G278" t="s">
        <v>22</v>
      </c>
      <c r="H278" t="s">
        <v>605</v>
      </c>
      <c r="I278" t="s">
        <v>606</v>
      </c>
      <c r="J278" s="4">
        <v>46064.118147824076</v>
      </c>
    </row>
    <row r="279" spans="1:11" x14ac:dyDescent="0.55000000000000004">
      <c r="A279" t="s">
        <v>603</v>
      </c>
      <c r="B279">
        <v>101494</v>
      </c>
      <c r="C279" t="s">
        <v>19</v>
      </c>
      <c r="D279" s="3">
        <v>45835</v>
      </c>
      <c r="E279" t="s">
        <v>115</v>
      </c>
      <c r="F279" t="s">
        <v>604</v>
      </c>
      <c r="G279" t="s">
        <v>22</v>
      </c>
      <c r="H279" t="s">
        <v>605</v>
      </c>
      <c r="I279" t="s">
        <v>606</v>
      </c>
      <c r="J279" s="4">
        <v>46064.118147824076</v>
      </c>
    </row>
    <row r="280" spans="1:11" x14ac:dyDescent="0.55000000000000004">
      <c r="A280" t="s">
        <v>607</v>
      </c>
      <c r="B280">
        <v>100325</v>
      </c>
      <c r="C280" t="s">
        <v>533</v>
      </c>
      <c r="D280" s="3">
        <v>46080</v>
      </c>
      <c r="E280" t="s">
        <v>317</v>
      </c>
      <c r="F280" t="s">
        <v>608</v>
      </c>
      <c r="G280" t="s">
        <v>22</v>
      </c>
      <c r="H280" t="s">
        <v>609</v>
      </c>
      <c r="I280" t="s">
        <v>610</v>
      </c>
      <c r="J280" s="4">
        <v>46092.020231168979</v>
      </c>
    </row>
    <row r="281" spans="1:11" x14ac:dyDescent="0.55000000000000004">
      <c r="A281" t="s">
        <v>611</v>
      </c>
      <c r="B281">
        <v>101033</v>
      </c>
      <c r="C281" t="s">
        <v>179</v>
      </c>
      <c r="D281" s="3">
        <v>46146</v>
      </c>
      <c r="E281" t="s">
        <v>69</v>
      </c>
      <c r="F281" t="s">
        <v>612</v>
      </c>
      <c r="G281" t="s">
        <v>15</v>
      </c>
      <c r="H281" t="s">
        <v>613</v>
      </c>
      <c r="I281" t="s">
        <v>614</v>
      </c>
      <c r="J281" s="4">
        <v>46065.155647835651</v>
      </c>
    </row>
    <row r="282" spans="1:11" x14ac:dyDescent="0.55000000000000004">
      <c r="A282" t="s">
        <v>615</v>
      </c>
      <c r="B282">
        <v>100951</v>
      </c>
      <c r="C282" t="s">
        <v>179</v>
      </c>
      <c r="D282" s="3">
        <v>46020</v>
      </c>
      <c r="E282" t="s">
        <v>38</v>
      </c>
      <c r="F282" t="s">
        <v>616</v>
      </c>
      <c r="G282" t="s">
        <v>22</v>
      </c>
      <c r="H282" t="s">
        <v>617</v>
      </c>
      <c r="I282" t="s">
        <v>618</v>
      </c>
      <c r="J282" s="4">
        <v>46054.307731180554</v>
      </c>
    </row>
    <row r="283" spans="1:11" x14ac:dyDescent="0.55000000000000004">
      <c r="A283" t="s">
        <v>619</v>
      </c>
      <c r="B283">
        <v>100623</v>
      </c>
      <c r="C283" t="s">
        <v>37</v>
      </c>
      <c r="D283" s="3">
        <v>45934</v>
      </c>
      <c r="E283" t="s">
        <v>155</v>
      </c>
      <c r="F283" t="s">
        <v>620</v>
      </c>
      <c r="G283" t="s">
        <v>15</v>
      </c>
      <c r="H283" t="s">
        <v>621</v>
      </c>
      <c r="I283" t="s">
        <v>622</v>
      </c>
      <c r="J283" s="4">
        <v>46095.143842291669</v>
      </c>
    </row>
    <row r="284" spans="1:11" x14ac:dyDescent="0.55000000000000004">
      <c r="A284" t="s">
        <v>619</v>
      </c>
      <c r="B284">
        <v>100623</v>
      </c>
      <c r="C284" t="s">
        <v>37</v>
      </c>
      <c r="D284" s="3">
        <v>45934</v>
      </c>
      <c r="E284" t="s">
        <v>115</v>
      </c>
      <c r="F284" t="s">
        <v>620</v>
      </c>
      <c r="G284" t="s">
        <v>15</v>
      </c>
      <c r="H284" t="s">
        <v>621</v>
      </c>
      <c r="I284" t="s">
        <v>622</v>
      </c>
      <c r="J284" s="4">
        <v>46095.143842291669</v>
      </c>
    </row>
    <row r="285" spans="1:11" x14ac:dyDescent="0.55000000000000004">
      <c r="A285" t="s">
        <v>623</v>
      </c>
      <c r="B285">
        <v>100562</v>
      </c>
      <c r="C285" t="s">
        <v>68</v>
      </c>
      <c r="D285" s="3">
        <v>46090</v>
      </c>
      <c r="E285" t="s">
        <v>38</v>
      </c>
      <c r="F285" t="s">
        <v>624</v>
      </c>
      <c r="G285" t="s">
        <v>15</v>
      </c>
      <c r="H285" t="s">
        <v>625</v>
      </c>
      <c r="I285" t="s">
        <v>626</v>
      </c>
      <c r="J285" s="4">
        <v>46093.075092291663</v>
      </c>
    </row>
    <row r="286" spans="1:11" x14ac:dyDescent="0.55000000000000004">
      <c r="A286" t="s">
        <v>627</v>
      </c>
      <c r="B286">
        <v>100010</v>
      </c>
      <c r="C286" t="s">
        <v>37</v>
      </c>
      <c r="D286" s="3">
        <v>45878</v>
      </c>
      <c r="E286" t="s">
        <v>317</v>
      </c>
      <c r="F286" t="s">
        <v>628</v>
      </c>
      <c r="G286" t="s">
        <v>22</v>
      </c>
      <c r="H286" t="s">
        <v>629</v>
      </c>
      <c r="I286" t="s">
        <v>630</v>
      </c>
      <c r="J286" s="4">
        <v>46074.202175636572</v>
      </c>
      <c r="K286" t="s">
        <v>139</v>
      </c>
    </row>
    <row r="287" spans="1:11" x14ac:dyDescent="0.55000000000000004">
      <c r="A287" t="s">
        <v>627</v>
      </c>
      <c r="B287">
        <v>100010</v>
      </c>
      <c r="C287" t="s">
        <v>37</v>
      </c>
      <c r="D287" s="3">
        <v>45878</v>
      </c>
      <c r="E287" t="s">
        <v>115</v>
      </c>
      <c r="F287" t="s">
        <v>628</v>
      </c>
      <c r="G287" t="s">
        <v>22</v>
      </c>
      <c r="H287" t="s">
        <v>629</v>
      </c>
      <c r="I287" t="s">
        <v>630</v>
      </c>
      <c r="J287" s="4">
        <v>46074.202175636572</v>
      </c>
      <c r="K287" t="s">
        <v>139</v>
      </c>
    </row>
    <row r="288" spans="1:11" x14ac:dyDescent="0.55000000000000004">
      <c r="A288" t="s">
        <v>631</v>
      </c>
      <c r="B288">
        <v>100588</v>
      </c>
      <c r="C288" t="s">
        <v>179</v>
      </c>
      <c r="D288" s="3">
        <v>45925</v>
      </c>
      <c r="E288" t="s">
        <v>38</v>
      </c>
      <c r="F288" t="s">
        <v>632</v>
      </c>
      <c r="G288" t="s">
        <v>15</v>
      </c>
      <c r="H288" t="s">
        <v>633</v>
      </c>
      <c r="I288" t="s">
        <v>634</v>
      </c>
      <c r="J288" s="4">
        <v>46056.251481192128</v>
      </c>
    </row>
    <row r="289" spans="1:10" x14ac:dyDescent="0.55000000000000004">
      <c r="A289" t="s">
        <v>631</v>
      </c>
      <c r="B289">
        <v>100588</v>
      </c>
      <c r="C289" t="s">
        <v>179</v>
      </c>
      <c r="D289" s="3">
        <v>45925</v>
      </c>
      <c r="E289" t="s">
        <v>155</v>
      </c>
      <c r="F289" t="s">
        <v>632</v>
      </c>
      <c r="G289" t="s">
        <v>15</v>
      </c>
      <c r="H289" t="s">
        <v>633</v>
      </c>
      <c r="I289" t="s">
        <v>634</v>
      </c>
      <c r="J289" s="4">
        <v>46056.251481192128</v>
      </c>
    </row>
    <row r="290" spans="1:10" x14ac:dyDescent="0.55000000000000004">
      <c r="A290" t="s">
        <v>635</v>
      </c>
      <c r="B290">
        <v>101176</v>
      </c>
      <c r="C290" t="s">
        <v>533</v>
      </c>
      <c r="D290" s="3">
        <v>45823</v>
      </c>
      <c r="E290" t="s">
        <v>38</v>
      </c>
      <c r="F290" t="s">
        <v>636</v>
      </c>
      <c r="G290" t="s">
        <v>15</v>
      </c>
      <c r="H290" t="s">
        <v>637</v>
      </c>
      <c r="I290" t="s">
        <v>638</v>
      </c>
      <c r="J290" s="4">
        <v>46097.713981203706</v>
      </c>
    </row>
    <row r="291" spans="1:10" x14ac:dyDescent="0.55000000000000004">
      <c r="A291" t="s">
        <v>635</v>
      </c>
      <c r="B291">
        <v>101176</v>
      </c>
      <c r="C291" t="s">
        <v>533</v>
      </c>
      <c r="D291" s="3">
        <v>45823</v>
      </c>
      <c r="E291" t="s">
        <v>115</v>
      </c>
      <c r="F291" t="s">
        <v>636</v>
      </c>
      <c r="G291" t="s">
        <v>15</v>
      </c>
      <c r="H291" t="s">
        <v>637</v>
      </c>
      <c r="I291" t="s">
        <v>638</v>
      </c>
      <c r="J291" s="4">
        <v>46097.713981203706</v>
      </c>
    </row>
    <row r="292" spans="1:10" x14ac:dyDescent="0.55000000000000004">
      <c r="A292" t="s">
        <v>635</v>
      </c>
      <c r="B292">
        <v>101176</v>
      </c>
      <c r="C292" t="s">
        <v>533</v>
      </c>
      <c r="D292" s="3">
        <v>45823</v>
      </c>
      <c r="E292" t="s">
        <v>69</v>
      </c>
      <c r="F292" t="s">
        <v>636</v>
      </c>
      <c r="G292" t="s">
        <v>15</v>
      </c>
      <c r="H292" t="s">
        <v>637</v>
      </c>
      <c r="I292" t="s">
        <v>638</v>
      </c>
      <c r="J292" s="4">
        <v>46097.713981203706</v>
      </c>
    </row>
    <row r="293" spans="1:10" x14ac:dyDescent="0.55000000000000004">
      <c r="A293" t="s">
        <v>639</v>
      </c>
      <c r="B293">
        <v>101114</v>
      </c>
      <c r="C293" t="s">
        <v>68</v>
      </c>
      <c r="D293" s="3">
        <v>45969</v>
      </c>
      <c r="E293" t="s">
        <v>317</v>
      </c>
      <c r="F293" t="s">
        <v>640</v>
      </c>
      <c r="G293" t="s">
        <v>22</v>
      </c>
      <c r="H293" t="s">
        <v>641</v>
      </c>
      <c r="I293" t="s">
        <v>642</v>
      </c>
      <c r="J293" s="4">
        <v>46083.394536759261</v>
      </c>
    </row>
    <row r="294" spans="1:10" x14ac:dyDescent="0.55000000000000004">
      <c r="A294" t="s">
        <v>639</v>
      </c>
      <c r="B294">
        <v>101114</v>
      </c>
      <c r="C294" t="s">
        <v>68</v>
      </c>
      <c r="D294" s="3">
        <v>45969</v>
      </c>
      <c r="E294" t="s">
        <v>38</v>
      </c>
      <c r="F294" t="s">
        <v>640</v>
      </c>
      <c r="G294" t="s">
        <v>22</v>
      </c>
      <c r="H294" t="s">
        <v>641</v>
      </c>
      <c r="I294" t="s">
        <v>642</v>
      </c>
      <c r="J294" s="4">
        <v>46083.394536759261</v>
      </c>
    </row>
    <row r="295" spans="1:10" x14ac:dyDescent="0.55000000000000004">
      <c r="A295" t="s">
        <v>639</v>
      </c>
      <c r="B295">
        <v>101114</v>
      </c>
      <c r="C295" t="s">
        <v>68</v>
      </c>
      <c r="D295" s="3">
        <v>45969</v>
      </c>
      <c r="E295" t="s">
        <v>69</v>
      </c>
      <c r="F295" t="s">
        <v>640</v>
      </c>
      <c r="G295" t="s">
        <v>22</v>
      </c>
      <c r="H295" t="s">
        <v>641</v>
      </c>
      <c r="I295" t="s">
        <v>642</v>
      </c>
      <c r="J295" s="4">
        <v>46083.394536759261</v>
      </c>
    </row>
    <row r="296" spans="1:10" x14ac:dyDescent="0.55000000000000004">
      <c r="A296" t="s">
        <v>643</v>
      </c>
      <c r="B296">
        <v>100581</v>
      </c>
      <c r="C296" t="s">
        <v>179</v>
      </c>
      <c r="D296" s="3">
        <v>45909</v>
      </c>
      <c r="E296" t="s">
        <v>20</v>
      </c>
      <c r="F296" t="s">
        <v>644</v>
      </c>
      <c r="G296" t="s">
        <v>15</v>
      </c>
      <c r="H296" t="s">
        <v>645</v>
      </c>
      <c r="I296" t="s">
        <v>646</v>
      </c>
      <c r="J296" s="4">
        <v>46090.700786759262</v>
      </c>
    </row>
    <row r="297" spans="1:10" x14ac:dyDescent="0.55000000000000004">
      <c r="A297" t="s">
        <v>647</v>
      </c>
      <c r="B297">
        <v>100015</v>
      </c>
      <c r="C297" t="s">
        <v>179</v>
      </c>
      <c r="D297" s="3">
        <v>46046</v>
      </c>
      <c r="E297" t="s">
        <v>115</v>
      </c>
      <c r="F297" t="s">
        <v>648</v>
      </c>
      <c r="G297" t="s">
        <v>15</v>
      </c>
      <c r="H297" t="s">
        <v>649</v>
      </c>
      <c r="I297" t="s">
        <v>650</v>
      </c>
      <c r="J297" s="4">
        <v>46093.602870104165</v>
      </c>
    </row>
    <row r="298" spans="1:10" x14ac:dyDescent="0.55000000000000004">
      <c r="A298" t="s">
        <v>651</v>
      </c>
      <c r="B298">
        <v>100091</v>
      </c>
      <c r="C298" t="s">
        <v>19</v>
      </c>
      <c r="D298" s="3">
        <v>45749</v>
      </c>
      <c r="E298" t="s">
        <v>38</v>
      </c>
      <c r="F298" t="s">
        <v>652</v>
      </c>
      <c r="G298" t="s">
        <v>15</v>
      </c>
      <c r="H298" t="s">
        <v>653</v>
      </c>
      <c r="I298" t="s">
        <v>654</v>
      </c>
      <c r="J298" s="4">
        <v>46095.174397881943</v>
      </c>
    </row>
    <row r="299" spans="1:10" x14ac:dyDescent="0.55000000000000004">
      <c r="A299" t="s">
        <v>651</v>
      </c>
      <c r="B299">
        <v>100091</v>
      </c>
      <c r="C299" t="s">
        <v>19</v>
      </c>
      <c r="D299" s="3">
        <v>45749</v>
      </c>
      <c r="E299" t="s">
        <v>155</v>
      </c>
      <c r="F299" t="s">
        <v>652</v>
      </c>
      <c r="G299" t="s">
        <v>15</v>
      </c>
      <c r="H299" t="s">
        <v>653</v>
      </c>
      <c r="I299" t="s">
        <v>654</v>
      </c>
      <c r="J299" s="4">
        <v>46095.174397881943</v>
      </c>
    </row>
    <row r="300" spans="1:10" x14ac:dyDescent="0.55000000000000004">
      <c r="A300" t="s">
        <v>655</v>
      </c>
      <c r="B300">
        <v>100964</v>
      </c>
      <c r="C300" t="s">
        <v>179</v>
      </c>
      <c r="D300" s="3">
        <v>45851</v>
      </c>
      <c r="E300" t="s">
        <v>317</v>
      </c>
      <c r="F300" t="s">
        <v>656</v>
      </c>
      <c r="G300" t="s">
        <v>22</v>
      </c>
      <c r="H300" t="s">
        <v>657</v>
      </c>
      <c r="I300" t="s">
        <v>658</v>
      </c>
      <c r="J300" s="4">
        <v>46082.927175671299</v>
      </c>
    </row>
    <row r="301" spans="1:10" x14ac:dyDescent="0.55000000000000004">
      <c r="A301" t="s">
        <v>655</v>
      </c>
      <c r="B301">
        <v>100964</v>
      </c>
      <c r="C301" t="s">
        <v>179</v>
      </c>
      <c r="D301" s="3">
        <v>45851</v>
      </c>
      <c r="E301" t="s">
        <v>155</v>
      </c>
      <c r="F301" t="s">
        <v>656</v>
      </c>
      <c r="G301" t="s">
        <v>22</v>
      </c>
      <c r="H301" t="s">
        <v>657</v>
      </c>
      <c r="I301" t="s">
        <v>658</v>
      </c>
      <c r="J301" s="4">
        <v>46082.927175671299</v>
      </c>
    </row>
    <row r="302" spans="1:10" x14ac:dyDescent="0.55000000000000004">
      <c r="A302" t="s">
        <v>655</v>
      </c>
      <c r="B302">
        <v>100964</v>
      </c>
      <c r="C302" t="s">
        <v>179</v>
      </c>
      <c r="D302" s="3">
        <v>45851</v>
      </c>
      <c r="E302" t="s">
        <v>115</v>
      </c>
      <c r="F302" t="s">
        <v>656</v>
      </c>
      <c r="G302" t="s">
        <v>22</v>
      </c>
      <c r="H302" t="s">
        <v>657</v>
      </c>
      <c r="I302" t="s">
        <v>658</v>
      </c>
      <c r="J302" s="4">
        <v>46082.927175671299</v>
      </c>
    </row>
    <row r="303" spans="1:10" x14ac:dyDescent="0.55000000000000004">
      <c r="A303" t="s">
        <v>659</v>
      </c>
      <c r="B303">
        <v>100288</v>
      </c>
      <c r="C303" t="s">
        <v>68</v>
      </c>
      <c r="D303" s="3">
        <v>46027</v>
      </c>
      <c r="E303" t="s">
        <v>317</v>
      </c>
      <c r="F303" t="s">
        <v>660</v>
      </c>
      <c r="G303" t="s">
        <v>22</v>
      </c>
      <c r="H303" t="s">
        <v>661</v>
      </c>
      <c r="I303" t="s">
        <v>662</v>
      </c>
      <c r="J303" s="4">
        <v>46087.807036782404</v>
      </c>
    </row>
    <row r="304" spans="1:10" x14ac:dyDescent="0.55000000000000004">
      <c r="A304" t="s">
        <v>659</v>
      </c>
      <c r="B304">
        <v>100288</v>
      </c>
      <c r="C304" t="s">
        <v>68</v>
      </c>
      <c r="D304" s="3">
        <v>46027</v>
      </c>
      <c r="E304" t="s">
        <v>20</v>
      </c>
      <c r="F304" t="s">
        <v>660</v>
      </c>
      <c r="G304" t="s">
        <v>22</v>
      </c>
      <c r="H304" t="s">
        <v>661</v>
      </c>
      <c r="I304" t="s">
        <v>662</v>
      </c>
      <c r="J304" s="4">
        <v>46087.807036782404</v>
      </c>
    </row>
    <row r="305" spans="1:11" x14ac:dyDescent="0.55000000000000004">
      <c r="A305" t="s">
        <v>659</v>
      </c>
      <c r="B305">
        <v>100288</v>
      </c>
      <c r="C305" t="s">
        <v>68</v>
      </c>
      <c r="D305" s="3">
        <v>46027</v>
      </c>
      <c r="E305" t="s">
        <v>115</v>
      </c>
      <c r="F305" t="s">
        <v>660</v>
      </c>
      <c r="G305" t="s">
        <v>22</v>
      </c>
      <c r="H305" t="s">
        <v>661</v>
      </c>
      <c r="I305" t="s">
        <v>662</v>
      </c>
      <c r="J305" s="4">
        <v>46087.807036782404</v>
      </c>
    </row>
    <row r="306" spans="1:11" x14ac:dyDescent="0.55000000000000004">
      <c r="A306" t="s">
        <v>663</v>
      </c>
      <c r="B306">
        <v>100190</v>
      </c>
      <c r="C306" t="s">
        <v>19</v>
      </c>
      <c r="D306" s="3">
        <v>45845</v>
      </c>
      <c r="E306" t="s">
        <v>317</v>
      </c>
      <c r="F306" t="s">
        <v>664</v>
      </c>
      <c r="G306" t="s">
        <v>15</v>
      </c>
      <c r="H306" t="s">
        <v>665</v>
      </c>
      <c r="I306" t="s">
        <v>666</v>
      </c>
      <c r="J306" s="4">
        <v>46061.904953449077</v>
      </c>
    </row>
    <row r="307" spans="1:11" x14ac:dyDescent="0.55000000000000004">
      <c r="A307" t="s">
        <v>663</v>
      </c>
      <c r="B307">
        <v>100190</v>
      </c>
      <c r="C307" t="s">
        <v>19</v>
      </c>
      <c r="D307" s="3">
        <v>45845</v>
      </c>
      <c r="E307" t="s">
        <v>20</v>
      </c>
      <c r="F307" t="s">
        <v>664</v>
      </c>
      <c r="G307" t="s">
        <v>15</v>
      </c>
      <c r="H307" t="s">
        <v>665</v>
      </c>
      <c r="I307" t="s">
        <v>666</v>
      </c>
      <c r="J307" s="4">
        <v>46061.904953449077</v>
      </c>
    </row>
    <row r="308" spans="1:11" x14ac:dyDescent="0.55000000000000004">
      <c r="A308" t="s">
        <v>667</v>
      </c>
      <c r="B308">
        <v>100310</v>
      </c>
      <c r="C308" t="s">
        <v>533</v>
      </c>
      <c r="D308" s="3">
        <v>46052</v>
      </c>
      <c r="E308" t="s">
        <v>317</v>
      </c>
      <c r="F308" t="s">
        <v>668</v>
      </c>
      <c r="G308" t="s">
        <v>15</v>
      </c>
      <c r="H308" t="s">
        <v>669</v>
      </c>
      <c r="I308" t="s">
        <v>670</v>
      </c>
      <c r="J308" s="4">
        <v>46074.831342349535</v>
      </c>
    </row>
    <row r="309" spans="1:11" x14ac:dyDescent="0.55000000000000004">
      <c r="A309" t="s">
        <v>667</v>
      </c>
      <c r="B309">
        <v>100310</v>
      </c>
      <c r="C309" t="s">
        <v>533</v>
      </c>
      <c r="D309" s="3">
        <v>46052</v>
      </c>
      <c r="E309" t="s">
        <v>38</v>
      </c>
      <c r="F309" t="s">
        <v>668</v>
      </c>
      <c r="G309" t="s">
        <v>15</v>
      </c>
      <c r="H309" t="s">
        <v>669</v>
      </c>
      <c r="I309" t="s">
        <v>670</v>
      </c>
      <c r="J309" s="4">
        <v>46074.831342349535</v>
      </c>
    </row>
    <row r="310" spans="1:11" x14ac:dyDescent="0.55000000000000004">
      <c r="A310" t="s">
        <v>667</v>
      </c>
      <c r="B310">
        <v>100310</v>
      </c>
      <c r="C310" t="s">
        <v>533</v>
      </c>
      <c r="D310" s="3">
        <v>46052</v>
      </c>
      <c r="E310" t="s">
        <v>69</v>
      </c>
      <c r="F310" t="s">
        <v>668</v>
      </c>
      <c r="G310" t="s">
        <v>15</v>
      </c>
      <c r="H310" t="s">
        <v>669</v>
      </c>
      <c r="I310" t="s">
        <v>670</v>
      </c>
      <c r="J310" s="4">
        <v>46074.831342349535</v>
      </c>
    </row>
    <row r="311" spans="1:11" x14ac:dyDescent="0.55000000000000004">
      <c r="A311" t="s">
        <v>671</v>
      </c>
      <c r="B311">
        <v>101056</v>
      </c>
      <c r="C311" t="s">
        <v>179</v>
      </c>
      <c r="D311" s="3">
        <v>46134</v>
      </c>
      <c r="E311" t="s">
        <v>38</v>
      </c>
      <c r="F311" t="s">
        <v>672</v>
      </c>
      <c r="G311" t="s">
        <v>15</v>
      </c>
      <c r="H311" t="s">
        <v>673</v>
      </c>
      <c r="I311" t="s">
        <v>674</v>
      </c>
      <c r="J311" s="4">
        <v>46078.211203460647</v>
      </c>
    </row>
    <row r="312" spans="1:11" x14ac:dyDescent="0.55000000000000004">
      <c r="A312" t="s">
        <v>671</v>
      </c>
      <c r="B312">
        <v>101056</v>
      </c>
      <c r="C312" t="s">
        <v>179</v>
      </c>
      <c r="D312" s="3">
        <v>46134</v>
      </c>
      <c r="E312" t="s">
        <v>20</v>
      </c>
      <c r="F312" t="s">
        <v>672</v>
      </c>
      <c r="G312" t="s">
        <v>15</v>
      </c>
      <c r="H312" t="s">
        <v>673</v>
      </c>
      <c r="I312" t="s">
        <v>674</v>
      </c>
      <c r="J312" s="4">
        <v>46078.211203460647</v>
      </c>
    </row>
    <row r="313" spans="1:11" x14ac:dyDescent="0.55000000000000004">
      <c r="A313" t="s">
        <v>671</v>
      </c>
      <c r="B313">
        <v>101056</v>
      </c>
      <c r="C313" t="s">
        <v>179</v>
      </c>
      <c r="D313" s="3">
        <v>46134</v>
      </c>
      <c r="E313" t="s">
        <v>69</v>
      </c>
      <c r="F313" t="s">
        <v>672</v>
      </c>
      <c r="G313" t="s">
        <v>15</v>
      </c>
      <c r="H313" t="s">
        <v>673</v>
      </c>
      <c r="I313" t="s">
        <v>674</v>
      </c>
      <c r="J313" s="4">
        <v>46078.211203460647</v>
      </c>
    </row>
    <row r="314" spans="1:11" x14ac:dyDescent="0.55000000000000004">
      <c r="A314" t="s">
        <v>675</v>
      </c>
      <c r="B314">
        <v>101162</v>
      </c>
      <c r="C314" t="s">
        <v>533</v>
      </c>
      <c r="D314" s="3">
        <v>46118</v>
      </c>
      <c r="E314" t="s">
        <v>38</v>
      </c>
      <c r="F314" t="s">
        <v>676</v>
      </c>
      <c r="G314" t="s">
        <v>22</v>
      </c>
      <c r="H314" t="s">
        <v>677</v>
      </c>
      <c r="I314" t="s">
        <v>678</v>
      </c>
      <c r="J314" s="4">
        <v>46052.541064583333</v>
      </c>
      <c r="K314" t="s">
        <v>139</v>
      </c>
    </row>
    <row r="315" spans="1:11" x14ac:dyDescent="0.55000000000000004">
      <c r="A315" t="s">
        <v>675</v>
      </c>
      <c r="B315">
        <v>101162</v>
      </c>
      <c r="C315" t="s">
        <v>533</v>
      </c>
      <c r="D315" s="3">
        <v>46118</v>
      </c>
      <c r="E315" t="s">
        <v>115</v>
      </c>
      <c r="F315" t="s">
        <v>676</v>
      </c>
      <c r="G315" t="s">
        <v>22</v>
      </c>
      <c r="H315" t="s">
        <v>677</v>
      </c>
      <c r="I315" t="s">
        <v>678</v>
      </c>
      <c r="J315" s="4">
        <v>46052.541064583333</v>
      </c>
      <c r="K315" t="s">
        <v>139</v>
      </c>
    </row>
    <row r="316" spans="1:11" x14ac:dyDescent="0.55000000000000004">
      <c r="A316" t="s">
        <v>675</v>
      </c>
      <c r="B316">
        <v>101162</v>
      </c>
      <c r="C316" t="s">
        <v>533</v>
      </c>
      <c r="D316" s="3">
        <v>46118</v>
      </c>
      <c r="E316" t="s">
        <v>69</v>
      </c>
      <c r="F316" t="s">
        <v>676</v>
      </c>
      <c r="G316" t="s">
        <v>22</v>
      </c>
      <c r="H316" t="s">
        <v>677</v>
      </c>
      <c r="I316" t="s">
        <v>678</v>
      </c>
      <c r="J316" s="4">
        <v>46052.541064583333</v>
      </c>
      <c r="K316" t="s">
        <v>139</v>
      </c>
    </row>
    <row r="317" spans="1:11" x14ac:dyDescent="0.55000000000000004">
      <c r="A317" t="s">
        <v>679</v>
      </c>
      <c r="B317">
        <v>100113</v>
      </c>
      <c r="C317" t="s">
        <v>179</v>
      </c>
      <c r="D317" s="3">
        <v>45761</v>
      </c>
      <c r="E317" t="s">
        <v>317</v>
      </c>
      <c r="F317" t="s">
        <v>681</v>
      </c>
      <c r="G317" t="s">
        <v>22</v>
      </c>
      <c r="H317" t="s">
        <v>682</v>
      </c>
      <c r="I317" t="s">
        <v>683</v>
      </c>
      <c r="J317" s="4">
        <v>46082.383425694446</v>
      </c>
    </row>
    <row r="318" spans="1:11" x14ac:dyDescent="0.55000000000000004">
      <c r="A318" t="s">
        <v>679</v>
      </c>
      <c r="B318">
        <v>100113</v>
      </c>
      <c r="C318" t="s">
        <v>179</v>
      </c>
      <c r="D318" s="3">
        <v>45761</v>
      </c>
      <c r="E318" t="s">
        <v>115</v>
      </c>
      <c r="F318" t="s">
        <v>681</v>
      </c>
      <c r="G318" t="s">
        <v>22</v>
      </c>
      <c r="H318" t="s">
        <v>682</v>
      </c>
      <c r="I318" t="s">
        <v>683</v>
      </c>
      <c r="J318" s="4">
        <v>46082.383425694446</v>
      </c>
    </row>
    <row r="319" spans="1:11" x14ac:dyDescent="0.55000000000000004">
      <c r="A319" t="s">
        <v>679</v>
      </c>
      <c r="B319">
        <v>100113</v>
      </c>
      <c r="C319" t="s">
        <v>179</v>
      </c>
      <c r="D319" s="3">
        <v>45761</v>
      </c>
      <c r="E319" t="s">
        <v>69</v>
      </c>
      <c r="F319" t="s">
        <v>681</v>
      </c>
      <c r="G319" t="s">
        <v>22</v>
      </c>
      <c r="H319" t="s">
        <v>682</v>
      </c>
      <c r="I319" t="s">
        <v>683</v>
      </c>
      <c r="J319" s="4">
        <v>46082.383425694446</v>
      </c>
    </row>
    <row r="320" spans="1:11" x14ac:dyDescent="0.55000000000000004">
      <c r="A320" t="s">
        <v>684</v>
      </c>
      <c r="B320">
        <v>100847</v>
      </c>
      <c r="C320" t="s">
        <v>248</v>
      </c>
      <c r="D320" s="3">
        <v>45901</v>
      </c>
      <c r="E320" t="s">
        <v>20</v>
      </c>
      <c r="F320" t="s">
        <v>685</v>
      </c>
      <c r="G320" t="s">
        <v>15</v>
      </c>
      <c r="H320" t="s">
        <v>686</v>
      </c>
      <c r="I320" t="s">
        <v>687</v>
      </c>
      <c r="J320" s="4">
        <v>46063.475092372682</v>
      </c>
    </row>
    <row r="321" spans="1:10" x14ac:dyDescent="0.55000000000000004">
      <c r="A321" t="s">
        <v>684</v>
      </c>
      <c r="B321">
        <v>100847</v>
      </c>
      <c r="C321" t="s">
        <v>248</v>
      </c>
      <c r="D321" s="3">
        <v>45901</v>
      </c>
      <c r="E321" t="s">
        <v>155</v>
      </c>
      <c r="F321" t="s">
        <v>685</v>
      </c>
      <c r="G321" t="s">
        <v>15</v>
      </c>
      <c r="H321" t="s">
        <v>686</v>
      </c>
      <c r="I321" t="s">
        <v>687</v>
      </c>
      <c r="J321" s="4">
        <v>46063.475092372682</v>
      </c>
    </row>
    <row r="322" spans="1:10" x14ac:dyDescent="0.55000000000000004">
      <c r="A322" t="s">
        <v>684</v>
      </c>
      <c r="B322">
        <v>100847</v>
      </c>
      <c r="C322" t="s">
        <v>248</v>
      </c>
      <c r="D322" s="3">
        <v>45901</v>
      </c>
      <c r="E322" t="s">
        <v>69</v>
      </c>
      <c r="F322" t="s">
        <v>685</v>
      </c>
      <c r="G322" t="s">
        <v>15</v>
      </c>
      <c r="H322" t="s">
        <v>686</v>
      </c>
      <c r="I322" t="s">
        <v>687</v>
      </c>
      <c r="J322" s="4">
        <v>46063.475092372682</v>
      </c>
    </row>
    <row r="323" spans="1:10" x14ac:dyDescent="0.55000000000000004">
      <c r="A323" t="s">
        <v>688</v>
      </c>
      <c r="B323">
        <v>100813</v>
      </c>
      <c r="C323" t="s">
        <v>37</v>
      </c>
      <c r="D323" s="3">
        <v>45869</v>
      </c>
      <c r="E323" t="s">
        <v>317</v>
      </c>
      <c r="F323" t="s">
        <v>689</v>
      </c>
      <c r="G323" t="s">
        <v>15</v>
      </c>
      <c r="H323" t="s">
        <v>690</v>
      </c>
      <c r="I323" t="s">
        <v>691</v>
      </c>
      <c r="J323" s="4">
        <v>46093.478564594909</v>
      </c>
    </row>
    <row r="324" spans="1:10" x14ac:dyDescent="0.55000000000000004">
      <c r="A324" t="s">
        <v>688</v>
      </c>
      <c r="B324">
        <v>100813</v>
      </c>
      <c r="C324" t="s">
        <v>37</v>
      </c>
      <c r="D324" s="3">
        <v>45869</v>
      </c>
      <c r="E324" t="s">
        <v>38</v>
      </c>
      <c r="F324" t="s">
        <v>689</v>
      </c>
      <c r="G324" t="s">
        <v>15</v>
      </c>
      <c r="H324" t="s">
        <v>690</v>
      </c>
      <c r="I324" t="s">
        <v>691</v>
      </c>
      <c r="J324" s="4">
        <v>46093.478564594909</v>
      </c>
    </row>
    <row r="325" spans="1:10" x14ac:dyDescent="0.55000000000000004">
      <c r="A325" t="s">
        <v>692</v>
      </c>
      <c r="B325">
        <v>100008</v>
      </c>
      <c r="C325" t="s">
        <v>19</v>
      </c>
      <c r="D325" s="3">
        <v>46102</v>
      </c>
      <c r="E325" t="s">
        <v>38</v>
      </c>
      <c r="F325" t="s">
        <v>693</v>
      </c>
      <c r="G325" t="s">
        <v>15</v>
      </c>
      <c r="H325" t="s">
        <v>694</v>
      </c>
      <c r="I325" t="s">
        <v>695</v>
      </c>
      <c r="J325" s="4">
        <v>46076.315370150463</v>
      </c>
    </row>
    <row r="326" spans="1:10" x14ac:dyDescent="0.55000000000000004">
      <c r="A326" t="s">
        <v>692</v>
      </c>
      <c r="B326">
        <v>100008</v>
      </c>
      <c r="C326" t="s">
        <v>19</v>
      </c>
      <c r="D326" s="3">
        <v>46102</v>
      </c>
      <c r="E326" t="s">
        <v>115</v>
      </c>
      <c r="F326" t="s">
        <v>693</v>
      </c>
      <c r="G326" t="s">
        <v>15</v>
      </c>
      <c r="H326" t="s">
        <v>694</v>
      </c>
      <c r="I326" t="s">
        <v>695</v>
      </c>
      <c r="J326" s="4">
        <v>46076.315370150463</v>
      </c>
    </row>
    <row r="327" spans="1:10" x14ac:dyDescent="0.55000000000000004">
      <c r="A327" t="s">
        <v>692</v>
      </c>
      <c r="B327">
        <v>100008</v>
      </c>
      <c r="C327" t="s">
        <v>19</v>
      </c>
      <c r="D327" s="3">
        <v>46102</v>
      </c>
      <c r="E327" t="s">
        <v>69</v>
      </c>
      <c r="F327" t="s">
        <v>693</v>
      </c>
      <c r="G327" t="s">
        <v>15</v>
      </c>
      <c r="H327" t="s">
        <v>694</v>
      </c>
      <c r="I327" t="s">
        <v>695</v>
      </c>
      <c r="J327" s="4">
        <v>46076.315370150463</v>
      </c>
    </row>
    <row r="328" spans="1:10" x14ac:dyDescent="0.55000000000000004">
      <c r="A328" t="s">
        <v>696</v>
      </c>
      <c r="B328">
        <v>100071</v>
      </c>
      <c r="C328" t="s">
        <v>37</v>
      </c>
      <c r="D328" s="3">
        <v>45840</v>
      </c>
      <c r="E328" t="s">
        <v>317</v>
      </c>
      <c r="F328" t="s">
        <v>697</v>
      </c>
      <c r="G328" t="s">
        <v>15</v>
      </c>
      <c r="H328" t="s">
        <v>698</v>
      </c>
      <c r="I328" t="s">
        <v>699</v>
      </c>
      <c r="J328" s="4">
        <v>46067.401481273148</v>
      </c>
    </row>
    <row r="329" spans="1:10" x14ac:dyDescent="0.55000000000000004">
      <c r="A329" t="s">
        <v>700</v>
      </c>
      <c r="B329">
        <v>101489</v>
      </c>
      <c r="C329" t="s">
        <v>19</v>
      </c>
      <c r="D329" s="3">
        <v>46092</v>
      </c>
      <c r="E329" t="s">
        <v>69</v>
      </c>
      <c r="F329" t="s">
        <v>701</v>
      </c>
      <c r="G329" t="s">
        <v>15</v>
      </c>
      <c r="H329" t="s">
        <v>702</v>
      </c>
      <c r="I329" t="s">
        <v>703</v>
      </c>
      <c r="J329" s="4">
        <v>46062.288981273145</v>
      </c>
    </row>
    <row r="330" spans="1:10" x14ac:dyDescent="0.55000000000000004">
      <c r="A330" t="s">
        <v>704</v>
      </c>
      <c r="B330">
        <v>100917</v>
      </c>
      <c r="C330" t="s">
        <v>68</v>
      </c>
      <c r="D330" s="3">
        <v>45926</v>
      </c>
      <c r="E330" t="s">
        <v>38</v>
      </c>
      <c r="F330" t="s">
        <v>705</v>
      </c>
      <c r="G330" t="s">
        <v>22</v>
      </c>
      <c r="H330" t="s">
        <v>706</v>
      </c>
      <c r="I330" t="s">
        <v>707</v>
      </c>
      <c r="J330" s="4">
        <v>46081.234814618052</v>
      </c>
    </row>
    <row r="331" spans="1:10" x14ac:dyDescent="0.55000000000000004">
      <c r="A331" t="s">
        <v>704</v>
      </c>
      <c r="B331">
        <v>100917</v>
      </c>
      <c r="C331" t="s">
        <v>68</v>
      </c>
      <c r="D331" s="3">
        <v>45926</v>
      </c>
      <c r="E331" t="s">
        <v>20</v>
      </c>
      <c r="F331" t="s">
        <v>705</v>
      </c>
      <c r="G331" t="s">
        <v>22</v>
      </c>
      <c r="H331" t="s">
        <v>706</v>
      </c>
      <c r="I331" t="s">
        <v>707</v>
      </c>
      <c r="J331" s="4">
        <v>46081.234814618052</v>
      </c>
    </row>
    <row r="332" spans="1:10" x14ac:dyDescent="0.55000000000000004">
      <c r="A332" t="s">
        <v>708</v>
      </c>
      <c r="B332">
        <v>100556</v>
      </c>
      <c r="C332" t="s">
        <v>19</v>
      </c>
      <c r="D332" s="3">
        <v>45986</v>
      </c>
      <c r="E332" t="s">
        <v>155</v>
      </c>
      <c r="F332" t="s">
        <v>709</v>
      </c>
      <c r="G332" t="s">
        <v>22</v>
      </c>
      <c r="H332" t="s">
        <v>710</v>
      </c>
      <c r="I332" t="s">
        <v>711</v>
      </c>
      <c r="J332" s="4">
        <v>46084.218842395836</v>
      </c>
    </row>
    <row r="333" spans="1:10" x14ac:dyDescent="0.55000000000000004">
      <c r="A333" t="s">
        <v>708</v>
      </c>
      <c r="B333">
        <v>100556</v>
      </c>
      <c r="C333" t="s">
        <v>19</v>
      </c>
      <c r="D333" s="3">
        <v>45986</v>
      </c>
      <c r="E333" t="s">
        <v>69</v>
      </c>
      <c r="F333" t="s">
        <v>709</v>
      </c>
      <c r="G333" t="s">
        <v>22</v>
      </c>
      <c r="H333" t="s">
        <v>710</v>
      </c>
      <c r="I333" t="s">
        <v>711</v>
      </c>
      <c r="J333" s="4">
        <v>46084.218842395836</v>
      </c>
    </row>
    <row r="334" spans="1:10" x14ac:dyDescent="0.55000000000000004">
      <c r="A334" t="s">
        <v>712</v>
      </c>
      <c r="B334">
        <v>101224</v>
      </c>
      <c r="C334" t="s">
        <v>68</v>
      </c>
      <c r="D334" s="3">
        <v>45943</v>
      </c>
      <c r="E334" t="s">
        <v>38</v>
      </c>
      <c r="F334" t="s">
        <v>713</v>
      </c>
      <c r="G334" t="s">
        <v>15</v>
      </c>
      <c r="H334" t="s">
        <v>714</v>
      </c>
      <c r="I334" t="s">
        <v>715</v>
      </c>
      <c r="J334" s="4">
        <v>46088.723009062502</v>
      </c>
    </row>
    <row r="335" spans="1:10" x14ac:dyDescent="0.55000000000000004">
      <c r="A335" t="s">
        <v>716</v>
      </c>
      <c r="B335">
        <v>101321</v>
      </c>
      <c r="C335" t="s">
        <v>248</v>
      </c>
      <c r="D335" s="3">
        <v>46015</v>
      </c>
      <c r="E335" t="s">
        <v>38</v>
      </c>
      <c r="F335" t="s">
        <v>717</v>
      </c>
      <c r="G335" t="s">
        <v>15</v>
      </c>
      <c r="H335" t="s">
        <v>718</v>
      </c>
      <c r="I335" t="s">
        <v>719</v>
      </c>
      <c r="J335" s="4">
        <v>46085.277175740739</v>
      </c>
    </row>
    <row r="336" spans="1:10" x14ac:dyDescent="0.55000000000000004">
      <c r="A336" t="s">
        <v>716</v>
      </c>
      <c r="B336">
        <v>101321</v>
      </c>
      <c r="C336" t="s">
        <v>248</v>
      </c>
      <c r="D336" s="3">
        <v>46015</v>
      </c>
      <c r="E336" t="s">
        <v>20</v>
      </c>
      <c r="F336" t="s">
        <v>717</v>
      </c>
      <c r="G336" t="s">
        <v>15</v>
      </c>
      <c r="H336" t="s">
        <v>718</v>
      </c>
      <c r="I336" t="s">
        <v>719</v>
      </c>
      <c r="J336" s="4">
        <v>46085.277175740739</v>
      </c>
    </row>
    <row r="337" spans="1:10" x14ac:dyDescent="0.55000000000000004">
      <c r="A337" t="s">
        <v>716</v>
      </c>
      <c r="B337">
        <v>101321</v>
      </c>
      <c r="C337" t="s">
        <v>248</v>
      </c>
      <c r="D337" s="3">
        <v>46015</v>
      </c>
      <c r="E337" t="s">
        <v>69</v>
      </c>
      <c r="F337" t="s">
        <v>717</v>
      </c>
      <c r="G337" t="s">
        <v>15</v>
      </c>
      <c r="H337" t="s">
        <v>718</v>
      </c>
      <c r="I337" t="s">
        <v>719</v>
      </c>
      <c r="J337" s="4">
        <v>46085.277175740739</v>
      </c>
    </row>
    <row r="338" spans="1:10" x14ac:dyDescent="0.55000000000000004">
      <c r="A338" t="s">
        <v>720</v>
      </c>
      <c r="B338">
        <v>101413</v>
      </c>
      <c r="C338" t="s">
        <v>248</v>
      </c>
      <c r="D338" s="3">
        <v>45926</v>
      </c>
      <c r="E338" t="s">
        <v>20</v>
      </c>
      <c r="F338" t="s">
        <v>721</v>
      </c>
      <c r="G338" t="s">
        <v>22</v>
      </c>
      <c r="H338" t="s">
        <v>722</v>
      </c>
      <c r="I338" t="s">
        <v>723</v>
      </c>
      <c r="J338" s="4">
        <v>46065.83342574074</v>
      </c>
    </row>
    <row r="339" spans="1:10" x14ac:dyDescent="0.55000000000000004">
      <c r="A339" t="s">
        <v>720</v>
      </c>
      <c r="B339">
        <v>101413</v>
      </c>
      <c r="C339" t="s">
        <v>248</v>
      </c>
      <c r="D339" s="3">
        <v>45926</v>
      </c>
      <c r="E339" t="s">
        <v>115</v>
      </c>
      <c r="F339" t="s">
        <v>721</v>
      </c>
      <c r="G339" t="s">
        <v>22</v>
      </c>
      <c r="H339" t="s">
        <v>722</v>
      </c>
      <c r="I339" t="s">
        <v>723</v>
      </c>
      <c r="J339" s="4">
        <v>46065.83342574074</v>
      </c>
    </row>
    <row r="340" spans="1:10" x14ac:dyDescent="0.55000000000000004">
      <c r="A340" t="s">
        <v>720</v>
      </c>
      <c r="B340">
        <v>101413</v>
      </c>
      <c r="C340" t="s">
        <v>248</v>
      </c>
      <c r="D340" s="3">
        <v>45926</v>
      </c>
      <c r="E340" t="s">
        <v>69</v>
      </c>
      <c r="F340" t="s">
        <v>721</v>
      </c>
      <c r="G340" t="s">
        <v>22</v>
      </c>
      <c r="H340" t="s">
        <v>722</v>
      </c>
      <c r="I340" t="s">
        <v>723</v>
      </c>
      <c r="J340" s="4">
        <v>46065.83342574074</v>
      </c>
    </row>
    <row r="341" spans="1:10" x14ac:dyDescent="0.55000000000000004">
      <c r="A341" t="s">
        <v>724</v>
      </c>
      <c r="B341">
        <v>100107</v>
      </c>
      <c r="C341" t="s">
        <v>19</v>
      </c>
      <c r="D341" s="3">
        <v>45967</v>
      </c>
      <c r="E341" t="s">
        <v>317</v>
      </c>
      <c r="F341" t="s">
        <v>725</v>
      </c>
      <c r="G341" t="s">
        <v>22</v>
      </c>
      <c r="H341" t="s">
        <v>726</v>
      </c>
      <c r="I341" t="s">
        <v>727</v>
      </c>
      <c r="J341" s="4">
        <v>46087.547314641204</v>
      </c>
    </row>
    <row r="342" spans="1:10" x14ac:dyDescent="0.55000000000000004">
      <c r="A342" t="s">
        <v>728</v>
      </c>
      <c r="B342">
        <v>101465</v>
      </c>
      <c r="C342" t="s">
        <v>19</v>
      </c>
      <c r="D342" s="3">
        <v>45982</v>
      </c>
      <c r="E342" t="s">
        <v>38</v>
      </c>
      <c r="F342" t="s">
        <v>729</v>
      </c>
      <c r="G342" t="s">
        <v>15</v>
      </c>
      <c r="H342" t="s">
        <v>730</v>
      </c>
      <c r="I342" t="s">
        <v>731</v>
      </c>
      <c r="J342" s="4">
        <v>46064.698009085645</v>
      </c>
    </row>
    <row r="343" spans="1:10" x14ac:dyDescent="0.55000000000000004">
      <c r="A343" t="s">
        <v>732</v>
      </c>
      <c r="B343">
        <v>100782</v>
      </c>
      <c r="C343" t="s">
        <v>37</v>
      </c>
      <c r="D343" s="3">
        <v>46150</v>
      </c>
      <c r="E343" t="s">
        <v>317</v>
      </c>
      <c r="F343" t="s">
        <v>733</v>
      </c>
      <c r="G343" t="s">
        <v>15</v>
      </c>
      <c r="H343" t="s">
        <v>734</v>
      </c>
      <c r="I343" t="s">
        <v>735</v>
      </c>
      <c r="J343" s="4">
        <v>46057.417453530092</v>
      </c>
    </row>
    <row r="344" spans="1:10" x14ac:dyDescent="0.55000000000000004">
      <c r="A344" t="s">
        <v>732</v>
      </c>
      <c r="B344">
        <v>100782</v>
      </c>
      <c r="C344" t="s">
        <v>37</v>
      </c>
      <c r="D344" s="3">
        <v>46150</v>
      </c>
      <c r="E344" t="s">
        <v>155</v>
      </c>
      <c r="F344" t="s">
        <v>733</v>
      </c>
      <c r="G344" t="s">
        <v>15</v>
      </c>
      <c r="H344" t="s">
        <v>734</v>
      </c>
      <c r="I344" t="s">
        <v>735</v>
      </c>
      <c r="J344" s="4">
        <v>46057.417453530092</v>
      </c>
    </row>
    <row r="345" spans="1:10" x14ac:dyDescent="0.55000000000000004">
      <c r="A345" t="s">
        <v>732</v>
      </c>
      <c r="B345">
        <v>100782</v>
      </c>
      <c r="C345" t="s">
        <v>37</v>
      </c>
      <c r="D345" s="3">
        <v>46150</v>
      </c>
      <c r="E345" t="s">
        <v>69</v>
      </c>
      <c r="F345" t="s">
        <v>733</v>
      </c>
      <c r="G345" t="s">
        <v>15</v>
      </c>
      <c r="H345" t="s">
        <v>734</v>
      </c>
      <c r="I345" t="s">
        <v>735</v>
      </c>
      <c r="J345" s="4">
        <v>46057.417453530092</v>
      </c>
    </row>
    <row r="346" spans="1:10" x14ac:dyDescent="0.55000000000000004">
      <c r="A346" t="s">
        <v>736</v>
      </c>
      <c r="B346">
        <v>101013</v>
      </c>
      <c r="C346" t="s">
        <v>37</v>
      </c>
      <c r="D346" s="3">
        <v>46094</v>
      </c>
      <c r="E346" t="s">
        <v>155</v>
      </c>
      <c r="F346" t="s">
        <v>737</v>
      </c>
      <c r="G346" t="s">
        <v>15</v>
      </c>
      <c r="H346" t="s">
        <v>738</v>
      </c>
      <c r="I346" t="s">
        <v>739</v>
      </c>
      <c r="J346" s="4">
        <v>46065.098009097223</v>
      </c>
    </row>
    <row r="347" spans="1:10" x14ac:dyDescent="0.55000000000000004">
      <c r="A347" t="s">
        <v>740</v>
      </c>
      <c r="B347">
        <v>100099</v>
      </c>
      <c r="C347" t="s">
        <v>68</v>
      </c>
      <c r="D347" s="3">
        <v>45762</v>
      </c>
      <c r="E347" t="s">
        <v>317</v>
      </c>
      <c r="F347" t="s">
        <v>741</v>
      </c>
      <c r="G347" t="s">
        <v>22</v>
      </c>
      <c r="H347" t="s">
        <v>742</v>
      </c>
      <c r="I347" t="s">
        <v>743</v>
      </c>
      <c r="J347" s="4">
        <v>46096.736897986113</v>
      </c>
    </row>
    <row r="348" spans="1:10" x14ac:dyDescent="0.55000000000000004">
      <c r="A348" t="s">
        <v>740</v>
      </c>
      <c r="B348">
        <v>100099</v>
      </c>
      <c r="C348" t="s">
        <v>68</v>
      </c>
      <c r="D348" s="3">
        <v>45762</v>
      </c>
      <c r="E348" t="s">
        <v>38</v>
      </c>
      <c r="F348" t="s">
        <v>741</v>
      </c>
      <c r="G348" t="s">
        <v>22</v>
      </c>
      <c r="H348" t="s">
        <v>742</v>
      </c>
      <c r="I348" t="s">
        <v>743</v>
      </c>
      <c r="J348" s="4">
        <v>46096.736897986113</v>
      </c>
    </row>
    <row r="349" spans="1:10" x14ac:dyDescent="0.55000000000000004">
      <c r="A349" t="s">
        <v>740</v>
      </c>
      <c r="B349">
        <v>100099</v>
      </c>
      <c r="C349" t="s">
        <v>68</v>
      </c>
      <c r="D349" s="3">
        <v>45762</v>
      </c>
      <c r="E349" t="s">
        <v>69</v>
      </c>
      <c r="F349" t="s">
        <v>741</v>
      </c>
      <c r="G349" t="s">
        <v>22</v>
      </c>
      <c r="H349" t="s">
        <v>742</v>
      </c>
      <c r="I349" t="s">
        <v>743</v>
      </c>
      <c r="J349" s="4">
        <v>46096.736897986113</v>
      </c>
    </row>
    <row r="350" spans="1:10" x14ac:dyDescent="0.55000000000000004">
      <c r="A350" t="s">
        <v>744</v>
      </c>
      <c r="B350">
        <v>100034</v>
      </c>
      <c r="C350" t="s">
        <v>19</v>
      </c>
      <c r="D350" s="3">
        <v>46014</v>
      </c>
      <c r="E350" t="s">
        <v>317</v>
      </c>
      <c r="F350" t="s">
        <v>745</v>
      </c>
      <c r="G350" t="s">
        <v>22</v>
      </c>
      <c r="H350" t="s">
        <v>746</v>
      </c>
      <c r="I350" t="s">
        <v>747</v>
      </c>
      <c r="J350" s="4">
        <v>46063.338286886574</v>
      </c>
    </row>
    <row r="351" spans="1:10" x14ac:dyDescent="0.55000000000000004">
      <c r="A351" t="s">
        <v>744</v>
      </c>
      <c r="B351">
        <v>100034</v>
      </c>
      <c r="C351" t="s">
        <v>19</v>
      </c>
      <c r="D351" s="3">
        <v>46014</v>
      </c>
      <c r="E351" t="s">
        <v>155</v>
      </c>
      <c r="F351" t="s">
        <v>745</v>
      </c>
      <c r="G351" t="s">
        <v>22</v>
      </c>
      <c r="H351" t="s">
        <v>746</v>
      </c>
      <c r="I351" t="s">
        <v>747</v>
      </c>
      <c r="J351" s="4">
        <v>46063.338286886574</v>
      </c>
    </row>
    <row r="352" spans="1:10" x14ac:dyDescent="0.55000000000000004">
      <c r="A352" t="s">
        <v>748</v>
      </c>
      <c r="B352">
        <v>100207</v>
      </c>
      <c r="C352" t="s">
        <v>37</v>
      </c>
      <c r="D352" s="3">
        <v>45989</v>
      </c>
      <c r="E352" t="s">
        <v>317</v>
      </c>
      <c r="F352" t="s">
        <v>749</v>
      </c>
      <c r="G352" t="s">
        <v>15</v>
      </c>
      <c r="H352" t="s">
        <v>750</v>
      </c>
      <c r="I352" t="s">
        <v>751</v>
      </c>
      <c r="J352" s="4">
        <v>46091.000786886572</v>
      </c>
    </row>
    <row r="353" spans="1:11" x14ac:dyDescent="0.55000000000000004">
      <c r="A353" t="s">
        <v>748</v>
      </c>
      <c r="B353">
        <v>100207</v>
      </c>
      <c r="C353" t="s">
        <v>37</v>
      </c>
      <c r="D353" s="3">
        <v>45989</v>
      </c>
      <c r="E353" t="s">
        <v>115</v>
      </c>
      <c r="F353" t="s">
        <v>749</v>
      </c>
      <c r="G353" t="s">
        <v>15</v>
      </c>
      <c r="H353" t="s">
        <v>750</v>
      </c>
      <c r="I353" t="s">
        <v>751</v>
      </c>
      <c r="J353" s="4">
        <v>46091.000786886572</v>
      </c>
    </row>
    <row r="354" spans="1:11" x14ac:dyDescent="0.55000000000000004">
      <c r="A354" t="s">
        <v>748</v>
      </c>
      <c r="B354">
        <v>100207</v>
      </c>
      <c r="C354" t="s">
        <v>37</v>
      </c>
      <c r="D354" s="3">
        <v>45989</v>
      </c>
      <c r="E354" t="s">
        <v>69</v>
      </c>
      <c r="F354" t="s">
        <v>749</v>
      </c>
      <c r="G354" t="s">
        <v>15</v>
      </c>
      <c r="H354" t="s">
        <v>750</v>
      </c>
      <c r="I354" t="s">
        <v>751</v>
      </c>
      <c r="J354" s="4">
        <v>46091.000786886572</v>
      </c>
    </row>
    <row r="355" spans="1:11" x14ac:dyDescent="0.55000000000000004">
      <c r="A355" t="s">
        <v>752</v>
      </c>
      <c r="B355">
        <v>100551</v>
      </c>
      <c r="C355" t="s">
        <v>533</v>
      </c>
      <c r="D355" s="3">
        <v>45855</v>
      </c>
      <c r="E355" t="s">
        <v>38</v>
      </c>
      <c r="F355" t="s">
        <v>753</v>
      </c>
      <c r="G355" t="s">
        <v>22</v>
      </c>
      <c r="H355" t="s">
        <v>754</v>
      </c>
      <c r="I355" t="s">
        <v>755</v>
      </c>
      <c r="J355" s="4">
        <v>46075.366064664355</v>
      </c>
      <c r="K355" t="s">
        <v>139</v>
      </c>
    </row>
    <row r="356" spans="1:11" x14ac:dyDescent="0.55000000000000004">
      <c r="A356" t="s">
        <v>756</v>
      </c>
      <c r="B356">
        <v>100024</v>
      </c>
      <c r="C356" t="s">
        <v>179</v>
      </c>
      <c r="D356" s="3">
        <v>45772</v>
      </c>
      <c r="E356" t="s">
        <v>317</v>
      </c>
      <c r="F356" t="s">
        <v>758</v>
      </c>
      <c r="G356" t="s">
        <v>15</v>
      </c>
      <c r="H356" t="s">
        <v>759</v>
      </c>
      <c r="I356" t="s">
        <v>760</v>
      </c>
      <c r="J356" s="4">
        <v>46053.425092453705</v>
      </c>
    </row>
    <row r="357" spans="1:11" x14ac:dyDescent="0.55000000000000004">
      <c r="A357" t="s">
        <v>756</v>
      </c>
      <c r="B357">
        <v>100024</v>
      </c>
      <c r="C357" t="s">
        <v>179</v>
      </c>
      <c r="D357" s="3">
        <v>45772</v>
      </c>
      <c r="E357" t="s">
        <v>69</v>
      </c>
      <c r="F357" t="s">
        <v>758</v>
      </c>
      <c r="G357" t="s">
        <v>15</v>
      </c>
      <c r="H357" t="s">
        <v>759</v>
      </c>
      <c r="I357" t="s">
        <v>760</v>
      </c>
      <c r="J357" s="4">
        <v>46053.425092453705</v>
      </c>
    </row>
    <row r="358" spans="1:11" x14ac:dyDescent="0.55000000000000004">
      <c r="A358" t="s">
        <v>761</v>
      </c>
      <c r="B358">
        <v>100925</v>
      </c>
      <c r="C358" t="s">
        <v>68</v>
      </c>
      <c r="D358" s="3">
        <v>46082</v>
      </c>
      <c r="E358" t="s">
        <v>317</v>
      </c>
      <c r="F358" t="s">
        <v>762</v>
      </c>
      <c r="G358" t="s">
        <v>15</v>
      </c>
      <c r="H358" t="s">
        <v>763</v>
      </c>
      <c r="I358" t="s">
        <v>764</v>
      </c>
      <c r="J358" s="4">
        <v>46092.169536898145</v>
      </c>
    </row>
    <row r="359" spans="1:11" x14ac:dyDescent="0.55000000000000004">
      <c r="A359" t="s">
        <v>765</v>
      </c>
      <c r="B359">
        <v>100126</v>
      </c>
      <c r="C359" t="s">
        <v>179</v>
      </c>
      <c r="D359" s="3">
        <v>45925</v>
      </c>
      <c r="E359" t="s">
        <v>38</v>
      </c>
      <c r="F359" t="s">
        <v>766</v>
      </c>
      <c r="G359" t="s">
        <v>15</v>
      </c>
      <c r="H359" t="s">
        <v>767</v>
      </c>
      <c r="I359" t="s">
        <v>768</v>
      </c>
      <c r="J359" s="4">
        <v>46092.035509120367</v>
      </c>
    </row>
    <row r="360" spans="1:11" x14ac:dyDescent="0.55000000000000004">
      <c r="A360" t="s">
        <v>765</v>
      </c>
      <c r="B360">
        <v>100126</v>
      </c>
      <c r="C360" t="s">
        <v>179</v>
      </c>
      <c r="D360" s="3">
        <v>45925</v>
      </c>
      <c r="E360" t="s">
        <v>155</v>
      </c>
      <c r="F360" t="s">
        <v>766</v>
      </c>
      <c r="G360" t="s">
        <v>15</v>
      </c>
      <c r="H360" t="s">
        <v>767</v>
      </c>
      <c r="I360" t="s">
        <v>768</v>
      </c>
      <c r="J360" s="4">
        <v>46092.035509120367</v>
      </c>
    </row>
    <row r="361" spans="1:11" x14ac:dyDescent="0.55000000000000004">
      <c r="A361" t="s">
        <v>765</v>
      </c>
      <c r="B361">
        <v>100126</v>
      </c>
      <c r="C361" t="s">
        <v>179</v>
      </c>
      <c r="D361" s="3">
        <v>45925</v>
      </c>
      <c r="E361" t="s">
        <v>69</v>
      </c>
      <c r="F361" t="s">
        <v>766</v>
      </c>
      <c r="G361" t="s">
        <v>15</v>
      </c>
      <c r="H361" t="s">
        <v>767</v>
      </c>
      <c r="I361" t="s">
        <v>768</v>
      </c>
      <c r="J361" s="4">
        <v>46092.035509120367</v>
      </c>
    </row>
    <row r="362" spans="1:11" x14ac:dyDescent="0.55000000000000004">
      <c r="A362" t="s">
        <v>769</v>
      </c>
      <c r="B362">
        <v>101264</v>
      </c>
      <c r="C362" t="s">
        <v>179</v>
      </c>
      <c r="D362" s="3">
        <v>46062</v>
      </c>
      <c r="E362" t="s">
        <v>38</v>
      </c>
      <c r="F362" t="s">
        <v>770</v>
      </c>
      <c r="G362" t="s">
        <v>15</v>
      </c>
      <c r="H362" t="s">
        <v>771</v>
      </c>
      <c r="I362" t="s">
        <v>772</v>
      </c>
      <c r="J362" s="4">
        <v>46083.445925798609</v>
      </c>
    </row>
    <row r="363" spans="1:11" x14ac:dyDescent="0.55000000000000004">
      <c r="A363" t="s">
        <v>769</v>
      </c>
      <c r="B363">
        <v>101264</v>
      </c>
      <c r="C363" t="s">
        <v>179</v>
      </c>
      <c r="D363" s="3">
        <v>46062</v>
      </c>
      <c r="E363" t="s">
        <v>155</v>
      </c>
      <c r="F363" t="s">
        <v>770</v>
      </c>
      <c r="G363" t="s">
        <v>15</v>
      </c>
      <c r="H363" t="s">
        <v>771</v>
      </c>
      <c r="I363" t="s">
        <v>772</v>
      </c>
      <c r="J363" s="4">
        <v>46083.445925798609</v>
      </c>
    </row>
    <row r="364" spans="1:11" x14ac:dyDescent="0.55000000000000004">
      <c r="A364" t="s">
        <v>773</v>
      </c>
      <c r="B364">
        <v>100009</v>
      </c>
      <c r="C364" t="s">
        <v>19</v>
      </c>
      <c r="D364" s="3">
        <v>45975</v>
      </c>
      <c r="E364" t="s">
        <v>317</v>
      </c>
      <c r="F364" t="s">
        <v>774</v>
      </c>
      <c r="G364" t="s">
        <v>22</v>
      </c>
      <c r="H364" t="s">
        <v>775</v>
      </c>
      <c r="I364" t="s">
        <v>776</v>
      </c>
      <c r="J364" s="4">
        <v>46062.944536909723</v>
      </c>
    </row>
    <row r="365" spans="1:11" x14ac:dyDescent="0.55000000000000004">
      <c r="A365" t="s">
        <v>773</v>
      </c>
      <c r="B365">
        <v>100009</v>
      </c>
      <c r="C365" t="s">
        <v>19</v>
      </c>
      <c r="D365" s="3">
        <v>45975</v>
      </c>
      <c r="E365" t="s">
        <v>155</v>
      </c>
      <c r="F365" t="s">
        <v>774</v>
      </c>
      <c r="G365" t="s">
        <v>22</v>
      </c>
      <c r="H365" t="s">
        <v>775</v>
      </c>
      <c r="I365" t="s">
        <v>776</v>
      </c>
      <c r="J365" s="4">
        <v>46062.944536909723</v>
      </c>
    </row>
    <row r="366" spans="1:11" x14ac:dyDescent="0.55000000000000004">
      <c r="A366" t="s">
        <v>777</v>
      </c>
      <c r="B366">
        <v>100708</v>
      </c>
      <c r="C366" t="s">
        <v>37</v>
      </c>
      <c r="D366" s="3">
        <v>45823</v>
      </c>
      <c r="E366" t="s">
        <v>155</v>
      </c>
      <c r="F366" t="s">
        <v>778</v>
      </c>
      <c r="G366" t="s">
        <v>15</v>
      </c>
      <c r="H366" t="s">
        <v>779</v>
      </c>
      <c r="I366" t="s">
        <v>780</v>
      </c>
      <c r="J366" s="4">
        <v>46052.179953587962</v>
      </c>
    </row>
    <row r="367" spans="1:11" x14ac:dyDescent="0.55000000000000004">
      <c r="A367" t="s">
        <v>777</v>
      </c>
      <c r="B367">
        <v>100708</v>
      </c>
      <c r="C367" t="s">
        <v>37</v>
      </c>
      <c r="D367" s="3">
        <v>45823</v>
      </c>
      <c r="E367" t="s">
        <v>115</v>
      </c>
      <c r="F367" t="s">
        <v>778</v>
      </c>
      <c r="G367" t="s">
        <v>15</v>
      </c>
      <c r="H367" t="s">
        <v>779</v>
      </c>
      <c r="I367" t="s">
        <v>780</v>
      </c>
      <c r="J367" s="4">
        <v>46052.179953587962</v>
      </c>
    </row>
    <row r="368" spans="1:11" x14ac:dyDescent="0.55000000000000004">
      <c r="A368" t="s">
        <v>781</v>
      </c>
      <c r="B368">
        <v>100482</v>
      </c>
      <c r="C368" t="s">
        <v>37</v>
      </c>
      <c r="D368" s="3">
        <v>45885</v>
      </c>
      <c r="E368" t="s">
        <v>38</v>
      </c>
      <c r="F368" t="s">
        <v>782</v>
      </c>
      <c r="G368" t="s">
        <v>15</v>
      </c>
      <c r="H368" t="s">
        <v>783</v>
      </c>
      <c r="I368" t="s">
        <v>784</v>
      </c>
      <c r="J368" s="4">
        <v>46061.193148032406</v>
      </c>
    </row>
    <row r="369" spans="1:10" x14ac:dyDescent="0.55000000000000004">
      <c r="A369" t="s">
        <v>785</v>
      </c>
      <c r="B369">
        <v>100709</v>
      </c>
      <c r="C369" t="s">
        <v>19</v>
      </c>
      <c r="D369" s="3">
        <v>45901</v>
      </c>
      <c r="E369" t="s">
        <v>317</v>
      </c>
      <c r="F369" t="s">
        <v>786</v>
      </c>
      <c r="G369" t="s">
        <v>15</v>
      </c>
      <c r="H369" t="s">
        <v>787</v>
      </c>
      <c r="I369" t="s">
        <v>788</v>
      </c>
      <c r="J369" s="4">
        <v>46065.254259143519</v>
      </c>
    </row>
    <row r="370" spans="1:10" x14ac:dyDescent="0.55000000000000004">
      <c r="A370" t="s">
        <v>785</v>
      </c>
      <c r="B370">
        <v>100709</v>
      </c>
      <c r="C370" t="s">
        <v>19</v>
      </c>
      <c r="D370" s="3">
        <v>45901</v>
      </c>
      <c r="E370" t="s">
        <v>115</v>
      </c>
      <c r="F370" t="s">
        <v>786</v>
      </c>
      <c r="G370" t="s">
        <v>15</v>
      </c>
      <c r="H370" t="s">
        <v>787</v>
      </c>
      <c r="I370" t="s">
        <v>788</v>
      </c>
      <c r="J370" s="4">
        <v>46065.254259143519</v>
      </c>
    </row>
    <row r="371" spans="1:10" x14ac:dyDescent="0.55000000000000004">
      <c r="A371" t="s">
        <v>789</v>
      </c>
      <c r="B371">
        <v>100966</v>
      </c>
      <c r="C371" t="s">
        <v>37</v>
      </c>
      <c r="D371" s="3">
        <v>45782</v>
      </c>
      <c r="E371" t="s">
        <v>155</v>
      </c>
      <c r="F371" t="s">
        <v>790</v>
      </c>
      <c r="G371" t="s">
        <v>22</v>
      </c>
      <c r="H371" t="s">
        <v>791</v>
      </c>
      <c r="I371" t="s">
        <v>792</v>
      </c>
      <c r="J371" s="4">
        <v>46058.87300915509</v>
      </c>
    </row>
    <row r="372" spans="1:10" x14ac:dyDescent="0.55000000000000004">
      <c r="A372" t="s">
        <v>789</v>
      </c>
      <c r="B372">
        <v>100966</v>
      </c>
      <c r="C372" t="s">
        <v>37</v>
      </c>
      <c r="D372" s="3">
        <v>45782</v>
      </c>
      <c r="E372" t="s">
        <v>115</v>
      </c>
      <c r="F372" t="s">
        <v>790</v>
      </c>
      <c r="G372" t="s">
        <v>22</v>
      </c>
      <c r="H372" t="s">
        <v>791</v>
      </c>
      <c r="I372" t="s">
        <v>792</v>
      </c>
      <c r="J372" s="4">
        <v>46058.87300915509</v>
      </c>
    </row>
    <row r="373" spans="1:10" x14ac:dyDescent="0.55000000000000004">
      <c r="A373" t="s">
        <v>793</v>
      </c>
      <c r="B373">
        <v>100321</v>
      </c>
      <c r="C373" t="s">
        <v>19</v>
      </c>
      <c r="D373" s="3">
        <v>45935</v>
      </c>
      <c r="E373" t="s">
        <v>20</v>
      </c>
      <c r="F373" t="s">
        <v>794</v>
      </c>
      <c r="G373" t="s">
        <v>22</v>
      </c>
      <c r="H373" t="s">
        <v>795</v>
      </c>
      <c r="I373" t="s">
        <v>796</v>
      </c>
      <c r="J373" s="4">
        <v>46066.421620266206</v>
      </c>
    </row>
    <row r="374" spans="1:10" x14ac:dyDescent="0.55000000000000004">
      <c r="A374" t="s">
        <v>793</v>
      </c>
      <c r="B374">
        <v>100321</v>
      </c>
      <c r="C374" t="s">
        <v>19</v>
      </c>
      <c r="D374" s="3">
        <v>45935</v>
      </c>
      <c r="E374" t="s">
        <v>155</v>
      </c>
      <c r="F374" t="s">
        <v>794</v>
      </c>
      <c r="G374" t="s">
        <v>22</v>
      </c>
      <c r="H374" t="s">
        <v>795</v>
      </c>
      <c r="I374" t="s">
        <v>796</v>
      </c>
      <c r="J374" s="4">
        <v>46066.421620266206</v>
      </c>
    </row>
    <row r="375" spans="1:10" x14ac:dyDescent="0.55000000000000004">
      <c r="A375" t="s">
        <v>797</v>
      </c>
      <c r="B375">
        <v>101341</v>
      </c>
      <c r="C375" t="s">
        <v>68</v>
      </c>
      <c r="D375" s="3">
        <v>46015</v>
      </c>
      <c r="E375" t="s">
        <v>115</v>
      </c>
      <c r="F375" t="s">
        <v>798</v>
      </c>
      <c r="G375" t="s">
        <v>22</v>
      </c>
      <c r="H375" t="s">
        <v>799</v>
      </c>
      <c r="I375" t="s">
        <v>800</v>
      </c>
      <c r="J375" s="4">
        <v>46091.866759155091</v>
      </c>
    </row>
    <row r="376" spans="1:10" x14ac:dyDescent="0.55000000000000004">
      <c r="A376" t="s">
        <v>797</v>
      </c>
      <c r="B376">
        <v>101341</v>
      </c>
      <c r="C376" t="s">
        <v>68</v>
      </c>
      <c r="D376" s="3">
        <v>46015</v>
      </c>
      <c r="E376" t="s">
        <v>69</v>
      </c>
      <c r="F376" t="s">
        <v>798</v>
      </c>
      <c r="G376" t="s">
        <v>22</v>
      </c>
      <c r="H376" t="s">
        <v>799</v>
      </c>
      <c r="I376" t="s">
        <v>800</v>
      </c>
      <c r="J376" s="4">
        <v>46091.866759155091</v>
      </c>
    </row>
    <row r="377" spans="1:10" x14ac:dyDescent="0.55000000000000004">
      <c r="A377" t="s">
        <v>801</v>
      </c>
      <c r="B377">
        <v>101001</v>
      </c>
      <c r="C377" t="s">
        <v>68</v>
      </c>
      <c r="D377" s="3">
        <v>46140</v>
      </c>
      <c r="E377" t="s">
        <v>317</v>
      </c>
      <c r="F377" t="s">
        <v>802</v>
      </c>
      <c r="G377" t="s">
        <v>15</v>
      </c>
      <c r="H377" t="s">
        <v>803</v>
      </c>
      <c r="I377" t="s">
        <v>804</v>
      </c>
      <c r="J377" s="4">
        <v>46092.365370277781</v>
      </c>
    </row>
    <row r="378" spans="1:10" x14ac:dyDescent="0.55000000000000004">
      <c r="A378" t="s">
        <v>805</v>
      </c>
      <c r="B378">
        <v>100787</v>
      </c>
      <c r="C378" t="s">
        <v>533</v>
      </c>
      <c r="D378" s="3">
        <v>45926</v>
      </c>
      <c r="E378" t="s">
        <v>317</v>
      </c>
      <c r="F378" t="s">
        <v>806</v>
      </c>
      <c r="G378" t="s">
        <v>22</v>
      </c>
      <c r="H378" t="s">
        <v>807</v>
      </c>
      <c r="I378" t="s">
        <v>808</v>
      </c>
      <c r="J378" s="4">
        <v>46074.594536944445</v>
      </c>
    </row>
    <row r="379" spans="1:10" x14ac:dyDescent="0.55000000000000004">
      <c r="A379" t="s">
        <v>805</v>
      </c>
      <c r="B379">
        <v>100787</v>
      </c>
      <c r="C379" t="s">
        <v>533</v>
      </c>
      <c r="D379" s="3">
        <v>45926</v>
      </c>
      <c r="E379" t="s">
        <v>115</v>
      </c>
      <c r="F379" t="s">
        <v>806</v>
      </c>
      <c r="G379" t="s">
        <v>22</v>
      </c>
      <c r="H379" t="s">
        <v>807</v>
      </c>
      <c r="I379" t="s">
        <v>808</v>
      </c>
      <c r="J379" s="4">
        <v>46074.594536944445</v>
      </c>
    </row>
    <row r="380" spans="1:10" x14ac:dyDescent="0.55000000000000004">
      <c r="A380" t="s">
        <v>805</v>
      </c>
      <c r="B380">
        <v>100787</v>
      </c>
      <c r="C380" t="s">
        <v>533</v>
      </c>
      <c r="D380" s="3">
        <v>45926</v>
      </c>
      <c r="E380" t="s">
        <v>69</v>
      </c>
      <c r="F380" t="s">
        <v>806</v>
      </c>
      <c r="G380" t="s">
        <v>22</v>
      </c>
      <c r="H380" t="s">
        <v>807</v>
      </c>
      <c r="I380" t="s">
        <v>808</v>
      </c>
      <c r="J380" s="4">
        <v>46074.594536944445</v>
      </c>
    </row>
    <row r="381" spans="1:10" x14ac:dyDescent="0.55000000000000004">
      <c r="A381" t="s">
        <v>809</v>
      </c>
      <c r="B381">
        <v>100342</v>
      </c>
      <c r="C381" t="s">
        <v>37</v>
      </c>
      <c r="D381" s="3">
        <v>45734</v>
      </c>
      <c r="E381" t="s">
        <v>20</v>
      </c>
      <c r="F381" t="s">
        <v>810</v>
      </c>
      <c r="G381" t="s">
        <v>22</v>
      </c>
      <c r="H381" t="s">
        <v>811</v>
      </c>
      <c r="I381" t="s">
        <v>812</v>
      </c>
      <c r="J381" s="4">
        <v>46091.557731400462</v>
      </c>
    </row>
    <row r="382" spans="1:10" x14ac:dyDescent="0.55000000000000004">
      <c r="A382" t="s">
        <v>809</v>
      </c>
      <c r="B382">
        <v>100342</v>
      </c>
      <c r="C382" t="s">
        <v>37</v>
      </c>
      <c r="D382" s="3">
        <v>45734</v>
      </c>
      <c r="E382" t="s">
        <v>69</v>
      </c>
      <c r="F382" t="s">
        <v>810</v>
      </c>
      <c r="G382" t="s">
        <v>22</v>
      </c>
      <c r="H382" t="s">
        <v>811</v>
      </c>
      <c r="I382" t="s">
        <v>812</v>
      </c>
      <c r="J382" s="4">
        <v>46091.557731400462</v>
      </c>
    </row>
    <row r="383" spans="1:10" x14ac:dyDescent="0.55000000000000004">
      <c r="A383" t="s">
        <v>813</v>
      </c>
      <c r="B383">
        <v>101143</v>
      </c>
      <c r="C383" t="s">
        <v>37</v>
      </c>
      <c r="D383" s="3">
        <v>45827</v>
      </c>
      <c r="E383" t="s">
        <v>38</v>
      </c>
      <c r="F383" t="s">
        <v>814</v>
      </c>
      <c r="G383" t="s">
        <v>22</v>
      </c>
      <c r="H383" t="s">
        <v>815</v>
      </c>
      <c r="I383" t="s">
        <v>816</v>
      </c>
      <c r="J383" s="4">
        <v>46091.70912028935</v>
      </c>
    </row>
    <row r="384" spans="1:10" x14ac:dyDescent="0.55000000000000004">
      <c r="A384" t="s">
        <v>813</v>
      </c>
      <c r="B384">
        <v>101143</v>
      </c>
      <c r="C384" t="s">
        <v>37</v>
      </c>
      <c r="D384" s="3">
        <v>45827</v>
      </c>
      <c r="E384" t="s">
        <v>69</v>
      </c>
      <c r="F384" t="s">
        <v>814</v>
      </c>
      <c r="G384" t="s">
        <v>22</v>
      </c>
      <c r="H384" t="s">
        <v>815</v>
      </c>
      <c r="I384" t="s">
        <v>816</v>
      </c>
      <c r="J384" s="4">
        <v>46091.70912028935</v>
      </c>
    </row>
    <row r="385" spans="1:10" x14ac:dyDescent="0.55000000000000004">
      <c r="A385" t="s">
        <v>817</v>
      </c>
      <c r="B385">
        <v>100635</v>
      </c>
      <c r="C385" t="s">
        <v>37</v>
      </c>
      <c r="D385" s="3">
        <v>45913</v>
      </c>
      <c r="E385" t="s">
        <v>38</v>
      </c>
      <c r="F385" t="s">
        <v>818</v>
      </c>
      <c r="G385" t="s">
        <v>22</v>
      </c>
      <c r="H385" t="s">
        <v>819</v>
      </c>
      <c r="I385" t="s">
        <v>820</v>
      </c>
      <c r="J385" s="4">
        <v>46097.331342511578</v>
      </c>
    </row>
    <row r="386" spans="1:10" x14ac:dyDescent="0.55000000000000004">
      <c r="A386" t="s">
        <v>817</v>
      </c>
      <c r="B386">
        <v>100635</v>
      </c>
      <c r="C386" t="s">
        <v>37</v>
      </c>
      <c r="D386" s="3">
        <v>45913</v>
      </c>
      <c r="E386" t="s">
        <v>20</v>
      </c>
      <c r="F386" t="s">
        <v>818</v>
      </c>
      <c r="G386" t="s">
        <v>22</v>
      </c>
      <c r="H386" t="s">
        <v>819</v>
      </c>
      <c r="I386" t="s">
        <v>820</v>
      </c>
      <c r="J386" s="4">
        <v>46097.331342511578</v>
      </c>
    </row>
    <row r="387" spans="1:10" x14ac:dyDescent="0.55000000000000004">
      <c r="A387" t="s">
        <v>817</v>
      </c>
      <c r="B387">
        <v>100635</v>
      </c>
      <c r="C387" t="s">
        <v>37</v>
      </c>
      <c r="D387" s="3">
        <v>45913</v>
      </c>
      <c r="E387" t="s">
        <v>155</v>
      </c>
      <c r="F387" t="s">
        <v>818</v>
      </c>
      <c r="G387" t="s">
        <v>22</v>
      </c>
      <c r="H387" t="s">
        <v>819</v>
      </c>
      <c r="I387" t="s">
        <v>820</v>
      </c>
      <c r="J387" s="4">
        <v>46097.331342511578</v>
      </c>
    </row>
    <row r="388" spans="1:10" x14ac:dyDescent="0.55000000000000004">
      <c r="A388" t="s">
        <v>821</v>
      </c>
      <c r="B388">
        <v>101292</v>
      </c>
      <c r="C388" t="s">
        <v>179</v>
      </c>
      <c r="D388" s="3">
        <v>45930</v>
      </c>
      <c r="E388" t="s">
        <v>317</v>
      </c>
      <c r="F388" t="s">
        <v>822</v>
      </c>
      <c r="G388" t="s">
        <v>15</v>
      </c>
      <c r="H388" t="s">
        <v>823</v>
      </c>
      <c r="I388" t="s">
        <v>824</v>
      </c>
      <c r="J388" s="4">
        <v>46061.004953634256</v>
      </c>
    </row>
    <row r="389" spans="1:10" x14ac:dyDescent="0.55000000000000004">
      <c r="A389" t="s">
        <v>825</v>
      </c>
      <c r="B389">
        <v>100720</v>
      </c>
      <c r="C389" t="s">
        <v>533</v>
      </c>
      <c r="D389" s="3">
        <v>46082</v>
      </c>
      <c r="E389" t="s">
        <v>317</v>
      </c>
      <c r="F389" t="s">
        <v>826</v>
      </c>
      <c r="G389" t="s">
        <v>22</v>
      </c>
      <c r="H389" t="s">
        <v>827</v>
      </c>
      <c r="I389" t="s">
        <v>828</v>
      </c>
      <c r="J389" s="4">
        <v>46078.364675856479</v>
      </c>
    </row>
    <row r="390" spans="1:10" x14ac:dyDescent="0.55000000000000004">
      <c r="A390" t="s">
        <v>825</v>
      </c>
      <c r="B390">
        <v>100720</v>
      </c>
      <c r="C390" t="s">
        <v>533</v>
      </c>
      <c r="D390" s="3">
        <v>46082</v>
      </c>
      <c r="E390" t="s">
        <v>115</v>
      </c>
      <c r="F390" t="s">
        <v>826</v>
      </c>
      <c r="G390" t="s">
        <v>22</v>
      </c>
      <c r="H390" t="s">
        <v>827</v>
      </c>
      <c r="I390" t="s">
        <v>828</v>
      </c>
      <c r="J390" s="4">
        <v>46078.364675856479</v>
      </c>
    </row>
    <row r="391" spans="1:10" x14ac:dyDescent="0.55000000000000004">
      <c r="A391" t="s">
        <v>829</v>
      </c>
      <c r="B391">
        <v>100706</v>
      </c>
      <c r="C391" t="s">
        <v>19</v>
      </c>
      <c r="D391" s="3">
        <v>45806</v>
      </c>
      <c r="E391" t="s">
        <v>115</v>
      </c>
      <c r="F391" t="s">
        <v>830</v>
      </c>
      <c r="G391" t="s">
        <v>22</v>
      </c>
      <c r="H391" t="s">
        <v>831</v>
      </c>
      <c r="I391" t="s">
        <v>832</v>
      </c>
      <c r="J391" s="4">
        <v>46080.147314756941</v>
      </c>
    </row>
    <row r="392" spans="1:10" x14ac:dyDescent="0.55000000000000004">
      <c r="A392" t="s">
        <v>833</v>
      </c>
      <c r="B392">
        <v>101037</v>
      </c>
      <c r="C392" t="s">
        <v>68</v>
      </c>
      <c r="D392" s="3">
        <v>45979</v>
      </c>
      <c r="E392" t="s">
        <v>20</v>
      </c>
      <c r="F392" t="s">
        <v>834</v>
      </c>
      <c r="G392" t="s">
        <v>22</v>
      </c>
      <c r="H392" t="s">
        <v>835</v>
      </c>
      <c r="I392" t="s">
        <v>836</v>
      </c>
      <c r="J392" s="4">
        <v>46081.857036979163</v>
      </c>
    </row>
    <row r="393" spans="1:10" x14ac:dyDescent="0.55000000000000004">
      <c r="A393" t="s">
        <v>837</v>
      </c>
      <c r="B393">
        <v>101076</v>
      </c>
      <c r="C393" t="s">
        <v>19</v>
      </c>
      <c r="D393" s="3">
        <v>46036</v>
      </c>
      <c r="E393" t="s">
        <v>155</v>
      </c>
      <c r="F393" t="s">
        <v>838</v>
      </c>
      <c r="G393" t="s">
        <v>15</v>
      </c>
      <c r="H393" t="s">
        <v>839</v>
      </c>
      <c r="I393" t="s">
        <v>840</v>
      </c>
      <c r="J393" s="4">
        <v>46078.736898090276</v>
      </c>
    </row>
    <row r="394" spans="1:10" x14ac:dyDescent="0.55000000000000004">
      <c r="A394" t="s">
        <v>837</v>
      </c>
      <c r="B394">
        <v>101076</v>
      </c>
      <c r="C394" t="s">
        <v>19</v>
      </c>
      <c r="D394" s="3">
        <v>46036</v>
      </c>
      <c r="E394" t="s">
        <v>115</v>
      </c>
      <c r="F394" t="s">
        <v>838</v>
      </c>
      <c r="G394" t="s">
        <v>15</v>
      </c>
      <c r="H394" t="s">
        <v>839</v>
      </c>
      <c r="I394" t="s">
        <v>840</v>
      </c>
      <c r="J394" s="4">
        <v>46078.736898090276</v>
      </c>
    </row>
    <row r="395" spans="1:10" x14ac:dyDescent="0.55000000000000004">
      <c r="A395" t="s">
        <v>837</v>
      </c>
      <c r="B395">
        <v>101076</v>
      </c>
      <c r="C395" t="s">
        <v>19</v>
      </c>
      <c r="D395" s="3">
        <v>46036</v>
      </c>
      <c r="E395" t="s">
        <v>69</v>
      </c>
      <c r="F395" t="s">
        <v>838</v>
      </c>
      <c r="G395" t="s">
        <v>15</v>
      </c>
      <c r="H395" t="s">
        <v>839</v>
      </c>
      <c r="I395" t="s">
        <v>840</v>
      </c>
      <c r="J395" s="4">
        <v>46078.736898090276</v>
      </c>
    </row>
    <row r="396" spans="1:10" x14ac:dyDescent="0.55000000000000004">
      <c r="A396" t="s">
        <v>841</v>
      </c>
      <c r="B396">
        <v>100854</v>
      </c>
      <c r="C396" t="s">
        <v>179</v>
      </c>
      <c r="D396" s="3">
        <v>45902</v>
      </c>
      <c r="E396" t="s">
        <v>317</v>
      </c>
      <c r="F396" t="s">
        <v>842</v>
      </c>
      <c r="G396" t="s">
        <v>22</v>
      </c>
      <c r="H396" t="s">
        <v>843</v>
      </c>
      <c r="I396" t="s">
        <v>844</v>
      </c>
      <c r="J396" s="4">
        <v>46069.820231435187</v>
      </c>
    </row>
    <row r="397" spans="1:10" x14ac:dyDescent="0.55000000000000004">
      <c r="A397" t="s">
        <v>841</v>
      </c>
      <c r="B397">
        <v>100854</v>
      </c>
      <c r="C397" t="s">
        <v>179</v>
      </c>
      <c r="D397" s="3">
        <v>45902</v>
      </c>
      <c r="E397" t="s">
        <v>20</v>
      </c>
      <c r="F397" t="s">
        <v>842</v>
      </c>
      <c r="G397" t="s">
        <v>22</v>
      </c>
      <c r="H397" t="s">
        <v>843</v>
      </c>
      <c r="I397" t="s">
        <v>844</v>
      </c>
      <c r="J397" s="4">
        <v>46069.820231435187</v>
      </c>
    </row>
    <row r="398" spans="1:10" x14ac:dyDescent="0.55000000000000004">
      <c r="A398" t="s">
        <v>841</v>
      </c>
      <c r="B398">
        <v>100854</v>
      </c>
      <c r="C398" t="s">
        <v>179</v>
      </c>
      <c r="D398" s="3">
        <v>45902</v>
      </c>
      <c r="E398" t="s">
        <v>69</v>
      </c>
      <c r="F398" t="s">
        <v>842</v>
      </c>
      <c r="G398" t="s">
        <v>22</v>
      </c>
      <c r="H398" t="s">
        <v>843</v>
      </c>
      <c r="I398" t="s">
        <v>844</v>
      </c>
      <c r="J398" s="4">
        <v>46069.820231435187</v>
      </c>
    </row>
    <row r="399" spans="1:10" x14ac:dyDescent="0.55000000000000004">
      <c r="A399" t="s">
        <v>845</v>
      </c>
      <c r="B399">
        <v>101305</v>
      </c>
      <c r="C399" t="s">
        <v>19</v>
      </c>
      <c r="D399" s="3">
        <v>45801</v>
      </c>
      <c r="E399" t="s">
        <v>38</v>
      </c>
      <c r="F399" t="s">
        <v>846</v>
      </c>
      <c r="G399" t="s">
        <v>15</v>
      </c>
      <c r="H399" t="s">
        <v>847</v>
      </c>
      <c r="I399" t="s">
        <v>848</v>
      </c>
      <c r="J399" s="4">
        <v>46067.299398101852</v>
      </c>
    </row>
    <row r="400" spans="1:10" x14ac:dyDescent="0.55000000000000004">
      <c r="A400" t="s">
        <v>845</v>
      </c>
      <c r="B400">
        <v>101305</v>
      </c>
      <c r="C400" t="s">
        <v>19</v>
      </c>
      <c r="D400" s="3">
        <v>45801</v>
      </c>
      <c r="E400" t="s">
        <v>20</v>
      </c>
      <c r="F400" t="s">
        <v>846</v>
      </c>
      <c r="G400" t="s">
        <v>15</v>
      </c>
      <c r="H400" t="s">
        <v>847</v>
      </c>
      <c r="I400" t="s">
        <v>848</v>
      </c>
      <c r="J400" s="4">
        <v>46067.299398101852</v>
      </c>
    </row>
    <row r="401" spans="1:11" x14ac:dyDescent="0.55000000000000004">
      <c r="A401" t="s">
        <v>849</v>
      </c>
      <c r="B401">
        <v>101028</v>
      </c>
      <c r="C401" t="s">
        <v>533</v>
      </c>
      <c r="D401" s="3">
        <v>45935</v>
      </c>
      <c r="E401" t="s">
        <v>20</v>
      </c>
      <c r="F401" t="s">
        <v>850</v>
      </c>
      <c r="G401" t="s">
        <v>15</v>
      </c>
      <c r="H401" t="s">
        <v>851</v>
      </c>
      <c r="I401" t="s">
        <v>852</v>
      </c>
      <c r="J401" s="4">
        <v>46077.21120366898</v>
      </c>
    </row>
    <row r="402" spans="1:11" x14ac:dyDescent="0.55000000000000004">
      <c r="A402" t="s">
        <v>849</v>
      </c>
      <c r="B402">
        <v>101028</v>
      </c>
      <c r="C402" t="s">
        <v>533</v>
      </c>
      <c r="D402" s="3">
        <v>45935</v>
      </c>
      <c r="E402" t="s">
        <v>69</v>
      </c>
      <c r="F402" t="s">
        <v>850</v>
      </c>
      <c r="G402" t="s">
        <v>15</v>
      </c>
      <c r="H402" t="s">
        <v>851</v>
      </c>
      <c r="I402" t="s">
        <v>852</v>
      </c>
      <c r="J402" s="4">
        <v>46077.21120366898</v>
      </c>
    </row>
    <row r="403" spans="1:11" x14ac:dyDescent="0.55000000000000004">
      <c r="A403" t="s">
        <v>853</v>
      </c>
      <c r="B403">
        <v>100573</v>
      </c>
      <c r="C403" t="s">
        <v>248</v>
      </c>
      <c r="D403" s="3">
        <v>46150</v>
      </c>
      <c r="E403" t="s">
        <v>20</v>
      </c>
      <c r="F403" t="s">
        <v>854</v>
      </c>
      <c r="G403" t="s">
        <v>15</v>
      </c>
      <c r="H403" t="s">
        <v>855</v>
      </c>
      <c r="I403" t="s">
        <v>856</v>
      </c>
      <c r="J403" s="4">
        <v>46059.970231446758</v>
      </c>
    </row>
    <row r="404" spans="1:11" x14ac:dyDescent="0.55000000000000004">
      <c r="A404" t="s">
        <v>853</v>
      </c>
      <c r="B404">
        <v>100573</v>
      </c>
      <c r="C404" t="s">
        <v>248</v>
      </c>
      <c r="D404" s="3">
        <v>46150</v>
      </c>
      <c r="E404" t="s">
        <v>155</v>
      </c>
      <c r="F404" t="s">
        <v>854</v>
      </c>
      <c r="G404" t="s">
        <v>15</v>
      </c>
      <c r="H404" t="s">
        <v>855</v>
      </c>
      <c r="I404" t="s">
        <v>856</v>
      </c>
      <c r="J404" s="4">
        <v>46059.970231446758</v>
      </c>
    </row>
    <row r="405" spans="1:11" x14ac:dyDescent="0.55000000000000004">
      <c r="A405" t="s">
        <v>857</v>
      </c>
      <c r="B405">
        <v>100869</v>
      </c>
      <c r="C405" t="s">
        <v>533</v>
      </c>
      <c r="D405" s="3">
        <v>46081</v>
      </c>
      <c r="E405" t="s">
        <v>155</v>
      </c>
      <c r="F405" t="s">
        <v>858</v>
      </c>
      <c r="G405" t="s">
        <v>22</v>
      </c>
      <c r="H405" t="s">
        <v>859</v>
      </c>
      <c r="I405" t="s">
        <v>860</v>
      </c>
      <c r="J405" s="4">
        <v>46078.761203668982</v>
      </c>
    </row>
    <row r="406" spans="1:11" x14ac:dyDescent="0.55000000000000004">
      <c r="A406" t="s">
        <v>857</v>
      </c>
      <c r="B406">
        <v>100869</v>
      </c>
      <c r="C406" t="s">
        <v>533</v>
      </c>
      <c r="D406" s="3">
        <v>46081</v>
      </c>
      <c r="E406" t="s">
        <v>115</v>
      </c>
      <c r="F406" t="s">
        <v>858</v>
      </c>
      <c r="G406" t="s">
        <v>22</v>
      </c>
      <c r="H406" t="s">
        <v>859</v>
      </c>
      <c r="I406" t="s">
        <v>860</v>
      </c>
      <c r="J406" s="4">
        <v>46078.761203668982</v>
      </c>
    </row>
    <row r="407" spans="1:11" x14ac:dyDescent="0.55000000000000004">
      <c r="A407" t="s">
        <v>857</v>
      </c>
      <c r="B407">
        <v>100869</v>
      </c>
      <c r="C407" t="s">
        <v>533</v>
      </c>
      <c r="D407" s="3">
        <v>46081</v>
      </c>
      <c r="E407" t="s">
        <v>69</v>
      </c>
      <c r="F407" t="s">
        <v>858</v>
      </c>
      <c r="G407" t="s">
        <v>22</v>
      </c>
      <c r="H407" t="s">
        <v>859</v>
      </c>
      <c r="I407" t="s">
        <v>860</v>
      </c>
      <c r="J407" s="4">
        <v>46078.761203668982</v>
      </c>
    </row>
    <row r="408" spans="1:11" x14ac:dyDescent="0.55000000000000004">
      <c r="A408" t="s">
        <v>861</v>
      </c>
      <c r="B408">
        <v>101030</v>
      </c>
      <c r="C408" t="s">
        <v>37</v>
      </c>
      <c r="D408" s="3">
        <v>46151</v>
      </c>
      <c r="E408" t="s">
        <v>317</v>
      </c>
      <c r="F408" t="s">
        <v>862</v>
      </c>
      <c r="G408" t="s">
        <v>15</v>
      </c>
      <c r="H408" t="s">
        <v>863</v>
      </c>
      <c r="I408" t="s">
        <v>864</v>
      </c>
      <c r="J408" s="4">
        <v>46057.31537034722</v>
      </c>
    </row>
    <row r="409" spans="1:11" x14ac:dyDescent="0.55000000000000004">
      <c r="A409" t="s">
        <v>861</v>
      </c>
      <c r="B409">
        <v>101030</v>
      </c>
      <c r="C409" t="s">
        <v>37</v>
      </c>
      <c r="D409" s="3">
        <v>46151</v>
      </c>
      <c r="E409" t="s">
        <v>69</v>
      </c>
      <c r="F409" t="s">
        <v>862</v>
      </c>
      <c r="G409" t="s">
        <v>15</v>
      </c>
      <c r="H409" t="s">
        <v>863</v>
      </c>
      <c r="I409" t="s">
        <v>864</v>
      </c>
      <c r="J409" s="4">
        <v>46057.31537034722</v>
      </c>
    </row>
    <row r="410" spans="1:11" x14ac:dyDescent="0.55000000000000004">
      <c r="A410" t="s">
        <v>865</v>
      </c>
      <c r="B410">
        <v>101432</v>
      </c>
      <c r="D410" s="3">
        <v>45861</v>
      </c>
      <c r="E410" t="s">
        <v>38</v>
      </c>
      <c r="F410" t="s">
        <v>866</v>
      </c>
      <c r="G410" t="s">
        <v>15</v>
      </c>
      <c r="H410" t="s">
        <v>867</v>
      </c>
      <c r="I410" t="s">
        <v>868</v>
      </c>
      <c r="J410" s="4">
        <v>46068.895925902776</v>
      </c>
      <c r="K410" t="s">
        <v>217</v>
      </c>
    </row>
    <row r="411" spans="1:11" x14ac:dyDescent="0.55000000000000004">
      <c r="A411" t="s">
        <v>865</v>
      </c>
      <c r="B411">
        <v>101432</v>
      </c>
      <c r="D411" s="3">
        <v>45861</v>
      </c>
      <c r="E411" t="s">
        <v>115</v>
      </c>
      <c r="F411" t="s">
        <v>866</v>
      </c>
      <c r="G411" t="s">
        <v>15</v>
      </c>
      <c r="H411" t="s">
        <v>867</v>
      </c>
      <c r="I411" t="s">
        <v>868</v>
      </c>
      <c r="J411" s="4">
        <v>46068.895925902776</v>
      </c>
      <c r="K411" t="s">
        <v>217</v>
      </c>
    </row>
    <row r="412" spans="1:11" x14ac:dyDescent="0.55000000000000004">
      <c r="A412" t="s">
        <v>865</v>
      </c>
      <c r="B412">
        <v>101432</v>
      </c>
      <c r="D412" s="3">
        <v>45861</v>
      </c>
      <c r="E412" t="s">
        <v>69</v>
      </c>
      <c r="F412" t="s">
        <v>866</v>
      </c>
      <c r="G412" t="s">
        <v>15</v>
      </c>
      <c r="H412" t="s">
        <v>867</v>
      </c>
      <c r="I412" t="s">
        <v>868</v>
      </c>
      <c r="J412" s="4">
        <v>46068.895925902776</v>
      </c>
      <c r="K412" t="s">
        <v>217</v>
      </c>
    </row>
    <row r="413" spans="1:11" x14ac:dyDescent="0.55000000000000004">
      <c r="A413" t="s">
        <v>869</v>
      </c>
      <c r="B413">
        <v>100980</v>
      </c>
      <c r="C413" t="s">
        <v>19</v>
      </c>
      <c r="D413" s="3">
        <v>46030</v>
      </c>
      <c r="E413" t="s">
        <v>317</v>
      </c>
      <c r="F413" t="s">
        <v>870</v>
      </c>
      <c r="G413" t="s">
        <v>22</v>
      </c>
      <c r="H413" t="s">
        <v>871</v>
      </c>
      <c r="I413" t="s">
        <v>872</v>
      </c>
      <c r="J413" s="4">
        <v>46063.693842581015</v>
      </c>
    </row>
    <row r="414" spans="1:11" x14ac:dyDescent="0.55000000000000004">
      <c r="A414" t="s">
        <v>869</v>
      </c>
      <c r="B414">
        <v>100980</v>
      </c>
      <c r="C414" t="s">
        <v>19</v>
      </c>
      <c r="D414" s="3">
        <v>46030</v>
      </c>
      <c r="E414" t="s">
        <v>38</v>
      </c>
      <c r="F414" t="s">
        <v>870</v>
      </c>
      <c r="G414" t="s">
        <v>22</v>
      </c>
      <c r="H414" t="s">
        <v>871</v>
      </c>
      <c r="I414" t="s">
        <v>872</v>
      </c>
      <c r="J414" s="4">
        <v>46063.693842581015</v>
      </c>
    </row>
    <row r="415" spans="1:11" x14ac:dyDescent="0.55000000000000004">
      <c r="A415" t="s">
        <v>873</v>
      </c>
      <c r="B415">
        <v>101299</v>
      </c>
      <c r="C415" t="s">
        <v>68</v>
      </c>
      <c r="D415" s="3">
        <v>46091</v>
      </c>
      <c r="E415" t="s">
        <v>317</v>
      </c>
      <c r="F415" t="s">
        <v>874</v>
      </c>
      <c r="G415" t="s">
        <v>15</v>
      </c>
      <c r="H415" t="s">
        <v>875</v>
      </c>
      <c r="I415" t="s">
        <v>876</v>
      </c>
      <c r="J415" s="4">
        <v>46054.800787025466</v>
      </c>
    </row>
    <row r="416" spans="1:11" x14ac:dyDescent="0.55000000000000004">
      <c r="A416" t="s">
        <v>873</v>
      </c>
      <c r="B416">
        <v>101299</v>
      </c>
      <c r="C416" t="s">
        <v>68</v>
      </c>
      <c r="D416" s="3">
        <v>46091</v>
      </c>
      <c r="E416" t="s">
        <v>38</v>
      </c>
      <c r="F416" t="s">
        <v>874</v>
      </c>
      <c r="G416" t="s">
        <v>15</v>
      </c>
      <c r="H416" t="s">
        <v>875</v>
      </c>
      <c r="I416" t="s">
        <v>876</v>
      </c>
      <c r="J416" s="4">
        <v>46054.800787025466</v>
      </c>
    </row>
    <row r="417" spans="1:11" x14ac:dyDescent="0.55000000000000004">
      <c r="A417" t="s">
        <v>873</v>
      </c>
      <c r="B417">
        <v>101299</v>
      </c>
      <c r="C417" t="s">
        <v>68</v>
      </c>
      <c r="D417" s="3">
        <v>46091</v>
      </c>
      <c r="E417" t="s">
        <v>155</v>
      </c>
      <c r="F417" t="s">
        <v>874</v>
      </c>
      <c r="G417" t="s">
        <v>15</v>
      </c>
      <c r="H417" t="s">
        <v>875</v>
      </c>
      <c r="I417" t="s">
        <v>876</v>
      </c>
      <c r="J417" s="4">
        <v>46054.800787025466</v>
      </c>
    </row>
    <row r="418" spans="1:11" x14ac:dyDescent="0.55000000000000004">
      <c r="A418" t="s">
        <v>877</v>
      </c>
      <c r="B418">
        <v>100515</v>
      </c>
      <c r="C418" t="s">
        <v>68</v>
      </c>
      <c r="D418" s="3">
        <v>45817</v>
      </c>
      <c r="E418" t="s">
        <v>38</v>
      </c>
      <c r="F418" t="s">
        <v>878</v>
      </c>
      <c r="G418" t="s">
        <v>22</v>
      </c>
      <c r="H418" t="s">
        <v>879</v>
      </c>
      <c r="I418" t="s">
        <v>880</v>
      </c>
      <c r="J418" s="4">
        <v>46070.595925914349</v>
      </c>
    </row>
    <row r="419" spans="1:11" x14ac:dyDescent="0.55000000000000004">
      <c r="A419" t="s">
        <v>877</v>
      </c>
      <c r="B419">
        <v>100515</v>
      </c>
      <c r="C419" t="s">
        <v>68</v>
      </c>
      <c r="D419" s="3">
        <v>45817</v>
      </c>
      <c r="E419" t="s">
        <v>155</v>
      </c>
      <c r="F419" t="s">
        <v>878</v>
      </c>
      <c r="G419" t="s">
        <v>22</v>
      </c>
      <c r="H419" t="s">
        <v>879</v>
      </c>
      <c r="I419" t="s">
        <v>880</v>
      </c>
      <c r="J419" s="4">
        <v>46070.595925914349</v>
      </c>
    </row>
    <row r="420" spans="1:11" x14ac:dyDescent="0.55000000000000004">
      <c r="A420" t="s">
        <v>877</v>
      </c>
      <c r="B420">
        <v>100515</v>
      </c>
      <c r="C420" t="s">
        <v>68</v>
      </c>
      <c r="D420" s="3">
        <v>45817</v>
      </c>
      <c r="E420" t="s">
        <v>69</v>
      </c>
      <c r="F420" t="s">
        <v>878</v>
      </c>
      <c r="G420" t="s">
        <v>22</v>
      </c>
      <c r="H420" t="s">
        <v>879</v>
      </c>
      <c r="I420" t="s">
        <v>880</v>
      </c>
      <c r="J420" s="4">
        <v>46070.595925914349</v>
      </c>
    </row>
    <row r="421" spans="1:11" x14ac:dyDescent="0.55000000000000004">
      <c r="A421" t="s">
        <v>881</v>
      </c>
      <c r="B421">
        <v>100729</v>
      </c>
      <c r="C421" t="s">
        <v>37</v>
      </c>
      <c r="D421" s="3">
        <v>45782</v>
      </c>
      <c r="E421" t="s">
        <v>38</v>
      </c>
      <c r="F421" t="s">
        <v>882</v>
      </c>
      <c r="G421" t="s">
        <v>15</v>
      </c>
      <c r="H421" t="s">
        <v>883</v>
      </c>
      <c r="I421" t="s">
        <v>884</v>
      </c>
      <c r="J421" s="4">
        <v>46069.21398148148</v>
      </c>
    </row>
    <row r="422" spans="1:11" x14ac:dyDescent="0.55000000000000004">
      <c r="A422" t="s">
        <v>881</v>
      </c>
      <c r="B422">
        <v>100729</v>
      </c>
      <c r="C422" t="s">
        <v>37</v>
      </c>
      <c r="D422" s="3">
        <v>45782</v>
      </c>
      <c r="E422" t="s">
        <v>115</v>
      </c>
      <c r="F422" t="s">
        <v>882</v>
      </c>
      <c r="G422" t="s">
        <v>15</v>
      </c>
      <c r="H422" t="s">
        <v>883</v>
      </c>
      <c r="I422" t="s">
        <v>884</v>
      </c>
      <c r="J422" s="4">
        <v>46069.21398148148</v>
      </c>
    </row>
    <row r="423" spans="1:11" x14ac:dyDescent="0.55000000000000004">
      <c r="A423" t="s">
        <v>885</v>
      </c>
      <c r="B423">
        <v>100790</v>
      </c>
      <c r="C423" t="s">
        <v>179</v>
      </c>
      <c r="D423" s="3">
        <v>45969</v>
      </c>
      <c r="E423" t="s">
        <v>317</v>
      </c>
      <c r="F423" t="s">
        <v>886</v>
      </c>
      <c r="G423" t="s">
        <v>22</v>
      </c>
      <c r="H423" t="s">
        <v>887</v>
      </c>
      <c r="I423" t="s">
        <v>888</v>
      </c>
      <c r="J423" s="4">
        <v>46096.059814814813</v>
      </c>
    </row>
    <row r="424" spans="1:11" x14ac:dyDescent="0.55000000000000004">
      <c r="A424" t="s">
        <v>885</v>
      </c>
      <c r="B424">
        <v>100790</v>
      </c>
      <c r="C424" t="s">
        <v>179</v>
      </c>
      <c r="D424" s="3">
        <v>45969</v>
      </c>
      <c r="E424" t="s">
        <v>38</v>
      </c>
      <c r="F424" t="s">
        <v>886</v>
      </c>
      <c r="G424" t="s">
        <v>22</v>
      </c>
      <c r="H424" t="s">
        <v>887</v>
      </c>
      <c r="I424" t="s">
        <v>888</v>
      </c>
      <c r="J424" s="4">
        <v>46096.059814814813</v>
      </c>
    </row>
    <row r="425" spans="1:11" x14ac:dyDescent="0.55000000000000004">
      <c r="A425" t="s">
        <v>885</v>
      </c>
      <c r="B425">
        <v>100790</v>
      </c>
      <c r="C425" t="s">
        <v>179</v>
      </c>
      <c r="D425" s="3">
        <v>45969</v>
      </c>
      <c r="E425" t="s">
        <v>115</v>
      </c>
      <c r="F425" t="s">
        <v>886</v>
      </c>
      <c r="G425" t="s">
        <v>22</v>
      </c>
      <c r="H425" t="s">
        <v>887</v>
      </c>
      <c r="I425" t="s">
        <v>888</v>
      </c>
      <c r="J425" s="4">
        <v>46096.059814814813</v>
      </c>
    </row>
    <row r="426" spans="1:11" x14ac:dyDescent="0.55000000000000004">
      <c r="A426" t="s">
        <v>889</v>
      </c>
      <c r="B426">
        <v>101239</v>
      </c>
      <c r="C426" t="s">
        <v>533</v>
      </c>
      <c r="D426" s="3">
        <v>45883</v>
      </c>
      <c r="E426" t="s">
        <v>317</v>
      </c>
      <c r="F426" t="s">
        <v>890</v>
      </c>
      <c r="G426" t="s">
        <v>15</v>
      </c>
      <c r="H426" t="s">
        <v>891</v>
      </c>
      <c r="I426" t="s">
        <v>892</v>
      </c>
      <c r="J426" s="4">
        <v>46075.302870370368</v>
      </c>
    </row>
    <row r="427" spans="1:11" x14ac:dyDescent="0.55000000000000004">
      <c r="A427" t="s">
        <v>889</v>
      </c>
      <c r="B427">
        <v>101239</v>
      </c>
      <c r="C427" t="s">
        <v>533</v>
      </c>
      <c r="D427" s="3">
        <v>45883</v>
      </c>
      <c r="E427" t="s">
        <v>155</v>
      </c>
      <c r="F427" t="s">
        <v>890</v>
      </c>
      <c r="G427" t="s">
        <v>15</v>
      </c>
      <c r="H427" t="s">
        <v>891</v>
      </c>
      <c r="I427" t="s">
        <v>892</v>
      </c>
      <c r="J427" s="4">
        <v>46075.302870370368</v>
      </c>
    </row>
    <row r="428" spans="1:11" x14ac:dyDescent="0.55000000000000004">
      <c r="A428" t="s">
        <v>893</v>
      </c>
      <c r="B428">
        <v>100094</v>
      </c>
      <c r="C428" t="s">
        <v>68</v>
      </c>
      <c r="D428" s="3">
        <v>45965</v>
      </c>
      <c r="E428" t="s">
        <v>38</v>
      </c>
      <c r="F428" t="s">
        <v>894</v>
      </c>
      <c r="G428" t="s">
        <v>22</v>
      </c>
      <c r="H428" t="s">
        <v>895</v>
      </c>
      <c r="I428" t="s">
        <v>896</v>
      </c>
      <c r="J428" s="4">
        <v>46075.068842604167</v>
      </c>
    </row>
    <row r="429" spans="1:11" x14ac:dyDescent="0.55000000000000004">
      <c r="A429" t="s">
        <v>897</v>
      </c>
      <c r="C429" t="s">
        <v>533</v>
      </c>
      <c r="D429" s="3">
        <v>45956</v>
      </c>
      <c r="E429" t="s">
        <v>317</v>
      </c>
      <c r="F429" t="s">
        <v>898</v>
      </c>
      <c r="G429" t="s">
        <v>15</v>
      </c>
      <c r="H429" t="s">
        <v>899</v>
      </c>
      <c r="I429" t="s">
        <v>900</v>
      </c>
      <c r="J429" s="4">
        <v>46078.682731493056</v>
      </c>
      <c r="K429" t="s">
        <v>112</v>
      </c>
    </row>
    <row r="430" spans="1:11" x14ac:dyDescent="0.55000000000000004">
      <c r="A430" t="s">
        <v>897</v>
      </c>
      <c r="C430" t="s">
        <v>533</v>
      </c>
      <c r="D430" s="3">
        <v>45956</v>
      </c>
      <c r="E430" t="s">
        <v>20</v>
      </c>
      <c r="F430" t="s">
        <v>898</v>
      </c>
      <c r="G430" t="s">
        <v>15</v>
      </c>
      <c r="H430" t="s">
        <v>899</v>
      </c>
      <c r="I430" t="s">
        <v>900</v>
      </c>
      <c r="J430" s="4">
        <v>46078.682731493056</v>
      </c>
      <c r="K430" t="s">
        <v>112</v>
      </c>
    </row>
    <row r="431" spans="1:11" x14ac:dyDescent="0.55000000000000004">
      <c r="A431" t="s">
        <v>897</v>
      </c>
      <c r="C431" t="s">
        <v>533</v>
      </c>
      <c r="D431" s="3">
        <v>45956</v>
      </c>
      <c r="E431" t="s">
        <v>69</v>
      </c>
      <c r="F431" t="s">
        <v>898</v>
      </c>
      <c r="G431" t="s">
        <v>15</v>
      </c>
      <c r="H431" t="s">
        <v>899</v>
      </c>
      <c r="I431" t="s">
        <v>900</v>
      </c>
      <c r="J431" s="4">
        <v>46078.682731493056</v>
      </c>
      <c r="K431" t="s">
        <v>112</v>
      </c>
    </row>
    <row r="432" spans="1:11" x14ac:dyDescent="0.55000000000000004">
      <c r="A432" t="s">
        <v>901</v>
      </c>
      <c r="B432">
        <v>100899</v>
      </c>
      <c r="C432" t="s">
        <v>533</v>
      </c>
      <c r="D432" s="3">
        <v>45743</v>
      </c>
      <c r="E432" t="s">
        <v>317</v>
      </c>
      <c r="F432" t="s">
        <v>902</v>
      </c>
      <c r="G432" t="s">
        <v>15</v>
      </c>
      <c r="H432" t="s">
        <v>903</v>
      </c>
      <c r="I432" t="s">
        <v>904</v>
      </c>
      <c r="J432" s="4">
        <v>46082.012592615742</v>
      </c>
    </row>
    <row r="433" spans="1:10" x14ac:dyDescent="0.55000000000000004">
      <c r="A433" t="s">
        <v>901</v>
      </c>
      <c r="B433">
        <v>100899</v>
      </c>
      <c r="C433" t="s">
        <v>533</v>
      </c>
      <c r="D433" s="3">
        <v>45743</v>
      </c>
      <c r="E433" t="s">
        <v>155</v>
      </c>
      <c r="F433" t="s">
        <v>902</v>
      </c>
      <c r="G433" t="s">
        <v>15</v>
      </c>
      <c r="H433" t="s">
        <v>903</v>
      </c>
      <c r="I433" t="s">
        <v>904</v>
      </c>
      <c r="J433" s="4">
        <v>46082.012592615742</v>
      </c>
    </row>
    <row r="434" spans="1:10" x14ac:dyDescent="0.55000000000000004">
      <c r="A434" t="s">
        <v>905</v>
      </c>
      <c r="B434">
        <v>100137</v>
      </c>
      <c r="C434" t="s">
        <v>533</v>
      </c>
      <c r="D434" s="3">
        <v>46014</v>
      </c>
      <c r="E434" t="s">
        <v>20</v>
      </c>
      <c r="F434" t="s">
        <v>906</v>
      </c>
      <c r="G434" t="s">
        <v>22</v>
      </c>
      <c r="H434" t="s">
        <v>907</v>
      </c>
      <c r="I434" t="s">
        <v>908</v>
      </c>
      <c r="J434" s="4">
        <v>46068.416759282409</v>
      </c>
    </row>
    <row r="435" spans="1:10" x14ac:dyDescent="0.55000000000000004">
      <c r="A435" t="s">
        <v>909</v>
      </c>
      <c r="B435">
        <v>100554</v>
      </c>
      <c r="C435" t="s">
        <v>179</v>
      </c>
      <c r="D435" s="3">
        <v>46054</v>
      </c>
      <c r="E435" t="s">
        <v>115</v>
      </c>
      <c r="F435" t="s">
        <v>910</v>
      </c>
      <c r="G435" t="s">
        <v>22</v>
      </c>
      <c r="H435" t="s">
        <v>911</v>
      </c>
      <c r="I435" t="s">
        <v>912</v>
      </c>
      <c r="J435" s="4">
        <v>46072.704953726854</v>
      </c>
    </row>
    <row r="436" spans="1:10" x14ac:dyDescent="0.55000000000000004">
      <c r="A436" t="s">
        <v>913</v>
      </c>
      <c r="B436">
        <v>101041</v>
      </c>
      <c r="C436" t="s">
        <v>19</v>
      </c>
      <c r="D436" s="3">
        <v>45833</v>
      </c>
      <c r="E436" t="s">
        <v>38</v>
      </c>
      <c r="F436" t="s">
        <v>914</v>
      </c>
      <c r="G436" t="s">
        <v>22</v>
      </c>
      <c r="H436" t="s">
        <v>915</v>
      </c>
      <c r="I436" t="s">
        <v>916</v>
      </c>
      <c r="J436" s="4">
        <v>46097.44106484954</v>
      </c>
    </row>
    <row r="437" spans="1:10" x14ac:dyDescent="0.55000000000000004">
      <c r="A437" t="s">
        <v>913</v>
      </c>
      <c r="B437">
        <v>101041</v>
      </c>
      <c r="C437" t="s">
        <v>19</v>
      </c>
      <c r="D437" s="3">
        <v>45833</v>
      </c>
      <c r="E437" t="s">
        <v>69</v>
      </c>
      <c r="F437" t="s">
        <v>914</v>
      </c>
      <c r="G437" t="s">
        <v>22</v>
      </c>
      <c r="H437" t="s">
        <v>915</v>
      </c>
      <c r="I437" t="s">
        <v>916</v>
      </c>
      <c r="J437" s="4">
        <v>46097.44106484954</v>
      </c>
    </row>
    <row r="438" spans="1:10" x14ac:dyDescent="0.55000000000000004">
      <c r="A438" t="s">
        <v>917</v>
      </c>
      <c r="B438">
        <v>100998</v>
      </c>
      <c r="C438" t="s">
        <v>248</v>
      </c>
      <c r="D438" s="3">
        <v>45874</v>
      </c>
      <c r="E438" t="s">
        <v>317</v>
      </c>
      <c r="F438" t="s">
        <v>918</v>
      </c>
      <c r="G438" t="s">
        <v>15</v>
      </c>
      <c r="H438" t="s">
        <v>919</v>
      </c>
      <c r="I438" t="s">
        <v>920</v>
      </c>
      <c r="J438" s="4">
        <v>46074.282731516207</v>
      </c>
    </row>
    <row r="439" spans="1:10" x14ac:dyDescent="0.55000000000000004">
      <c r="A439" t="s">
        <v>917</v>
      </c>
      <c r="B439">
        <v>100998</v>
      </c>
      <c r="C439" t="s">
        <v>248</v>
      </c>
      <c r="D439" s="3">
        <v>45874</v>
      </c>
      <c r="E439" t="s">
        <v>38</v>
      </c>
      <c r="F439" t="s">
        <v>918</v>
      </c>
      <c r="G439" t="s">
        <v>15</v>
      </c>
      <c r="H439" t="s">
        <v>919</v>
      </c>
      <c r="I439" t="s">
        <v>920</v>
      </c>
      <c r="J439" s="4">
        <v>46074.282731516207</v>
      </c>
    </row>
    <row r="440" spans="1:10" x14ac:dyDescent="0.55000000000000004">
      <c r="A440" t="s">
        <v>917</v>
      </c>
      <c r="B440">
        <v>100998</v>
      </c>
      <c r="C440" t="s">
        <v>248</v>
      </c>
      <c r="D440" s="3">
        <v>45874</v>
      </c>
      <c r="E440" t="s">
        <v>155</v>
      </c>
      <c r="F440" t="s">
        <v>918</v>
      </c>
      <c r="G440" t="s">
        <v>15</v>
      </c>
      <c r="H440" t="s">
        <v>919</v>
      </c>
      <c r="I440" t="s">
        <v>920</v>
      </c>
      <c r="J440" s="4">
        <v>46074.282731516207</v>
      </c>
    </row>
    <row r="441" spans="1:10" x14ac:dyDescent="0.55000000000000004">
      <c r="A441" t="s">
        <v>921</v>
      </c>
      <c r="B441">
        <v>101348</v>
      </c>
      <c r="C441" t="s">
        <v>248</v>
      </c>
      <c r="D441" s="3">
        <v>45966</v>
      </c>
      <c r="E441" t="s">
        <v>20</v>
      </c>
      <c r="F441" t="s">
        <v>922</v>
      </c>
      <c r="G441" t="s">
        <v>22</v>
      </c>
      <c r="H441" t="s">
        <v>923</v>
      </c>
      <c r="I441" t="s">
        <v>924</v>
      </c>
      <c r="J441" s="4">
        <v>46063.837592638891</v>
      </c>
    </row>
    <row r="442" spans="1:10" x14ac:dyDescent="0.55000000000000004">
      <c r="A442" t="s">
        <v>925</v>
      </c>
      <c r="B442">
        <v>100376</v>
      </c>
      <c r="C442" t="s">
        <v>68</v>
      </c>
      <c r="D442" s="3">
        <v>46037</v>
      </c>
      <c r="E442" t="s">
        <v>38</v>
      </c>
      <c r="F442" t="s">
        <v>926</v>
      </c>
      <c r="G442" t="s">
        <v>15</v>
      </c>
      <c r="H442" t="s">
        <v>927</v>
      </c>
      <c r="I442" t="s">
        <v>928</v>
      </c>
      <c r="J442" s="4">
        <v>46075.245925972224</v>
      </c>
    </row>
    <row r="443" spans="1:10" x14ac:dyDescent="0.55000000000000004">
      <c r="A443" t="s">
        <v>925</v>
      </c>
      <c r="B443">
        <v>100376</v>
      </c>
      <c r="C443" t="s">
        <v>68</v>
      </c>
      <c r="D443" s="3">
        <v>46037</v>
      </c>
      <c r="E443" t="s">
        <v>69</v>
      </c>
      <c r="F443" t="s">
        <v>926</v>
      </c>
      <c r="G443" t="s">
        <v>15</v>
      </c>
      <c r="H443" t="s">
        <v>927</v>
      </c>
      <c r="I443" t="s">
        <v>928</v>
      </c>
      <c r="J443" s="4">
        <v>46075.245925972224</v>
      </c>
    </row>
    <row r="444" spans="1:10" x14ac:dyDescent="0.55000000000000004">
      <c r="A444" t="s">
        <v>929</v>
      </c>
      <c r="B444">
        <v>101067</v>
      </c>
      <c r="C444" t="s">
        <v>179</v>
      </c>
      <c r="D444" s="3">
        <v>46048</v>
      </c>
      <c r="E444" t="s">
        <v>317</v>
      </c>
      <c r="F444" t="s">
        <v>930</v>
      </c>
      <c r="G444" t="s">
        <v>22</v>
      </c>
      <c r="H444" t="s">
        <v>931</v>
      </c>
      <c r="I444" t="s">
        <v>932</v>
      </c>
      <c r="J444" s="4">
        <v>46057.907037083336</v>
      </c>
    </row>
    <row r="445" spans="1:10" x14ac:dyDescent="0.55000000000000004">
      <c r="A445" t="s">
        <v>933</v>
      </c>
      <c r="B445">
        <v>101065</v>
      </c>
      <c r="C445" t="s">
        <v>37</v>
      </c>
      <c r="D445" s="3">
        <v>46076</v>
      </c>
      <c r="E445" t="s">
        <v>20</v>
      </c>
      <c r="F445" t="s">
        <v>934</v>
      </c>
      <c r="G445" t="s">
        <v>15</v>
      </c>
      <c r="H445" t="s">
        <v>935</v>
      </c>
      <c r="I445" t="s">
        <v>936</v>
      </c>
      <c r="J445" s="4">
        <v>46082.311898206019</v>
      </c>
    </row>
    <row r="446" spans="1:10" x14ac:dyDescent="0.55000000000000004">
      <c r="A446" t="s">
        <v>937</v>
      </c>
      <c r="B446">
        <v>100991</v>
      </c>
      <c r="C446" t="s">
        <v>533</v>
      </c>
      <c r="D446" s="3">
        <v>45825</v>
      </c>
      <c r="E446" t="s">
        <v>317</v>
      </c>
      <c r="F446" t="s">
        <v>938</v>
      </c>
      <c r="G446" t="s">
        <v>22</v>
      </c>
      <c r="H446" t="s">
        <v>939</v>
      </c>
      <c r="I446" t="s">
        <v>940</v>
      </c>
      <c r="J446" s="4">
        <v>46070.898009317127</v>
      </c>
    </row>
    <row r="447" spans="1:10" x14ac:dyDescent="0.55000000000000004">
      <c r="A447" t="s">
        <v>937</v>
      </c>
      <c r="B447">
        <v>100991</v>
      </c>
      <c r="C447" t="s">
        <v>533</v>
      </c>
      <c r="D447" s="3">
        <v>45825</v>
      </c>
      <c r="E447" t="s">
        <v>115</v>
      </c>
      <c r="F447" t="s">
        <v>938</v>
      </c>
      <c r="G447" t="s">
        <v>22</v>
      </c>
      <c r="H447" t="s">
        <v>939</v>
      </c>
      <c r="I447" t="s">
        <v>940</v>
      </c>
      <c r="J447" s="4">
        <v>46070.898009317127</v>
      </c>
    </row>
    <row r="448" spans="1:10" x14ac:dyDescent="0.55000000000000004">
      <c r="A448" t="s">
        <v>941</v>
      </c>
      <c r="B448">
        <v>101296</v>
      </c>
      <c r="C448" t="s">
        <v>533</v>
      </c>
      <c r="D448" s="3">
        <v>46026</v>
      </c>
      <c r="E448" t="s">
        <v>115</v>
      </c>
      <c r="F448" t="s">
        <v>942</v>
      </c>
      <c r="G448" t="s">
        <v>22</v>
      </c>
      <c r="H448" t="s">
        <v>943</v>
      </c>
      <c r="I448" t="s">
        <v>944</v>
      </c>
      <c r="J448" s="4">
        <v>46056.982037094909</v>
      </c>
    </row>
    <row r="449" spans="1:10" x14ac:dyDescent="0.55000000000000004">
      <c r="A449" t="s">
        <v>941</v>
      </c>
      <c r="B449">
        <v>101296</v>
      </c>
      <c r="C449" t="s">
        <v>533</v>
      </c>
      <c r="D449" s="3">
        <v>46026</v>
      </c>
      <c r="E449" t="s">
        <v>69</v>
      </c>
      <c r="F449" t="s">
        <v>942</v>
      </c>
      <c r="G449" t="s">
        <v>22</v>
      </c>
      <c r="H449" t="s">
        <v>943</v>
      </c>
      <c r="I449" t="s">
        <v>944</v>
      </c>
      <c r="J449" s="4">
        <v>46056.982037094909</v>
      </c>
    </row>
    <row r="450" spans="1:10" x14ac:dyDescent="0.55000000000000004">
      <c r="A450" t="s">
        <v>945</v>
      </c>
      <c r="B450">
        <v>100172</v>
      </c>
      <c r="C450" t="s">
        <v>533</v>
      </c>
      <c r="D450" s="3">
        <v>46016</v>
      </c>
      <c r="E450" t="s">
        <v>69</v>
      </c>
      <c r="F450" t="s">
        <v>946</v>
      </c>
      <c r="G450" t="s">
        <v>22</v>
      </c>
      <c r="H450" t="s">
        <v>947</v>
      </c>
      <c r="I450" t="s">
        <v>948</v>
      </c>
      <c r="J450" s="4">
        <v>46089.479953773145</v>
      </c>
    </row>
    <row r="451" spans="1:10" x14ac:dyDescent="0.55000000000000004">
      <c r="A451" t="s">
        <v>949</v>
      </c>
      <c r="B451">
        <v>100474</v>
      </c>
      <c r="C451" t="s">
        <v>68</v>
      </c>
      <c r="D451" s="3">
        <v>45962</v>
      </c>
      <c r="E451" t="s">
        <v>317</v>
      </c>
      <c r="F451" t="s">
        <v>950</v>
      </c>
      <c r="G451" t="s">
        <v>22</v>
      </c>
      <c r="H451" t="s">
        <v>951</v>
      </c>
      <c r="I451" t="s">
        <v>952</v>
      </c>
      <c r="J451" s="4">
        <v>46089.468842662034</v>
      </c>
    </row>
    <row r="452" spans="1:10" x14ac:dyDescent="0.55000000000000004">
      <c r="A452" t="s">
        <v>949</v>
      </c>
      <c r="B452">
        <v>100474</v>
      </c>
      <c r="C452" t="s">
        <v>68</v>
      </c>
      <c r="D452" s="3">
        <v>45962</v>
      </c>
      <c r="E452" t="s">
        <v>20</v>
      </c>
      <c r="F452" t="s">
        <v>950</v>
      </c>
      <c r="G452" t="s">
        <v>22</v>
      </c>
      <c r="H452" t="s">
        <v>951</v>
      </c>
      <c r="I452" t="s">
        <v>952</v>
      </c>
      <c r="J452" s="4">
        <v>46089.468842662034</v>
      </c>
    </row>
    <row r="453" spans="1:10" x14ac:dyDescent="0.55000000000000004">
      <c r="A453" t="s">
        <v>949</v>
      </c>
      <c r="B453">
        <v>100474</v>
      </c>
      <c r="C453" t="s">
        <v>68</v>
      </c>
      <c r="D453" s="3">
        <v>45962</v>
      </c>
      <c r="E453" t="s">
        <v>155</v>
      </c>
      <c r="F453" t="s">
        <v>950</v>
      </c>
      <c r="G453" t="s">
        <v>22</v>
      </c>
      <c r="H453" t="s">
        <v>951</v>
      </c>
      <c r="I453" t="s">
        <v>952</v>
      </c>
      <c r="J453" s="4">
        <v>46089.468842662034</v>
      </c>
    </row>
    <row r="454" spans="1:10" x14ac:dyDescent="0.55000000000000004">
      <c r="A454" t="s">
        <v>953</v>
      </c>
      <c r="B454">
        <v>100351</v>
      </c>
      <c r="C454" t="s">
        <v>179</v>
      </c>
      <c r="D454" s="3">
        <v>46019</v>
      </c>
      <c r="E454" t="s">
        <v>317</v>
      </c>
      <c r="F454" t="s">
        <v>954</v>
      </c>
      <c r="G454" t="s">
        <v>22</v>
      </c>
      <c r="H454" t="s">
        <v>955</v>
      </c>
      <c r="I454" t="s">
        <v>956</v>
      </c>
      <c r="J454" s="4">
        <v>46071.114676006946</v>
      </c>
    </row>
    <row r="455" spans="1:10" x14ac:dyDescent="0.55000000000000004">
      <c r="A455" t="s">
        <v>953</v>
      </c>
      <c r="B455">
        <v>100351</v>
      </c>
      <c r="C455" t="s">
        <v>179</v>
      </c>
      <c r="D455" s="3">
        <v>46019</v>
      </c>
      <c r="E455" t="s">
        <v>38</v>
      </c>
      <c r="F455" t="s">
        <v>954</v>
      </c>
      <c r="G455" t="s">
        <v>22</v>
      </c>
      <c r="H455" t="s">
        <v>955</v>
      </c>
      <c r="I455" t="s">
        <v>956</v>
      </c>
      <c r="J455" s="4">
        <v>46071.114676006946</v>
      </c>
    </row>
    <row r="456" spans="1:10" x14ac:dyDescent="0.55000000000000004">
      <c r="A456" t="s">
        <v>953</v>
      </c>
      <c r="B456">
        <v>100351</v>
      </c>
      <c r="C456" t="s">
        <v>179</v>
      </c>
      <c r="D456" s="3">
        <v>46019</v>
      </c>
      <c r="E456" t="s">
        <v>69</v>
      </c>
      <c r="F456" t="s">
        <v>954</v>
      </c>
      <c r="G456" t="s">
        <v>22</v>
      </c>
      <c r="H456" t="s">
        <v>955</v>
      </c>
      <c r="I456" t="s">
        <v>956</v>
      </c>
      <c r="J456" s="4">
        <v>46071.114676006946</v>
      </c>
    </row>
    <row r="457" spans="1:10" x14ac:dyDescent="0.55000000000000004">
      <c r="A457" t="s">
        <v>957</v>
      </c>
      <c r="B457">
        <v>100057</v>
      </c>
      <c r="C457" t="s">
        <v>19</v>
      </c>
      <c r="D457" s="3">
        <v>45817</v>
      </c>
      <c r="E457" t="s">
        <v>38</v>
      </c>
      <c r="F457" t="s">
        <v>958</v>
      </c>
      <c r="G457" t="s">
        <v>15</v>
      </c>
      <c r="H457" t="s">
        <v>959</v>
      </c>
      <c r="I457" t="s">
        <v>960</v>
      </c>
      <c r="J457" s="4">
        <v>46083.330648229166</v>
      </c>
    </row>
    <row r="458" spans="1:10" x14ac:dyDescent="0.55000000000000004">
      <c r="A458" t="s">
        <v>451</v>
      </c>
      <c r="B458">
        <v>101276</v>
      </c>
      <c r="C458" t="s">
        <v>37</v>
      </c>
      <c r="D458" s="3">
        <v>45872</v>
      </c>
      <c r="E458" t="s">
        <v>38</v>
      </c>
      <c r="F458" t="s">
        <v>961</v>
      </c>
      <c r="G458" t="s">
        <v>22</v>
      </c>
      <c r="H458" t="s">
        <v>962</v>
      </c>
      <c r="I458" t="s">
        <v>963</v>
      </c>
      <c r="J458" s="4">
        <v>46087.095926006943</v>
      </c>
    </row>
    <row r="459" spans="1:10" x14ac:dyDescent="0.55000000000000004">
      <c r="A459" t="s">
        <v>964</v>
      </c>
      <c r="B459">
        <v>100036</v>
      </c>
      <c r="C459" t="s">
        <v>19</v>
      </c>
      <c r="D459" s="3">
        <v>46112</v>
      </c>
      <c r="E459" t="s">
        <v>317</v>
      </c>
      <c r="F459" t="s">
        <v>965</v>
      </c>
      <c r="G459" t="s">
        <v>15</v>
      </c>
      <c r="H459" t="s">
        <v>966</v>
      </c>
      <c r="I459" t="s">
        <v>967</v>
      </c>
      <c r="J459" s="4">
        <v>46061.584120462961</v>
      </c>
    </row>
    <row r="460" spans="1:10" x14ac:dyDescent="0.55000000000000004">
      <c r="A460" t="s">
        <v>964</v>
      </c>
      <c r="B460">
        <v>100036</v>
      </c>
      <c r="C460" t="s">
        <v>19</v>
      </c>
      <c r="D460" s="3">
        <v>46112</v>
      </c>
      <c r="E460" t="s">
        <v>38</v>
      </c>
      <c r="F460" t="s">
        <v>965</v>
      </c>
      <c r="G460" t="s">
        <v>15</v>
      </c>
      <c r="H460" t="s">
        <v>966</v>
      </c>
      <c r="I460" t="s">
        <v>967</v>
      </c>
      <c r="J460" s="4">
        <v>46061.584120462961</v>
      </c>
    </row>
    <row r="461" spans="1:10" x14ac:dyDescent="0.55000000000000004">
      <c r="A461" t="s">
        <v>968</v>
      </c>
      <c r="B461">
        <v>100795</v>
      </c>
      <c r="C461" t="s">
        <v>248</v>
      </c>
      <c r="D461" s="3">
        <v>46128</v>
      </c>
      <c r="E461" t="s">
        <v>38</v>
      </c>
      <c r="F461" t="s">
        <v>969</v>
      </c>
      <c r="G461" t="s">
        <v>22</v>
      </c>
      <c r="H461" t="s">
        <v>970</v>
      </c>
      <c r="I461" t="s">
        <v>971</v>
      </c>
      <c r="J461" s="4">
        <v>46063.435509351853</v>
      </c>
    </row>
    <row r="462" spans="1:10" x14ac:dyDescent="0.55000000000000004">
      <c r="A462" t="s">
        <v>968</v>
      </c>
      <c r="B462">
        <v>100795</v>
      </c>
      <c r="C462" t="s">
        <v>248</v>
      </c>
      <c r="D462" s="3">
        <v>46128</v>
      </c>
      <c r="E462" t="s">
        <v>20</v>
      </c>
      <c r="F462" t="s">
        <v>969</v>
      </c>
      <c r="G462" t="s">
        <v>22</v>
      </c>
      <c r="H462" t="s">
        <v>970</v>
      </c>
      <c r="I462" t="s">
        <v>971</v>
      </c>
      <c r="J462" s="4">
        <v>46063.435509351853</v>
      </c>
    </row>
    <row r="463" spans="1:10" x14ac:dyDescent="0.55000000000000004">
      <c r="A463" t="s">
        <v>968</v>
      </c>
      <c r="B463">
        <v>100795</v>
      </c>
      <c r="C463" t="s">
        <v>248</v>
      </c>
      <c r="D463" s="3">
        <v>46128</v>
      </c>
      <c r="E463" t="s">
        <v>155</v>
      </c>
      <c r="F463" t="s">
        <v>969</v>
      </c>
      <c r="G463" t="s">
        <v>22</v>
      </c>
      <c r="H463" t="s">
        <v>970</v>
      </c>
      <c r="I463" t="s">
        <v>971</v>
      </c>
      <c r="J463" s="4">
        <v>46063.435509351853</v>
      </c>
    </row>
    <row r="464" spans="1:10" x14ac:dyDescent="0.55000000000000004">
      <c r="A464" t="s">
        <v>972</v>
      </c>
      <c r="B464">
        <v>100381</v>
      </c>
      <c r="C464" t="s">
        <v>179</v>
      </c>
      <c r="D464" s="3">
        <v>45784</v>
      </c>
      <c r="E464" t="s">
        <v>317</v>
      </c>
      <c r="F464" t="s">
        <v>973</v>
      </c>
      <c r="G464" t="s">
        <v>15</v>
      </c>
      <c r="H464" t="s">
        <v>974</v>
      </c>
      <c r="I464" t="s">
        <v>975</v>
      </c>
      <c r="J464" s="4">
        <v>46069.372314918983</v>
      </c>
    </row>
    <row r="465" spans="1:10" x14ac:dyDescent="0.55000000000000004">
      <c r="A465" t="s">
        <v>972</v>
      </c>
      <c r="B465">
        <v>100381</v>
      </c>
      <c r="C465" t="s">
        <v>179</v>
      </c>
      <c r="D465" s="3">
        <v>45784</v>
      </c>
      <c r="E465" t="s">
        <v>20</v>
      </c>
      <c r="F465" t="s">
        <v>973</v>
      </c>
      <c r="G465" t="s">
        <v>15</v>
      </c>
      <c r="H465" t="s">
        <v>974</v>
      </c>
      <c r="I465" t="s">
        <v>975</v>
      </c>
      <c r="J465" s="4">
        <v>46069.372314918983</v>
      </c>
    </row>
    <row r="466" spans="1:10" x14ac:dyDescent="0.55000000000000004">
      <c r="A466" t="s">
        <v>972</v>
      </c>
      <c r="B466">
        <v>100381</v>
      </c>
      <c r="C466" t="s">
        <v>179</v>
      </c>
      <c r="D466" s="3">
        <v>45784</v>
      </c>
      <c r="E466" t="s">
        <v>115</v>
      </c>
      <c r="F466" t="s">
        <v>973</v>
      </c>
      <c r="G466" t="s">
        <v>15</v>
      </c>
      <c r="H466" t="s">
        <v>974</v>
      </c>
      <c r="I466" t="s">
        <v>975</v>
      </c>
      <c r="J466" s="4">
        <v>46069.372314918983</v>
      </c>
    </row>
    <row r="467" spans="1:10" x14ac:dyDescent="0.55000000000000004">
      <c r="A467" t="s">
        <v>976</v>
      </c>
      <c r="B467">
        <v>101094</v>
      </c>
      <c r="C467" t="s">
        <v>68</v>
      </c>
      <c r="D467" s="3">
        <v>46150</v>
      </c>
      <c r="E467" t="s">
        <v>69</v>
      </c>
      <c r="F467" t="s">
        <v>977</v>
      </c>
      <c r="G467" t="s">
        <v>15</v>
      </c>
      <c r="H467" t="s">
        <v>978</v>
      </c>
      <c r="I467" t="s">
        <v>979</v>
      </c>
      <c r="J467" s="4">
        <v>46082.448009363427</v>
      </c>
    </row>
    <row r="468" spans="1:10" x14ac:dyDescent="0.55000000000000004">
      <c r="A468" t="s">
        <v>980</v>
      </c>
      <c r="B468">
        <v>101003</v>
      </c>
      <c r="C468" t="s">
        <v>19</v>
      </c>
      <c r="D468" s="3">
        <v>46084</v>
      </c>
      <c r="E468" t="s">
        <v>317</v>
      </c>
      <c r="F468" t="s">
        <v>981</v>
      </c>
      <c r="G468" t="s">
        <v>22</v>
      </c>
      <c r="H468" t="s">
        <v>982</v>
      </c>
      <c r="I468" t="s">
        <v>983</v>
      </c>
      <c r="J468" s="4">
        <v>46086.87023158565</v>
      </c>
    </row>
    <row r="469" spans="1:10" x14ac:dyDescent="0.55000000000000004">
      <c r="A469" t="s">
        <v>980</v>
      </c>
      <c r="B469">
        <v>101003</v>
      </c>
      <c r="C469" t="s">
        <v>19</v>
      </c>
      <c r="D469" s="3">
        <v>46084</v>
      </c>
      <c r="E469" t="s">
        <v>38</v>
      </c>
      <c r="F469" t="s">
        <v>981</v>
      </c>
      <c r="G469" t="s">
        <v>22</v>
      </c>
      <c r="H469" t="s">
        <v>982</v>
      </c>
      <c r="I469" t="s">
        <v>983</v>
      </c>
      <c r="J469" s="4">
        <v>46086.87023158565</v>
      </c>
    </row>
    <row r="470" spans="1:10" x14ac:dyDescent="0.55000000000000004">
      <c r="A470" t="s">
        <v>984</v>
      </c>
      <c r="B470">
        <v>100992</v>
      </c>
      <c r="C470" t="s">
        <v>533</v>
      </c>
      <c r="D470" s="3">
        <v>46133</v>
      </c>
      <c r="E470" t="s">
        <v>115</v>
      </c>
      <c r="F470" t="s">
        <v>985</v>
      </c>
      <c r="G470" t="s">
        <v>15</v>
      </c>
      <c r="H470" t="s">
        <v>986</v>
      </c>
      <c r="I470" t="s">
        <v>987</v>
      </c>
      <c r="J470" s="4">
        <v>46061.247314930559</v>
      </c>
    </row>
    <row r="471" spans="1:10" x14ac:dyDescent="0.55000000000000004">
      <c r="A471" t="s">
        <v>988</v>
      </c>
      <c r="B471">
        <v>100531</v>
      </c>
      <c r="C471" t="s">
        <v>19</v>
      </c>
      <c r="D471" s="3">
        <v>45875</v>
      </c>
      <c r="E471" t="s">
        <v>38</v>
      </c>
      <c r="F471" t="s">
        <v>989</v>
      </c>
      <c r="G471" t="s">
        <v>22</v>
      </c>
      <c r="H471" t="s">
        <v>990</v>
      </c>
      <c r="I471" t="s">
        <v>991</v>
      </c>
      <c r="J471" s="4">
        <v>46078.932037152779</v>
      </c>
    </row>
    <row r="472" spans="1:10" x14ac:dyDescent="0.55000000000000004">
      <c r="A472" t="s">
        <v>988</v>
      </c>
      <c r="B472">
        <v>100531</v>
      </c>
      <c r="C472" t="s">
        <v>19</v>
      </c>
      <c r="D472" s="3">
        <v>45875</v>
      </c>
      <c r="E472" t="s">
        <v>20</v>
      </c>
      <c r="F472" t="s">
        <v>989</v>
      </c>
      <c r="G472" t="s">
        <v>22</v>
      </c>
      <c r="H472" t="s">
        <v>990</v>
      </c>
      <c r="I472" t="s">
        <v>991</v>
      </c>
      <c r="J472" s="4">
        <v>46078.932037152779</v>
      </c>
    </row>
    <row r="473" spans="1:10" x14ac:dyDescent="0.55000000000000004">
      <c r="A473" t="s">
        <v>988</v>
      </c>
      <c r="B473">
        <v>100531</v>
      </c>
      <c r="C473" t="s">
        <v>19</v>
      </c>
      <c r="D473" s="3">
        <v>45875</v>
      </c>
      <c r="E473" t="s">
        <v>115</v>
      </c>
      <c r="F473" t="s">
        <v>989</v>
      </c>
      <c r="G473" t="s">
        <v>22</v>
      </c>
      <c r="H473" t="s">
        <v>990</v>
      </c>
      <c r="I473" t="s">
        <v>991</v>
      </c>
      <c r="J473" s="4">
        <v>46078.932037152779</v>
      </c>
    </row>
    <row r="474" spans="1:10" x14ac:dyDescent="0.55000000000000004">
      <c r="A474" t="s">
        <v>992</v>
      </c>
      <c r="B474">
        <v>100916</v>
      </c>
      <c r="C474" t="s">
        <v>248</v>
      </c>
      <c r="D474" s="3">
        <v>45995</v>
      </c>
      <c r="E474" t="s">
        <v>155</v>
      </c>
      <c r="F474" t="s">
        <v>993</v>
      </c>
      <c r="G474" t="s">
        <v>15</v>
      </c>
      <c r="H474" t="s">
        <v>994</v>
      </c>
      <c r="I474" t="s">
        <v>995</v>
      </c>
      <c r="J474" s="4">
        <v>46079.813287164354</v>
      </c>
    </row>
    <row r="475" spans="1:10" x14ac:dyDescent="0.55000000000000004">
      <c r="A475" t="s">
        <v>992</v>
      </c>
      <c r="B475">
        <v>100916</v>
      </c>
      <c r="C475" t="s">
        <v>248</v>
      </c>
      <c r="D475" s="3">
        <v>45995</v>
      </c>
      <c r="E475" t="s">
        <v>115</v>
      </c>
      <c r="F475" t="s">
        <v>993</v>
      </c>
      <c r="G475" t="s">
        <v>15</v>
      </c>
      <c r="H475" t="s">
        <v>994</v>
      </c>
      <c r="I475" t="s">
        <v>995</v>
      </c>
      <c r="J475" s="4">
        <v>46079.813287164354</v>
      </c>
    </row>
    <row r="476" spans="1:10" x14ac:dyDescent="0.55000000000000004">
      <c r="A476" t="s">
        <v>992</v>
      </c>
      <c r="B476">
        <v>100916</v>
      </c>
      <c r="C476" t="s">
        <v>248</v>
      </c>
      <c r="D476" s="3">
        <v>45995</v>
      </c>
      <c r="E476" t="s">
        <v>69</v>
      </c>
      <c r="F476" t="s">
        <v>993</v>
      </c>
      <c r="G476" t="s">
        <v>15</v>
      </c>
      <c r="H476" t="s">
        <v>994</v>
      </c>
      <c r="I476" t="s">
        <v>995</v>
      </c>
      <c r="J476" s="4">
        <v>46079.813287164354</v>
      </c>
    </row>
    <row r="477" spans="1:10" x14ac:dyDescent="0.55000000000000004">
      <c r="A477" t="s">
        <v>996</v>
      </c>
      <c r="B477">
        <v>100252</v>
      </c>
      <c r="C477" t="s">
        <v>533</v>
      </c>
      <c r="D477" s="3">
        <v>46091</v>
      </c>
      <c r="E477" t="s">
        <v>115</v>
      </c>
      <c r="F477" t="s">
        <v>997</v>
      </c>
      <c r="G477" t="s">
        <v>15</v>
      </c>
      <c r="H477" t="s">
        <v>998</v>
      </c>
      <c r="I477" t="s">
        <v>999</v>
      </c>
      <c r="J477" s="4">
        <v>46052.288287164352</v>
      </c>
    </row>
    <row r="478" spans="1:10" x14ac:dyDescent="0.55000000000000004">
      <c r="A478" t="s">
        <v>708</v>
      </c>
      <c r="B478">
        <v>100673</v>
      </c>
      <c r="C478" t="s">
        <v>248</v>
      </c>
      <c r="D478" s="3">
        <v>46121</v>
      </c>
      <c r="E478" t="s">
        <v>317</v>
      </c>
      <c r="F478" t="s">
        <v>1000</v>
      </c>
      <c r="G478" t="s">
        <v>22</v>
      </c>
      <c r="H478" t="s">
        <v>1001</v>
      </c>
      <c r="I478" t="s">
        <v>1002</v>
      </c>
      <c r="J478" s="4">
        <v>46057.157037164354</v>
      </c>
    </row>
    <row r="479" spans="1:10" x14ac:dyDescent="0.55000000000000004">
      <c r="A479" t="s">
        <v>708</v>
      </c>
      <c r="B479">
        <v>100673</v>
      </c>
      <c r="C479" t="s">
        <v>248</v>
      </c>
      <c r="D479" s="3">
        <v>46121</v>
      </c>
      <c r="E479" t="s">
        <v>115</v>
      </c>
      <c r="F479" t="s">
        <v>1000</v>
      </c>
      <c r="G479" t="s">
        <v>22</v>
      </c>
      <c r="H479" t="s">
        <v>1001</v>
      </c>
      <c r="I479" t="s">
        <v>1002</v>
      </c>
      <c r="J479" s="4">
        <v>46057.157037164354</v>
      </c>
    </row>
    <row r="480" spans="1:10" x14ac:dyDescent="0.55000000000000004">
      <c r="A480" t="s">
        <v>708</v>
      </c>
      <c r="B480">
        <v>100673</v>
      </c>
      <c r="C480" t="s">
        <v>248</v>
      </c>
      <c r="D480" s="3">
        <v>46121</v>
      </c>
      <c r="E480" t="s">
        <v>69</v>
      </c>
      <c r="F480" t="s">
        <v>1000</v>
      </c>
      <c r="G480" t="s">
        <v>22</v>
      </c>
      <c r="H480" t="s">
        <v>1001</v>
      </c>
      <c r="I480" t="s">
        <v>1002</v>
      </c>
      <c r="J480" s="4">
        <v>46057.157037164354</v>
      </c>
    </row>
    <row r="481" spans="1:11" x14ac:dyDescent="0.55000000000000004">
      <c r="A481" t="s">
        <v>1003</v>
      </c>
      <c r="B481">
        <v>101464</v>
      </c>
      <c r="C481" t="s">
        <v>179</v>
      </c>
      <c r="D481" s="3">
        <v>45963</v>
      </c>
      <c r="E481" t="s">
        <v>317</v>
      </c>
      <c r="F481" t="s">
        <v>1004</v>
      </c>
      <c r="G481" t="s">
        <v>15</v>
      </c>
      <c r="H481" t="s">
        <v>1005</v>
      </c>
      <c r="I481" t="s">
        <v>1006</v>
      </c>
      <c r="J481" s="4">
        <v>46072.013287175927</v>
      </c>
    </row>
    <row r="482" spans="1:11" x14ac:dyDescent="0.55000000000000004">
      <c r="A482" t="s">
        <v>1007</v>
      </c>
      <c r="B482">
        <v>100827</v>
      </c>
      <c r="C482" t="s">
        <v>248</v>
      </c>
      <c r="D482" s="3">
        <v>46087</v>
      </c>
      <c r="E482" t="s">
        <v>317</v>
      </c>
      <c r="F482" t="s">
        <v>1008</v>
      </c>
      <c r="G482" t="s">
        <v>22</v>
      </c>
      <c r="H482" t="s">
        <v>1009</v>
      </c>
      <c r="I482" t="s">
        <v>1010</v>
      </c>
      <c r="J482" s="4">
        <v>46060.742453842591</v>
      </c>
    </row>
    <row r="483" spans="1:11" x14ac:dyDescent="0.55000000000000004">
      <c r="A483" t="s">
        <v>1007</v>
      </c>
      <c r="B483">
        <v>100827</v>
      </c>
      <c r="C483" t="s">
        <v>248</v>
      </c>
      <c r="D483" s="3">
        <v>46087</v>
      </c>
      <c r="E483" t="s">
        <v>69</v>
      </c>
      <c r="F483" t="s">
        <v>1008</v>
      </c>
      <c r="G483" t="s">
        <v>22</v>
      </c>
      <c r="H483" t="s">
        <v>1009</v>
      </c>
      <c r="I483" t="s">
        <v>1010</v>
      </c>
      <c r="J483" s="4">
        <v>46060.742453842591</v>
      </c>
    </row>
    <row r="484" spans="1:11" x14ac:dyDescent="0.55000000000000004">
      <c r="A484" t="s">
        <v>1011</v>
      </c>
      <c r="B484">
        <v>101142</v>
      </c>
      <c r="C484" t="s">
        <v>37</v>
      </c>
      <c r="D484" s="3">
        <v>46106</v>
      </c>
      <c r="E484" t="s">
        <v>317</v>
      </c>
      <c r="F484" t="s">
        <v>1012</v>
      </c>
      <c r="G484" t="s">
        <v>15</v>
      </c>
      <c r="H484" t="s">
        <v>1013</v>
      </c>
      <c r="I484" t="s">
        <v>1014</v>
      </c>
      <c r="J484" s="4">
        <v>46063.180648298614</v>
      </c>
    </row>
    <row r="485" spans="1:11" x14ac:dyDescent="0.55000000000000004">
      <c r="A485" t="s">
        <v>1011</v>
      </c>
      <c r="B485">
        <v>101142</v>
      </c>
      <c r="C485" t="s">
        <v>37</v>
      </c>
      <c r="D485" s="3">
        <v>46106</v>
      </c>
      <c r="E485" t="s">
        <v>20</v>
      </c>
      <c r="F485" t="s">
        <v>1012</v>
      </c>
      <c r="G485" t="s">
        <v>15</v>
      </c>
      <c r="H485" t="s">
        <v>1013</v>
      </c>
      <c r="I485" t="s">
        <v>1014</v>
      </c>
      <c r="J485" s="4">
        <v>46063.180648298614</v>
      </c>
    </row>
    <row r="486" spans="1:11" x14ac:dyDescent="0.55000000000000004">
      <c r="A486" t="s">
        <v>1015</v>
      </c>
      <c r="B486">
        <v>100874</v>
      </c>
      <c r="C486" t="s">
        <v>248</v>
      </c>
      <c r="D486" s="3">
        <v>45951</v>
      </c>
      <c r="E486" t="s">
        <v>69</v>
      </c>
      <c r="F486" t="s">
        <v>1016</v>
      </c>
      <c r="G486" t="s">
        <v>22</v>
      </c>
      <c r="H486" t="s">
        <v>1017</v>
      </c>
      <c r="I486" t="s">
        <v>1018</v>
      </c>
      <c r="J486" s="4">
        <v>46077.343148298613</v>
      </c>
    </row>
    <row r="487" spans="1:11" x14ac:dyDescent="0.55000000000000004">
      <c r="A487" t="s">
        <v>1019</v>
      </c>
      <c r="B487">
        <v>100738</v>
      </c>
      <c r="C487" t="s">
        <v>68</v>
      </c>
      <c r="D487" s="3">
        <v>46012</v>
      </c>
      <c r="E487" t="s">
        <v>38</v>
      </c>
      <c r="F487" t="s">
        <v>1020</v>
      </c>
      <c r="G487" t="s">
        <v>22</v>
      </c>
      <c r="H487" t="s">
        <v>1021</v>
      </c>
      <c r="I487" t="s">
        <v>1022</v>
      </c>
      <c r="J487" s="4">
        <v>46054.677176076388</v>
      </c>
    </row>
    <row r="488" spans="1:11" x14ac:dyDescent="0.55000000000000004">
      <c r="A488" t="s">
        <v>1019</v>
      </c>
      <c r="B488">
        <v>100738</v>
      </c>
      <c r="C488" t="s">
        <v>68</v>
      </c>
      <c r="D488" s="3">
        <v>46012</v>
      </c>
      <c r="E488" t="s">
        <v>115</v>
      </c>
      <c r="F488" t="s">
        <v>1020</v>
      </c>
      <c r="G488" t="s">
        <v>22</v>
      </c>
      <c r="H488" t="s">
        <v>1021</v>
      </c>
      <c r="I488" t="s">
        <v>1022</v>
      </c>
      <c r="J488" s="4">
        <v>46054.677176076388</v>
      </c>
    </row>
    <row r="489" spans="1:11" x14ac:dyDescent="0.55000000000000004">
      <c r="A489" t="s">
        <v>1019</v>
      </c>
      <c r="B489">
        <v>100738</v>
      </c>
      <c r="C489" t="s">
        <v>68</v>
      </c>
      <c r="D489" s="3">
        <v>46012</v>
      </c>
      <c r="E489" t="s">
        <v>69</v>
      </c>
      <c r="F489" t="s">
        <v>1020</v>
      </c>
      <c r="G489" t="s">
        <v>22</v>
      </c>
      <c r="H489" t="s">
        <v>1021</v>
      </c>
      <c r="I489" t="s">
        <v>1022</v>
      </c>
      <c r="J489" s="4">
        <v>46054.677176076388</v>
      </c>
    </row>
    <row r="490" spans="1:11" x14ac:dyDescent="0.55000000000000004">
      <c r="A490" t="s">
        <v>1023</v>
      </c>
      <c r="B490">
        <v>101297</v>
      </c>
      <c r="C490" t="s">
        <v>37</v>
      </c>
      <c r="D490" s="3">
        <v>45782</v>
      </c>
      <c r="E490" t="s">
        <v>38</v>
      </c>
      <c r="F490" t="s">
        <v>1024</v>
      </c>
      <c r="G490" t="s">
        <v>15</v>
      </c>
      <c r="H490" t="s">
        <v>1025</v>
      </c>
      <c r="I490" t="s">
        <v>1026</v>
      </c>
      <c r="J490" s="4">
        <v>46069.097314976854</v>
      </c>
    </row>
    <row r="491" spans="1:11" x14ac:dyDescent="0.55000000000000004">
      <c r="A491" t="s">
        <v>1023</v>
      </c>
      <c r="B491">
        <v>101297</v>
      </c>
      <c r="C491" t="s">
        <v>37</v>
      </c>
      <c r="D491" s="3">
        <v>45782</v>
      </c>
      <c r="E491" t="s">
        <v>155</v>
      </c>
      <c r="F491" t="s">
        <v>1024</v>
      </c>
      <c r="G491" t="s">
        <v>15</v>
      </c>
      <c r="H491" t="s">
        <v>1025</v>
      </c>
      <c r="I491" t="s">
        <v>1026</v>
      </c>
      <c r="J491" s="4">
        <v>46069.097314976854</v>
      </c>
    </row>
    <row r="492" spans="1:11" x14ac:dyDescent="0.55000000000000004">
      <c r="A492" t="s">
        <v>1023</v>
      </c>
      <c r="B492">
        <v>101297</v>
      </c>
      <c r="C492" t="s">
        <v>37</v>
      </c>
      <c r="D492" s="3">
        <v>45782</v>
      </c>
      <c r="E492" t="s">
        <v>69</v>
      </c>
      <c r="F492" t="s">
        <v>1024</v>
      </c>
      <c r="G492" t="s">
        <v>15</v>
      </c>
      <c r="H492" t="s">
        <v>1025</v>
      </c>
      <c r="I492" t="s">
        <v>1026</v>
      </c>
      <c r="J492" s="4">
        <v>46069.097314976854</v>
      </c>
    </row>
    <row r="493" spans="1:11" x14ac:dyDescent="0.55000000000000004">
      <c r="A493" t="s">
        <v>1027</v>
      </c>
      <c r="C493" t="s">
        <v>37</v>
      </c>
      <c r="D493" s="3">
        <v>45951</v>
      </c>
      <c r="E493" t="s">
        <v>317</v>
      </c>
      <c r="F493" t="s">
        <v>1028</v>
      </c>
      <c r="G493" t="s">
        <v>15</v>
      </c>
      <c r="H493" t="s">
        <v>1029</v>
      </c>
      <c r="I493" t="s">
        <v>1030</v>
      </c>
      <c r="J493" s="4">
        <v>46056.316759421294</v>
      </c>
      <c r="K493" t="s">
        <v>112</v>
      </c>
    </row>
    <row r="494" spans="1:11" x14ac:dyDescent="0.55000000000000004">
      <c r="A494" t="s">
        <v>1031</v>
      </c>
      <c r="B494">
        <v>100179</v>
      </c>
      <c r="C494" t="s">
        <v>533</v>
      </c>
      <c r="D494" s="3">
        <v>45872</v>
      </c>
      <c r="E494" t="s">
        <v>317</v>
      </c>
      <c r="F494" t="s">
        <v>1032</v>
      </c>
      <c r="G494" t="s">
        <v>22</v>
      </c>
      <c r="H494" t="s">
        <v>1033</v>
      </c>
      <c r="I494" t="s">
        <v>1034</v>
      </c>
      <c r="J494" s="4">
        <v>46081.62925943287</v>
      </c>
      <c r="K494" t="s">
        <v>139</v>
      </c>
    </row>
    <row r="495" spans="1:11" x14ac:dyDescent="0.55000000000000004">
      <c r="A495" t="s">
        <v>1035</v>
      </c>
      <c r="B495">
        <v>100485</v>
      </c>
      <c r="C495" t="s">
        <v>68</v>
      </c>
      <c r="D495" s="3">
        <v>46072</v>
      </c>
      <c r="E495" t="s">
        <v>155</v>
      </c>
      <c r="F495" t="s">
        <v>1036</v>
      </c>
      <c r="G495" t="s">
        <v>22</v>
      </c>
      <c r="H495" t="s">
        <v>1037</v>
      </c>
      <c r="I495" t="s">
        <v>1038</v>
      </c>
      <c r="J495" s="4">
        <v>46053.413287210649</v>
      </c>
    </row>
    <row r="496" spans="1:11" x14ac:dyDescent="0.55000000000000004">
      <c r="A496" t="s">
        <v>1035</v>
      </c>
      <c r="B496">
        <v>100485</v>
      </c>
      <c r="C496" t="s">
        <v>68</v>
      </c>
      <c r="D496" s="3">
        <v>46072</v>
      </c>
      <c r="E496" t="s">
        <v>115</v>
      </c>
      <c r="F496" t="s">
        <v>1036</v>
      </c>
      <c r="G496" t="s">
        <v>22</v>
      </c>
      <c r="H496" t="s">
        <v>1037</v>
      </c>
      <c r="I496" t="s">
        <v>1038</v>
      </c>
      <c r="J496" s="4">
        <v>46053.413287210649</v>
      </c>
    </row>
    <row r="497" spans="1:11" x14ac:dyDescent="0.55000000000000004">
      <c r="A497" t="s">
        <v>1035</v>
      </c>
      <c r="B497">
        <v>100485</v>
      </c>
      <c r="C497" t="s">
        <v>68</v>
      </c>
      <c r="D497" s="3">
        <v>46072</v>
      </c>
      <c r="E497" t="s">
        <v>69</v>
      </c>
      <c r="F497" t="s">
        <v>1036</v>
      </c>
      <c r="G497" t="s">
        <v>22</v>
      </c>
      <c r="H497" t="s">
        <v>1037</v>
      </c>
      <c r="I497" t="s">
        <v>1038</v>
      </c>
      <c r="J497" s="4">
        <v>46053.413287210649</v>
      </c>
    </row>
    <row r="498" spans="1:11" x14ac:dyDescent="0.55000000000000004">
      <c r="A498" t="s">
        <v>1039</v>
      </c>
      <c r="B498">
        <v>100657</v>
      </c>
      <c r="C498" t="s">
        <v>179</v>
      </c>
      <c r="D498" s="3">
        <v>46067</v>
      </c>
      <c r="E498" t="s">
        <v>317</v>
      </c>
      <c r="F498" t="s">
        <v>1040</v>
      </c>
      <c r="G498" t="s">
        <v>15</v>
      </c>
      <c r="H498" t="s">
        <v>1041</v>
      </c>
      <c r="I498" t="s">
        <v>1042</v>
      </c>
      <c r="J498" s="4">
        <v>46097.442453877316</v>
      </c>
    </row>
    <row r="499" spans="1:11" x14ac:dyDescent="0.55000000000000004">
      <c r="A499" t="s">
        <v>1043</v>
      </c>
      <c r="B499">
        <v>100915</v>
      </c>
      <c r="C499" t="s">
        <v>19</v>
      </c>
      <c r="D499" s="3">
        <v>45771</v>
      </c>
      <c r="E499" t="s">
        <v>38</v>
      </c>
      <c r="F499" t="s">
        <v>1044</v>
      </c>
      <c r="G499" t="s">
        <v>15</v>
      </c>
      <c r="H499" t="s">
        <v>1045</v>
      </c>
      <c r="I499" t="s">
        <v>1046</v>
      </c>
      <c r="J499" s="4">
        <v>46063.779259444447</v>
      </c>
    </row>
    <row r="500" spans="1:11" x14ac:dyDescent="0.55000000000000004">
      <c r="A500" t="s">
        <v>1047</v>
      </c>
      <c r="B500">
        <v>100766</v>
      </c>
      <c r="C500" t="s">
        <v>179</v>
      </c>
      <c r="D500" s="3">
        <v>45736</v>
      </c>
      <c r="E500" t="s">
        <v>317</v>
      </c>
      <c r="F500" t="s">
        <v>1048</v>
      </c>
      <c r="G500" t="s">
        <v>22</v>
      </c>
      <c r="H500" t="s">
        <v>1049</v>
      </c>
      <c r="I500" t="s">
        <v>1050</v>
      </c>
      <c r="J500" s="4">
        <v>46090.145926111109</v>
      </c>
    </row>
    <row r="501" spans="1:11" x14ac:dyDescent="0.55000000000000004">
      <c r="A501" t="s">
        <v>1051</v>
      </c>
      <c r="B501">
        <v>100814</v>
      </c>
      <c r="C501" t="s">
        <v>533</v>
      </c>
      <c r="D501" s="3">
        <v>45976</v>
      </c>
      <c r="E501" t="s">
        <v>115</v>
      </c>
      <c r="F501" t="s">
        <v>1052</v>
      </c>
      <c r="G501" t="s">
        <v>22</v>
      </c>
      <c r="H501" t="s">
        <v>1053</v>
      </c>
      <c r="I501" t="s">
        <v>1054</v>
      </c>
      <c r="J501" s="4">
        <v>46092.600787233794</v>
      </c>
    </row>
    <row r="502" spans="1:11" x14ac:dyDescent="0.55000000000000004">
      <c r="A502" t="s">
        <v>1055</v>
      </c>
      <c r="B502">
        <v>100830</v>
      </c>
      <c r="C502" t="s">
        <v>533</v>
      </c>
      <c r="D502" s="3">
        <v>45892</v>
      </c>
      <c r="E502" t="s">
        <v>20</v>
      </c>
      <c r="F502" t="s">
        <v>1056</v>
      </c>
      <c r="G502" t="s">
        <v>22</v>
      </c>
      <c r="H502" t="s">
        <v>1057</v>
      </c>
      <c r="I502" t="s">
        <v>1058</v>
      </c>
      <c r="J502" s="4">
        <v>46088.834120567131</v>
      </c>
      <c r="K502" t="s">
        <v>139</v>
      </c>
    </row>
    <row r="503" spans="1:11" x14ac:dyDescent="0.55000000000000004">
      <c r="A503" t="s">
        <v>1055</v>
      </c>
      <c r="B503">
        <v>100830</v>
      </c>
      <c r="C503" t="s">
        <v>533</v>
      </c>
      <c r="D503" s="3">
        <v>45892</v>
      </c>
      <c r="E503" t="s">
        <v>115</v>
      </c>
      <c r="F503" t="s">
        <v>1056</v>
      </c>
      <c r="G503" t="s">
        <v>22</v>
      </c>
      <c r="H503" t="s">
        <v>1057</v>
      </c>
      <c r="I503" t="s">
        <v>1058</v>
      </c>
      <c r="J503" s="4">
        <v>46088.834120567131</v>
      </c>
      <c r="K503" t="s">
        <v>139</v>
      </c>
    </row>
    <row r="504" spans="1:11" x14ac:dyDescent="0.55000000000000004">
      <c r="A504" t="s">
        <v>1059</v>
      </c>
      <c r="B504">
        <v>100655</v>
      </c>
      <c r="C504" t="s">
        <v>533</v>
      </c>
      <c r="D504" s="3">
        <v>45767</v>
      </c>
      <c r="E504" t="s">
        <v>38</v>
      </c>
      <c r="F504" t="s">
        <v>1060</v>
      </c>
      <c r="G504" t="s">
        <v>22</v>
      </c>
      <c r="H504" t="s">
        <v>1061</v>
      </c>
      <c r="I504" t="s">
        <v>1062</v>
      </c>
      <c r="J504" s="4">
        <v>46075.443148356484</v>
      </c>
    </row>
    <row r="505" spans="1:11" x14ac:dyDescent="0.55000000000000004">
      <c r="A505" t="s">
        <v>1059</v>
      </c>
      <c r="B505">
        <v>100655</v>
      </c>
      <c r="C505" t="s">
        <v>533</v>
      </c>
      <c r="D505" s="3">
        <v>45767</v>
      </c>
      <c r="E505" t="s">
        <v>155</v>
      </c>
      <c r="F505" t="s">
        <v>1060</v>
      </c>
      <c r="G505" t="s">
        <v>22</v>
      </c>
      <c r="H505" t="s">
        <v>1061</v>
      </c>
      <c r="I505" t="s">
        <v>1062</v>
      </c>
      <c r="J505" s="4">
        <v>46075.443148356484</v>
      </c>
    </row>
    <row r="506" spans="1:11" x14ac:dyDescent="0.55000000000000004">
      <c r="A506" t="s">
        <v>1059</v>
      </c>
      <c r="B506">
        <v>100655</v>
      </c>
      <c r="C506" t="s">
        <v>533</v>
      </c>
      <c r="D506" s="3">
        <v>45767</v>
      </c>
      <c r="E506" t="s">
        <v>115</v>
      </c>
      <c r="F506" t="s">
        <v>1060</v>
      </c>
      <c r="G506" t="s">
        <v>22</v>
      </c>
      <c r="H506" t="s">
        <v>1061</v>
      </c>
      <c r="I506" t="s">
        <v>1062</v>
      </c>
      <c r="J506" s="4">
        <v>46075.443148356484</v>
      </c>
    </row>
    <row r="507" spans="1:11" x14ac:dyDescent="0.55000000000000004">
      <c r="A507" t="s">
        <v>1063</v>
      </c>
      <c r="B507">
        <v>100885</v>
      </c>
      <c r="C507" t="s">
        <v>533</v>
      </c>
      <c r="D507" s="3">
        <v>45942</v>
      </c>
      <c r="E507" t="s">
        <v>317</v>
      </c>
      <c r="F507" t="s">
        <v>1064</v>
      </c>
      <c r="G507" t="s">
        <v>15</v>
      </c>
      <c r="H507" t="s">
        <v>1065</v>
      </c>
      <c r="I507" t="s">
        <v>1066</v>
      </c>
      <c r="J507" s="4">
        <v>46091.547315023148</v>
      </c>
    </row>
    <row r="508" spans="1:11" x14ac:dyDescent="0.55000000000000004">
      <c r="A508" t="s">
        <v>1063</v>
      </c>
      <c r="B508">
        <v>100885</v>
      </c>
      <c r="C508" t="s">
        <v>533</v>
      </c>
      <c r="D508" s="3">
        <v>45942</v>
      </c>
      <c r="E508" t="s">
        <v>115</v>
      </c>
      <c r="F508" t="s">
        <v>1064</v>
      </c>
      <c r="G508" t="s">
        <v>15</v>
      </c>
      <c r="H508" t="s">
        <v>1065</v>
      </c>
      <c r="I508" t="s">
        <v>1066</v>
      </c>
      <c r="J508" s="4">
        <v>46091.547315023148</v>
      </c>
    </row>
    <row r="509" spans="1:11" x14ac:dyDescent="0.55000000000000004">
      <c r="A509" t="s">
        <v>1063</v>
      </c>
      <c r="B509">
        <v>100885</v>
      </c>
      <c r="C509" t="s">
        <v>533</v>
      </c>
      <c r="D509" s="3">
        <v>45942</v>
      </c>
      <c r="E509" t="s">
        <v>69</v>
      </c>
      <c r="F509" t="s">
        <v>1064</v>
      </c>
      <c r="G509" t="s">
        <v>15</v>
      </c>
      <c r="H509" t="s">
        <v>1065</v>
      </c>
      <c r="I509" t="s">
        <v>1066</v>
      </c>
      <c r="J509" s="4">
        <v>46091.547315023148</v>
      </c>
    </row>
    <row r="510" spans="1:11" x14ac:dyDescent="0.55000000000000004">
      <c r="A510" t="s">
        <v>1067</v>
      </c>
      <c r="B510">
        <v>100044</v>
      </c>
      <c r="C510" t="s">
        <v>533</v>
      </c>
      <c r="D510" s="3">
        <v>46033</v>
      </c>
      <c r="E510" t="s">
        <v>317</v>
      </c>
      <c r="F510" t="s">
        <v>1068</v>
      </c>
      <c r="G510" t="s">
        <v>22</v>
      </c>
      <c r="H510" t="s">
        <v>1069</v>
      </c>
      <c r="I510" t="s">
        <v>1070</v>
      </c>
      <c r="J510" s="4">
        <v>46089.393842800928</v>
      </c>
    </row>
    <row r="511" spans="1:11" x14ac:dyDescent="0.55000000000000004">
      <c r="A511" t="s">
        <v>1067</v>
      </c>
      <c r="B511">
        <v>100044</v>
      </c>
      <c r="C511" t="s">
        <v>533</v>
      </c>
      <c r="D511" s="3">
        <v>46033</v>
      </c>
      <c r="E511" t="s">
        <v>20</v>
      </c>
      <c r="F511" t="s">
        <v>1068</v>
      </c>
      <c r="G511" t="s">
        <v>22</v>
      </c>
      <c r="H511" t="s">
        <v>1069</v>
      </c>
      <c r="I511" t="s">
        <v>1070</v>
      </c>
      <c r="J511" s="4">
        <v>46089.393842800928</v>
      </c>
    </row>
    <row r="512" spans="1:11" x14ac:dyDescent="0.55000000000000004">
      <c r="A512" t="s">
        <v>1067</v>
      </c>
      <c r="B512">
        <v>100044</v>
      </c>
      <c r="C512" t="s">
        <v>533</v>
      </c>
      <c r="D512" s="3">
        <v>46033</v>
      </c>
      <c r="E512" t="s">
        <v>69</v>
      </c>
      <c r="F512" t="s">
        <v>1068</v>
      </c>
      <c r="G512" t="s">
        <v>22</v>
      </c>
      <c r="H512" t="s">
        <v>1069</v>
      </c>
      <c r="I512" t="s">
        <v>1070</v>
      </c>
      <c r="J512" s="4">
        <v>46089.393842800928</v>
      </c>
    </row>
    <row r="513" spans="1:10" x14ac:dyDescent="0.55000000000000004">
      <c r="A513" t="s">
        <v>1071</v>
      </c>
      <c r="B513">
        <v>100106</v>
      </c>
      <c r="C513" t="s">
        <v>248</v>
      </c>
      <c r="D513" s="3">
        <v>46062</v>
      </c>
      <c r="E513" t="s">
        <v>115</v>
      </c>
      <c r="F513" t="s">
        <v>1072</v>
      </c>
      <c r="G513" t="s">
        <v>22</v>
      </c>
      <c r="H513" t="s">
        <v>1073</v>
      </c>
      <c r="I513" t="s">
        <v>1074</v>
      </c>
      <c r="J513" s="4">
        <v>46053.708426145837</v>
      </c>
    </row>
    <row r="514" spans="1:10" x14ac:dyDescent="0.55000000000000004">
      <c r="A514" t="s">
        <v>1075</v>
      </c>
      <c r="B514">
        <v>100979</v>
      </c>
      <c r="C514" t="s">
        <v>68</v>
      </c>
      <c r="D514" s="3">
        <v>45837</v>
      </c>
      <c r="E514" t="s">
        <v>317</v>
      </c>
      <c r="F514" t="s">
        <v>1076</v>
      </c>
      <c r="G514" t="s">
        <v>22</v>
      </c>
      <c r="H514" t="s">
        <v>1077</v>
      </c>
      <c r="I514" t="s">
        <v>1078</v>
      </c>
      <c r="J514" s="4">
        <v>46078.827176145831</v>
      </c>
    </row>
    <row r="515" spans="1:10" x14ac:dyDescent="0.55000000000000004">
      <c r="A515" t="s">
        <v>1075</v>
      </c>
      <c r="B515">
        <v>100979</v>
      </c>
      <c r="C515" t="s">
        <v>68</v>
      </c>
      <c r="D515" s="3">
        <v>45837</v>
      </c>
      <c r="E515" t="s">
        <v>38</v>
      </c>
      <c r="F515" t="s">
        <v>1076</v>
      </c>
      <c r="G515" t="s">
        <v>22</v>
      </c>
      <c r="H515" t="s">
        <v>1077</v>
      </c>
      <c r="I515" t="s">
        <v>1078</v>
      </c>
      <c r="J515" s="4">
        <v>46078.827176145831</v>
      </c>
    </row>
    <row r="516" spans="1:10" x14ac:dyDescent="0.55000000000000004">
      <c r="A516" t="s">
        <v>1075</v>
      </c>
      <c r="B516">
        <v>100979</v>
      </c>
      <c r="C516" t="s">
        <v>68</v>
      </c>
      <c r="D516" s="3">
        <v>45837</v>
      </c>
      <c r="E516" t="s">
        <v>115</v>
      </c>
      <c r="F516" t="s">
        <v>1076</v>
      </c>
      <c r="G516" t="s">
        <v>22</v>
      </c>
      <c r="H516" t="s">
        <v>1077</v>
      </c>
      <c r="I516" t="s">
        <v>1078</v>
      </c>
      <c r="J516" s="4">
        <v>46078.827176145831</v>
      </c>
    </row>
    <row r="517" spans="1:10" x14ac:dyDescent="0.55000000000000004">
      <c r="A517" t="s">
        <v>1079</v>
      </c>
      <c r="B517">
        <v>100575</v>
      </c>
      <c r="C517" t="s">
        <v>37</v>
      </c>
      <c r="D517" s="3">
        <v>46133</v>
      </c>
      <c r="E517" t="s">
        <v>69</v>
      </c>
      <c r="F517" t="s">
        <v>1080</v>
      </c>
      <c r="G517" t="s">
        <v>22</v>
      </c>
      <c r="H517" t="s">
        <v>1081</v>
      </c>
      <c r="I517" t="s">
        <v>1082</v>
      </c>
      <c r="J517" s="4">
        <v>46090.403565034721</v>
      </c>
    </row>
    <row r="518" spans="1:10" x14ac:dyDescent="0.55000000000000004">
      <c r="A518" t="s">
        <v>1083</v>
      </c>
      <c r="B518">
        <v>101443</v>
      </c>
      <c r="C518" t="s">
        <v>19</v>
      </c>
      <c r="D518" s="3">
        <v>46058</v>
      </c>
      <c r="E518" t="s">
        <v>317</v>
      </c>
      <c r="F518" t="s">
        <v>1084</v>
      </c>
      <c r="G518" t="s">
        <v>22</v>
      </c>
      <c r="H518" t="s">
        <v>1085</v>
      </c>
      <c r="I518" t="s">
        <v>1086</v>
      </c>
      <c r="J518" s="4">
        <v>46077.558426157404</v>
      </c>
    </row>
    <row r="519" spans="1:10" x14ac:dyDescent="0.55000000000000004">
      <c r="A519" t="s">
        <v>1083</v>
      </c>
      <c r="B519">
        <v>101443</v>
      </c>
      <c r="C519" t="s">
        <v>19</v>
      </c>
      <c r="D519" s="3">
        <v>46058</v>
      </c>
      <c r="E519" t="s">
        <v>38</v>
      </c>
      <c r="F519" t="s">
        <v>1084</v>
      </c>
      <c r="G519" t="s">
        <v>22</v>
      </c>
      <c r="H519" t="s">
        <v>1085</v>
      </c>
      <c r="I519" t="s">
        <v>1086</v>
      </c>
      <c r="J519" s="4">
        <v>46077.558426157404</v>
      </c>
    </row>
    <row r="520" spans="1:10" x14ac:dyDescent="0.55000000000000004">
      <c r="A520" t="s">
        <v>1083</v>
      </c>
      <c r="B520">
        <v>101443</v>
      </c>
      <c r="C520" t="s">
        <v>19</v>
      </c>
      <c r="D520" s="3">
        <v>46058</v>
      </c>
      <c r="E520" t="s">
        <v>155</v>
      </c>
      <c r="F520" t="s">
        <v>1084</v>
      </c>
      <c r="G520" t="s">
        <v>22</v>
      </c>
      <c r="H520" t="s">
        <v>1085</v>
      </c>
      <c r="I520" t="s">
        <v>1086</v>
      </c>
      <c r="J520" s="4">
        <v>46077.558426157404</v>
      </c>
    </row>
    <row r="521" spans="1:10" x14ac:dyDescent="0.55000000000000004">
      <c r="A521" t="s">
        <v>1087</v>
      </c>
      <c r="B521">
        <v>100494</v>
      </c>
      <c r="C521" t="s">
        <v>179</v>
      </c>
      <c r="D521" s="3">
        <v>46023</v>
      </c>
      <c r="E521" t="s">
        <v>38</v>
      </c>
      <c r="F521" t="s">
        <v>1088</v>
      </c>
      <c r="G521" t="s">
        <v>15</v>
      </c>
      <c r="H521" t="s">
        <v>1089</v>
      </c>
      <c r="I521" t="s">
        <v>1090</v>
      </c>
      <c r="J521" s="4">
        <v>46067.642453935186</v>
      </c>
    </row>
    <row r="522" spans="1:10" x14ac:dyDescent="0.55000000000000004">
      <c r="A522" t="s">
        <v>1087</v>
      </c>
      <c r="B522">
        <v>100494</v>
      </c>
      <c r="C522" t="s">
        <v>179</v>
      </c>
      <c r="D522" s="3">
        <v>46023</v>
      </c>
      <c r="E522" t="s">
        <v>20</v>
      </c>
      <c r="F522" t="s">
        <v>1088</v>
      </c>
      <c r="G522" t="s">
        <v>15</v>
      </c>
      <c r="H522" t="s">
        <v>1089</v>
      </c>
      <c r="I522" t="s">
        <v>1090</v>
      </c>
      <c r="J522" s="4">
        <v>46067.642453935186</v>
      </c>
    </row>
    <row r="523" spans="1:10" x14ac:dyDescent="0.55000000000000004">
      <c r="A523" t="s">
        <v>1091</v>
      </c>
      <c r="B523">
        <v>101077</v>
      </c>
      <c r="C523" t="s">
        <v>37</v>
      </c>
      <c r="D523" s="3">
        <v>46032</v>
      </c>
      <c r="E523" t="s">
        <v>155</v>
      </c>
      <c r="F523" t="s">
        <v>1092</v>
      </c>
      <c r="G523" t="s">
        <v>22</v>
      </c>
      <c r="H523" t="s">
        <v>1093</v>
      </c>
      <c r="I523" t="s">
        <v>1094</v>
      </c>
      <c r="J523" s="4">
        <v>46084.689676168979</v>
      </c>
    </row>
    <row r="524" spans="1:10" x14ac:dyDescent="0.55000000000000004">
      <c r="A524" t="s">
        <v>1095</v>
      </c>
      <c r="B524">
        <v>100463</v>
      </c>
      <c r="C524" t="s">
        <v>37</v>
      </c>
      <c r="D524" s="3">
        <v>46136</v>
      </c>
      <c r="E524" t="s">
        <v>38</v>
      </c>
      <c r="F524" t="s">
        <v>1096</v>
      </c>
      <c r="G524" t="s">
        <v>22</v>
      </c>
      <c r="H524" t="s">
        <v>1097</v>
      </c>
      <c r="I524" t="s">
        <v>1098</v>
      </c>
      <c r="J524" s="4">
        <v>46069.748009502313</v>
      </c>
    </row>
    <row r="525" spans="1:10" x14ac:dyDescent="0.55000000000000004">
      <c r="A525" t="s">
        <v>1095</v>
      </c>
      <c r="B525">
        <v>100463</v>
      </c>
      <c r="C525" t="s">
        <v>37</v>
      </c>
      <c r="D525" s="3">
        <v>46136</v>
      </c>
      <c r="E525" t="s">
        <v>20</v>
      </c>
      <c r="F525" t="s">
        <v>1096</v>
      </c>
      <c r="G525" t="s">
        <v>22</v>
      </c>
      <c r="H525" t="s">
        <v>1097</v>
      </c>
      <c r="I525" t="s">
        <v>1098</v>
      </c>
      <c r="J525" s="4">
        <v>46069.748009502313</v>
      </c>
    </row>
    <row r="526" spans="1:10" x14ac:dyDescent="0.55000000000000004">
      <c r="A526" t="s">
        <v>1099</v>
      </c>
      <c r="B526">
        <v>101286</v>
      </c>
      <c r="C526" t="s">
        <v>179</v>
      </c>
      <c r="D526" s="3">
        <v>45774</v>
      </c>
      <c r="E526" t="s">
        <v>317</v>
      </c>
      <c r="F526" t="s">
        <v>1100</v>
      </c>
      <c r="G526" t="s">
        <v>22</v>
      </c>
      <c r="H526" t="s">
        <v>1101</v>
      </c>
      <c r="I526" t="s">
        <v>1102</v>
      </c>
      <c r="J526" s="4">
        <v>46092.305648391201</v>
      </c>
    </row>
    <row r="527" spans="1:10" x14ac:dyDescent="0.55000000000000004">
      <c r="A527" t="s">
        <v>1099</v>
      </c>
      <c r="B527">
        <v>101286</v>
      </c>
      <c r="C527" t="s">
        <v>179</v>
      </c>
      <c r="D527" s="3">
        <v>45774</v>
      </c>
      <c r="E527" t="s">
        <v>38</v>
      </c>
      <c r="F527" t="s">
        <v>1100</v>
      </c>
      <c r="G527" t="s">
        <v>22</v>
      </c>
      <c r="H527" t="s">
        <v>1101</v>
      </c>
      <c r="I527" t="s">
        <v>1102</v>
      </c>
      <c r="J527" s="4">
        <v>46092.305648391201</v>
      </c>
    </row>
    <row r="528" spans="1:10" x14ac:dyDescent="0.55000000000000004">
      <c r="A528" t="s">
        <v>1099</v>
      </c>
      <c r="B528">
        <v>101286</v>
      </c>
      <c r="C528" t="s">
        <v>179</v>
      </c>
      <c r="D528" s="3">
        <v>45774</v>
      </c>
      <c r="E528" t="s">
        <v>115</v>
      </c>
      <c r="F528" t="s">
        <v>1100</v>
      </c>
      <c r="G528" t="s">
        <v>22</v>
      </c>
      <c r="H528" t="s">
        <v>1101</v>
      </c>
      <c r="I528" t="s">
        <v>1102</v>
      </c>
      <c r="J528" s="4">
        <v>46092.305648391201</v>
      </c>
    </row>
    <row r="529" spans="1:10" x14ac:dyDescent="0.55000000000000004">
      <c r="A529" t="s">
        <v>1103</v>
      </c>
      <c r="B529">
        <v>100669</v>
      </c>
      <c r="C529" t="s">
        <v>37</v>
      </c>
      <c r="D529" s="3">
        <v>45993</v>
      </c>
      <c r="E529" t="s">
        <v>115</v>
      </c>
      <c r="F529" t="s">
        <v>1104</v>
      </c>
      <c r="G529" t="s">
        <v>22</v>
      </c>
      <c r="H529" t="s">
        <v>1105</v>
      </c>
      <c r="I529" t="s">
        <v>1106</v>
      </c>
      <c r="J529" s="4">
        <v>46071.911898402781</v>
      </c>
    </row>
    <row r="530" spans="1:10" x14ac:dyDescent="0.55000000000000004">
      <c r="A530" t="s">
        <v>1107</v>
      </c>
      <c r="B530">
        <v>101446</v>
      </c>
      <c r="C530" t="s">
        <v>37</v>
      </c>
      <c r="D530" s="3">
        <v>45890</v>
      </c>
      <c r="E530" t="s">
        <v>155</v>
      </c>
      <c r="F530" t="s">
        <v>1108</v>
      </c>
      <c r="G530" t="s">
        <v>15</v>
      </c>
      <c r="H530" t="s">
        <v>1109</v>
      </c>
      <c r="I530" t="s">
        <v>1110</v>
      </c>
      <c r="J530" s="4">
        <v>46092.128565069441</v>
      </c>
    </row>
    <row r="531" spans="1:10" x14ac:dyDescent="0.55000000000000004">
      <c r="A531" t="s">
        <v>1107</v>
      </c>
      <c r="B531">
        <v>101446</v>
      </c>
      <c r="C531" t="s">
        <v>37</v>
      </c>
      <c r="D531" s="3">
        <v>45890</v>
      </c>
      <c r="E531" t="s">
        <v>115</v>
      </c>
      <c r="F531" t="s">
        <v>1108</v>
      </c>
      <c r="G531" t="s">
        <v>15</v>
      </c>
      <c r="H531" t="s">
        <v>1109</v>
      </c>
      <c r="I531" t="s">
        <v>1110</v>
      </c>
      <c r="J531" s="4">
        <v>46092.128565069441</v>
      </c>
    </row>
    <row r="532" spans="1:10" x14ac:dyDescent="0.55000000000000004">
      <c r="A532" t="s">
        <v>1107</v>
      </c>
      <c r="B532">
        <v>101446</v>
      </c>
      <c r="C532" t="s">
        <v>37</v>
      </c>
      <c r="D532" s="3">
        <v>45890</v>
      </c>
      <c r="E532" t="s">
        <v>69</v>
      </c>
      <c r="F532" t="s">
        <v>1108</v>
      </c>
      <c r="G532" t="s">
        <v>15</v>
      </c>
      <c r="H532" t="s">
        <v>1109</v>
      </c>
      <c r="I532" t="s">
        <v>1110</v>
      </c>
      <c r="J532" s="4">
        <v>46092.128565069441</v>
      </c>
    </row>
    <row r="533" spans="1:10" x14ac:dyDescent="0.55000000000000004">
      <c r="A533" t="s">
        <v>1111</v>
      </c>
      <c r="B533">
        <v>100158</v>
      </c>
      <c r="C533" t="s">
        <v>533</v>
      </c>
      <c r="D533" s="3">
        <v>45964</v>
      </c>
      <c r="E533" t="s">
        <v>38</v>
      </c>
      <c r="F533" t="s">
        <v>1112</v>
      </c>
      <c r="G533" t="s">
        <v>15</v>
      </c>
      <c r="H533" t="s">
        <v>1113</v>
      </c>
      <c r="I533" t="s">
        <v>1114</v>
      </c>
      <c r="J533" s="4">
        <v>46090.728565069447</v>
      </c>
    </row>
    <row r="534" spans="1:10" x14ac:dyDescent="0.55000000000000004">
      <c r="A534" t="s">
        <v>1111</v>
      </c>
      <c r="B534">
        <v>100158</v>
      </c>
      <c r="C534" t="s">
        <v>533</v>
      </c>
      <c r="D534" s="3">
        <v>45964</v>
      </c>
      <c r="E534" t="s">
        <v>20</v>
      </c>
      <c r="F534" t="s">
        <v>1112</v>
      </c>
      <c r="G534" t="s">
        <v>15</v>
      </c>
      <c r="H534" t="s">
        <v>1113</v>
      </c>
      <c r="I534" t="s">
        <v>1114</v>
      </c>
      <c r="J534" s="4">
        <v>46090.728565069447</v>
      </c>
    </row>
    <row r="535" spans="1:10" x14ac:dyDescent="0.55000000000000004">
      <c r="A535" t="s">
        <v>1111</v>
      </c>
      <c r="B535">
        <v>100158</v>
      </c>
      <c r="C535" t="s">
        <v>533</v>
      </c>
      <c r="D535" s="3">
        <v>45964</v>
      </c>
      <c r="E535" t="s">
        <v>155</v>
      </c>
      <c r="F535" t="s">
        <v>1112</v>
      </c>
      <c r="G535" t="s">
        <v>15</v>
      </c>
      <c r="H535" t="s">
        <v>1113</v>
      </c>
      <c r="I535" t="s">
        <v>1114</v>
      </c>
      <c r="J535" s="4">
        <v>46090.728565069447</v>
      </c>
    </row>
    <row r="536" spans="1:10" x14ac:dyDescent="0.55000000000000004">
      <c r="A536" t="s">
        <v>1115</v>
      </c>
      <c r="B536">
        <v>101359</v>
      </c>
      <c r="C536" t="s">
        <v>533</v>
      </c>
      <c r="D536" s="3">
        <v>46091</v>
      </c>
      <c r="E536" t="s">
        <v>115</v>
      </c>
      <c r="F536" t="s">
        <v>1116</v>
      </c>
      <c r="G536" t="s">
        <v>22</v>
      </c>
      <c r="H536" t="s">
        <v>1117</v>
      </c>
      <c r="I536" t="s">
        <v>1118</v>
      </c>
      <c r="J536" s="4">
        <v>46075.002176192131</v>
      </c>
    </row>
    <row r="537" spans="1:10" x14ac:dyDescent="0.55000000000000004">
      <c r="A537" t="s">
        <v>1119</v>
      </c>
      <c r="B537">
        <v>100049</v>
      </c>
      <c r="C537" t="s">
        <v>19</v>
      </c>
      <c r="D537" s="3">
        <v>46132</v>
      </c>
      <c r="E537" t="s">
        <v>317</v>
      </c>
      <c r="F537" t="s">
        <v>1120</v>
      </c>
      <c r="G537" t="s">
        <v>15</v>
      </c>
      <c r="H537" t="s">
        <v>1121</v>
      </c>
      <c r="I537" t="s">
        <v>1122</v>
      </c>
      <c r="J537" s="4">
        <v>46080.578565081021</v>
      </c>
    </row>
    <row r="538" spans="1:10" x14ac:dyDescent="0.55000000000000004">
      <c r="A538" t="s">
        <v>1119</v>
      </c>
      <c r="B538">
        <v>100049</v>
      </c>
      <c r="C538" t="s">
        <v>19</v>
      </c>
      <c r="D538" s="3">
        <v>46132</v>
      </c>
      <c r="E538" t="s">
        <v>20</v>
      </c>
      <c r="F538" t="s">
        <v>1120</v>
      </c>
      <c r="G538" t="s">
        <v>15</v>
      </c>
      <c r="H538" t="s">
        <v>1121</v>
      </c>
      <c r="I538" t="s">
        <v>1122</v>
      </c>
      <c r="J538" s="4">
        <v>46080.578565081021</v>
      </c>
    </row>
    <row r="539" spans="1:10" x14ac:dyDescent="0.55000000000000004">
      <c r="A539" t="s">
        <v>1119</v>
      </c>
      <c r="B539">
        <v>100049</v>
      </c>
      <c r="C539" t="s">
        <v>19</v>
      </c>
      <c r="D539" s="3">
        <v>46132</v>
      </c>
      <c r="E539" t="s">
        <v>115</v>
      </c>
      <c r="F539" t="s">
        <v>1120</v>
      </c>
      <c r="G539" t="s">
        <v>15</v>
      </c>
      <c r="H539" t="s">
        <v>1121</v>
      </c>
      <c r="I539" t="s">
        <v>1122</v>
      </c>
      <c r="J539" s="4">
        <v>46080.578565081021</v>
      </c>
    </row>
    <row r="540" spans="1:10" x14ac:dyDescent="0.55000000000000004">
      <c r="A540" t="s">
        <v>1123</v>
      </c>
      <c r="B540">
        <v>100846</v>
      </c>
      <c r="C540" t="s">
        <v>37</v>
      </c>
      <c r="D540" s="3">
        <v>45903</v>
      </c>
      <c r="E540" t="s">
        <v>38</v>
      </c>
      <c r="F540" t="s">
        <v>1124</v>
      </c>
      <c r="G540" t="s">
        <v>15</v>
      </c>
      <c r="H540" t="s">
        <v>1125</v>
      </c>
      <c r="I540" t="s">
        <v>1126</v>
      </c>
      <c r="J540" s="4">
        <v>46080.926481759256</v>
      </c>
    </row>
    <row r="541" spans="1:10" x14ac:dyDescent="0.55000000000000004">
      <c r="A541" t="s">
        <v>1123</v>
      </c>
      <c r="B541">
        <v>100846</v>
      </c>
      <c r="C541" t="s">
        <v>37</v>
      </c>
      <c r="D541" s="3">
        <v>45903</v>
      </c>
      <c r="E541" t="s">
        <v>20</v>
      </c>
      <c r="F541" t="s">
        <v>1124</v>
      </c>
      <c r="G541" t="s">
        <v>15</v>
      </c>
      <c r="H541" t="s">
        <v>1125</v>
      </c>
      <c r="I541" t="s">
        <v>1126</v>
      </c>
      <c r="J541" s="4">
        <v>46080.926481759256</v>
      </c>
    </row>
    <row r="542" spans="1:10" x14ac:dyDescent="0.55000000000000004">
      <c r="A542" t="s">
        <v>1127</v>
      </c>
      <c r="B542">
        <v>100686</v>
      </c>
      <c r="C542" t="s">
        <v>37</v>
      </c>
      <c r="D542" s="3">
        <v>45986</v>
      </c>
      <c r="E542" t="s">
        <v>38</v>
      </c>
      <c r="F542" t="s">
        <v>1128</v>
      </c>
      <c r="G542" t="s">
        <v>15</v>
      </c>
      <c r="H542" t="s">
        <v>1129</v>
      </c>
      <c r="I542" t="s">
        <v>1130</v>
      </c>
      <c r="J542" s="4">
        <v>46065.940370648146</v>
      </c>
    </row>
    <row r="543" spans="1:10" x14ac:dyDescent="0.55000000000000004">
      <c r="A543" t="s">
        <v>1127</v>
      </c>
      <c r="B543">
        <v>100686</v>
      </c>
      <c r="C543" t="s">
        <v>37</v>
      </c>
      <c r="D543" s="3">
        <v>45986</v>
      </c>
      <c r="E543" t="s">
        <v>20</v>
      </c>
      <c r="F543" t="s">
        <v>1128</v>
      </c>
      <c r="G543" t="s">
        <v>15</v>
      </c>
      <c r="H543" t="s">
        <v>1129</v>
      </c>
      <c r="I543" t="s">
        <v>1130</v>
      </c>
      <c r="J543" s="4">
        <v>46065.940370648146</v>
      </c>
    </row>
    <row r="544" spans="1:10" x14ac:dyDescent="0.55000000000000004">
      <c r="A544" t="s">
        <v>1131</v>
      </c>
      <c r="B544">
        <v>100420</v>
      </c>
      <c r="C544" t="s">
        <v>533</v>
      </c>
      <c r="D544" s="3">
        <v>45920</v>
      </c>
      <c r="E544" t="s">
        <v>20</v>
      </c>
      <c r="F544" t="s">
        <v>1132</v>
      </c>
      <c r="G544" t="s">
        <v>15</v>
      </c>
      <c r="H544" t="s">
        <v>1133</v>
      </c>
      <c r="I544" t="s">
        <v>1134</v>
      </c>
      <c r="J544" s="4">
        <v>46060.787592870372</v>
      </c>
    </row>
    <row r="545" spans="1:11" x14ac:dyDescent="0.55000000000000004">
      <c r="A545" t="s">
        <v>1135</v>
      </c>
      <c r="B545">
        <v>100112</v>
      </c>
      <c r="C545" t="s">
        <v>533</v>
      </c>
      <c r="D545" s="3">
        <v>45848</v>
      </c>
      <c r="E545" t="s">
        <v>317</v>
      </c>
      <c r="F545" t="s">
        <v>1136</v>
      </c>
      <c r="G545" t="s">
        <v>15</v>
      </c>
      <c r="H545" t="s">
        <v>1137</v>
      </c>
      <c r="I545" t="s">
        <v>1138</v>
      </c>
      <c r="J545" s="4">
        <v>46082.680648437497</v>
      </c>
    </row>
    <row r="546" spans="1:11" x14ac:dyDescent="0.55000000000000004">
      <c r="A546" t="s">
        <v>1135</v>
      </c>
      <c r="B546">
        <v>100112</v>
      </c>
      <c r="C546" t="s">
        <v>533</v>
      </c>
      <c r="D546" s="3">
        <v>45848</v>
      </c>
      <c r="E546" t="s">
        <v>38</v>
      </c>
      <c r="F546" t="s">
        <v>1136</v>
      </c>
      <c r="G546" t="s">
        <v>15</v>
      </c>
      <c r="H546" t="s">
        <v>1137</v>
      </c>
      <c r="I546" t="s">
        <v>1138</v>
      </c>
      <c r="J546" s="4">
        <v>46082.680648437497</v>
      </c>
    </row>
    <row r="547" spans="1:11" x14ac:dyDescent="0.55000000000000004">
      <c r="A547" t="s">
        <v>1135</v>
      </c>
      <c r="B547">
        <v>100112</v>
      </c>
      <c r="C547" t="s">
        <v>533</v>
      </c>
      <c r="D547" s="3">
        <v>45848</v>
      </c>
      <c r="E547" t="s">
        <v>155</v>
      </c>
      <c r="F547" t="s">
        <v>1136</v>
      </c>
      <c r="G547" t="s">
        <v>15</v>
      </c>
      <c r="H547" t="s">
        <v>1137</v>
      </c>
      <c r="I547" t="s">
        <v>1138</v>
      </c>
      <c r="J547" s="4">
        <v>46082.680648437497</v>
      </c>
    </row>
    <row r="548" spans="1:11" x14ac:dyDescent="0.55000000000000004">
      <c r="A548" t="s">
        <v>1139</v>
      </c>
      <c r="B548">
        <v>100718</v>
      </c>
      <c r="C548" t="s">
        <v>19</v>
      </c>
      <c r="D548" s="3">
        <v>45918</v>
      </c>
      <c r="E548" t="s">
        <v>317</v>
      </c>
      <c r="F548" t="s">
        <v>1140</v>
      </c>
      <c r="G548" t="s">
        <v>15</v>
      </c>
      <c r="H548" t="s">
        <v>1141</v>
      </c>
      <c r="I548" t="s">
        <v>1142</v>
      </c>
      <c r="J548" s="4">
        <v>46061.813981770836</v>
      </c>
    </row>
    <row r="549" spans="1:11" x14ac:dyDescent="0.55000000000000004">
      <c r="A549" t="s">
        <v>1139</v>
      </c>
      <c r="B549">
        <v>100718</v>
      </c>
      <c r="C549" t="s">
        <v>19</v>
      </c>
      <c r="D549" s="3">
        <v>45918</v>
      </c>
      <c r="E549" t="s">
        <v>115</v>
      </c>
      <c r="F549" t="s">
        <v>1140</v>
      </c>
      <c r="G549" t="s">
        <v>15</v>
      </c>
      <c r="H549" t="s">
        <v>1141</v>
      </c>
      <c r="I549" t="s">
        <v>1142</v>
      </c>
      <c r="J549" s="4">
        <v>46061.813981770836</v>
      </c>
    </row>
    <row r="550" spans="1:11" x14ac:dyDescent="0.55000000000000004">
      <c r="A550" t="s">
        <v>1143</v>
      </c>
      <c r="B550">
        <v>100884</v>
      </c>
      <c r="C550" t="s">
        <v>179</v>
      </c>
      <c r="D550" s="3">
        <v>45846</v>
      </c>
      <c r="E550" t="s">
        <v>115</v>
      </c>
      <c r="F550" t="s">
        <v>1144</v>
      </c>
      <c r="G550" t="s">
        <v>22</v>
      </c>
      <c r="H550" t="s">
        <v>1145</v>
      </c>
      <c r="I550" t="s">
        <v>1146</v>
      </c>
      <c r="J550" s="4">
        <v>46080.635509560183</v>
      </c>
    </row>
    <row r="551" spans="1:11" x14ac:dyDescent="0.55000000000000004">
      <c r="A551" t="s">
        <v>1143</v>
      </c>
      <c r="B551">
        <v>100884</v>
      </c>
      <c r="C551" t="s">
        <v>179</v>
      </c>
      <c r="D551" s="3">
        <v>45846</v>
      </c>
      <c r="E551" t="s">
        <v>69</v>
      </c>
      <c r="F551" t="s">
        <v>1144</v>
      </c>
      <c r="G551" t="s">
        <v>22</v>
      </c>
      <c r="H551" t="s">
        <v>1145</v>
      </c>
      <c r="I551" t="s">
        <v>1146</v>
      </c>
      <c r="J551" s="4">
        <v>46080.635509560183</v>
      </c>
    </row>
    <row r="552" spans="1:11" x14ac:dyDescent="0.55000000000000004">
      <c r="A552" t="s">
        <v>1147</v>
      </c>
      <c r="B552">
        <v>101416</v>
      </c>
      <c r="C552" t="s">
        <v>19</v>
      </c>
      <c r="D552" s="3">
        <v>45922</v>
      </c>
      <c r="E552" t="s">
        <v>38</v>
      </c>
      <c r="F552" t="s">
        <v>1148</v>
      </c>
      <c r="G552" t="s">
        <v>15</v>
      </c>
      <c r="H552" t="s">
        <v>1149</v>
      </c>
      <c r="I552" t="s">
        <v>1150</v>
      </c>
      <c r="J552" s="4">
        <v>46086.428565115741</v>
      </c>
    </row>
    <row r="553" spans="1:11" x14ac:dyDescent="0.55000000000000004">
      <c r="A553" t="s">
        <v>6025</v>
      </c>
      <c r="B553">
        <v>100742</v>
      </c>
      <c r="C553" t="s">
        <v>19</v>
      </c>
      <c r="D553" s="3">
        <v>45755</v>
      </c>
      <c r="E553" t="s">
        <v>155</v>
      </c>
      <c r="F553" t="s">
        <v>1152</v>
      </c>
      <c r="G553" t="s">
        <v>22</v>
      </c>
      <c r="H553" t="s">
        <v>1153</v>
      </c>
      <c r="I553" t="s">
        <v>1154</v>
      </c>
      <c r="J553" s="4">
        <v>46078.280648449072</v>
      </c>
      <c r="K553" t="s">
        <v>119</v>
      </c>
    </row>
    <row r="554" spans="1:11" x14ac:dyDescent="0.55000000000000004">
      <c r="A554" t="s">
        <v>6025</v>
      </c>
      <c r="B554">
        <v>100742</v>
      </c>
      <c r="C554" t="s">
        <v>19</v>
      </c>
      <c r="D554" s="3">
        <v>45755</v>
      </c>
      <c r="E554" t="s">
        <v>69</v>
      </c>
      <c r="F554" t="s">
        <v>1152</v>
      </c>
      <c r="G554" t="s">
        <v>22</v>
      </c>
      <c r="H554" t="s">
        <v>1153</v>
      </c>
      <c r="I554" t="s">
        <v>1154</v>
      </c>
      <c r="J554" s="4">
        <v>46078.280648449072</v>
      </c>
      <c r="K554" t="s">
        <v>119</v>
      </c>
    </row>
    <row r="555" spans="1:11" x14ac:dyDescent="0.55000000000000004">
      <c r="A555" t="s">
        <v>1155</v>
      </c>
      <c r="B555">
        <v>100983</v>
      </c>
      <c r="C555" t="s">
        <v>37</v>
      </c>
      <c r="D555" s="3">
        <v>46015</v>
      </c>
      <c r="E555" t="s">
        <v>20</v>
      </c>
      <c r="F555" t="s">
        <v>1156</v>
      </c>
      <c r="G555" t="s">
        <v>15</v>
      </c>
      <c r="H555" t="s">
        <v>1157</v>
      </c>
      <c r="I555" t="s">
        <v>1158</v>
      </c>
      <c r="J555" s="4">
        <v>46078.94453734954</v>
      </c>
    </row>
    <row r="556" spans="1:11" x14ac:dyDescent="0.55000000000000004">
      <c r="A556" t="s">
        <v>1155</v>
      </c>
      <c r="B556">
        <v>100983</v>
      </c>
      <c r="C556" t="s">
        <v>37</v>
      </c>
      <c r="D556" s="3">
        <v>46015</v>
      </c>
      <c r="E556" t="s">
        <v>155</v>
      </c>
      <c r="F556" t="s">
        <v>1156</v>
      </c>
      <c r="G556" t="s">
        <v>15</v>
      </c>
      <c r="H556" t="s">
        <v>1157</v>
      </c>
      <c r="I556" t="s">
        <v>1158</v>
      </c>
      <c r="J556" s="4">
        <v>46078.94453734954</v>
      </c>
    </row>
    <row r="557" spans="1:11" x14ac:dyDescent="0.55000000000000004">
      <c r="A557" t="s">
        <v>1159</v>
      </c>
      <c r="B557">
        <v>100401</v>
      </c>
      <c r="C557" t="s">
        <v>68</v>
      </c>
      <c r="D557" s="3">
        <v>46110</v>
      </c>
      <c r="E557" t="s">
        <v>20</v>
      </c>
      <c r="F557" t="s">
        <v>1160</v>
      </c>
      <c r="G557" t="s">
        <v>22</v>
      </c>
      <c r="H557" t="s">
        <v>1161</v>
      </c>
      <c r="I557" t="s">
        <v>1162</v>
      </c>
      <c r="J557" s="4">
        <v>46084.968842905095</v>
      </c>
    </row>
    <row r="558" spans="1:11" x14ac:dyDescent="0.55000000000000004">
      <c r="A558" t="s">
        <v>1159</v>
      </c>
      <c r="B558">
        <v>100401</v>
      </c>
      <c r="C558" t="s">
        <v>68</v>
      </c>
      <c r="D558" s="3">
        <v>46110</v>
      </c>
      <c r="E558" t="s">
        <v>115</v>
      </c>
      <c r="F558" t="s">
        <v>1160</v>
      </c>
      <c r="G558" t="s">
        <v>22</v>
      </c>
      <c r="H558" t="s">
        <v>1161</v>
      </c>
      <c r="I558" t="s">
        <v>1162</v>
      </c>
      <c r="J558" s="4">
        <v>46084.968842905095</v>
      </c>
    </row>
    <row r="559" spans="1:11" x14ac:dyDescent="0.55000000000000004">
      <c r="A559" t="s">
        <v>1159</v>
      </c>
      <c r="B559">
        <v>100401</v>
      </c>
      <c r="C559" t="s">
        <v>68</v>
      </c>
      <c r="D559" s="3">
        <v>46110</v>
      </c>
      <c r="E559" t="s">
        <v>69</v>
      </c>
      <c r="F559" t="s">
        <v>1160</v>
      </c>
      <c r="G559" t="s">
        <v>22</v>
      </c>
      <c r="H559" t="s">
        <v>1161</v>
      </c>
      <c r="I559" t="s">
        <v>1162</v>
      </c>
      <c r="J559" s="4">
        <v>46084.968842905095</v>
      </c>
    </row>
    <row r="560" spans="1:11" x14ac:dyDescent="0.55000000000000004">
      <c r="A560" t="s">
        <v>1163</v>
      </c>
      <c r="B560">
        <v>101152</v>
      </c>
      <c r="C560" t="s">
        <v>248</v>
      </c>
      <c r="D560" s="3">
        <v>45809</v>
      </c>
      <c r="E560" t="s">
        <v>69</v>
      </c>
      <c r="F560" t="s">
        <v>1164</v>
      </c>
      <c r="G560" t="s">
        <v>15</v>
      </c>
      <c r="H560" t="s">
        <v>1165</v>
      </c>
      <c r="I560" t="s">
        <v>1166</v>
      </c>
      <c r="J560" s="4">
        <v>46082.975787361109</v>
      </c>
    </row>
    <row r="561" spans="1:11" x14ac:dyDescent="0.55000000000000004">
      <c r="A561" t="s">
        <v>1167</v>
      </c>
      <c r="B561">
        <v>100969</v>
      </c>
      <c r="C561" t="s">
        <v>68</v>
      </c>
      <c r="D561" s="3">
        <v>46057</v>
      </c>
      <c r="E561" t="s">
        <v>317</v>
      </c>
      <c r="F561" t="s">
        <v>1168</v>
      </c>
      <c r="G561" t="s">
        <v>22</v>
      </c>
      <c r="H561" t="s">
        <v>1169</v>
      </c>
      <c r="I561" t="s">
        <v>1170</v>
      </c>
      <c r="J561" s="4">
        <v>46078.598704027776</v>
      </c>
    </row>
    <row r="562" spans="1:11" x14ac:dyDescent="0.55000000000000004">
      <c r="A562" t="s">
        <v>1167</v>
      </c>
      <c r="B562">
        <v>100969</v>
      </c>
      <c r="C562" t="s">
        <v>68</v>
      </c>
      <c r="D562" s="3">
        <v>46057</v>
      </c>
      <c r="E562" t="s">
        <v>20</v>
      </c>
      <c r="F562" t="s">
        <v>1168</v>
      </c>
      <c r="G562" t="s">
        <v>22</v>
      </c>
      <c r="H562" t="s">
        <v>1169</v>
      </c>
      <c r="I562" t="s">
        <v>1170</v>
      </c>
      <c r="J562" s="4">
        <v>46078.598704027776</v>
      </c>
    </row>
    <row r="563" spans="1:11" x14ac:dyDescent="0.55000000000000004">
      <c r="A563" t="s">
        <v>1167</v>
      </c>
      <c r="B563">
        <v>100969</v>
      </c>
      <c r="C563" t="s">
        <v>68</v>
      </c>
      <c r="D563" s="3">
        <v>46057</v>
      </c>
      <c r="E563" t="s">
        <v>155</v>
      </c>
      <c r="F563" t="s">
        <v>1168</v>
      </c>
      <c r="G563" t="s">
        <v>22</v>
      </c>
      <c r="H563" t="s">
        <v>1169</v>
      </c>
      <c r="I563" t="s">
        <v>1170</v>
      </c>
      <c r="J563" s="4">
        <v>46078.598704027776</v>
      </c>
    </row>
    <row r="564" spans="1:11" x14ac:dyDescent="0.55000000000000004">
      <c r="A564" t="s">
        <v>729</v>
      </c>
      <c r="B564">
        <v>100011</v>
      </c>
      <c r="C564" t="s">
        <v>248</v>
      </c>
      <c r="D564" s="3">
        <v>46003</v>
      </c>
      <c r="E564" t="s">
        <v>69</v>
      </c>
      <c r="F564" t="s">
        <v>1171</v>
      </c>
      <c r="G564" t="s">
        <v>22</v>
      </c>
      <c r="H564" t="s">
        <v>1172</v>
      </c>
      <c r="I564" t="s">
        <v>1173</v>
      </c>
      <c r="J564" s="4">
        <v>46094.543842916668</v>
      </c>
    </row>
    <row r="565" spans="1:11" x14ac:dyDescent="0.55000000000000004">
      <c r="A565" t="s">
        <v>1174</v>
      </c>
      <c r="B565">
        <v>100715</v>
      </c>
      <c r="C565" t="s">
        <v>248</v>
      </c>
      <c r="D565" s="3">
        <v>45779</v>
      </c>
      <c r="E565" t="s">
        <v>115</v>
      </c>
      <c r="F565" t="s">
        <v>1175</v>
      </c>
      <c r="G565" t="s">
        <v>22</v>
      </c>
      <c r="H565" t="s">
        <v>1176</v>
      </c>
      <c r="I565" t="s">
        <v>1177</v>
      </c>
      <c r="J565" s="4">
        <v>46053.216759594907</v>
      </c>
    </row>
    <row r="566" spans="1:11" x14ac:dyDescent="0.55000000000000004">
      <c r="A566" t="s">
        <v>1178</v>
      </c>
      <c r="B566">
        <v>100954</v>
      </c>
      <c r="C566" t="s">
        <v>179</v>
      </c>
      <c r="D566" s="3">
        <v>46114</v>
      </c>
      <c r="E566" t="s">
        <v>38</v>
      </c>
      <c r="F566" t="s">
        <v>1179</v>
      </c>
      <c r="G566" t="s">
        <v>15</v>
      </c>
      <c r="H566" t="s">
        <v>1180</v>
      </c>
      <c r="I566" t="s">
        <v>1181</v>
      </c>
      <c r="J566" s="4">
        <v>46065.556342928241</v>
      </c>
    </row>
    <row r="567" spans="1:11" x14ac:dyDescent="0.55000000000000004">
      <c r="A567" t="s">
        <v>1182</v>
      </c>
      <c r="B567">
        <v>100473</v>
      </c>
      <c r="C567" t="s">
        <v>179</v>
      </c>
      <c r="D567" s="3">
        <v>45770</v>
      </c>
      <c r="E567" t="s">
        <v>38</v>
      </c>
      <c r="F567" t="s">
        <v>1183</v>
      </c>
      <c r="G567" t="s">
        <v>15</v>
      </c>
      <c r="H567" t="s">
        <v>1184</v>
      </c>
      <c r="I567" t="s">
        <v>1185</v>
      </c>
      <c r="J567" s="4">
        <v>46082.331342939811</v>
      </c>
    </row>
    <row r="568" spans="1:11" x14ac:dyDescent="0.55000000000000004">
      <c r="A568" t="s">
        <v>1182</v>
      </c>
      <c r="B568">
        <v>100473</v>
      </c>
      <c r="C568" t="s">
        <v>179</v>
      </c>
      <c r="D568" s="3">
        <v>45770</v>
      </c>
      <c r="E568" t="s">
        <v>155</v>
      </c>
      <c r="F568" t="s">
        <v>1183</v>
      </c>
      <c r="G568" t="s">
        <v>15</v>
      </c>
      <c r="H568" t="s">
        <v>1184</v>
      </c>
      <c r="I568" t="s">
        <v>1185</v>
      </c>
      <c r="J568" s="4">
        <v>46082.331342939811</v>
      </c>
    </row>
    <row r="569" spans="1:11" x14ac:dyDescent="0.55000000000000004">
      <c r="A569" t="s">
        <v>1182</v>
      </c>
      <c r="B569">
        <v>100473</v>
      </c>
      <c r="C569" t="s">
        <v>179</v>
      </c>
      <c r="D569" s="3">
        <v>45770</v>
      </c>
      <c r="E569" t="s">
        <v>69</v>
      </c>
      <c r="F569" t="s">
        <v>1183</v>
      </c>
      <c r="G569" t="s">
        <v>15</v>
      </c>
      <c r="H569" t="s">
        <v>1184</v>
      </c>
      <c r="I569" t="s">
        <v>1185</v>
      </c>
      <c r="J569" s="4">
        <v>46082.331342939811</v>
      </c>
    </row>
    <row r="570" spans="1:11" x14ac:dyDescent="0.55000000000000004">
      <c r="A570" t="s">
        <v>1186</v>
      </c>
      <c r="B570">
        <v>100419</v>
      </c>
      <c r="C570" t="s">
        <v>248</v>
      </c>
      <c r="D570" s="3">
        <v>45893</v>
      </c>
      <c r="E570" t="s">
        <v>317</v>
      </c>
      <c r="F570" t="s">
        <v>1187</v>
      </c>
      <c r="G570" t="s">
        <v>22</v>
      </c>
      <c r="H570" t="s">
        <v>1188</v>
      </c>
      <c r="I570" t="s">
        <v>1189</v>
      </c>
      <c r="J570" s="4">
        <v>46069.359815162039</v>
      </c>
    </row>
    <row r="571" spans="1:11" x14ac:dyDescent="0.55000000000000004">
      <c r="A571" t="s">
        <v>1186</v>
      </c>
      <c r="B571">
        <v>100419</v>
      </c>
      <c r="C571" t="s">
        <v>248</v>
      </c>
      <c r="D571" s="3">
        <v>45893</v>
      </c>
      <c r="E571" t="s">
        <v>20</v>
      </c>
      <c r="F571" t="s">
        <v>1187</v>
      </c>
      <c r="G571" t="s">
        <v>22</v>
      </c>
      <c r="H571" t="s">
        <v>1188</v>
      </c>
      <c r="I571" t="s">
        <v>1189</v>
      </c>
      <c r="J571" s="4">
        <v>46069.359815162039</v>
      </c>
    </row>
    <row r="572" spans="1:11" x14ac:dyDescent="0.55000000000000004">
      <c r="A572" t="s">
        <v>1190</v>
      </c>
      <c r="B572">
        <v>100591</v>
      </c>
      <c r="C572" t="s">
        <v>248</v>
      </c>
      <c r="D572" s="3">
        <v>45770</v>
      </c>
      <c r="E572" t="s">
        <v>115</v>
      </c>
      <c r="F572" t="s">
        <v>1191</v>
      </c>
      <c r="G572" t="s">
        <v>15</v>
      </c>
      <c r="H572" t="s">
        <v>1192</v>
      </c>
      <c r="I572" t="s">
        <v>1193</v>
      </c>
      <c r="J572" s="4">
        <v>46088.595926273149</v>
      </c>
    </row>
    <row r="573" spans="1:11" x14ac:dyDescent="0.55000000000000004">
      <c r="A573" t="s">
        <v>1194</v>
      </c>
      <c r="B573">
        <v>101121</v>
      </c>
      <c r="C573" t="s">
        <v>533</v>
      </c>
      <c r="D573" s="3">
        <v>45962</v>
      </c>
      <c r="E573" t="s">
        <v>20</v>
      </c>
      <c r="F573" t="s">
        <v>1195</v>
      </c>
      <c r="G573" t="s">
        <v>15</v>
      </c>
      <c r="H573" t="s">
        <v>1196</v>
      </c>
      <c r="I573" t="s">
        <v>1197</v>
      </c>
      <c r="J573" s="4">
        <v>46063.236898506948</v>
      </c>
      <c r="K573" t="s">
        <v>139</v>
      </c>
    </row>
    <row r="574" spans="1:11" x14ac:dyDescent="0.55000000000000004">
      <c r="A574" t="s">
        <v>1194</v>
      </c>
      <c r="B574">
        <v>101121</v>
      </c>
      <c r="C574" t="s">
        <v>533</v>
      </c>
      <c r="D574" s="3">
        <v>45962</v>
      </c>
      <c r="E574" t="s">
        <v>69</v>
      </c>
      <c r="F574" t="s">
        <v>1195</v>
      </c>
      <c r="G574" t="s">
        <v>15</v>
      </c>
      <c r="H574" t="s">
        <v>1196</v>
      </c>
      <c r="I574" t="s">
        <v>1197</v>
      </c>
      <c r="J574" s="4">
        <v>46063.236898506948</v>
      </c>
      <c r="K574" t="s">
        <v>139</v>
      </c>
    </row>
    <row r="575" spans="1:11" x14ac:dyDescent="0.55000000000000004">
      <c r="A575" t="s">
        <v>1198</v>
      </c>
      <c r="B575">
        <v>100413</v>
      </c>
      <c r="C575" t="s">
        <v>248</v>
      </c>
      <c r="D575" s="3">
        <v>45963</v>
      </c>
      <c r="E575" t="s">
        <v>20</v>
      </c>
      <c r="F575" t="s">
        <v>1199</v>
      </c>
      <c r="G575" t="s">
        <v>15</v>
      </c>
      <c r="H575" t="s">
        <v>1200</v>
      </c>
      <c r="I575" t="s">
        <v>1201</v>
      </c>
      <c r="J575" s="4">
        <v>46092.522315173614</v>
      </c>
    </row>
    <row r="576" spans="1:11" x14ac:dyDescent="0.55000000000000004">
      <c r="A576" t="s">
        <v>1198</v>
      </c>
      <c r="B576">
        <v>100413</v>
      </c>
      <c r="C576" t="s">
        <v>248</v>
      </c>
      <c r="D576" s="3">
        <v>45963</v>
      </c>
      <c r="E576" t="s">
        <v>69</v>
      </c>
      <c r="F576" t="s">
        <v>1199</v>
      </c>
      <c r="G576" t="s">
        <v>15</v>
      </c>
      <c r="H576" t="s">
        <v>1200</v>
      </c>
      <c r="I576" t="s">
        <v>1201</v>
      </c>
      <c r="J576" s="4">
        <v>46092.522315173614</v>
      </c>
    </row>
    <row r="577" spans="1:11" x14ac:dyDescent="0.55000000000000004">
      <c r="A577" t="s">
        <v>1202</v>
      </c>
      <c r="B577">
        <v>100872</v>
      </c>
      <c r="C577" t="s">
        <v>68</v>
      </c>
      <c r="D577" s="3">
        <v>46155</v>
      </c>
      <c r="E577" t="s">
        <v>317</v>
      </c>
      <c r="F577" t="s">
        <v>1203</v>
      </c>
      <c r="G577" t="s">
        <v>15</v>
      </c>
      <c r="H577" t="s">
        <v>1204</v>
      </c>
      <c r="I577" t="s">
        <v>1205</v>
      </c>
      <c r="J577" s="4">
        <v>46077.535509618057</v>
      </c>
    </row>
    <row r="578" spans="1:11" x14ac:dyDescent="0.55000000000000004">
      <c r="A578" t="s">
        <v>1202</v>
      </c>
      <c r="B578">
        <v>100872</v>
      </c>
      <c r="C578" t="s">
        <v>68</v>
      </c>
      <c r="D578" s="3">
        <v>46155</v>
      </c>
      <c r="E578" t="s">
        <v>38</v>
      </c>
      <c r="F578" t="s">
        <v>1203</v>
      </c>
      <c r="G578" t="s">
        <v>15</v>
      </c>
      <c r="H578" t="s">
        <v>1204</v>
      </c>
      <c r="I578" t="s">
        <v>1205</v>
      </c>
      <c r="J578" s="4">
        <v>46077.535509618057</v>
      </c>
    </row>
    <row r="579" spans="1:11" x14ac:dyDescent="0.55000000000000004">
      <c r="A579" t="s">
        <v>1202</v>
      </c>
      <c r="B579">
        <v>100872</v>
      </c>
      <c r="C579" t="s">
        <v>68</v>
      </c>
      <c r="D579" s="3">
        <v>46155</v>
      </c>
      <c r="E579" t="s">
        <v>155</v>
      </c>
      <c r="F579" t="s">
        <v>1203</v>
      </c>
      <c r="G579" t="s">
        <v>15</v>
      </c>
      <c r="H579" t="s">
        <v>1204</v>
      </c>
      <c r="I579" t="s">
        <v>1205</v>
      </c>
      <c r="J579" s="4">
        <v>46077.535509618057</v>
      </c>
    </row>
    <row r="580" spans="1:11" x14ac:dyDescent="0.55000000000000004">
      <c r="A580" t="s">
        <v>1206</v>
      </c>
      <c r="B580">
        <v>100739</v>
      </c>
      <c r="C580" t="s">
        <v>37</v>
      </c>
      <c r="D580" s="3">
        <v>46096</v>
      </c>
      <c r="E580" t="s">
        <v>20</v>
      </c>
      <c r="F580" t="s">
        <v>1207</v>
      </c>
      <c r="G580" t="s">
        <v>22</v>
      </c>
      <c r="H580" t="s">
        <v>1208</v>
      </c>
      <c r="I580" t="s">
        <v>1209</v>
      </c>
      <c r="J580" s="4">
        <v>46065.67648185185</v>
      </c>
    </row>
    <row r="581" spans="1:11" x14ac:dyDescent="0.55000000000000004">
      <c r="A581" t="s">
        <v>1210</v>
      </c>
      <c r="B581">
        <v>100948</v>
      </c>
      <c r="C581" t="s">
        <v>68</v>
      </c>
      <c r="D581" s="3">
        <v>45865</v>
      </c>
      <c r="E581" t="s">
        <v>155</v>
      </c>
      <c r="F581" t="s">
        <v>1211</v>
      </c>
      <c r="G581" t="s">
        <v>22</v>
      </c>
      <c r="H581" t="s">
        <v>1212</v>
      </c>
      <c r="I581" t="s">
        <v>1213</v>
      </c>
      <c r="J581" s="4">
        <v>46068.955648518517</v>
      </c>
    </row>
    <row r="582" spans="1:11" x14ac:dyDescent="0.55000000000000004">
      <c r="A582" t="s">
        <v>1214</v>
      </c>
      <c r="B582">
        <v>100653</v>
      </c>
      <c r="C582" t="s">
        <v>19</v>
      </c>
      <c r="D582" s="3">
        <v>45859</v>
      </c>
      <c r="E582" t="s">
        <v>69</v>
      </c>
      <c r="F582" t="s">
        <v>1215</v>
      </c>
      <c r="G582" t="s">
        <v>15</v>
      </c>
      <c r="H582" t="s">
        <v>1216</v>
      </c>
      <c r="I582" t="s">
        <v>1217</v>
      </c>
      <c r="J582" s="4">
        <v>46089.573704085647</v>
      </c>
    </row>
    <row r="583" spans="1:11" x14ac:dyDescent="0.55000000000000004">
      <c r="A583" t="s">
        <v>1218</v>
      </c>
      <c r="B583">
        <v>100128</v>
      </c>
      <c r="C583" t="s">
        <v>37</v>
      </c>
      <c r="D583" s="3">
        <v>45763</v>
      </c>
      <c r="E583" t="s">
        <v>115</v>
      </c>
      <c r="F583" t="s">
        <v>1219</v>
      </c>
      <c r="G583" t="s">
        <v>15</v>
      </c>
      <c r="H583" t="s">
        <v>1220</v>
      </c>
      <c r="I583" t="s">
        <v>1221</v>
      </c>
      <c r="J583" s="4">
        <v>46072.216759641204</v>
      </c>
    </row>
    <row r="584" spans="1:11" x14ac:dyDescent="0.55000000000000004">
      <c r="A584" t="s">
        <v>1222</v>
      </c>
      <c r="B584">
        <v>100690</v>
      </c>
      <c r="C584" t="s">
        <v>37</v>
      </c>
      <c r="D584" s="3">
        <v>46030</v>
      </c>
      <c r="E584" t="s">
        <v>38</v>
      </c>
      <c r="F584" t="s">
        <v>1223</v>
      </c>
      <c r="G584" t="s">
        <v>15</v>
      </c>
      <c r="H584" t="s">
        <v>1224</v>
      </c>
      <c r="I584" t="s">
        <v>1225</v>
      </c>
      <c r="J584" s="4">
        <v>46084.827870752313</v>
      </c>
    </row>
    <row r="585" spans="1:11" x14ac:dyDescent="0.55000000000000004">
      <c r="A585" t="s">
        <v>1222</v>
      </c>
      <c r="B585">
        <v>100690</v>
      </c>
      <c r="C585" t="s">
        <v>37</v>
      </c>
      <c r="D585" s="3">
        <v>46030</v>
      </c>
      <c r="E585" t="s">
        <v>20</v>
      </c>
      <c r="F585" t="s">
        <v>1223</v>
      </c>
      <c r="G585" t="s">
        <v>15</v>
      </c>
      <c r="H585" t="s">
        <v>1224</v>
      </c>
      <c r="I585" t="s">
        <v>1225</v>
      </c>
      <c r="J585" s="4">
        <v>46084.827870752313</v>
      </c>
    </row>
    <row r="586" spans="1:11" x14ac:dyDescent="0.55000000000000004">
      <c r="A586" t="s">
        <v>1222</v>
      </c>
      <c r="B586">
        <v>100690</v>
      </c>
      <c r="C586" t="s">
        <v>37</v>
      </c>
      <c r="D586" s="3">
        <v>46030</v>
      </c>
      <c r="E586" t="s">
        <v>155</v>
      </c>
      <c r="F586" t="s">
        <v>1223</v>
      </c>
      <c r="G586" t="s">
        <v>15</v>
      </c>
      <c r="H586" t="s">
        <v>1224</v>
      </c>
      <c r="I586" t="s">
        <v>1225</v>
      </c>
      <c r="J586" s="4">
        <v>46084.827870752313</v>
      </c>
    </row>
    <row r="587" spans="1:11" x14ac:dyDescent="0.55000000000000004">
      <c r="A587" t="s">
        <v>1226</v>
      </c>
      <c r="B587">
        <v>101097</v>
      </c>
      <c r="C587" t="s">
        <v>179</v>
      </c>
      <c r="D587" s="3">
        <v>46146</v>
      </c>
      <c r="E587" t="s">
        <v>155</v>
      </c>
      <c r="F587" t="s">
        <v>1227</v>
      </c>
      <c r="G587" t="s">
        <v>22</v>
      </c>
      <c r="H587" t="s">
        <v>1228</v>
      </c>
      <c r="I587" t="s">
        <v>1229</v>
      </c>
      <c r="J587" s="4">
        <v>46090.68550965278</v>
      </c>
    </row>
    <row r="588" spans="1:11" x14ac:dyDescent="0.55000000000000004">
      <c r="A588" t="s">
        <v>1230</v>
      </c>
      <c r="B588">
        <v>100394</v>
      </c>
      <c r="C588" t="s">
        <v>179</v>
      </c>
      <c r="D588" s="3">
        <v>45757</v>
      </c>
      <c r="E588" t="s">
        <v>38</v>
      </c>
      <c r="F588" t="s">
        <v>1231</v>
      </c>
      <c r="G588" t="s">
        <v>22</v>
      </c>
      <c r="H588" t="s">
        <v>1232</v>
      </c>
      <c r="I588" t="s">
        <v>1233</v>
      </c>
      <c r="J588" s="4">
        <v>46072.040370763891</v>
      </c>
    </row>
    <row r="589" spans="1:11" x14ac:dyDescent="0.55000000000000004">
      <c r="A589" t="s">
        <v>6026</v>
      </c>
      <c r="B589">
        <v>101400</v>
      </c>
      <c r="C589" t="s">
        <v>37</v>
      </c>
      <c r="D589" s="3">
        <v>45927</v>
      </c>
      <c r="E589" t="s">
        <v>20</v>
      </c>
      <c r="F589" t="s">
        <v>1235</v>
      </c>
      <c r="G589" t="s">
        <v>15</v>
      </c>
      <c r="H589" t="s">
        <v>1236</v>
      </c>
      <c r="I589" t="s">
        <v>1237</v>
      </c>
      <c r="J589" s="4">
        <v>46086.3549541088</v>
      </c>
      <c r="K589" t="s">
        <v>119</v>
      </c>
    </row>
    <row r="590" spans="1:11" x14ac:dyDescent="0.55000000000000004">
      <c r="A590" t="s">
        <v>6026</v>
      </c>
      <c r="B590">
        <v>101400</v>
      </c>
      <c r="C590" t="s">
        <v>37</v>
      </c>
      <c r="D590" s="3">
        <v>45927</v>
      </c>
      <c r="E590" t="s">
        <v>115</v>
      </c>
      <c r="F590" t="s">
        <v>1235</v>
      </c>
      <c r="G590" t="s">
        <v>15</v>
      </c>
      <c r="H590" t="s">
        <v>1236</v>
      </c>
      <c r="I590" t="s">
        <v>1237</v>
      </c>
      <c r="J590" s="4">
        <v>46086.3549541088</v>
      </c>
      <c r="K590" t="s">
        <v>119</v>
      </c>
    </row>
    <row r="591" spans="1:11" x14ac:dyDescent="0.55000000000000004">
      <c r="A591" t="s">
        <v>6026</v>
      </c>
      <c r="B591">
        <v>101400</v>
      </c>
      <c r="C591" t="s">
        <v>37</v>
      </c>
      <c r="D591" s="3">
        <v>45927</v>
      </c>
      <c r="E591" t="s">
        <v>69</v>
      </c>
      <c r="F591" t="s">
        <v>1235</v>
      </c>
      <c r="G591" t="s">
        <v>15</v>
      </c>
      <c r="H591" t="s">
        <v>1236</v>
      </c>
      <c r="I591" t="s">
        <v>1237</v>
      </c>
      <c r="J591" s="4">
        <v>46086.3549541088</v>
      </c>
      <c r="K591" t="s">
        <v>119</v>
      </c>
    </row>
    <row r="592" spans="1:11" x14ac:dyDescent="0.55000000000000004">
      <c r="A592" t="s">
        <v>1238</v>
      </c>
      <c r="B592">
        <v>100037</v>
      </c>
      <c r="C592" t="s">
        <v>248</v>
      </c>
      <c r="D592" s="3">
        <v>45960</v>
      </c>
      <c r="E592" t="s">
        <v>155</v>
      </c>
      <c r="F592" t="s">
        <v>1239</v>
      </c>
      <c r="G592" t="s">
        <v>15</v>
      </c>
      <c r="H592" t="s">
        <v>1240</v>
      </c>
      <c r="I592" t="s">
        <v>1241</v>
      </c>
      <c r="J592" s="4">
        <v>46056.326481886572</v>
      </c>
    </row>
    <row r="593" spans="1:11" x14ac:dyDescent="0.55000000000000004">
      <c r="A593" t="s">
        <v>1242</v>
      </c>
      <c r="B593">
        <v>100080</v>
      </c>
      <c r="C593" t="s">
        <v>19</v>
      </c>
      <c r="D593" s="3">
        <v>45942</v>
      </c>
      <c r="E593" t="s">
        <v>38</v>
      </c>
      <c r="F593" t="s">
        <v>1243</v>
      </c>
      <c r="G593" t="s">
        <v>22</v>
      </c>
      <c r="H593" t="s">
        <v>1244</v>
      </c>
      <c r="I593" t="s">
        <v>1245</v>
      </c>
      <c r="J593" s="4">
        <v>46073.550787442131</v>
      </c>
    </row>
    <row r="594" spans="1:11" x14ac:dyDescent="0.55000000000000004">
      <c r="A594" t="s">
        <v>1242</v>
      </c>
      <c r="B594">
        <v>100080</v>
      </c>
      <c r="C594" t="s">
        <v>19</v>
      </c>
      <c r="D594" s="3">
        <v>45942</v>
      </c>
      <c r="E594" t="s">
        <v>155</v>
      </c>
      <c r="F594" t="s">
        <v>1243</v>
      </c>
      <c r="G594" t="s">
        <v>22</v>
      </c>
      <c r="H594" t="s">
        <v>1244</v>
      </c>
      <c r="I594" t="s">
        <v>1245</v>
      </c>
      <c r="J594" s="4">
        <v>46073.550787442131</v>
      </c>
    </row>
    <row r="595" spans="1:11" x14ac:dyDescent="0.55000000000000004">
      <c r="A595" t="s">
        <v>1242</v>
      </c>
      <c r="B595">
        <v>100080</v>
      </c>
      <c r="C595" t="s">
        <v>19</v>
      </c>
      <c r="D595" s="3">
        <v>45942</v>
      </c>
      <c r="E595" t="s">
        <v>69</v>
      </c>
      <c r="F595" t="s">
        <v>1243</v>
      </c>
      <c r="G595" t="s">
        <v>22</v>
      </c>
      <c r="H595" t="s">
        <v>1244</v>
      </c>
      <c r="I595" t="s">
        <v>1245</v>
      </c>
      <c r="J595" s="4">
        <v>46073.550787442131</v>
      </c>
    </row>
    <row r="596" spans="1:11" x14ac:dyDescent="0.55000000000000004">
      <c r="A596" t="s">
        <v>1246</v>
      </c>
      <c r="B596">
        <v>100839</v>
      </c>
      <c r="C596" t="s">
        <v>179</v>
      </c>
      <c r="D596" s="3">
        <v>45834</v>
      </c>
      <c r="E596" t="s">
        <v>38</v>
      </c>
      <c r="F596" t="s">
        <v>1247</v>
      </c>
      <c r="G596" t="s">
        <v>22</v>
      </c>
      <c r="H596" t="s">
        <v>1248</v>
      </c>
      <c r="I596" t="s">
        <v>1249</v>
      </c>
      <c r="J596" s="4">
        <v>46052.235509675927</v>
      </c>
    </row>
    <row r="597" spans="1:11" x14ac:dyDescent="0.55000000000000004">
      <c r="A597" t="s">
        <v>1246</v>
      </c>
      <c r="B597">
        <v>100839</v>
      </c>
      <c r="C597" t="s">
        <v>179</v>
      </c>
      <c r="D597" s="3">
        <v>45834</v>
      </c>
      <c r="E597" t="s">
        <v>155</v>
      </c>
      <c r="F597" t="s">
        <v>1247</v>
      </c>
      <c r="G597" t="s">
        <v>22</v>
      </c>
      <c r="H597" t="s">
        <v>1248</v>
      </c>
      <c r="I597" t="s">
        <v>1249</v>
      </c>
      <c r="J597" s="4">
        <v>46052.235509675927</v>
      </c>
    </row>
    <row r="598" spans="1:11" x14ac:dyDescent="0.55000000000000004">
      <c r="A598" t="s">
        <v>1246</v>
      </c>
      <c r="B598">
        <v>100839</v>
      </c>
      <c r="C598" t="s">
        <v>179</v>
      </c>
      <c r="D598" s="3">
        <v>45834</v>
      </c>
      <c r="E598" t="s">
        <v>115</v>
      </c>
      <c r="F598" t="s">
        <v>1247</v>
      </c>
      <c r="G598" t="s">
        <v>22</v>
      </c>
      <c r="H598" t="s">
        <v>1248</v>
      </c>
      <c r="I598" t="s">
        <v>1249</v>
      </c>
      <c r="J598" s="4">
        <v>46052.235509675927</v>
      </c>
    </row>
    <row r="599" spans="1:11" x14ac:dyDescent="0.55000000000000004">
      <c r="A599" t="s">
        <v>1250</v>
      </c>
      <c r="B599">
        <v>100372</v>
      </c>
      <c r="D599" s="3">
        <v>46010</v>
      </c>
      <c r="E599" t="s">
        <v>38</v>
      </c>
      <c r="F599" t="s">
        <v>1251</v>
      </c>
      <c r="G599" t="s">
        <v>22</v>
      </c>
      <c r="H599" t="s">
        <v>1252</v>
      </c>
      <c r="I599" t="s">
        <v>1253</v>
      </c>
      <c r="J599" s="4">
        <v>46073.361898564814</v>
      </c>
      <c r="K599" t="s">
        <v>217</v>
      </c>
    </row>
    <row r="600" spans="1:11" x14ac:dyDescent="0.55000000000000004">
      <c r="A600" t="s">
        <v>1250</v>
      </c>
      <c r="B600">
        <v>100372</v>
      </c>
      <c r="D600" s="3">
        <v>46010</v>
      </c>
      <c r="E600" t="s">
        <v>20</v>
      </c>
      <c r="F600" t="s">
        <v>1251</v>
      </c>
      <c r="G600" t="s">
        <v>22</v>
      </c>
      <c r="H600" t="s">
        <v>1252</v>
      </c>
      <c r="I600" t="s">
        <v>1253</v>
      </c>
      <c r="J600" s="4">
        <v>46073.361898564814</v>
      </c>
      <c r="K600" t="s">
        <v>217</v>
      </c>
    </row>
    <row r="601" spans="1:11" x14ac:dyDescent="0.55000000000000004">
      <c r="A601" t="s">
        <v>1254</v>
      </c>
      <c r="B601">
        <v>100238</v>
      </c>
      <c r="C601" t="s">
        <v>533</v>
      </c>
      <c r="D601" s="3">
        <v>45745</v>
      </c>
      <c r="E601" t="s">
        <v>38</v>
      </c>
      <c r="F601" t="s">
        <v>1255</v>
      </c>
      <c r="G601" t="s">
        <v>15</v>
      </c>
      <c r="H601" t="s">
        <v>1256</v>
      </c>
      <c r="I601" t="s">
        <v>1257</v>
      </c>
      <c r="J601" s="4">
        <v>46080.663287453703</v>
      </c>
    </row>
    <row r="602" spans="1:11" x14ac:dyDescent="0.55000000000000004">
      <c r="A602" t="s">
        <v>1254</v>
      </c>
      <c r="B602">
        <v>100238</v>
      </c>
      <c r="C602" t="s">
        <v>533</v>
      </c>
      <c r="D602" s="3">
        <v>45745</v>
      </c>
      <c r="E602" t="s">
        <v>115</v>
      </c>
      <c r="F602" t="s">
        <v>1255</v>
      </c>
      <c r="G602" t="s">
        <v>15</v>
      </c>
      <c r="H602" t="s">
        <v>1256</v>
      </c>
      <c r="I602" t="s">
        <v>1257</v>
      </c>
      <c r="J602" s="4">
        <v>46080.663287453703</v>
      </c>
    </row>
    <row r="603" spans="1:11" x14ac:dyDescent="0.55000000000000004">
      <c r="A603" t="s">
        <v>1258</v>
      </c>
      <c r="B603">
        <v>101215</v>
      </c>
      <c r="C603" t="s">
        <v>19</v>
      </c>
      <c r="D603" s="3">
        <v>46003</v>
      </c>
      <c r="E603" t="s">
        <v>38</v>
      </c>
      <c r="F603" t="s">
        <v>1259</v>
      </c>
      <c r="G603" t="s">
        <v>15</v>
      </c>
      <c r="H603" t="s">
        <v>1260</v>
      </c>
      <c r="I603" t="s">
        <v>1261</v>
      </c>
      <c r="J603" s="4">
        <v>46091.393843020836</v>
      </c>
    </row>
    <row r="604" spans="1:11" x14ac:dyDescent="0.55000000000000004">
      <c r="A604" t="s">
        <v>1258</v>
      </c>
      <c r="B604">
        <v>101215</v>
      </c>
      <c r="C604" t="s">
        <v>19</v>
      </c>
      <c r="D604" s="3">
        <v>46003</v>
      </c>
      <c r="E604" t="s">
        <v>115</v>
      </c>
      <c r="F604" t="s">
        <v>1259</v>
      </c>
      <c r="G604" t="s">
        <v>15</v>
      </c>
      <c r="H604" t="s">
        <v>1260</v>
      </c>
      <c r="I604" t="s">
        <v>1261</v>
      </c>
      <c r="J604" s="4">
        <v>46091.393843020836</v>
      </c>
    </row>
    <row r="605" spans="1:11" x14ac:dyDescent="0.55000000000000004">
      <c r="A605" t="s">
        <v>6027</v>
      </c>
      <c r="B605">
        <v>101145</v>
      </c>
      <c r="C605" t="s">
        <v>248</v>
      </c>
      <c r="D605" s="3">
        <v>45868</v>
      </c>
      <c r="E605" t="s">
        <v>317</v>
      </c>
      <c r="F605" t="s">
        <v>1263</v>
      </c>
      <c r="G605" t="s">
        <v>22</v>
      </c>
      <c r="H605" t="s">
        <v>1264</v>
      </c>
      <c r="I605" t="s">
        <v>1265</v>
      </c>
      <c r="J605" s="4">
        <v>46075.499398576387</v>
      </c>
      <c r="K605" t="s">
        <v>119</v>
      </c>
    </row>
    <row r="606" spans="1:11" x14ac:dyDescent="0.55000000000000004">
      <c r="A606" t="s">
        <v>6027</v>
      </c>
      <c r="B606">
        <v>101145</v>
      </c>
      <c r="C606" t="s">
        <v>248</v>
      </c>
      <c r="D606" s="3">
        <v>45868</v>
      </c>
      <c r="E606" t="s">
        <v>155</v>
      </c>
      <c r="F606" t="s">
        <v>1263</v>
      </c>
      <c r="G606" t="s">
        <v>22</v>
      </c>
      <c r="H606" t="s">
        <v>1264</v>
      </c>
      <c r="I606" t="s">
        <v>1265</v>
      </c>
      <c r="J606" s="4">
        <v>46075.499398576387</v>
      </c>
      <c r="K606" t="s">
        <v>119</v>
      </c>
    </row>
    <row r="607" spans="1:11" x14ac:dyDescent="0.55000000000000004">
      <c r="A607" t="s">
        <v>6027</v>
      </c>
      <c r="B607">
        <v>101145</v>
      </c>
      <c r="C607" t="s">
        <v>248</v>
      </c>
      <c r="D607" s="3">
        <v>45868</v>
      </c>
      <c r="E607" t="s">
        <v>115</v>
      </c>
      <c r="F607" t="s">
        <v>1263</v>
      </c>
      <c r="G607" t="s">
        <v>22</v>
      </c>
      <c r="H607" t="s">
        <v>1264</v>
      </c>
      <c r="I607" t="s">
        <v>1265</v>
      </c>
      <c r="J607" s="4">
        <v>46075.499398576387</v>
      </c>
      <c r="K607" t="s">
        <v>119</v>
      </c>
    </row>
    <row r="608" spans="1:11" x14ac:dyDescent="0.55000000000000004">
      <c r="A608" t="s">
        <v>1266</v>
      </c>
      <c r="B608">
        <v>100235</v>
      </c>
      <c r="C608" t="s">
        <v>533</v>
      </c>
      <c r="D608" s="3">
        <v>45853</v>
      </c>
      <c r="E608" t="s">
        <v>317</v>
      </c>
      <c r="F608" t="s">
        <v>1267</v>
      </c>
      <c r="G608" t="s">
        <v>22</v>
      </c>
      <c r="H608" t="s">
        <v>1268</v>
      </c>
      <c r="I608" t="s">
        <v>1269</v>
      </c>
      <c r="J608" s="4">
        <v>46060.944537476855</v>
      </c>
    </row>
    <row r="609" spans="1:10" x14ac:dyDescent="0.55000000000000004">
      <c r="A609" t="s">
        <v>1266</v>
      </c>
      <c r="B609">
        <v>100235</v>
      </c>
      <c r="C609" t="s">
        <v>533</v>
      </c>
      <c r="D609" s="3">
        <v>45853</v>
      </c>
      <c r="E609" t="s">
        <v>20</v>
      </c>
      <c r="F609" t="s">
        <v>1267</v>
      </c>
      <c r="G609" t="s">
        <v>22</v>
      </c>
      <c r="H609" t="s">
        <v>1268</v>
      </c>
      <c r="I609" t="s">
        <v>1269</v>
      </c>
      <c r="J609" s="4">
        <v>46060.944537476855</v>
      </c>
    </row>
    <row r="610" spans="1:10" x14ac:dyDescent="0.55000000000000004">
      <c r="A610" t="s">
        <v>1266</v>
      </c>
      <c r="B610">
        <v>100235</v>
      </c>
      <c r="C610" t="s">
        <v>533</v>
      </c>
      <c r="D610" s="3">
        <v>45853</v>
      </c>
      <c r="E610" t="s">
        <v>155</v>
      </c>
      <c r="F610" t="s">
        <v>1267</v>
      </c>
      <c r="G610" t="s">
        <v>22</v>
      </c>
      <c r="H610" t="s">
        <v>1268</v>
      </c>
      <c r="I610" t="s">
        <v>1269</v>
      </c>
      <c r="J610" s="4">
        <v>46060.944537476855</v>
      </c>
    </row>
    <row r="611" spans="1:10" x14ac:dyDescent="0.55000000000000004">
      <c r="A611" t="s">
        <v>1270</v>
      </c>
      <c r="B611">
        <v>101184</v>
      </c>
      <c r="C611" t="s">
        <v>533</v>
      </c>
      <c r="D611" s="3">
        <v>46020</v>
      </c>
      <c r="E611" t="s">
        <v>69</v>
      </c>
      <c r="F611" t="s">
        <v>1271</v>
      </c>
      <c r="G611" t="s">
        <v>22</v>
      </c>
      <c r="H611" t="s">
        <v>1272</v>
      </c>
      <c r="I611" t="s">
        <v>1273</v>
      </c>
      <c r="J611" s="4">
        <v>46086.048704143519</v>
      </c>
    </row>
    <row r="612" spans="1:10" x14ac:dyDescent="0.55000000000000004">
      <c r="A612" t="s">
        <v>1274</v>
      </c>
      <c r="B612">
        <v>101012</v>
      </c>
      <c r="C612" t="s">
        <v>37</v>
      </c>
      <c r="D612" s="3">
        <v>45778</v>
      </c>
      <c r="E612" t="s">
        <v>115</v>
      </c>
      <c r="F612" t="s">
        <v>1275</v>
      </c>
      <c r="G612" t="s">
        <v>15</v>
      </c>
      <c r="H612" t="s">
        <v>1276</v>
      </c>
      <c r="I612" t="s">
        <v>1277</v>
      </c>
      <c r="J612" s="4">
        <v>46095.99731525463</v>
      </c>
    </row>
    <row r="613" spans="1:10" x14ac:dyDescent="0.55000000000000004">
      <c r="A613" t="s">
        <v>1278</v>
      </c>
      <c r="B613">
        <v>101387</v>
      </c>
      <c r="C613" t="s">
        <v>19</v>
      </c>
      <c r="D613" s="3">
        <v>45732</v>
      </c>
      <c r="E613" t="s">
        <v>38</v>
      </c>
      <c r="F613" t="s">
        <v>1279</v>
      </c>
      <c r="G613" t="s">
        <v>15</v>
      </c>
      <c r="H613" t="s">
        <v>1280</v>
      </c>
      <c r="I613" t="s">
        <v>1281</v>
      </c>
      <c r="J613" s="4">
        <v>46076.49384304398</v>
      </c>
    </row>
    <row r="614" spans="1:10" x14ac:dyDescent="0.55000000000000004">
      <c r="A614" t="s">
        <v>1278</v>
      </c>
      <c r="B614">
        <v>101387</v>
      </c>
      <c r="C614" t="s">
        <v>19</v>
      </c>
      <c r="D614" s="3">
        <v>45732</v>
      </c>
      <c r="E614" t="s">
        <v>115</v>
      </c>
      <c r="F614" t="s">
        <v>1279</v>
      </c>
      <c r="G614" t="s">
        <v>15</v>
      </c>
      <c r="H614" t="s">
        <v>1280</v>
      </c>
      <c r="I614" t="s">
        <v>1281</v>
      </c>
      <c r="J614" s="4">
        <v>46076.49384304398</v>
      </c>
    </row>
    <row r="615" spans="1:10" x14ac:dyDescent="0.55000000000000004">
      <c r="A615" t="s">
        <v>1282</v>
      </c>
      <c r="B615">
        <v>100791</v>
      </c>
      <c r="C615" t="s">
        <v>68</v>
      </c>
      <c r="D615" s="3">
        <v>45762</v>
      </c>
      <c r="E615" t="s">
        <v>115</v>
      </c>
      <c r="F615" t="s">
        <v>1283</v>
      </c>
      <c r="G615" t="s">
        <v>15</v>
      </c>
      <c r="H615" t="s">
        <v>1284</v>
      </c>
      <c r="I615" t="s">
        <v>1285</v>
      </c>
      <c r="J615" s="4">
        <v>46089.998009710645</v>
      </c>
    </row>
    <row r="616" spans="1:10" x14ac:dyDescent="0.55000000000000004">
      <c r="A616" t="s">
        <v>1286</v>
      </c>
      <c r="B616">
        <v>100564</v>
      </c>
      <c r="C616" t="s">
        <v>68</v>
      </c>
      <c r="D616" s="3">
        <v>45769</v>
      </c>
      <c r="E616" t="s">
        <v>317</v>
      </c>
      <c r="F616" t="s">
        <v>1287</v>
      </c>
      <c r="G616" t="s">
        <v>15</v>
      </c>
      <c r="H616" t="s">
        <v>1288</v>
      </c>
      <c r="I616" t="s">
        <v>1289</v>
      </c>
      <c r="J616" s="4">
        <v>46076.31675972222</v>
      </c>
    </row>
    <row r="617" spans="1:10" x14ac:dyDescent="0.55000000000000004">
      <c r="A617" t="s">
        <v>1286</v>
      </c>
      <c r="B617">
        <v>100564</v>
      </c>
      <c r="C617" t="s">
        <v>68</v>
      </c>
      <c r="D617" s="3">
        <v>45769</v>
      </c>
      <c r="E617" t="s">
        <v>69</v>
      </c>
      <c r="F617" t="s">
        <v>1287</v>
      </c>
      <c r="G617" t="s">
        <v>15</v>
      </c>
      <c r="H617" t="s">
        <v>1288</v>
      </c>
      <c r="I617" t="s">
        <v>1289</v>
      </c>
      <c r="J617" s="4">
        <v>46076.31675972222</v>
      </c>
    </row>
    <row r="618" spans="1:10" x14ac:dyDescent="0.55000000000000004">
      <c r="A618" t="s">
        <v>1290</v>
      </c>
      <c r="B618">
        <v>100759</v>
      </c>
      <c r="C618" t="s">
        <v>68</v>
      </c>
      <c r="D618" s="3">
        <v>45801</v>
      </c>
      <c r="E618" t="s">
        <v>317</v>
      </c>
      <c r="F618" t="s">
        <v>1291</v>
      </c>
      <c r="G618" t="s">
        <v>22</v>
      </c>
      <c r="H618" t="s">
        <v>1292</v>
      </c>
      <c r="I618" t="s">
        <v>1293</v>
      </c>
      <c r="J618" s="4">
        <v>46057.053565277776</v>
      </c>
    </row>
    <row r="619" spans="1:10" x14ac:dyDescent="0.55000000000000004">
      <c r="A619" t="s">
        <v>1294</v>
      </c>
      <c r="B619">
        <v>101165</v>
      </c>
      <c r="C619" t="s">
        <v>68</v>
      </c>
      <c r="D619" s="3">
        <v>45821</v>
      </c>
      <c r="E619" t="s">
        <v>317</v>
      </c>
      <c r="F619" t="s">
        <v>1295</v>
      </c>
      <c r="G619" t="s">
        <v>15</v>
      </c>
      <c r="H619" t="s">
        <v>1296</v>
      </c>
      <c r="I619" t="s">
        <v>1297</v>
      </c>
      <c r="J619" s="4">
        <v>46054.908426388887</v>
      </c>
    </row>
    <row r="620" spans="1:10" x14ac:dyDescent="0.55000000000000004">
      <c r="A620" t="s">
        <v>1294</v>
      </c>
      <c r="B620">
        <v>101165</v>
      </c>
      <c r="C620" t="s">
        <v>68</v>
      </c>
      <c r="D620" s="3">
        <v>45821</v>
      </c>
      <c r="E620" t="s">
        <v>38</v>
      </c>
      <c r="F620" t="s">
        <v>1295</v>
      </c>
      <c r="G620" t="s">
        <v>15</v>
      </c>
      <c r="H620" t="s">
        <v>1296</v>
      </c>
      <c r="I620" t="s">
        <v>1297</v>
      </c>
      <c r="J620" s="4">
        <v>46054.908426388887</v>
      </c>
    </row>
    <row r="621" spans="1:10" x14ac:dyDescent="0.55000000000000004">
      <c r="A621" t="s">
        <v>1294</v>
      </c>
      <c r="B621">
        <v>101165</v>
      </c>
      <c r="C621" t="s">
        <v>68</v>
      </c>
      <c r="D621" s="3">
        <v>45821</v>
      </c>
      <c r="E621" t="s">
        <v>20</v>
      </c>
      <c r="F621" t="s">
        <v>1295</v>
      </c>
      <c r="G621" t="s">
        <v>15</v>
      </c>
      <c r="H621" t="s">
        <v>1296</v>
      </c>
      <c r="I621" t="s">
        <v>1297</v>
      </c>
      <c r="J621" s="4">
        <v>46054.908426388887</v>
      </c>
    </row>
    <row r="622" spans="1:10" x14ac:dyDescent="0.55000000000000004">
      <c r="A622" t="s">
        <v>1298</v>
      </c>
      <c r="B622">
        <v>101237</v>
      </c>
      <c r="C622" t="s">
        <v>533</v>
      </c>
      <c r="D622" s="3">
        <v>45925</v>
      </c>
      <c r="E622" t="s">
        <v>317</v>
      </c>
      <c r="F622" t="s">
        <v>1299</v>
      </c>
      <c r="G622" t="s">
        <v>15</v>
      </c>
      <c r="H622" t="s">
        <v>1300</v>
      </c>
      <c r="I622" t="s">
        <v>1301</v>
      </c>
      <c r="J622" s="4">
        <v>46086.743843067132</v>
      </c>
    </row>
    <row r="623" spans="1:10" x14ac:dyDescent="0.55000000000000004">
      <c r="A623" t="s">
        <v>1298</v>
      </c>
      <c r="B623">
        <v>101237</v>
      </c>
      <c r="C623" t="s">
        <v>533</v>
      </c>
      <c r="D623" s="3">
        <v>45925</v>
      </c>
      <c r="E623" t="s">
        <v>20</v>
      </c>
      <c r="F623" t="s">
        <v>1299</v>
      </c>
      <c r="G623" t="s">
        <v>15</v>
      </c>
      <c r="H623" t="s">
        <v>1300</v>
      </c>
      <c r="I623" t="s">
        <v>1301</v>
      </c>
      <c r="J623" s="4">
        <v>46086.743843067132</v>
      </c>
    </row>
    <row r="624" spans="1:10" x14ac:dyDescent="0.55000000000000004">
      <c r="A624" t="s">
        <v>1302</v>
      </c>
      <c r="B624">
        <v>101147</v>
      </c>
      <c r="C624" t="s">
        <v>19</v>
      </c>
      <c r="D624" s="3">
        <v>45932</v>
      </c>
      <c r="E624" t="s">
        <v>20</v>
      </c>
      <c r="F624" t="s">
        <v>1303</v>
      </c>
      <c r="G624" t="s">
        <v>15</v>
      </c>
      <c r="H624" t="s">
        <v>1304</v>
      </c>
      <c r="I624" t="s">
        <v>1305</v>
      </c>
      <c r="J624" s="4">
        <v>46056.941759733796</v>
      </c>
    </row>
    <row r="625" spans="1:10" x14ac:dyDescent="0.55000000000000004">
      <c r="A625" t="s">
        <v>1302</v>
      </c>
      <c r="B625">
        <v>101147</v>
      </c>
      <c r="C625" t="s">
        <v>19</v>
      </c>
      <c r="D625" s="3">
        <v>45932</v>
      </c>
      <c r="E625" t="s">
        <v>155</v>
      </c>
      <c r="F625" t="s">
        <v>1303</v>
      </c>
      <c r="G625" t="s">
        <v>15</v>
      </c>
      <c r="H625" t="s">
        <v>1304</v>
      </c>
      <c r="I625" t="s">
        <v>1305</v>
      </c>
      <c r="J625" s="4">
        <v>46056.941759733796</v>
      </c>
    </row>
    <row r="626" spans="1:10" x14ac:dyDescent="0.55000000000000004">
      <c r="A626" t="s">
        <v>1302</v>
      </c>
      <c r="B626">
        <v>101147</v>
      </c>
      <c r="C626" t="s">
        <v>19</v>
      </c>
      <c r="D626" s="3">
        <v>45932</v>
      </c>
      <c r="E626" t="s">
        <v>115</v>
      </c>
      <c r="F626" t="s">
        <v>1303</v>
      </c>
      <c r="G626" t="s">
        <v>15</v>
      </c>
      <c r="H626" t="s">
        <v>1304</v>
      </c>
      <c r="I626" t="s">
        <v>1305</v>
      </c>
      <c r="J626" s="4">
        <v>46056.941759733796</v>
      </c>
    </row>
    <row r="627" spans="1:10" x14ac:dyDescent="0.55000000000000004">
      <c r="A627" t="s">
        <v>1306</v>
      </c>
      <c r="B627">
        <v>100089</v>
      </c>
      <c r="C627" t="s">
        <v>533</v>
      </c>
      <c r="D627" s="3">
        <v>45986</v>
      </c>
      <c r="E627" t="s">
        <v>20</v>
      </c>
      <c r="F627" t="s">
        <v>1307</v>
      </c>
      <c r="G627" t="s">
        <v>15</v>
      </c>
      <c r="H627" t="s">
        <v>1308</v>
      </c>
      <c r="I627" t="s">
        <v>1309</v>
      </c>
      <c r="J627" s="4">
        <v>46082.252870856479</v>
      </c>
    </row>
    <row r="628" spans="1:10" x14ac:dyDescent="0.55000000000000004">
      <c r="A628" t="s">
        <v>1310</v>
      </c>
      <c r="B628">
        <v>101370</v>
      </c>
      <c r="C628" t="s">
        <v>68</v>
      </c>
      <c r="D628" s="3">
        <v>45817</v>
      </c>
      <c r="E628" t="s">
        <v>20</v>
      </c>
      <c r="F628" t="s">
        <v>81</v>
      </c>
      <c r="G628" t="s">
        <v>15</v>
      </c>
      <c r="H628" t="s">
        <v>1311</v>
      </c>
      <c r="I628" t="s">
        <v>1312</v>
      </c>
      <c r="J628" s="4">
        <v>46081.448009745371</v>
      </c>
    </row>
    <row r="629" spans="1:10" x14ac:dyDescent="0.55000000000000004">
      <c r="A629" t="s">
        <v>1310</v>
      </c>
      <c r="B629">
        <v>101370</v>
      </c>
      <c r="C629" t="s">
        <v>68</v>
      </c>
      <c r="D629" s="3">
        <v>45817</v>
      </c>
      <c r="E629" t="s">
        <v>155</v>
      </c>
      <c r="F629" t="s">
        <v>81</v>
      </c>
      <c r="G629" t="s">
        <v>15</v>
      </c>
      <c r="H629" t="s">
        <v>1311</v>
      </c>
      <c r="I629" t="s">
        <v>1312</v>
      </c>
      <c r="J629" s="4">
        <v>46081.448009745371</v>
      </c>
    </row>
    <row r="630" spans="1:10" x14ac:dyDescent="0.55000000000000004">
      <c r="A630" t="s">
        <v>1310</v>
      </c>
      <c r="B630">
        <v>101370</v>
      </c>
      <c r="C630" t="s">
        <v>68</v>
      </c>
      <c r="D630" s="3">
        <v>45817</v>
      </c>
      <c r="E630" t="s">
        <v>69</v>
      </c>
      <c r="F630" t="s">
        <v>81</v>
      </c>
      <c r="G630" t="s">
        <v>15</v>
      </c>
      <c r="H630" t="s">
        <v>1311</v>
      </c>
      <c r="I630" t="s">
        <v>1312</v>
      </c>
      <c r="J630" s="4">
        <v>46081.448009745371</v>
      </c>
    </row>
    <row r="631" spans="1:10" x14ac:dyDescent="0.55000000000000004">
      <c r="A631" t="s">
        <v>1313</v>
      </c>
      <c r="B631">
        <v>100092</v>
      </c>
      <c r="C631" t="s">
        <v>248</v>
      </c>
      <c r="D631" s="3">
        <v>46086</v>
      </c>
      <c r="E631" t="s">
        <v>20</v>
      </c>
      <c r="F631" t="s">
        <v>1314</v>
      </c>
      <c r="G631" t="s">
        <v>22</v>
      </c>
      <c r="H631" t="s">
        <v>1315</v>
      </c>
      <c r="I631" t="s">
        <v>1316</v>
      </c>
      <c r="J631" s="4">
        <v>46091.744537523147</v>
      </c>
    </row>
    <row r="632" spans="1:10" x14ac:dyDescent="0.55000000000000004">
      <c r="A632" t="s">
        <v>1317</v>
      </c>
      <c r="B632">
        <v>100560</v>
      </c>
      <c r="C632" t="s">
        <v>37</v>
      </c>
      <c r="D632" s="3">
        <v>45929</v>
      </c>
      <c r="E632" t="s">
        <v>317</v>
      </c>
      <c r="F632" t="s">
        <v>1318</v>
      </c>
      <c r="G632" t="s">
        <v>15</v>
      </c>
      <c r="H632" t="s">
        <v>1319</v>
      </c>
      <c r="I632" t="s">
        <v>1320</v>
      </c>
      <c r="J632" s="4">
        <v>46071.045231979166</v>
      </c>
    </row>
    <row r="633" spans="1:10" x14ac:dyDescent="0.55000000000000004">
      <c r="A633" t="s">
        <v>1317</v>
      </c>
      <c r="B633">
        <v>100560</v>
      </c>
      <c r="C633" t="s">
        <v>37</v>
      </c>
      <c r="D633" s="3">
        <v>45929</v>
      </c>
      <c r="E633" t="s">
        <v>69</v>
      </c>
      <c r="F633" t="s">
        <v>1318</v>
      </c>
      <c r="G633" t="s">
        <v>15</v>
      </c>
      <c r="H633" t="s">
        <v>1319</v>
      </c>
      <c r="I633" t="s">
        <v>1320</v>
      </c>
      <c r="J633" s="4">
        <v>46071.045231979166</v>
      </c>
    </row>
    <row r="634" spans="1:10" x14ac:dyDescent="0.55000000000000004">
      <c r="A634" t="s">
        <v>338</v>
      </c>
      <c r="B634">
        <v>101188</v>
      </c>
      <c r="C634" t="s">
        <v>179</v>
      </c>
      <c r="D634" s="3">
        <v>45911</v>
      </c>
      <c r="E634" t="s">
        <v>317</v>
      </c>
      <c r="F634" t="s">
        <v>1321</v>
      </c>
      <c r="G634" t="s">
        <v>15</v>
      </c>
      <c r="H634" t="s">
        <v>1322</v>
      </c>
      <c r="I634" t="s">
        <v>1323</v>
      </c>
      <c r="J634" s="4">
        <v>46087.104259756947</v>
      </c>
    </row>
    <row r="635" spans="1:10" x14ac:dyDescent="0.55000000000000004">
      <c r="A635" t="s">
        <v>338</v>
      </c>
      <c r="B635">
        <v>101188</v>
      </c>
      <c r="C635" t="s">
        <v>179</v>
      </c>
      <c r="D635" s="3">
        <v>45911</v>
      </c>
      <c r="E635" t="s">
        <v>155</v>
      </c>
      <c r="F635" t="s">
        <v>1321</v>
      </c>
      <c r="G635" t="s">
        <v>15</v>
      </c>
      <c r="H635" t="s">
        <v>1322</v>
      </c>
      <c r="I635" t="s">
        <v>1323</v>
      </c>
      <c r="J635" s="4">
        <v>46087.104259756947</v>
      </c>
    </row>
    <row r="636" spans="1:10" x14ac:dyDescent="0.55000000000000004">
      <c r="A636" t="s">
        <v>338</v>
      </c>
      <c r="B636">
        <v>101188</v>
      </c>
      <c r="C636" t="s">
        <v>179</v>
      </c>
      <c r="D636" s="3">
        <v>45911</v>
      </c>
      <c r="E636" t="s">
        <v>69</v>
      </c>
      <c r="F636" t="s">
        <v>1321</v>
      </c>
      <c r="G636" t="s">
        <v>15</v>
      </c>
      <c r="H636" t="s">
        <v>1322</v>
      </c>
      <c r="I636" t="s">
        <v>1323</v>
      </c>
      <c r="J636" s="4">
        <v>46087.104259756947</v>
      </c>
    </row>
    <row r="637" spans="1:10" x14ac:dyDescent="0.55000000000000004">
      <c r="A637" t="s">
        <v>1324</v>
      </c>
      <c r="B637">
        <v>101154</v>
      </c>
      <c r="C637" t="s">
        <v>37</v>
      </c>
      <c r="D637" s="3">
        <v>46141</v>
      </c>
      <c r="E637" t="s">
        <v>20</v>
      </c>
      <c r="F637" t="s">
        <v>1325</v>
      </c>
      <c r="G637" t="s">
        <v>15</v>
      </c>
      <c r="H637" t="s">
        <v>1326</v>
      </c>
      <c r="I637" t="s">
        <v>1327</v>
      </c>
      <c r="J637" s="4">
        <v>46077.375093090275</v>
      </c>
    </row>
    <row r="638" spans="1:10" x14ac:dyDescent="0.55000000000000004">
      <c r="A638" t="s">
        <v>1328</v>
      </c>
      <c r="B638">
        <v>100125</v>
      </c>
      <c r="C638" t="s">
        <v>533</v>
      </c>
      <c r="D638" s="3">
        <v>45769</v>
      </c>
      <c r="E638" t="s">
        <v>115</v>
      </c>
      <c r="F638" t="s">
        <v>1329</v>
      </c>
      <c r="G638" t="s">
        <v>15</v>
      </c>
      <c r="H638" t="s">
        <v>1330</v>
      </c>
      <c r="I638" t="s">
        <v>1331</v>
      </c>
      <c r="J638" s="4">
        <v>46092.968148657405</v>
      </c>
    </row>
    <row r="639" spans="1:10" x14ac:dyDescent="0.55000000000000004">
      <c r="A639" t="s">
        <v>1328</v>
      </c>
      <c r="B639">
        <v>100125</v>
      </c>
      <c r="C639" t="s">
        <v>533</v>
      </c>
      <c r="D639" s="3">
        <v>45769</v>
      </c>
      <c r="E639" t="s">
        <v>69</v>
      </c>
      <c r="F639" t="s">
        <v>1329</v>
      </c>
      <c r="G639" t="s">
        <v>15</v>
      </c>
      <c r="H639" t="s">
        <v>1330</v>
      </c>
      <c r="I639" t="s">
        <v>1331</v>
      </c>
      <c r="J639" s="4">
        <v>46092.968148657405</v>
      </c>
    </row>
    <row r="640" spans="1:10" x14ac:dyDescent="0.55000000000000004">
      <c r="A640" t="s">
        <v>1332</v>
      </c>
      <c r="B640">
        <v>100660</v>
      </c>
      <c r="C640" t="s">
        <v>37</v>
      </c>
      <c r="D640" s="3">
        <v>45905</v>
      </c>
      <c r="E640" t="s">
        <v>38</v>
      </c>
      <c r="F640" t="s">
        <v>1333</v>
      </c>
      <c r="G640" t="s">
        <v>22</v>
      </c>
      <c r="H640" t="s">
        <v>1334</v>
      </c>
      <c r="I640" t="s">
        <v>1335</v>
      </c>
      <c r="J640" s="4">
        <v>46056.511898657409</v>
      </c>
    </row>
    <row r="641" spans="1:11" x14ac:dyDescent="0.55000000000000004">
      <c r="A641" t="s">
        <v>1332</v>
      </c>
      <c r="B641">
        <v>100660</v>
      </c>
      <c r="C641" t="s">
        <v>37</v>
      </c>
      <c r="D641" s="3">
        <v>45905</v>
      </c>
      <c r="E641" t="s">
        <v>155</v>
      </c>
      <c r="F641" t="s">
        <v>1333</v>
      </c>
      <c r="G641" t="s">
        <v>22</v>
      </c>
      <c r="H641" t="s">
        <v>1334</v>
      </c>
      <c r="I641" t="s">
        <v>1335</v>
      </c>
      <c r="J641" s="4">
        <v>46056.511898657409</v>
      </c>
    </row>
    <row r="642" spans="1:11" x14ac:dyDescent="0.55000000000000004">
      <c r="A642" t="s">
        <v>1332</v>
      </c>
      <c r="B642">
        <v>100660</v>
      </c>
      <c r="C642" t="s">
        <v>37</v>
      </c>
      <c r="D642" s="3">
        <v>45905</v>
      </c>
      <c r="E642" t="s">
        <v>69</v>
      </c>
      <c r="F642" t="s">
        <v>1333</v>
      </c>
      <c r="G642" t="s">
        <v>22</v>
      </c>
      <c r="H642" t="s">
        <v>1334</v>
      </c>
      <c r="I642" t="s">
        <v>1335</v>
      </c>
      <c r="J642" s="4">
        <v>46056.511898657409</v>
      </c>
    </row>
    <row r="643" spans="1:11" x14ac:dyDescent="0.55000000000000004">
      <c r="A643" t="s">
        <v>1336</v>
      </c>
      <c r="B643">
        <v>100220</v>
      </c>
      <c r="C643" t="s">
        <v>19</v>
      </c>
      <c r="D643" s="3">
        <v>45954</v>
      </c>
      <c r="E643" t="s">
        <v>155</v>
      </c>
      <c r="F643" t="s">
        <v>1337</v>
      </c>
      <c r="G643" t="s">
        <v>15</v>
      </c>
      <c r="H643" t="s">
        <v>1338</v>
      </c>
      <c r="I643" t="s">
        <v>1339</v>
      </c>
      <c r="J643" s="4">
        <v>46076.45425978009</v>
      </c>
    </row>
    <row r="644" spans="1:11" x14ac:dyDescent="0.55000000000000004">
      <c r="A644" t="s">
        <v>1340</v>
      </c>
      <c r="B644">
        <v>101324</v>
      </c>
      <c r="C644" t="s">
        <v>248</v>
      </c>
      <c r="D644" s="3">
        <v>45941</v>
      </c>
      <c r="E644" t="s">
        <v>317</v>
      </c>
      <c r="F644" t="s">
        <v>1341</v>
      </c>
      <c r="G644" t="s">
        <v>22</v>
      </c>
      <c r="H644" t="s">
        <v>1342</v>
      </c>
      <c r="I644" t="s">
        <v>1343</v>
      </c>
      <c r="J644" s="4">
        <v>46078.40842644676</v>
      </c>
    </row>
    <row r="645" spans="1:11" x14ac:dyDescent="0.55000000000000004">
      <c r="A645" t="s">
        <v>1340</v>
      </c>
      <c r="B645">
        <v>101324</v>
      </c>
      <c r="C645" t="s">
        <v>248</v>
      </c>
      <c r="D645" s="3">
        <v>45941</v>
      </c>
      <c r="E645" t="s">
        <v>38</v>
      </c>
      <c r="F645" t="s">
        <v>1341</v>
      </c>
      <c r="G645" t="s">
        <v>22</v>
      </c>
      <c r="H645" t="s">
        <v>1342</v>
      </c>
      <c r="I645" t="s">
        <v>1343</v>
      </c>
      <c r="J645" s="4">
        <v>46078.40842644676</v>
      </c>
    </row>
    <row r="646" spans="1:11" x14ac:dyDescent="0.55000000000000004">
      <c r="A646" t="s">
        <v>1340</v>
      </c>
      <c r="B646">
        <v>101324</v>
      </c>
      <c r="C646" t="s">
        <v>248</v>
      </c>
      <c r="D646" s="3">
        <v>45941</v>
      </c>
      <c r="E646" t="s">
        <v>20</v>
      </c>
      <c r="F646" t="s">
        <v>1341</v>
      </c>
      <c r="G646" t="s">
        <v>22</v>
      </c>
      <c r="H646" t="s">
        <v>1342</v>
      </c>
      <c r="I646" t="s">
        <v>1343</v>
      </c>
      <c r="J646" s="4">
        <v>46078.40842644676</v>
      </c>
    </row>
    <row r="647" spans="1:11" x14ac:dyDescent="0.55000000000000004">
      <c r="A647" t="s">
        <v>1344</v>
      </c>
      <c r="B647">
        <v>100628</v>
      </c>
      <c r="C647" t="s">
        <v>533</v>
      </c>
      <c r="D647" s="3">
        <v>45757</v>
      </c>
      <c r="E647" t="s">
        <v>317</v>
      </c>
      <c r="F647" t="s">
        <v>1345</v>
      </c>
      <c r="G647" t="s">
        <v>22</v>
      </c>
      <c r="H647" t="s">
        <v>1346</v>
      </c>
      <c r="I647" t="s">
        <v>1347</v>
      </c>
      <c r="J647" s="4">
        <v>46088.668843113424</v>
      </c>
    </row>
    <row r="648" spans="1:11" x14ac:dyDescent="0.55000000000000004">
      <c r="A648" t="s">
        <v>1344</v>
      </c>
      <c r="B648">
        <v>100628</v>
      </c>
      <c r="C648" t="s">
        <v>533</v>
      </c>
      <c r="D648" s="3">
        <v>45757</v>
      </c>
      <c r="E648" t="s">
        <v>38</v>
      </c>
      <c r="F648" t="s">
        <v>1345</v>
      </c>
      <c r="G648" t="s">
        <v>22</v>
      </c>
      <c r="H648" t="s">
        <v>1346</v>
      </c>
      <c r="I648" t="s">
        <v>1347</v>
      </c>
      <c r="J648" s="4">
        <v>46088.668843113424</v>
      </c>
    </row>
    <row r="649" spans="1:11" x14ac:dyDescent="0.55000000000000004">
      <c r="A649" t="s">
        <v>1348</v>
      </c>
      <c r="B649">
        <v>100345</v>
      </c>
      <c r="C649" t="s">
        <v>68</v>
      </c>
      <c r="D649" s="3">
        <v>45733</v>
      </c>
      <c r="E649" t="s">
        <v>20</v>
      </c>
      <c r="F649" t="s">
        <v>1349</v>
      </c>
      <c r="G649" t="s">
        <v>22</v>
      </c>
      <c r="H649" t="s">
        <v>1350</v>
      </c>
      <c r="I649" t="s">
        <v>1351</v>
      </c>
      <c r="J649" s="4">
        <v>46085.608426458333</v>
      </c>
      <c r="K649" t="s">
        <v>139</v>
      </c>
    </row>
    <row r="650" spans="1:11" x14ac:dyDescent="0.55000000000000004">
      <c r="A650" t="s">
        <v>1348</v>
      </c>
      <c r="B650">
        <v>100345</v>
      </c>
      <c r="C650" t="s">
        <v>68</v>
      </c>
      <c r="D650" s="3">
        <v>45733</v>
      </c>
      <c r="E650" t="s">
        <v>155</v>
      </c>
      <c r="F650" t="s">
        <v>1349</v>
      </c>
      <c r="G650" t="s">
        <v>22</v>
      </c>
      <c r="H650" t="s">
        <v>1350</v>
      </c>
      <c r="I650" t="s">
        <v>1351</v>
      </c>
      <c r="J650" s="4">
        <v>46085.608426458333</v>
      </c>
      <c r="K650" t="s">
        <v>139</v>
      </c>
    </row>
    <row r="651" spans="1:11" x14ac:dyDescent="0.55000000000000004">
      <c r="A651" t="s">
        <v>1352</v>
      </c>
      <c r="C651" t="s">
        <v>37</v>
      </c>
      <c r="D651" s="3">
        <v>45837</v>
      </c>
      <c r="E651" t="s">
        <v>317</v>
      </c>
      <c r="F651" t="s">
        <v>1353</v>
      </c>
      <c r="G651" t="s">
        <v>22</v>
      </c>
      <c r="H651" t="s">
        <v>1354</v>
      </c>
      <c r="I651" t="s">
        <v>1355</v>
      </c>
      <c r="J651" s="4">
        <v>46092.073009791668</v>
      </c>
      <c r="K651" t="s">
        <v>112</v>
      </c>
    </row>
    <row r="652" spans="1:11" x14ac:dyDescent="0.55000000000000004">
      <c r="A652" t="s">
        <v>1356</v>
      </c>
      <c r="B652">
        <v>100166</v>
      </c>
      <c r="C652" t="s">
        <v>533</v>
      </c>
      <c r="D652" s="3">
        <v>45889</v>
      </c>
      <c r="E652" t="s">
        <v>317</v>
      </c>
      <c r="F652" t="s">
        <v>1357</v>
      </c>
      <c r="G652" t="s">
        <v>22</v>
      </c>
      <c r="H652" t="s">
        <v>1358</v>
      </c>
      <c r="I652" t="s">
        <v>1359</v>
      </c>
      <c r="J652" s="4">
        <v>46091.833426469908</v>
      </c>
    </row>
    <row r="653" spans="1:11" x14ac:dyDescent="0.55000000000000004">
      <c r="A653" t="s">
        <v>1356</v>
      </c>
      <c r="B653">
        <v>100166</v>
      </c>
      <c r="C653" t="s">
        <v>533</v>
      </c>
      <c r="D653" s="3">
        <v>45889</v>
      </c>
      <c r="E653" t="s">
        <v>69</v>
      </c>
      <c r="F653" t="s">
        <v>1357</v>
      </c>
      <c r="G653" t="s">
        <v>22</v>
      </c>
      <c r="H653" t="s">
        <v>1358</v>
      </c>
      <c r="I653" t="s">
        <v>1359</v>
      </c>
      <c r="J653" s="4">
        <v>46091.833426469908</v>
      </c>
    </row>
    <row r="654" spans="1:11" x14ac:dyDescent="0.55000000000000004">
      <c r="A654" t="s">
        <v>1360</v>
      </c>
      <c r="B654">
        <v>101353</v>
      </c>
      <c r="C654" t="s">
        <v>19</v>
      </c>
      <c r="D654" s="3">
        <v>45930</v>
      </c>
      <c r="E654" t="s">
        <v>20</v>
      </c>
      <c r="F654" t="s">
        <v>1361</v>
      </c>
      <c r="G654" t="s">
        <v>22</v>
      </c>
      <c r="H654" t="s">
        <v>1362</v>
      </c>
      <c r="I654" t="s">
        <v>1363</v>
      </c>
      <c r="J654" s="4">
        <v>46074.48064869213</v>
      </c>
    </row>
    <row r="655" spans="1:11" x14ac:dyDescent="0.55000000000000004">
      <c r="A655" t="s">
        <v>1364</v>
      </c>
      <c r="B655">
        <v>100911</v>
      </c>
      <c r="C655" t="s">
        <v>179</v>
      </c>
      <c r="D655" s="3">
        <v>45754</v>
      </c>
      <c r="E655" t="s">
        <v>317</v>
      </c>
      <c r="F655" t="s">
        <v>1365</v>
      </c>
      <c r="G655" t="s">
        <v>22</v>
      </c>
      <c r="H655" t="s">
        <v>1366</v>
      </c>
      <c r="I655" t="s">
        <v>1367</v>
      </c>
      <c r="J655" s="4">
        <v>46083.363982025461</v>
      </c>
    </row>
    <row r="656" spans="1:11" x14ac:dyDescent="0.55000000000000004">
      <c r="A656" t="s">
        <v>1364</v>
      </c>
      <c r="B656">
        <v>100911</v>
      </c>
      <c r="C656" t="s">
        <v>179</v>
      </c>
      <c r="D656" s="3">
        <v>45754</v>
      </c>
      <c r="E656" t="s">
        <v>69</v>
      </c>
      <c r="F656" t="s">
        <v>1365</v>
      </c>
      <c r="G656" t="s">
        <v>22</v>
      </c>
      <c r="H656" t="s">
        <v>1366</v>
      </c>
      <c r="I656" t="s">
        <v>1367</v>
      </c>
      <c r="J656" s="4">
        <v>46083.363982025461</v>
      </c>
    </row>
    <row r="657" spans="1:10" x14ac:dyDescent="0.55000000000000004">
      <c r="A657" t="s">
        <v>1368</v>
      </c>
      <c r="B657">
        <v>100153</v>
      </c>
      <c r="C657" t="s">
        <v>19</v>
      </c>
      <c r="D657" s="3">
        <v>45763</v>
      </c>
      <c r="E657" t="s">
        <v>317</v>
      </c>
      <c r="F657" t="s">
        <v>1369</v>
      </c>
      <c r="G657" t="s">
        <v>15</v>
      </c>
      <c r="H657" t="s">
        <v>1370</v>
      </c>
      <c r="I657" t="s">
        <v>1371</v>
      </c>
      <c r="J657" s="4">
        <v>46091.795926481478</v>
      </c>
    </row>
    <row r="658" spans="1:10" x14ac:dyDescent="0.55000000000000004">
      <c r="A658" t="s">
        <v>1372</v>
      </c>
      <c r="B658">
        <v>100831</v>
      </c>
      <c r="C658" t="s">
        <v>68</v>
      </c>
      <c r="D658" s="3">
        <v>46145</v>
      </c>
      <c r="E658" t="s">
        <v>38</v>
      </c>
      <c r="F658" t="s">
        <v>1373</v>
      </c>
      <c r="G658" t="s">
        <v>15</v>
      </c>
      <c r="H658" t="s">
        <v>1374</v>
      </c>
      <c r="I658" t="s">
        <v>1375</v>
      </c>
      <c r="J658" s="4">
        <v>46073.002870925928</v>
      </c>
    </row>
    <row r="659" spans="1:10" x14ac:dyDescent="0.55000000000000004">
      <c r="A659" t="s">
        <v>1372</v>
      </c>
      <c r="B659">
        <v>100831</v>
      </c>
      <c r="C659" t="s">
        <v>68</v>
      </c>
      <c r="D659" s="3">
        <v>46145</v>
      </c>
      <c r="E659" t="s">
        <v>115</v>
      </c>
      <c r="F659" t="s">
        <v>1373</v>
      </c>
      <c r="G659" t="s">
        <v>15</v>
      </c>
      <c r="H659" t="s">
        <v>1374</v>
      </c>
      <c r="I659" t="s">
        <v>1375</v>
      </c>
      <c r="J659" s="4">
        <v>46073.002870925928</v>
      </c>
    </row>
    <row r="660" spans="1:10" x14ac:dyDescent="0.55000000000000004">
      <c r="A660" t="s">
        <v>1372</v>
      </c>
      <c r="B660">
        <v>100831</v>
      </c>
      <c r="C660" t="s">
        <v>68</v>
      </c>
      <c r="D660" s="3">
        <v>46145</v>
      </c>
      <c r="E660" t="s">
        <v>69</v>
      </c>
      <c r="F660" t="s">
        <v>1373</v>
      </c>
      <c r="G660" t="s">
        <v>15</v>
      </c>
      <c r="H660" t="s">
        <v>1374</v>
      </c>
      <c r="I660" t="s">
        <v>1375</v>
      </c>
      <c r="J660" s="4">
        <v>46073.002870925928</v>
      </c>
    </row>
    <row r="661" spans="1:10" x14ac:dyDescent="0.55000000000000004">
      <c r="A661" t="s">
        <v>1376</v>
      </c>
      <c r="B661">
        <v>100227</v>
      </c>
      <c r="C661" t="s">
        <v>179</v>
      </c>
      <c r="D661" s="3">
        <v>46006</v>
      </c>
      <c r="E661" t="s">
        <v>38</v>
      </c>
      <c r="F661" t="s">
        <v>1377</v>
      </c>
      <c r="G661" t="s">
        <v>22</v>
      </c>
      <c r="H661" t="s">
        <v>1378</v>
      </c>
      <c r="I661" t="s">
        <v>1379</v>
      </c>
      <c r="J661" s="4">
        <v>46078.634120925926</v>
      </c>
    </row>
    <row r="662" spans="1:10" x14ac:dyDescent="0.55000000000000004">
      <c r="A662" t="s">
        <v>1376</v>
      </c>
      <c r="B662">
        <v>100227</v>
      </c>
      <c r="C662" t="s">
        <v>179</v>
      </c>
      <c r="D662" s="3">
        <v>46006</v>
      </c>
      <c r="E662" t="s">
        <v>115</v>
      </c>
      <c r="F662" t="s">
        <v>1377</v>
      </c>
      <c r="G662" t="s">
        <v>22</v>
      </c>
      <c r="H662" t="s">
        <v>1378</v>
      </c>
      <c r="I662" t="s">
        <v>1379</v>
      </c>
      <c r="J662" s="4">
        <v>46078.634120925926</v>
      </c>
    </row>
    <row r="663" spans="1:10" x14ac:dyDescent="0.55000000000000004">
      <c r="A663" t="s">
        <v>1376</v>
      </c>
      <c r="B663">
        <v>100227</v>
      </c>
      <c r="C663" t="s">
        <v>179</v>
      </c>
      <c r="D663" s="3">
        <v>46006</v>
      </c>
      <c r="E663" t="s">
        <v>69</v>
      </c>
      <c r="F663" t="s">
        <v>1377</v>
      </c>
      <c r="G663" t="s">
        <v>22</v>
      </c>
      <c r="H663" t="s">
        <v>1378</v>
      </c>
      <c r="I663" t="s">
        <v>1379</v>
      </c>
      <c r="J663" s="4">
        <v>46078.634120925926</v>
      </c>
    </row>
    <row r="664" spans="1:10" x14ac:dyDescent="0.55000000000000004">
      <c r="A664" t="s">
        <v>1380</v>
      </c>
      <c r="B664">
        <v>101499</v>
      </c>
      <c r="C664" t="s">
        <v>179</v>
      </c>
      <c r="D664" s="3">
        <v>46097</v>
      </c>
      <c r="E664" t="s">
        <v>38</v>
      </c>
      <c r="F664" t="s">
        <v>1381</v>
      </c>
      <c r="G664" t="s">
        <v>15</v>
      </c>
      <c r="H664" t="s">
        <v>1382</v>
      </c>
      <c r="I664" t="s">
        <v>1383</v>
      </c>
      <c r="J664" s="4">
        <v>46090.107732048615</v>
      </c>
    </row>
    <row r="665" spans="1:10" x14ac:dyDescent="0.55000000000000004">
      <c r="A665" t="s">
        <v>1384</v>
      </c>
      <c r="B665">
        <v>100923</v>
      </c>
      <c r="C665" t="s">
        <v>533</v>
      </c>
      <c r="D665" s="3">
        <v>45817</v>
      </c>
      <c r="E665" t="s">
        <v>115</v>
      </c>
      <c r="F665" t="s">
        <v>1385</v>
      </c>
      <c r="G665" t="s">
        <v>15</v>
      </c>
      <c r="H665" t="s">
        <v>1386</v>
      </c>
      <c r="I665" t="s">
        <v>1387</v>
      </c>
      <c r="J665" s="4">
        <v>46095.14384315972</v>
      </c>
    </row>
    <row r="666" spans="1:10" x14ac:dyDescent="0.55000000000000004">
      <c r="A666" t="s">
        <v>1388</v>
      </c>
      <c r="B666">
        <v>101088</v>
      </c>
      <c r="C666" t="s">
        <v>37</v>
      </c>
      <c r="D666" s="3">
        <v>46081</v>
      </c>
      <c r="E666" t="s">
        <v>317</v>
      </c>
      <c r="F666" t="s">
        <v>1389</v>
      </c>
      <c r="G666" t="s">
        <v>22</v>
      </c>
      <c r="H666" t="s">
        <v>1390</v>
      </c>
      <c r="I666" t="s">
        <v>1391</v>
      </c>
      <c r="J666" s="4">
        <v>46077.650787615741</v>
      </c>
    </row>
    <row r="667" spans="1:10" x14ac:dyDescent="0.55000000000000004">
      <c r="A667" t="s">
        <v>1388</v>
      </c>
      <c r="B667">
        <v>101088</v>
      </c>
      <c r="C667" t="s">
        <v>37</v>
      </c>
      <c r="D667" s="3">
        <v>46081</v>
      </c>
      <c r="E667" t="s">
        <v>115</v>
      </c>
      <c r="F667" t="s">
        <v>1389</v>
      </c>
      <c r="G667" t="s">
        <v>22</v>
      </c>
      <c r="H667" t="s">
        <v>1390</v>
      </c>
      <c r="I667" t="s">
        <v>1391</v>
      </c>
      <c r="J667" s="4">
        <v>46077.650787615741</v>
      </c>
    </row>
    <row r="668" spans="1:10" x14ac:dyDescent="0.55000000000000004">
      <c r="A668" t="s">
        <v>1392</v>
      </c>
      <c r="B668">
        <v>101053</v>
      </c>
      <c r="C668" t="s">
        <v>37</v>
      </c>
      <c r="D668" s="3">
        <v>45930</v>
      </c>
      <c r="E668" t="s">
        <v>38</v>
      </c>
      <c r="F668" t="s">
        <v>1393</v>
      </c>
      <c r="G668" t="s">
        <v>22</v>
      </c>
      <c r="H668" t="s">
        <v>1394</v>
      </c>
      <c r="I668" t="s">
        <v>1395</v>
      </c>
      <c r="J668" s="4">
        <v>46064.09453761574</v>
      </c>
    </row>
    <row r="669" spans="1:10" x14ac:dyDescent="0.55000000000000004">
      <c r="A669" t="s">
        <v>1392</v>
      </c>
      <c r="B669">
        <v>101053</v>
      </c>
      <c r="C669" t="s">
        <v>37</v>
      </c>
      <c r="D669" s="3">
        <v>45930</v>
      </c>
      <c r="E669" t="s">
        <v>20</v>
      </c>
      <c r="F669" t="s">
        <v>1393</v>
      </c>
      <c r="G669" t="s">
        <v>22</v>
      </c>
      <c r="H669" t="s">
        <v>1394</v>
      </c>
      <c r="I669" t="s">
        <v>1395</v>
      </c>
      <c r="J669" s="4">
        <v>46064.09453761574</v>
      </c>
    </row>
    <row r="670" spans="1:10" x14ac:dyDescent="0.55000000000000004">
      <c r="A670" t="s">
        <v>1392</v>
      </c>
      <c r="B670">
        <v>101053</v>
      </c>
      <c r="C670" t="s">
        <v>37</v>
      </c>
      <c r="D670" s="3">
        <v>45930</v>
      </c>
      <c r="E670" t="s">
        <v>69</v>
      </c>
      <c r="F670" t="s">
        <v>1393</v>
      </c>
      <c r="G670" t="s">
        <v>22</v>
      </c>
      <c r="H670" t="s">
        <v>1394</v>
      </c>
      <c r="I670" t="s">
        <v>1395</v>
      </c>
      <c r="J670" s="4">
        <v>46064.09453761574</v>
      </c>
    </row>
    <row r="671" spans="1:10" x14ac:dyDescent="0.55000000000000004">
      <c r="A671" t="s">
        <v>1396</v>
      </c>
      <c r="B671">
        <v>100622</v>
      </c>
      <c r="C671" t="s">
        <v>37</v>
      </c>
      <c r="D671" s="3">
        <v>46134</v>
      </c>
      <c r="E671" t="s">
        <v>317</v>
      </c>
      <c r="F671" t="s">
        <v>1397</v>
      </c>
      <c r="G671" t="s">
        <v>15</v>
      </c>
      <c r="H671" t="s">
        <v>1398</v>
      </c>
      <c r="I671" t="s">
        <v>1399</v>
      </c>
      <c r="J671" s="4">
        <v>46071.533426504633</v>
      </c>
    </row>
    <row r="672" spans="1:10" x14ac:dyDescent="0.55000000000000004">
      <c r="A672" t="s">
        <v>1396</v>
      </c>
      <c r="B672">
        <v>100622</v>
      </c>
      <c r="C672" t="s">
        <v>37</v>
      </c>
      <c r="D672" s="3">
        <v>46134</v>
      </c>
      <c r="E672" t="s">
        <v>38</v>
      </c>
      <c r="F672" t="s">
        <v>1397</v>
      </c>
      <c r="G672" t="s">
        <v>15</v>
      </c>
      <c r="H672" t="s">
        <v>1398</v>
      </c>
      <c r="I672" t="s">
        <v>1399</v>
      </c>
      <c r="J672" s="4">
        <v>46071.533426504633</v>
      </c>
    </row>
    <row r="673" spans="1:10" x14ac:dyDescent="0.55000000000000004">
      <c r="A673" t="s">
        <v>1396</v>
      </c>
      <c r="B673">
        <v>100622</v>
      </c>
      <c r="C673" t="s">
        <v>37</v>
      </c>
      <c r="D673" s="3">
        <v>46134</v>
      </c>
      <c r="E673" t="s">
        <v>69</v>
      </c>
      <c r="F673" t="s">
        <v>1397</v>
      </c>
      <c r="G673" t="s">
        <v>15</v>
      </c>
      <c r="H673" t="s">
        <v>1398</v>
      </c>
      <c r="I673" t="s">
        <v>1399</v>
      </c>
      <c r="J673" s="4">
        <v>46071.533426504633</v>
      </c>
    </row>
    <row r="674" spans="1:10" x14ac:dyDescent="0.55000000000000004">
      <c r="A674" t="s">
        <v>1400</v>
      </c>
      <c r="B674">
        <v>100604</v>
      </c>
      <c r="C674" t="s">
        <v>533</v>
      </c>
      <c r="D674" s="3">
        <v>46022</v>
      </c>
      <c r="E674" t="s">
        <v>317</v>
      </c>
      <c r="F674" t="s">
        <v>1401</v>
      </c>
      <c r="G674" t="s">
        <v>15</v>
      </c>
      <c r="H674" t="s">
        <v>1402</v>
      </c>
      <c r="I674" t="s">
        <v>1403</v>
      </c>
      <c r="J674" s="4">
        <v>46078.984815405092</v>
      </c>
    </row>
    <row r="675" spans="1:10" x14ac:dyDescent="0.55000000000000004">
      <c r="A675" t="s">
        <v>1400</v>
      </c>
      <c r="B675">
        <v>100604</v>
      </c>
      <c r="C675" t="s">
        <v>533</v>
      </c>
      <c r="D675" s="3">
        <v>46022</v>
      </c>
      <c r="E675" t="s">
        <v>38</v>
      </c>
      <c r="F675" t="s">
        <v>1401</v>
      </c>
      <c r="G675" t="s">
        <v>15</v>
      </c>
      <c r="H675" t="s">
        <v>1402</v>
      </c>
      <c r="I675" t="s">
        <v>1403</v>
      </c>
      <c r="J675" s="4">
        <v>46078.984815405092</v>
      </c>
    </row>
    <row r="676" spans="1:10" x14ac:dyDescent="0.55000000000000004">
      <c r="A676" t="s">
        <v>1400</v>
      </c>
      <c r="B676">
        <v>100604</v>
      </c>
      <c r="C676" t="s">
        <v>533</v>
      </c>
      <c r="D676" s="3">
        <v>46022</v>
      </c>
      <c r="E676" t="s">
        <v>155</v>
      </c>
      <c r="F676" t="s">
        <v>1401</v>
      </c>
      <c r="G676" t="s">
        <v>15</v>
      </c>
      <c r="H676" t="s">
        <v>1402</v>
      </c>
      <c r="I676" t="s">
        <v>1403</v>
      </c>
      <c r="J676" s="4">
        <v>46078.984815405092</v>
      </c>
    </row>
    <row r="677" spans="1:10" x14ac:dyDescent="0.55000000000000004">
      <c r="A677" t="s">
        <v>1404</v>
      </c>
      <c r="B677">
        <v>100462</v>
      </c>
      <c r="C677" t="s">
        <v>68</v>
      </c>
      <c r="D677" s="3">
        <v>45942</v>
      </c>
      <c r="E677" t="s">
        <v>317</v>
      </c>
      <c r="F677" t="s">
        <v>1405</v>
      </c>
      <c r="G677" t="s">
        <v>22</v>
      </c>
      <c r="H677" t="s">
        <v>1406</v>
      </c>
      <c r="I677" t="s">
        <v>1407</v>
      </c>
      <c r="J677" s="4">
        <v>46095.501482071762</v>
      </c>
    </row>
    <row r="678" spans="1:10" x14ac:dyDescent="0.55000000000000004">
      <c r="A678" t="s">
        <v>1404</v>
      </c>
      <c r="B678">
        <v>100462</v>
      </c>
      <c r="C678" t="s">
        <v>68</v>
      </c>
      <c r="D678" s="3">
        <v>45942</v>
      </c>
      <c r="E678" t="s">
        <v>69</v>
      </c>
      <c r="F678" t="s">
        <v>1405</v>
      </c>
      <c r="G678" t="s">
        <v>22</v>
      </c>
      <c r="H678" t="s">
        <v>1406</v>
      </c>
      <c r="I678" t="s">
        <v>1407</v>
      </c>
      <c r="J678" s="4">
        <v>46095.501482071762</v>
      </c>
    </row>
    <row r="679" spans="1:10" x14ac:dyDescent="0.55000000000000004">
      <c r="A679" t="s">
        <v>1408</v>
      </c>
      <c r="B679">
        <v>100645</v>
      </c>
      <c r="C679" t="s">
        <v>248</v>
      </c>
      <c r="D679" s="3">
        <v>45938</v>
      </c>
      <c r="E679" t="s">
        <v>38</v>
      </c>
      <c r="F679" t="s">
        <v>1409</v>
      </c>
      <c r="G679" t="s">
        <v>22</v>
      </c>
      <c r="H679" t="s">
        <v>1410</v>
      </c>
      <c r="I679" t="s">
        <v>1411</v>
      </c>
      <c r="J679" s="4">
        <v>46095.183426527779</v>
      </c>
    </row>
    <row r="680" spans="1:10" x14ac:dyDescent="0.55000000000000004">
      <c r="A680" t="s">
        <v>1412</v>
      </c>
      <c r="B680">
        <v>101218</v>
      </c>
      <c r="C680" t="s">
        <v>68</v>
      </c>
      <c r="D680" s="3">
        <v>46085</v>
      </c>
      <c r="E680" t="s">
        <v>155</v>
      </c>
      <c r="F680" t="s">
        <v>1413</v>
      </c>
      <c r="G680" t="s">
        <v>22</v>
      </c>
      <c r="H680" t="s">
        <v>1414</v>
      </c>
      <c r="I680" t="s">
        <v>1415</v>
      </c>
      <c r="J680" s="4">
        <v>46080.216759918978</v>
      </c>
    </row>
    <row r="681" spans="1:10" x14ac:dyDescent="0.55000000000000004">
      <c r="A681" t="s">
        <v>1416</v>
      </c>
      <c r="B681">
        <v>101019</v>
      </c>
      <c r="C681" t="s">
        <v>37</v>
      </c>
      <c r="D681" s="3">
        <v>45904</v>
      </c>
      <c r="E681" t="s">
        <v>317</v>
      </c>
      <c r="F681" t="s">
        <v>1417</v>
      </c>
      <c r="G681" t="s">
        <v>22</v>
      </c>
      <c r="H681" t="s">
        <v>1418</v>
      </c>
      <c r="I681" t="s">
        <v>1419</v>
      </c>
      <c r="J681" s="4">
        <v>46052.77231547454</v>
      </c>
    </row>
    <row r="682" spans="1:10" x14ac:dyDescent="0.55000000000000004">
      <c r="A682" t="s">
        <v>1416</v>
      </c>
      <c r="B682">
        <v>101019</v>
      </c>
      <c r="C682" t="s">
        <v>37</v>
      </c>
      <c r="D682" s="3">
        <v>45904</v>
      </c>
      <c r="E682" t="s">
        <v>20</v>
      </c>
      <c r="F682" t="s">
        <v>1417</v>
      </c>
      <c r="G682" t="s">
        <v>22</v>
      </c>
      <c r="H682" t="s">
        <v>1418</v>
      </c>
      <c r="I682" t="s">
        <v>1419</v>
      </c>
      <c r="J682" s="4">
        <v>46052.77231547454</v>
      </c>
    </row>
    <row r="683" spans="1:10" x14ac:dyDescent="0.55000000000000004">
      <c r="A683" t="s">
        <v>1420</v>
      </c>
      <c r="B683">
        <v>101412</v>
      </c>
      <c r="C683" t="s">
        <v>533</v>
      </c>
      <c r="D683" s="3">
        <v>45848</v>
      </c>
      <c r="E683" t="s">
        <v>20</v>
      </c>
      <c r="F683" t="s">
        <v>1421</v>
      </c>
      <c r="G683" t="s">
        <v>22</v>
      </c>
      <c r="H683" t="s">
        <v>1422</v>
      </c>
      <c r="I683" t="s">
        <v>1423</v>
      </c>
      <c r="J683" s="4">
        <v>46077.363287708336</v>
      </c>
    </row>
    <row r="684" spans="1:10" x14ac:dyDescent="0.55000000000000004">
      <c r="A684" t="s">
        <v>1424</v>
      </c>
      <c r="B684">
        <v>101318</v>
      </c>
      <c r="C684" t="s">
        <v>179</v>
      </c>
      <c r="D684" s="3">
        <v>46041</v>
      </c>
      <c r="E684" t="s">
        <v>155</v>
      </c>
      <c r="F684" t="s">
        <v>1425</v>
      </c>
      <c r="G684" t="s">
        <v>15</v>
      </c>
      <c r="H684" t="s">
        <v>1426</v>
      </c>
      <c r="I684" t="s">
        <v>1427</v>
      </c>
      <c r="J684" s="4">
        <v>46071.057037708335</v>
      </c>
    </row>
    <row r="685" spans="1:10" x14ac:dyDescent="0.55000000000000004">
      <c r="A685" t="s">
        <v>1424</v>
      </c>
      <c r="B685">
        <v>101318</v>
      </c>
      <c r="C685" t="s">
        <v>179</v>
      </c>
      <c r="D685" s="3">
        <v>46041</v>
      </c>
      <c r="E685" t="s">
        <v>115</v>
      </c>
      <c r="F685" t="s">
        <v>1425</v>
      </c>
      <c r="G685" t="s">
        <v>15</v>
      </c>
      <c r="H685" t="s">
        <v>1426</v>
      </c>
      <c r="I685" t="s">
        <v>1427</v>
      </c>
      <c r="J685" s="4">
        <v>46071.057037708335</v>
      </c>
    </row>
    <row r="686" spans="1:10" x14ac:dyDescent="0.55000000000000004">
      <c r="A686" t="s">
        <v>1424</v>
      </c>
      <c r="B686">
        <v>101318</v>
      </c>
      <c r="C686" t="s">
        <v>179</v>
      </c>
      <c r="D686" s="3">
        <v>46041</v>
      </c>
      <c r="E686" t="s">
        <v>69</v>
      </c>
      <c r="F686" t="s">
        <v>1425</v>
      </c>
      <c r="G686" t="s">
        <v>15</v>
      </c>
      <c r="H686" t="s">
        <v>1426</v>
      </c>
      <c r="I686" t="s">
        <v>1427</v>
      </c>
      <c r="J686" s="4">
        <v>46071.057037708335</v>
      </c>
    </row>
    <row r="687" spans="1:10" x14ac:dyDescent="0.55000000000000004">
      <c r="A687" t="s">
        <v>1428</v>
      </c>
      <c r="B687">
        <v>100612</v>
      </c>
      <c r="C687" t="s">
        <v>19</v>
      </c>
      <c r="D687" s="3">
        <v>45923</v>
      </c>
      <c r="E687" t="s">
        <v>38</v>
      </c>
      <c r="F687" t="s">
        <v>1429</v>
      </c>
      <c r="G687" t="s">
        <v>15</v>
      </c>
      <c r="H687" t="s">
        <v>1430</v>
      </c>
      <c r="I687" t="s">
        <v>1431</v>
      </c>
      <c r="J687" s="4">
        <v>46093.303565497685</v>
      </c>
    </row>
    <row r="688" spans="1:10" x14ac:dyDescent="0.55000000000000004">
      <c r="A688" t="s">
        <v>1432</v>
      </c>
      <c r="B688">
        <v>101403</v>
      </c>
      <c r="C688" t="s">
        <v>19</v>
      </c>
      <c r="D688" s="3">
        <v>45938</v>
      </c>
      <c r="E688" t="s">
        <v>38</v>
      </c>
      <c r="F688" t="s">
        <v>1433</v>
      </c>
      <c r="G688" t="s">
        <v>15</v>
      </c>
      <c r="H688" t="s">
        <v>1434</v>
      </c>
      <c r="I688" t="s">
        <v>1435</v>
      </c>
      <c r="J688" s="4">
        <v>46086.472315497682</v>
      </c>
    </row>
    <row r="689" spans="1:10" x14ac:dyDescent="0.55000000000000004">
      <c r="A689" t="s">
        <v>1436</v>
      </c>
      <c r="B689">
        <v>100721</v>
      </c>
      <c r="C689" t="s">
        <v>248</v>
      </c>
      <c r="D689" s="3">
        <v>45761</v>
      </c>
      <c r="E689" t="s">
        <v>155</v>
      </c>
      <c r="F689" t="s">
        <v>1437</v>
      </c>
      <c r="G689" t="s">
        <v>22</v>
      </c>
      <c r="H689" t="s">
        <v>1438</v>
      </c>
      <c r="I689" t="s">
        <v>1439</v>
      </c>
      <c r="J689" s="4">
        <v>46094.233426608793</v>
      </c>
    </row>
    <row r="690" spans="1:10" x14ac:dyDescent="0.55000000000000004">
      <c r="A690" t="s">
        <v>1440</v>
      </c>
      <c r="B690">
        <v>100378</v>
      </c>
      <c r="C690" t="s">
        <v>248</v>
      </c>
      <c r="D690" s="3">
        <v>45872</v>
      </c>
      <c r="E690" t="s">
        <v>38</v>
      </c>
      <c r="F690" t="s">
        <v>1441</v>
      </c>
      <c r="G690" t="s">
        <v>22</v>
      </c>
      <c r="H690" t="s">
        <v>1442</v>
      </c>
      <c r="I690" t="s">
        <v>1443</v>
      </c>
      <c r="J690" s="4">
        <v>46057.570232175924</v>
      </c>
    </row>
    <row r="691" spans="1:10" x14ac:dyDescent="0.55000000000000004">
      <c r="A691" t="s">
        <v>1440</v>
      </c>
      <c r="B691">
        <v>100378</v>
      </c>
      <c r="C691" t="s">
        <v>248</v>
      </c>
      <c r="D691" s="3">
        <v>45872</v>
      </c>
      <c r="E691" t="s">
        <v>69</v>
      </c>
      <c r="F691" t="s">
        <v>1441</v>
      </c>
      <c r="G691" t="s">
        <v>22</v>
      </c>
      <c r="H691" t="s">
        <v>1442</v>
      </c>
      <c r="I691" t="s">
        <v>1443</v>
      </c>
      <c r="J691" s="4">
        <v>46057.570232175924</v>
      </c>
    </row>
    <row r="692" spans="1:10" x14ac:dyDescent="0.55000000000000004">
      <c r="A692" t="s">
        <v>1444</v>
      </c>
      <c r="B692">
        <v>100194</v>
      </c>
      <c r="C692" t="s">
        <v>37</v>
      </c>
      <c r="D692" s="3">
        <v>45855</v>
      </c>
      <c r="E692" t="s">
        <v>38</v>
      </c>
      <c r="F692" t="s">
        <v>1445</v>
      </c>
      <c r="G692" t="s">
        <v>22</v>
      </c>
      <c r="H692" t="s">
        <v>1446</v>
      </c>
      <c r="I692" t="s">
        <v>1447</v>
      </c>
      <c r="J692" s="4">
        <v>46086.071621064817</v>
      </c>
    </row>
    <row r="693" spans="1:10" x14ac:dyDescent="0.55000000000000004">
      <c r="A693" t="s">
        <v>1444</v>
      </c>
      <c r="B693">
        <v>100194</v>
      </c>
      <c r="C693" t="s">
        <v>37</v>
      </c>
      <c r="D693" s="3">
        <v>45855</v>
      </c>
      <c r="E693" t="s">
        <v>69</v>
      </c>
      <c r="F693" t="s">
        <v>1445</v>
      </c>
      <c r="G693" t="s">
        <v>22</v>
      </c>
      <c r="H693" t="s">
        <v>1446</v>
      </c>
      <c r="I693" t="s">
        <v>1447</v>
      </c>
      <c r="J693" s="4">
        <v>46086.071621064817</v>
      </c>
    </row>
    <row r="694" spans="1:10" x14ac:dyDescent="0.55000000000000004">
      <c r="A694" t="s">
        <v>1448</v>
      </c>
      <c r="B694">
        <v>100273</v>
      </c>
      <c r="C694" t="s">
        <v>19</v>
      </c>
      <c r="D694" s="3">
        <v>46014</v>
      </c>
      <c r="E694" t="s">
        <v>20</v>
      </c>
      <c r="F694" t="s">
        <v>1449</v>
      </c>
      <c r="G694" t="s">
        <v>22</v>
      </c>
      <c r="H694" t="s">
        <v>1450</v>
      </c>
      <c r="I694" t="s">
        <v>1451</v>
      </c>
      <c r="J694" s="4">
        <v>46053.617454409723</v>
      </c>
    </row>
    <row r="695" spans="1:10" x14ac:dyDescent="0.55000000000000004">
      <c r="A695" t="s">
        <v>1448</v>
      </c>
      <c r="B695">
        <v>100273</v>
      </c>
      <c r="C695" t="s">
        <v>19</v>
      </c>
      <c r="D695" s="3">
        <v>46014</v>
      </c>
      <c r="E695" t="s">
        <v>115</v>
      </c>
      <c r="F695" t="s">
        <v>1449</v>
      </c>
      <c r="G695" t="s">
        <v>22</v>
      </c>
      <c r="H695" t="s">
        <v>1450</v>
      </c>
      <c r="I695" t="s">
        <v>1451</v>
      </c>
      <c r="J695" s="4">
        <v>46053.617454409723</v>
      </c>
    </row>
    <row r="696" spans="1:10" x14ac:dyDescent="0.55000000000000004">
      <c r="A696" t="s">
        <v>1452</v>
      </c>
      <c r="B696">
        <v>101011</v>
      </c>
      <c r="C696" t="s">
        <v>68</v>
      </c>
      <c r="D696" s="3">
        <v>45746</v>
      </c>
      <c r="E696" t="s">
        <v>155</v>
      </c>
      <c r="F696" t="s">
        <v>1453</v>
      </c>
      <c r="G696" t="s">
        <v>15</v>
      </c>
      <c r="H696" t="s">
        <v>1454</v>
      </c>
      <c r="I696" t="s">
        <v>1455</v>
      </c>
      <c r="J696" s="4">
        <v>46082.825787743059</v>
      </c>
    </row>
    <row r="697" spans="1:10" x14ac:dyDescent="0.55000000000000004">
      <c r="A697" t="s">
        <v>1452</v>
      </c>
      <c r="B697">
        <v>101011</v>
      </c>
      <c r="C697" t="s">
        <v>68</v>
      </c>
      <c r="D697" s="3">
        <v>45746</v>
      </c>
      <c r="E697" t="s">
        <v>115</v>
      </c>
      <c r="F697" t="s">
        <v>1453</v>
      </c>
      <c r="G697" t="s">
        <v>15</v>
      </c>
      <c r="H697" t="s">
        <v>1454</v>
      </c>
      <c r="I697" t="s">
        <v>1455</v>
      </c>
      <c r="J697" s="4">
        <v>46082.825787743059</v>
      </c>
    </row>
    <row r="698" spans="1:10" x14ac:dyDescent="0.55000000000000004">
      <c r="A698" t="s">
        <v>1456</v>
      </c>
      <c r="B698">
        <v>101246</v>
      </c>
      <c r="C698" t="s">
        <v>248</v>
      </c>
      <c r="D698" s="3">
        <v>46078</v>
      </c>
      <c r="E698" t="s">
        <v>20</v>
      </c>
      <c r="F698" t="s">
        <v>1457</v>
      </c>
      <c r="G698" t="s">
        <v>22</v>
      </c>
      <c r="H698" t="s">
        <v>1458</v>
      </c>
      <c r="I698" t="s">
        <v>1459</v>
      </c>
      <c r="J698" s="4">
        <v>46065.717454409722</v>
      </c>
    </row>
    <row r="699" spans="1:10" x14ac:dyDescent="0.55000000000000004">
      <c r="A699" t="s">
        <v>1460</v>
      </c>
      <c r="B699">
        <v>100524</v>
      </c>
      <c r="C699" t="s">
        <v>37</v>
      </c>
      <c r="D699" s="3">
        <v>45974</v>
      </c>
      <c r="E699" t="s">
        <v>317</v>
      </c>
      <c r="F699" t="s">
        <v>1461</v>
      </c>
      <c r="G699" t="s">
        <v>15</v>
      </c>
      <c r="H699" t="s">
        <v>1462</v>
      </c>
      <c r="I699" t="s">
        <v>1463</v>
      </c>
      <c r="J699" s="4">
        <v>46059.73412108796</v>
      </c>
    </row>
    <row r="700" spans="1:10" x14ac:dyDescent="0.55000000000000004">
      <c r="A700" t="s">
        <v>1464</v>
      </c>
      <c r="B700">
        <v>100755</v>
      </c>
      <c r="C700" t="s">
        <v>248</v>
      </c>
      <c r="D700" s="3">
        <v>45861</v>
      </c>
      <c r="E700" t="s">
        <v>317</v>
      </c>
      <c r="F700" t="s">
        <v>1465</v>
      </c>
      <c r="G700" t="s">
        <v>22</v>
      </c>
      <c r="H700" t="s">
        <v>1466</v>
      </c>
      <c r="I700" t="s">
        <v>1467</v>
      </c>
      <c r="J700" s="4">
        <v>46075.093148877313</v>
      </c>
    </row>
    <row r="701" spans="1:10" x14ac:dyDescent="0.55000000000000004">
      <c r="A701" t="s">
        <v>1464</v>
      </c>
      <c r="B701">
        <v>100755</v>
      </c>
      <c r="C701" t="s">
        <v>248</v>
      </c>
      <c r="D701" s="3">
        <v>45861</v>
      </c>
      <c r="E701" t="s">
        <v>20</v>
      </c>
      <c r="F701" t="s">
        <v>1465</v>
      </c>
      <c r="G701" t="s">
        <v>22</v>
      </c>
      <c r="H701" t="s">
        <v>1466</v>
      </c>
      <c r="I701" t="s">
        <v>1467</v>
      </c>
      <c r="J701" s="4">
        <v>46075.093148877313</v>
      </c>
    </row>
    <row r="702" spans="1:10" x14ac:dyDescent="0.55000000000000004">
      <c r="A702" t="s">
        <v>1464</v>
      </c>
      <c r="B702">
        <v>100755</v>
      </c>
      <c r="C702" t="s">
        <v>248</v>
      </c>
      <c r="D702" s="3">
        <v>45861</v>
      </c>
      <c r="E702" t="s">
        <v>69</v>
      </c>
      <c r="F702" t="s">
        <v>1465</v>
      </c>
      <c r="G702" t="s">
        <v>22</v>
      </c>
      <c r="H702" t="s">
        <v>1466</v>
      </c>
      <c r="I702" t="s">
        <v>1467</v>
      </c>
      <c r="J702" s="4">
        <v>46075.093148877313</v>
      </c>
    </row>
    <row r="703" spans="1:10" x14ac:dyDescent="0.55000000000000004">
      <c r="A703" t="s">
        <v>1468</v>
      </c>
      <c r="B703">
        <v>100751</v>
      </c>
      <c r="C703" t="s">
        <v>248</v>
      </c>
      <c r="D703" s="3">
        <v>45843</v>
      </c>
      <c r="E703" t="s">
        <v>38</v>
      </c>
      <c r="F703" t="s">
        <v>1469</v>
      </c>
      <c r="G703" t="s">
        <v>22</v>
      </c>
      <c r="H703" t="s">
        <v>1470</v>
      </c>
      <c r="I703" t="s">
        <v>1471</v>
      </c>
      <c r="J703" s="4">
        <v>46060.600787766205</v>
      </c>
    </row>
    <row r="704" spans="1:10" x14ac:dyDescent="0.55000000000000004">
      <c r="A704" t="s">
        <v>1468</v>
      </c>
      <c r="B704">
        <v>100751</v>
      </c>
      <c r="C704" t="s">
        <v>248</v>
      </c>
      <c r="D704" s="3">
        <v>45843</v>
      </c>
      <c r="E704" t="s">
        <v>20</v>
      </c>
      <c r="F704" t="s">
        <v>1469</v>
      </c>
      <c r="G704" t="s">
        <v>22</v>
      </c>
      <c r="H704" t="s">
        <v>1470</v>
      </c>
      <c r="I704" t="s">
        <v>1471</v>
      </c>
      <c r="J704" s="4">
        <v>46060.600787766205</v>
      </c>
    </row>
    <row r="705" spans="1:10" x14ac:dyDescent="0.55000000000000004">
      <c r="A705" t="s">
        <v>1472</v>
      </c>
      <c r="B705">
        <v>100757</v>
      </c>
      <c r="C705" t="s">
        <v>37</v>
      </c>
      <c r="D705" s="3">
        <v>45993</v>
      </c>
      <c r="E705" t="s">
        <v>317</v>
      </c>
      <c r="F705" t="s">
        <v>1473</v>
      </c>
      <c r="G705" t="s">
        <v>22</v>
      </c>
      <c r="H705" t="s">
        <v>1474</v>
      </c>
      <c r="I705" t="s">
        <v>1475</v>
      </c>
      <c r="J705" s="4">
        <v>46054.592454444442</v>
      </c>
    </row>
    <row r="706" spans="1:10" x14ac:dyDescent="0.55000000000000004">
      <c r="A706" t="s">
        <v>1472</v>
      </c>
      <c r="B706">
        <v>100757</v>
      </c>
      <c r="C706" t="s">
        <v>37</v>
      </c>
      <c r="D706" s="3">
        <v>45993</v>
      </c>
      <c r="E706" t="s">
        <v>38</v>
      </c>
      <c r="F706" t="s">
        <v>1473</v>
      </c>
      <c r="G706" t="s">
        <v>22</v>
      </c>
      <c r="H706" t="s">
        <v>1474</v>
      </c>
      <c r="I706" t="s">
        <v>1475</v>
      </c>
      <c r="J706" s="4">
        <v>46054.592454444442</v>
      </c>
    </row>
    <row r="707" spans="1:10" x14ac:dyDescent="0.55000000000000004">
      <c r="A707" t="s">
        <v>1472</v>
      </c>
      <c r="B707">
        <v>100757</v>
      </c>
      <c r="C707" t="s">
        <v>37</v>
      </c>
      <c r="D707" s="3">
        <v>45993</v>
      </c>
      <c r="E707" t="s">
        <v>20</v>
      </c>
      <c r="F707" t="s">
        <v>1473</v>
      </c>
      <c r="G707" t="s">
        <v>22</v>
      </c>
      <c r="H707" t="s">
        <v>1474</v>
      </c>
      <c r="I707" t="s">
        <v>1475</v>
      </c>
      <c r="J707" s="4">
        <v>46054.592454444442</v>
      </c>
    </row>
    <row r="708" spans="1:10" x14ac:dyDescent="0.55000000000000004">
      <c r="A708" t="s">
        <v>1476</v>
      </c>
      <c r="B708">
        <v>101222</v>
      </c>
      <c r="C708" t="s">
        <v>19</v>
      </c>
      <c r="D708" s="3">
        <v>45764</v>
      </c>
      <c r="E708" t="s">
        <v>317</v>
      </c>
      <c r="F708" t="s">
        <v>1477</v>
      </c>
      <c r="G708" t="s">
        <v>22</v>
      </c>
      <c r="H708" t="s">
        <v>1478</v>
      </c>
      <c r="I708" t="s">
        <v>1479</v>
      </c>
      <c r="J708" s="4">
        <v>46080.813287789351</v>
      </c>
    </row>
    <row r="709" spans="1:10" x14ac:dyDescent="0.55000000000000004">
      <c r="A709" t="s">
        <v>1476</v>
      </c>
      <c r="B709">
        <v>101222</v>
      </c>
      <c r="C709" t="s">
        <v>19</v>
      </c>
      <c r="D709" s="3">
        <v>45764</v>
      </c>
      <c r="E709" t="s">
        <v>20</v>
      </c>
      <c r="F709" t="s">
        <v>1477</v>
      </c>
      <c r="G709" t="s">
        <v>22</v>
      </c>
      <c r="H709" t="s">
        <v>1478</v>
      </c>
      <c r="I709" t="s">
        <v>1479</v>
      </c>
      <c r="J709" s="4">
        <v>46080.813287789351</v>
      </c>
    </row>
    <row r="710" spans="1:10" x14ac:dyDescent="0.55000000000000004">
      <c r="A710" t="s">
        <v>1480</v>
      </c>
      <c r="B710">
        <v>101395</v>
      </c>
      <c r="C710" t="s">
        <v>68</v>
      </c>
      <c r="D710" s="3">
        <v>45828</v>
      </c>
      <c r="E710" t="s">
        <v>38</v>
      </c>
      <c r="F710" t="s">
        <v>1481</v>
      </c>
      <c r="G710" t="s">
        <v>15</v>
      </c>
      <c r="H710" t="s">
        <v>1482</v>
      </c>
      <c r="I710" t="s">
        <v>1483</v>
      </c>
      <c r="J710" s="4">
        <v>46093.893148900461</v>
      </c>
    </row>
    <row r="711" spans="1:10" x14ac:dyDescent="0.55000000000000004">
      <c r="A711" t="s">
        <v>1484</v>
      </c>
      <c r="B711">
        <v>100888</v>
      </c>
      <c r="C711" t="s">
        <v>179</v>
      </c>
      <c r="D711" s="3">
        <v>46070</v>
      </c>
      <c r="E711" t="s">
        <v>317</v>
      </c>
      <c r="F711" t="s">
        <v>1485</v>
      </c>
      <c r="G711" t="s">
        <v>15</v>
      </c>
      <c r="H711" t="s">
        <v>1486</v>
      </c>
      <c r="I711" t="s">
        <v>1487</v>
      </c>
      <c r="J711" s="4">
        <v>46056.038982245373</v>
      </c>
    </row>
    <row r="712" spans="1:10" x14ac:dyDescent="0.55000000000000004">
      <c r="A712" t="s">
        <v>1484</v>
      </c>
      <c r="B712">
        <v>100888</v>
      </c>
      <c r="C712" t="s">
        <v>179</v>
      </c>
      <c r="D712" s="3">
        <v>46070</v>
      </c>
      <c r="E712" t="s">
        <v>115</v>
      </c>
      <c r="F712" t="s">
        <v>1485</v>
      </c>
      <c r="G712" t="s">
        <v>15</v>
      </c>
      <c r="H712" t="s">
        <v>1486</v>
      </c>
      <c r="I712" t="s">
        <v>1487</v>
      </c>
      <c r="J712" s="4">
        <v>46056.038982245373</v>
      </c>
    </row>
    <row r="713" spans="1:10" x14ac:dyDescent="0.55000000000000004">
      <c r="A713" t="s">
        <v>1488</v>
      </c>
      <c r="B713">
        <v>100038</v>
      </c>
      <c r="C713" t="s">
        <v>68</v>
      </c>
      <c r="D713" s="3">
        <v>45864</v>
      </c>
      <c r="E713" t="s">
        <v>317</v>
      </c>
      <c r="F713" t="s">
        <v>1489</v>
      </c>
      <c r="G713" t="s">
        <v>15</v>
      </c>
      <c r="H713" t="s">
        <v>1490</v>
      </c>
      <c r="I713" t="s">
        <v>1491</v>
      </c>
      <c r="J713" s="4">
        <v>46059.932732245368</v>
      </c>
    </row>
    <row r="714" spans="1:10" x14ac:dyDescent="0.55000000000000004">
      <c r="A714" t="s">
        <v>1488</v>
      </c>
      <c r="B714">
        <v>100038</v>
      </c>
      <c r="C714" t="s">
        <v>68</v>
      </c>
      <c r="D714" s="3">
        <v>45864</v>
      </c>
      <c r="E714" t="s">
        <v>69</v>
      </c>
      <c r="F714" t="s">
        <v>1489</v>
      </c>
      <c r="G714" t="s">
        <v>15</v>
      </c>
      <c r="H714" t="s">
        <v>1490</v>
      </c>
      <c r="I714" t="s">
        <v>1491</v>
      </c>
      <c r="J714" s="4">
        <v>46059.932732245368</v>
      </c>
    </row>
    <row r="715" spans="1:10" x14ac:dyDescent="0.55000000000000004">
      <c r="A715" t="s">
        <v>1492</v>
      </c>
      <c r="B715">
        <v>100891</v>
      </c>
      <c r="C715" t="s">
        <v>248</v>
      </c>
      <c r="D715" s="3">
        <v>45907</v>
      </c>
      <c r="E715" t="s">
        <v>317</v>
      </c>
      <c r="F715" t="s">
        <v>1493</v>
      </c>
      <c r="G715" t="s">
        <v>22</v>
      </c>
      <c r="H715" t="s">
        <v>1494</v>
      </c>
      <c r="I715" t="s">
        <v>1495</v>
      </c>
      <c r="J715" s="4">
        <v>46065.319537800926</v>
      </c>
    </row>
    <row r="716" spans="1:10" x14ac:dyDescent="0.55000000000000004">
      <c r="A716" t="s">
        <v>1492</v>
      </c>
      <c r="B716">
        <v>100891</v>
      </c>
      <c r="C716" t="s">
        <v>248</v>
      </c>
      <c r="D716" s="3">
        <v>45907</v>
      </c>
      <c r="E716" t="s">
        <v>115</v>
      </c>
      <c r="F716" t="s">
        <v>1493</v>
      </c>
      <c r="G716" t="s">
        <v>22</v>
      </c>
      <c r="H716" t="s">
        <v>1494</v>
      </c>
      <c r="I716" t="s">
        <v>1495</v>
      </c>
      <c r="J716" s="4">
        <v>46065.319537800926</v>
      </c>
    </row>
    <row r="717" spans="1:10" x14ac:dyDescent="0.55000000000000004">
      <c r="A717" t="s">
        <v>1492</v>
      </c>
      <c r="B717">
        <v>100891</v>
      </c>
      <c r="C717" t="s">
        <v>248</v>
      </c>
      <c r="D717" s="3">
        <v>45907</v>
      </c>
      <c r="E717" t="s">
        <v>69</v>
      </c>
      <c r="F717" t="s">
        <v>1493</v>
      </c>
      <c r="G717" t="s">
        <v>22</v>
      </c>
      <c r="H717" t="s">
        <v>1494</v>
      </c>
      <c r="I717" t="s">
        <v>1495</v>
      </c>
      <c r="J717" s="4">
        <v>46065.319537800926</v>
      </c>
    </row>
    <row r="718" spans="1:10" x14ac:dyDescent="0.55000000000000004">
      <c r="A718" t="s">
        <v>1496</v>
      </c>
      <c r="B718">
        <v>100808</v>
      </c>
      <c r="C718" t="s">
        <v>533</v>
      </c>
      <c r="D718" s="3">
        <v>46068</v>
      </c>
      <c r="E718" t="s">
        <v>20</v>
      </c>
      <c r="F718" t="s">
        <v>1497</v>
      </c>
      <c r="G718" t="s">
        <v>22</v>
      </c>
      <c r="H718" t="s">
        <v>1498</v>
      </c>
      <c r="I718" t="s">
        <v>1499</v>
      </c>
      <c r="J718" s="4">
        <v>46089.378565590276</v>
      </c>
    </row>
    <row r="719" spans="1:10" x14ac:dyDescent="0.55000000000000004">
      <c r="A719" t="s">
        <v>1496</v>
      </c>
      <c r="B719">
        <v>100808</v>
      </c>
      <c r="C719" t="s">
        <v>533</v>
      </c>
      <c r="D719" s="3">
        <v>46068</v>
      </c>
      <c r="E719" t="s">
        <v>155</v>
      </c>
      <c r="F719" t="s">
        <v>1497</v>
      </c>
      <c r="G719" t="s">
        <v>22</v>
      </c>
      <c r="H719" t="s">
        <v>1498</v>
      </c>
      <c r="I719" t="s">
        <v>1499</v>
      </c>
      <c r="J719" s="4">
        <v>46089.378565590276</v>
      </c>
    </row>
    <row r="720" spans="1:10" x14ac:dyDescent="0.55000000000000004">
      <c r="A720" t="s">
        <v>1496</v>
      </c>
      <c r="B720">
        <v>100808</v>
      </c>
      <c r="C720" t="s">
        <v>533</v>
      </c>
      <c r="D720" s="3">
        <v>46068</v>
      </c>
      <c r="E720" t="s">
        <v>115</v>
      </c>
      <c r="F720" t="s">
        <v>1497</v>
      </c>
      <c r="G720" t="s">
        <v>22</v>
      </c>
      <c r="H720" t="s">
        <v>1498</v>
      </c>
      <c r="I720" t="s">
        <v>1499</v>
      </c>
      <c r="J720" s="4">
        <v>46089.378565590276</v>
      </c>
    </row>
    <row r="721" spans="1:11" x14ac:dyDescent="0.55000000000000004">
      <c r="A721" t="s">
        <v>1500</v>
      </c>
      <c r="B721">
        <v>101458</v>
      </c>
      <c r="C721" t="s">
        <v>19</v>
      </c>
      <c r="D721" s="3">
        <v>46122</v>
      </c>
      <c r="E721" t="s">
        <v>317</v>
      </c>
      <c r="F721" t="s">
        <v>1501</v>
      </c>
      <c r="G721" t="s">
        <v>22</v>
      </c>
      <c r="H721" t="s">
        <v>1502</v>
      </c>
      <c r="I721" t="s">
        <v>1503</v>
      </c>
      <c r="J721" s="4">
        <v>46056.619537812498</v>
      </c>
    </row>
    <row r="722" spans="1:11" x14ac:dyDescent="0.55000000000000004">
      <c r="A722" t="s">
        <v>1504</v>
      </c>
      <c r="B722">
        <v>101172</v>
      </c>
      <c r="C722" t="s">
        <v>248</v>
      </c>
      <c r="D722" s="3">
        <v>45913</v>
      </c>
      <c r="E722" t="s">
        <v>317</v>
      </c>
      <c r="F722" t="s">
        <v>1505</v>
      </c>
      <c r="G722" t="s">
        <v>22</v>
      </c>
      <c r="H722" t="s">
        <v>1506</v>
      </c>
      <c r="I722" t="s">
        <v>1507</v>
      </c>
      <c r="J722" s="4">
        <v>46071.275093368058</v>
      </c>
    </row>
    <row r="723" spans="1:11" x14ac:dyDescent="0.55000000000000004">
      <c r="A723" t="s">
        <v>1508</v>
      </c>
      <c r="B723">
        <v>101483</v>
      </c>
      <c r="C723" t="s">
        <v>68</v>
      </c>
      <c r="D723" s="3">
        <v>45865</v>
      </c>
      <c r="E723" t="s">
        <v>20</v>
      </c>
      <c r="F723" t="s">
        <v>1509</v>
      </c>
      <c r="G723" t="s">
        <v>22</v>
      </c>
      <c r="H723" t="s">
        <v>1510</v>
      </c>
      <c r="I723" t="s">
        <v>1511</v>
      </c>
      <c r="J723" s="4">
        <v>46093.843843379633</v>
      </c>
    </row>
    <row r="724" spans="1:11" x14ac:dyDescent="0.55000000000000004">
      <c r="A724" t="s">
        <v>1508</v>
      </c>
      <c r="B724">
        <v>101483</v>
      </c>
      <c r="C724" t="s">
        <v>68</v>
      </c>
      <c r="D724" s="3">
        <v>45865</v>
      </c>
      <c r="E724" t="s">
        <v>155</v>
      </c>
      <c r="F724" t="s">
        <v>1509</v>
      </c>
      <c r="G724" t="s">
        <v>22</v>
      </c>
      <c r="H724" t="s">
        <v>1510</v>
      </c>
      <c r="I724" t="s">
        <v>1511</v>
      </c>
      <c r="J724" s="4">
        <v>46093.843843379633</v>
      </c>
    </row>
    <row r="725" spans="1:11" x14ac:dyDescent="0.55000000000000004">
      <c r="A725" t="s">
        <v>1508</v>
      </c>
      <c r="B725">
        <v>101483</v>
      </c>
      <c r="C725" t="s">
        <v>68</v>
      </c>
      <c r="D725" s="3">
        <v>45865</v>
      </c>
      <c r="E725" t="s">
        <v>69</v>
      </c>
      <c r="F725" t="s">
        <v>1509</v>
      </c>
      <c r="G725" t="s">
        <v>22</v>
      </c>
      <c r="H725" t="s">
        <v>1510</v>
      </c>
      <c r="I725" t="s">
        <v>1511</v>
      </c>
      <c r="J725" s="4">
        <v>46093.843843379633</v>
      </c>
    </row>
    <row r="726" spans="1:11" x14ac:dyDescent="0.55000000000000004">
      <c r="A726" t="s">
        <v>1512</v>
      </c>
      <c r="B726">
        <v>100697</v>
      </c>
      <c r="C726" t="s">
        <v>19</v>
      </c>
      <c r="D726" s="3">
        <v>46029</v>
      </c>
      <c r="E726" t="s">
        <v>155</v>
      </c>
      <c r="F726" t="s">
        <v>1513</v>
      </c>
      <c r="G726" t="s">
        <v>15</v>
      </c>
      <c r="H726" t="s">
        <v>1514</v>
      </c>
      <c r="I726" t="s">
        <v>1515</v>
      </c>
      <c r="J726" s="4">
        <v>46054.203565601849</v>
      </c>
    </row>
    <row r="727" spans="1:11" x14ac:dyDescent="0.55000000000000004">
      <c r="A727" t="s">
        <v>1512</v>
      </c>
      <c r="B727">
        <v>100697</v>
      </c>
      <c r="C727" t="s">
        <v>19</v>
      </c>
      <c r="D727" s="3">
        <v>46029</v>
      </c>
      <c r="E727" t="s">
        <v>115</v>
      </c>
      <c r="F727" t="s">
        <v>1513</v>
      </c>
      <c r="G727" t="s">
        <v>15</v>
      </c>
      <c r="H727" t="s">
        <v>1514</v>
      </c>
      <c r="I727" t="s">
        <v>1515</v>
      </c>
      <c r="J727" s="4">
        <v>46054.203565601849</v>
      </c>
    </row>
    <row r="728" spans="1:11" x14ac:dyDescent="0.55000000000000004">
      <c r="A728" t="s">
        <v>1512</v>
      </c>
      <c r="B728">
        <v>100697</v>
      </c>
      <c r="C728" t="s">
        <v>19</v>
      </c>
      <c r="D728" s="3">
        <v>46029</v>
      </c>
      <c r="E728" t="s">
        <v>69</v>
      </c>
      <c r="F728" t="s">
        <v>1513</v>
      </c>
      <c r="G728" t="s">
        <v>15</v>
      </c>
      <c r="H728" t="s">
        <v>1514</v>
      </c>
      <c r="I728" t="s">
        <v>1515</v>
      </c>
      <c r="J728" s="4">
        <v>46054.203565601849</v>
      </c>
    </row>
    <row r="729" spans="1:11" x14ac:dyDescent="0.55000000000000004">
      <c r="A729" t="s">
        <v>1516</v>
      </c>
      <c r="C729" t="s">
        <v>19</v>
      </c>
      <c r="D729" s="3">
        <v>45884</v>
      </c>
      <c r="E729" t="s">
        <v>155</v>
      </c>
      <c r="F729" t="s">
        <v>1517</v>
      </c>
      <c r="G729" t="s">
        <v>15</v>
      </c>
      <c r="H729" t="s">
        <v>1518</v>
      </c>
      <c r="I729" t="s">
        <v>1519</v>
      </c>
      <c r="J729" s="4">
        <v>46085.259121157411</v>
      </c>
      <c r="K729" t="s">
        <v>112</v>
      </c>
    </row>
    <row r="730" spans="1:11" x14ac:dyDescent="0.55000000000000004">
      <c r="A730" t="s">
        <v>1516</v>
      </c>
      <c r="C730" t="s">
        <v>19</v>
      </c>
      <c r="D730" s="3">
        <v>45884</v>
      </c>
      <c r="E730" t="s">
        <v>115</v>
      </c>
      <c r="F730" t="s">
        <v>1517</v>
      </c>
      <c r="G730" t="s">
        <v>15</v>
      </c>
      <c r="H730" t="s">
        <v>1518</v>
      </c>
      <c r="I730" t="s">
        <v>1519</v>
      </c>
      <c r="J730" s="4">
        <v>46085.259121157411</v>
      </c>
      <c r="K730" t="s">
        <v>112</v>
      </c>
    </row>
    <row r="731" spans="1:11" x14ac:dyDescent="0.55000000000000004">
      <c r="A731" t="s">
        <v>1520</v>
      </c>
      <c r="B731">
        <v>100364</v>
      </c>
      <c r="C731" t="s">
        <v>179</v>
      </c>
      <c r="D731" s="3">
        <v>46023</v>
      </c>
      <c r="E731" t="s">
        <v>20</v>
      </c>
      <c r="F731" t="s">
        <v>1521</v>
      </c>
      <c r="G731" t="s">
        <v>15</v>
      </c>
      <c r="H731" t="s">
        <v>1522</v>
      </c>
      <c r="I731" t="s">
        <v>1523</v>
      </c>
      <c r="J731" s="4">
        <v>46092.052871168984</v>
      </c>
    </row>
    <row r="732" spans="1:11" x14ac:dyDescent="0.55000000000000004">
      <c r="A732" t="s">
        <v>1520</v>
      </c>
      <c r="B732">
        <v>100364</v>
      </c>
      <c r="C732" t="s">
        <v>179</v>
      </c>
      <c r="D732" s="3">
        <v>46023</v>
      </c>
      <c r="E732" t="s">
        <v>115</v>
      </c>
      <c r="F732" t="s">
        <v>1521</v>
      </c>
      <c r="G732" t="s">
        <v>15</v>
      </c>
      <c r="H732" t="s">
        <v>1522</v>
      </c>
      <c r="I732" t="s">
        <v>1523</v>
      </c>
      <c r="J732" s="4">
        <v>46092.052871168984</v>
      </c>
    </row>
    <row r="733" spans="1:11" x14ac:dyDescent="0.55000000000000004">
      <c r="A733" t="s">
        <v>1524</v>
      </c>
      <c r="B733">
        <v>100842</v>
      </c>
      <c r="C733" t="s">
        <v>68</v>
      </c>
      <c r="D733" s="3">
        <v>46055</v>
      </c>
      <c r="E733" t="s">
        <v>20</v>
      </c>
      <c r="F733" t="s">
        <v>1144</v>
      </c>
      <c r="G733" t="s">
        <v>15</v>
      </c>
      <c r="H733" t="s">
        <v>1525</v>
      </c>
      <c r="I733" t="s">
        <v>1526</v>
      </c>
      <c r="J733" s="4">
        <v>46097.103565613426</v>
      </c>
    </row>
    <row r="734" spans="1:11" x14ac:dyDescent="0.55000000000000004">
      <c r="A734" t="s">
        <v>1527</v>
      </c>
      <c r="B734">
        <v>100811</v>
      </c>
      <c r="C734" t="s">
        <v>248</v>
      </c>
      <c r="D734" s="3">
        <v>45839</v>
      </c>
      <c r="E734" t="s">
        <v>38</v>
      </c>
      <c r="F734" t="s">
        <v>1528</v>
      </c>
      <c r="G734" t="s">
        <v>15</v>
      </c>
      <c r="H734" t="s">
        <v>1529</v>
      </c>
      <c r="I734" t="s">
        <v>1530</v>
      </c>
      <c r="J734" s="4">
        <v>46066.620926724536</v>
      </c>
    </row>
    <row r="735" spans="1:11" x14ac:dyDescent="0.55000000000000004">
      <c r="A735" t="s">
        <v>1531</v>
      </c>
      <c r="B735">
        <v>100970</v>
      </c>
      <c r="C735" t="s">
        <v>533</v>
      </c>
      <c r="D735" s="3">
        <v>46046</v>
      </c>
      <c r="E735" t="s">
        <v>317</v>
      </c>
      <c r="F735" t="s">
        <v>1532</v>
      </c>
      <c r="G735" t="s">
        <v>22</v>
      </c>
      <c r="H735" t="s">
        <v>1533</v>
      </c>
      <c r="I735" t="s">
        <v>1534</v>
      </c>
      <c r="J735" s="4">
        <v>46070.06745451389</v>
      </c>
    </row>
    <row r="736" spans="1:11" x14ac:dyDescent="0.55000000000000004">
      <c r="A736" t="s">
        <v>1531</v>
      </c>
      <c r="B736">
        <v>100970</v>
      </c>
      <c r="C736" t="s">
        <v>533</v>
      </c>
      <c r="D736" s="3">
        <v>46046</v>
      </c>
      <c r="E736" t="s">
        <v>69</v>
      </c>
      <c r="F736" t="s">
        <v>1532</v>
      </c>
      <c r="G736" t="s">
        <v>22</v>
      </c>
      <c r="H736" t="s">
        <v>1533</v>
      </c>
      <c r="I736" t="s">
        <v>1534</v>
      </c>
      <c r="J736" s="4">
        <v>46070.06745451389</v>
      </c>
    </row>
    <row r="737" spans="1:11" x14ac:dyDescent="0.55000000000000004">
      <c r="A737" t="s">
        <v>1535</v>
      </c>
      <c r="B737">
        <v>100302</v>
      </c>
      <c r="C737" t="s">
        <v>179</v>
      </c>
      <c r="D737" s="3">
        <v>45734</v>
      </c>
      <c r="E737" t="s">
        <v>38</v>
      </c>
      <c r="F737" t="s">
        <v>1536</v>
      </c>
      <c r="G737" t="s">
        <v>15</v>
      </c>
      <c r="H737" t="s">
        <v>1537</v>
      </c>
      <c r="I737" t="s">
        <v>1538</v>
      </c>
      <c r="J737" s="4">
        <v>46074.72648229167</v>
      </c>
    </row>
    <row r="738" spans="1:11" x14ac:dyDescent="0.55000000000000004">
      <c r="A738" t="s">
        <v>1539</v>
      </c>
      <c r="B738">
        <v>100649</v>
      </c>
      <c r="C738" t="s">
        <v>68</v>
      </c>
      <c r="D738" s="3">
        <v>46119</v>
      </c>
      <c r="E738" t="s">
        <v>38</v>
      </c>
      <c r="F738" t="s">
        <v>1540</v>
      </c>
      <c r="G738" t="s">
        <v>15</v>
      </c>
      <c r="H738" t="s">
        <v>1541</v>
      </c>
      <c r="I738" t="s">
        <v>1542</v>
      </c>
      <c r="J738" s="4">
        <v>46082.759815636571</v>
      </c>
    </row>
    <row r="739" spans="1:11" x14ac:dyDescent="0.55000000000000004">
      <c r="A739" t="s">
        <v>1539</v>
      </c>
      <c r="B739">
        <v>100649</v>
      </c>
      <c r="C739" t="s">
        <v>68</v>
      </c>
      <c r="D739" s="3">
        <v>46119</v>
      </c>
      <c r="E739" t="s">
        <v>155</v>
      </c>
      <c r="F739" t="s">
        <v>1540</v>
      </c>
      <c r="G739" t="s">
        <v>15</v>
      </c>
      <c r="H739" t="s">
        <v>1541</v>
      </c>
      <c r="I739" t="s">
        <v>1542</v>
      </c>
      <c r="J739" s="4">
        <v>46082.759815636571</v>
      </c>
    </row>
    <row r="740" spans="1:11" x14ac:dyDescent="0.55000000000000004">
      <c r="A740" t="s">
        <v>1539</v>
      </c>
      <c r="B740">
        <v>100649</v>
      </c>
      <c r="C740" t="s">
        <v>68</v>
      </c>
      <c r="D740" s="3">
        <v>46119</v>
      </c>
      <c r="E740" t="s">
        <v>115</v>
      </c>
      <c r="F740" t="s">
        <v>1540</v>
      </c>
      <c r="G740" t="s">
        <v>15</v>
      </c>
      <c r="H740" t="s">
        <v>1541</v>
      </c>
      <c r="I740" t="s">
        <v>1542</v>
      </c>
      <c r="J740" s="4">
        <v>46082.759815636571</v>
      </c>
    </row>
    <row r="741" spans="1:11" x14ac:dyDescent="0.55000000000000004">
      <c r="A741" t="s">
        <v>6028</v>
      </c>
      <c r="B741">
        <v>101274</v>
      </c>
      <c r="C741" t="s">
        <v>68</v>
      </c>
      <c r="D741" s="3">
        <v>45891</v>
      </c>
      <c r="E741" t="s">
        <v>155</v>
      </c>
      <c r="F741" t="s">
        <v>1544</v>
      </c>
      <c r="G741" t="s">
        <v>22</v>
      </c>
      <c r="H741" t="s">
        <v>1545</v>
      </c>
      <c r="I741" t="s">
        <v>1546</v>
      </c>
      <c r="J741" s="4">
        <v>46064.909121192133</v>
      </c>
      <c r="K741" t="s">
        <v>119</v>
      </c>
    </row>
    <row r="742" spans="1:11" x14ac:dyDescent="0.55000000000000004">
      <c r="A742" t="s">
        <v>1547</v>
      </c>
      <c r="B742">
        <v>100639</v>
      </c>
      <c r="C742" t="s">
        <v>68</v>
      </c>
      <c r="D742" s="3">
        <v>45817</v>
      </c>
      <c r="E742" t="s">
        <v>155</v>
      </c>
      <c r="F742" t="s">
        <v>1548</v>
      </c>
      <c r="G742" t="s">
        <v>22</v>
      </c>
      <c r="H742" t="s">
        <v>1549</v>
      </c>
      <c r="I742" t="s">
        <v>1550</v>
      </c>
      <c r="J742" s="4">
        <v>46079.098010081019</v>
      </c>
    </row>
    <row r="743" spans="1:11" x14ac:dyDescent="0.55000000000000004">
      <c r="A743" t="s">
        <v>1551</v>
      </c>
      <c r="B743">
        <v>100517</v>
      </c>
      <c r="C743" t="s">
        <v>19</v>
      </c>
      <c r="D743" s="3">
        <v>46037</v>
      </c>
      <c r="E743" t="s">
        <v>20</v>
      </c>
      <c r="F743" t="s">
        <v>1552</v>
      </c>
      <c r="G743" t="s">
        <v>22</v>
      </c>
      <c r="H743" t="s">
        <v>1553</v>
      </c>
      <c r="I743" t="s">
        <v>1554</v>
      </c>
      <c r="J743" s="4">
        <v>46066.235510092592</v>
      </c>
    </row>
    <row r="744" spans="1:11" x14ac:dyDescent="0.55000000000000004">
      <c r="A744" t="s">
        <v>1551</v>
      </c>
      <c r="B744">
        <v>100517</v>
      </c>
      <c r="C744" t="s">
        <v>19</v>
      </c>
      <c r="D744" s="3">
        <v>46037</v>
      </c>
      <c r="E744" t="s">
        <v>115</v>
      </c>
      <c r="F744" t="s">
        <v>1552</v>
      </c>
      <c r="G744" t="s">
        <v>22</v>
      </c>
      <c r="H744" t="s">
        <v>1553</v>
      </c>
      <c r="I744" t="s">
        <v>1554</v>
      </c>
      <c r="J744" s="4">
        <v>46066.235510092592</v>
      </c>
    </row>
    <row r="745" spans="1:11" x14ac:dyDescent="0.55000000000000004">
      <c r="A745" t="s">
        <v>1551</v>
      </c>
      <c r="B745">
        <v>100517</v>
      </c>
      <c r="C745" t="s">
        <v>19</v>
      </c>
      <c r="D745" s="3">
        <v>46037</v>
      </c>
      <c r="E745" t="s">
        <v>69</v>
      </c>
      <c r="F745" t="s">
        <v>1552</v>
      </c>
      <c r="G745" t="s">
        <v>22</v>
      </c>
      <c r="H745" t="s">
        <v>1553</v>
      </c>
      <c r="I745" t="s">
        <v>1554</v>
      </c>
      <c r="J745" s="4">
        <v>46066.235510092592</v>
      </c>
    </row>
    <row r="746" spans="1:11" x14ac:dyDescent="0.55000000000000004">
      <c r="A746" t="s">
        <v>1555</v>
      </c>
      <c r="B746">
        <v>100750</v>
      </c>
      <c r="C746" t="s">
        <v>248</v>
      </c>
      <c r="D746" s="3">
        <v>45816</v>
      </c>
      <c r="E746" t="s">
        <v>155</v>
      </c>
      <c r="F746" t="s">
        <v>1556</v>
      </c>
      <c r="G746" t="s">
        <v>15</v>
      </c>
      <c r="H746" t="s">
        <v>1557</v>
      </c>
      <c r="I746" t="s">
        <v>1558</v>
      </c>
      <c r="J746" s="4">
        <v>46089.445926759261</v>
      </c>
    </row>
    <row r="747" spans="1:11" x14ac:dyDescent="0.55000000000000004">
      <c r="A747" t="s">
        <v>1555</v>
      </c>
      <c r="B747">
        <v>100750</v>
      </c>
      <c r="C747" t="s">
        <v>248</v>
      </c>
      <c r="D747" s="3">
        <v>45816</v>
      </c>
      <c r="E747" t="s">
        <v>115</v>
      </c>
      <c r="F747" t="s">
        <v>1556</v>
      </c>
      <c r="G747" t="s">
        <v>15</v>
      </c>
      <c r="H747" t="s">
        <v>1557</v>
      </c>
      <c r="I747" t="s">
        <v>1558</v>
      </c>
      <c r="J747" s="4">
        <v>46089.445926759261</v>
      </c>
    </row>
    <row r="748" spans="1:11" x14ac:dyDescent="0.55000000000000004">
      <c r="A748" t="s">
        <v>1559</v>
      </c>
      <c r="B748">
        <v>101424</v>
      </c>
      <c r="C748" t="s">
        <v>37</v>
      </c>
      <c r="D748" s="3">
        <v>46033</v>
      </c>
      <c r="E748" t="s">
        <v>20</v>
      </c>
      <c r="F748" t="s">
        <v>1560</v>
      </c>
      <c r="G748" t="s">
        <v>15</v>
      </c>
      <c r="H748" t="s">
        <v>1561</v>
      </c>
      <c r="I748" t="s">
        <v>1562</v>
      </c>
      <c r="J748" s="4">
        <v>46072.835510092591</v>
      </c>
    </row>
    <row r="749" spans="1:11" x14ac:dyDescent="0.55000000000000004">
      <c r="A749" t="s">
        <v>1559</v>
      </c>
      <c r="B749">
        <v>101424</v>
      </c>
      <c r="C749" t="s">
        <v>37</v>
      </c>
      <c r="D749" s="3">
        <v>46033</v>
      </c>
      <c r="E749" t="s">
        <v>155</v>
      </c>
      <c r="F749" t="s">
        <v>1560</v>
      </c>
      <c r="G749" t="s">
        <v>15</v>
      </c>
      <c r="H749" t="s">
        <v>1561</v>
      </c>
      <c r="I749" t="s">
        <v>1562</v>
      </c>
      <c r="J749" s="4">
        <v>46072.835510092591</v>
      </c>
    </row>
    <row r="750" spans="1:11" x14ac:dyDescent="0.55000000000000004">
      <c r="A750" t="s">
        <v>1559</v>
      </c>
      <c r="B750">
        <v>101424</v>
      </c>
      <c r="C750" t="s">
        <v>37</v>
      </c>
      <c r="D750" s="3">
        <v>46033</v>
      </c>
      <c r="E750" t="s">
        <v>115</v>
      </c>
      <c r="F750" t="s">
        <v>1560</v>
      </c>
      <c r="G750" t="s">
        <v>15</v>
      </c>
      <c r="H750" t="s">
        <v>1561</v>
      </c>
      <c r="I750" t="s">
        <v>1562</v>
      </c>
      <c r="J750" s="4">
        <v>46072.835510092591</v>
      </c>
    </row>
    <row r="751" spans="1:11" x14ac:dyDescent="0.55000000000000004">
      <c r="A751" t="s">
        <v>1563</v>
      </c>
      <c r="B751">
        <v>100726</v>
      </c>
      <c r="C751" t="s">
        <v>248</v>
      </c>
      <c r="D751" s="3">
        <v>46126</v>
      </c>
      <c r="E751" t="s">
        <v>317</v>
      </c>
      <c r="F751" t="s">
        <v>1564</v>
      </c>
      <c r="G751" t="s">
        <v>15</v>
      </c>
      <c r="H751" t="s">
        <v>1565</v>
      </c>
      <c r="I751" t="s">
        <v>1566</v>
      </c>
      <c r="J751" s="4">
        <v>46056.718148993059</v>
      </c>
    </row>
    <row r="752" spans="1:11" x14ac:dyDescent="0.55000000000000004">
      <c r="A752" t="s">
        <v>1563</v>
      </c>
      <c r="B752">
        <v>100726</v>
      </c>
      <c r="C752" t="s">
        <v>248</v>
      </c>
      <c r="D752" s="3">
        <v>46126</v>
      </c>
      <c r="E752" t="s">
        <v>38</v>
      </c>
      <c r="F752" t="s">
        <v>1564</v>
      </c>
      <c r="G752" t="s">
        <v>15</v>
      </c>
      <c r="H752" t="s">
        <v>1565</v>
      </c>
      <c r="I752" t="s">
        <v>1566</v>
      </c>
      <c r="J752" s="4">
        <v>46056.718148993059</v>
      </c>
    </row>
    <row r="753" spans="1:10" x14ac:dyDescent="0.55000000000000004">
      <c r="A753" t="s">
        <v>1563</v>
      </c>
      <c r="B753">
        <v>100726</v>
      </c>
      <c r="C753" t="s">
        <v>248</v>
      </c>
      <c r="D753" s="3">
        <v>46126</v>
      </c>
      <c r="E753" t="s">
        <v>155</v>
      </c>
      <c r="F753" t="s">
        <v>1564</v>
      </c>
      <c r="G753" t="s">
        <v>15</v>
      </c>
      <c r="H753" t="s">
        <v>1565</v>
      </c>
      <c r="I753" t="s">
        <v>1566</v>
      </c>
      <c r="J753" s="4">
        <v>46056.718148993059</v>
      </c>
    </row>
    <row r="754" spans="1:10" x14ac:dyDescent="0.55000000000000004">
      <c r="A754" t="s">
        <v>1567</v>
      </c>
      <c r="B754">
        <v>101398</v>
      </c>
      <c r="C754" t="s">
        <v>37</v>
      </c>
      <c r="D754" s="3">
        <v>46085</v>
      </c>
      <c r="E754" t="s">
        <v>69</v>
      </c>
      <c r="F754" t="s">
        <v>1568</v>
      </c>
      <c r="G754" t="s">
        <v>22</v>
      </c>
      <c r="H754" t="s">
        <v>1569</v>
      </c>
      <c r="I754" t="s">
        <v>1570</v>
      </c>
      <c r="J754" s="4">
        <v>46073.57023232639</v>
      </c>
    </row>
    <row r="755" spans="1:10" x14ac:dyDescent="0.55000000000000004">
      <c r="A755" t="s">
        <v>1571</v>
      </c>
      <c r="B755">
        <v>101326</v>
      </c>
      <c r="C755" t="s">
        <v>19</v>
      </c>
      <c r="D755" s="3">
        <v>45861</v>
      </c>
      <c r="E755" t="s">
        <v>317</v>
      </c>
      <c r="F755" t="s">
        <v>1572</v>
      </c>
      <c r="G755" t="s">
        <v>15</v>
      </c>
      <c r="H755" t="s">
        <v>1573</v>
      </c>
      <c r="I755" t="s">
        <v>1574</v>
      </c>
      <c r="J755" s="4">
        <v>46052.770926770834</v>
      </c>
    </row>
    <row r="756" spans="1:10" x14ac:dyDescent="0.55000000000000004">
      <c r="A756" t="s">
        <v>1571</v>
      </c>
      <c r="B756">
        <v>101326</v>
      </c>
      <c r="C756" t="s">
        <v>19</v>
      </c>
      <c r="D756" s="3">
        <v>45861</v>
      </c>
      <c r="E756" t="s">
        <v>115</v>
      </c>
      <c r="F756" t="s">
        <v>1572</v>
      </c>
      <c r="G756" t="s">
        <v>15</v>
      </c>
      <c r="H756" t="s">
        <v>1573</v>
      </c>
      <c r="I756" t="s">
        <v>1574</v>
      </c>
      <c r="J756" s="4">
        <v>46052.770926770834</v>
      </c>
    </row>
    <row r="757" spans="1:10" x14ac:dyDescent="0.55000000000000004">
      <c r="A757" t="s">
        <v>1575</v>
      </c>
      <c r="B757">
        <v>101214</v>
      </c>
      <c r="C757" t="s">
        <v>37</v>
      </c>
      <c r="D757" s="3">
        <v>45886</v>
      </c>
      <c r="E757" t="s">
        <v>317</v>
      </c>
      <c r="F757" t="s">
        <v>1576</v>
      </c>
      <c r="G757" t="s">
        <v>22</v>
      </c>
      <c r="H757" t="s">
        <v>1577</v>
      </c>
      <c r="I757" t="s">
        <v>1578</v>
      </c>
      <c r="J757" s="4">
        <v>46057.884815671299</v>
      </c>
    </row>
    <row r="758" spans="1:10" x14ac:dyDescent="0.55000000000000004">
      <c r="A758" t="s">
        <v>1575</v>
      </c>
      <c r="B758">
        <v>101214</v>
      </c>
      <c r="C758" t="s">
        <v>37</v>
      </c>
      <c r="D758" s="3">
        <v>45886</v>
      </c>
      <c r="E758" t="s">
        <v>155</v>
      </c>
      <c r="F758" t="s">
        <v>1576</v>
      </c>
      <c r="G758" t="s">
        <v>22</v>
      </c>
      <c r="H758" t="s">
        <v>1577</v>
      </c>
      <c r="I758" t="s">
        <v>1578</v>
      </c>
      <c r="J758" s="4">
        <v>46057.884815671299</v>
      </c>
    </row>
    <row r="759" spans="1:10" x14ac:dyDescent="0.55000000000000004">
      <c r="A759" t="s">
        <v>1579</v>
      </c>
      <c r="B759">
        <v>100242</v>
      </c>
      <c r="C759" t="s">
        <v>533</v>
      </c>
      <c r="D759" s="3">
        <v>45946</v>
      </c>
      <c r="E759" t="s">
        <v>38</v>
      </c>
      <c r="F759" t="s">
        <v>1580</v>
      </c>
      <c r="G759" t="s">
        <v>15</v>
      </c>
      <c r="H759" t="s">
        <v>1581</v>
      </c>
      <c r="I759" t="s">
        <v>1582</v>
      </c>
      <c r="J759" s="4">
        <v>46079.584121238426</v>
      </c>
    </row>
    <row r="760" spans="1:10" x14ac:dyDescent="0.55000000000000004">
      <c r="A760" t="s">
        <v>1583</v>
      </c>
      <c r="B760">
        <v>100910</v>
      </c>
      <c r="C760" t="s">
        <v>533</v>
      </c>
      <c r="D760" s="3">
        <v>45986</v>
      </c>
      <c r="E760" t="s">
        <v>38</v>
      </c>
      <c r="F760" t="s">
        <v>1584</v>
      </c>
      <c r="G760" t="s">
        <v>15</v>
      </c>
      <c r="H760" t="s">
        <v>1585</v>
      </c>
      <c r="I760" t="s">
        <v>1586</v>
      </c>
      <c r="J760" s="4">
        <v>46081.002176793983</v>
      </c>
    </row>
    <row r="761" spans="1:10" x14ac:dyDescent="0.55000000000000004">
      <c r="A761" t="s">
        <v>1587</v>
      </c>
      <c r="B761">
        <v>100022</v>
      </c>
      <c r="C761" t="s">
        <v>248</v>
      </c>
      <c r="D761" s="3">
        <v>45915</v>
      </c>
      <c r="E761" t="s">
        <v>20</v>
      </c>
      <c r="F761" t="s">
        <v>1588</v>
      </c>
      <c r="G761" t="s">
        <v>15</v>
      </c>
      <c r="H761" t="s">
        <v>1589</v>
      </c>
      <c r="I761" t="s">
        <v>1590</v>
      </c>
      <c r="J761" s="4">
        <v>46062.040371238429</v>
      </c>
    </row>
    <row r="762" spans="1:10" x14ac:dyDescent="0.55000000000000004">
      <c r="A762" t="s">
        <v>1587</v>
      </c>
      <c r="B762">
        <v>100022</v>
      </c>
      <c r="C762" t="s">
        <v>248</v>
      </c>
      <c r="D762" s="3">
        <v>45915</v>
      </c>
      <c r="E762" t="s">
        <v>115</v>
      </c>
      <c r="F762" t="s">
        <v>1588</v>
      </c>
      <c r="G762" t="s">
        <v>15</v>
      </c>
      <c r="H762" t="s">
        <v>1589</v>
      </c>
      <c r="I762" t="s">
        <v>1590</v>
      </c>
      <c r="J762" s="4">
        <v>46062.040371238429</v>
      </c>
    </row>
    <row r="763" spans="1:10" x14ac:dyDescent="0.55000000000000004">
      <c r="A763" t="s">
        <v>1587</v>
      </c>
      <c r="B763">
        <v>100022</v>
      </c>
      <c r="C763" t="s">
        <v>248</v>
      </c>
      <c r="D763" s="3">
        <v>45915</v>
      </c>
      <c r="E763" t="s">
        <v>69</v>
      </c>
      <c r="F763" t="s">
        <v>1588</v>
      </c>
      <c r="G763" t="s">
        <v>15</v>
      </c>
      <c r="H763" t="s">
        <v>1589</v>
      </c>
      <c r="I763" t="s">
        <v>1590</v>
      </c>
      <c r="J763" s="4">
        <v>46062.040371238429</v>
      </c>
    </row>
    <row r="764" spans="1:10" x14ac:dyDescent="0.55000000000000004">
      <c r="A764" t="s">
        <v>1591</v>
      </c>
      <c r="B764">
        <v>101473</v>
      </c>
      <c r="C764" t="s">
        <v>248</v>
      </c>
      <c r="D764" s="3">
        <v>46084</v>
      </c>
      <c r="E764" t="s">
        <v>20</v>
      </c>
      <c r="F764" t="s">
        <v>1592</v>
      </c>
      <c r="G764" t="s">
        <v>15</v>
      </c>
      <c r="H764" t="s">
        <v>1593</v>
      </c>
      <c r="I764" t="s">
        <v>1594</v>
      </c>
      <c r="J764" s="4">
        <v>46096.791065694444</v>
      </c>
    </row>
    <row r="765" spans="1:10" x14ac:dyDescent="0.55000000000000004">
      <c r="A765" t="s">
        <v>1591</v>
      </c>
      <c r="B765">
        <v>101473</v>
      </c>
      <c r="C765" t="s">
        <v>248</v>
      </c>
      <c r="D765" s="3">
        <v>46084</v>
      </c>
      <c r="E765" t="s">
        <v>115</v>
      </c>
      <c r="F765" t="s">
        <v>1592</v>
      </c>
      <c r="G765" t="s">
        <v>15</v>
      </c>
      <c r="H765" t="s">
        <v>1593</v>
      </c>
      <c r="I765" t="s">
        <v>1594</v>
      </c>
      <c r="J765" s="4">
        <v>46096.791065694444</v>
      </c>
    </row>
    <row r="766" spans="1:10" x14ac:dyDescent="0.55000000000000004">
      <c r="A766" t="s">
        <v>1595</v>
      </c>
      <c r="B766">
        <v>101203</v>
      </c>
      <c r="C766" t="s">
        <v>37</v>
      </c>
      <c r="D766" s="3">
        <v>45788</v>
      </c>
      <c r="E766" t="s">
        <v>317</v>
      </c>
      <c r="F766" t="s">
        <v>1596</v>
      </c>
      <c r="G766" t="s">
        <v>15</v>
      </c>
      <c r="H766" t="s">
        <v>1597</v>
      </c>
      <c r="I766" t="s">
        <v>1598</v>
      </c>
      <c r="J766" s="4">
        <v>46065.639676805557</v>
      </c>
    </row>
    <row r="767" spans="1:10" x14ac:dyDescent="0.55000000000000004">
      <c r="A767" t="s">
        <v>1595</v>
      </c>
      <c r="B767">
        <v>101203</v>
      </c>
      <c r="C767" t="s">
        <v>37</v>
      </c>
      <c r="D767" s="3">
        <v>45788</v>
      </c>
      <c r="E767" t="s">
        <v>115</v>
      </c>
      <c r="F767" t="s">
        <v>1596</v>
      </c>
      <c r="G767" t="s">
        <v>15</v>
      </c>
      <c r="H767" t="s">
        <v>1597</v>
      </c>
      <c r="I767" t="s">
        <v>1598</v>
      </c>
      <c r="J767" s="4">
        <v>46065.639676805557</v>
      </c>
    </row>
    <row r="768" spans="1:10" x14ac:dyDescent="0.55000000000000004">
      <c r="A768" t="s">
        <v>1595</v>
      </c>
      <c r="B768">
        <v>101203</v>
      </c>
      <c r="C768" t="s">
        <v>37</v>
      </c>
      <c r="D768" s="3">
        <v>45788</v>
      </c>
      <c r="E768" t="s">
        <v>69</v>
      </c>
      <c r="F768" t="s">
        <v>1596</v>
      </c>
      <c r="G768" t="s">
        <v>15</v>
      </c>
      <c r="H768" t="s">
        <v>1597</v>
      </c>
      <c r="I768" t="s">
        <v>1598</v>
      </c>
      <c r="J768" s="4">
        <v>46065.639676805557</v>
      </c>
    </row>
    <row r="769" spans="1:10" x14ac:dyDescent="0.55000000000000004">
      <c r="A769" t="s">
        <v>1599</v>
      </c>
      <c r="B769">
        <v>100421</v>
      </c>
      <c r="C769" t="s">
        <v>533</v>
      </c>
      <c r="D769" s="3">
        <v>45863</v>
      </c>
      <c r="E769" t="s">
        <v>20</v>
      </c>
      <c r="F769" t="s">
        <v>1600</v>
      </c>
      <c r="G769" t="s">
        <v>22</v>
      </c>
      <c r="H769" t="s">
        <v>1601</v>
      </c>
      <c r="I769" t="s">
        <v>1602</v>
      </c>
      <c r="J769" s="4">
        <v>46068.675093472222</v>
      </c>
    </row>
    <row r="770" spans="1:10" x14ac:dyDescent="0.55000000000000004">
      <c r="A770" t="s">
        <v>1599</v>
      </c>
      <c r="B770">
        <v>100421</v>
      </c>
      <c r="C770" t="s">
        <v>533</v>
      </c>
      <c r="D770" s="3">
        <v>45863</v>
      </c>
      <c r="E770" t="s">
        <v>115</v>
      </c>
      <c r="F770" t="s">
        <v>1600</v>
      </c>
      <c r="G770" t="s">
        <v>22</v>
      </c>
      <c r="H770" t="s">
        <v>1601</v>
      </c>
      <c r="I770" t="s">
        <v>1602</v>
      </c>
      <c r="J770" s="4">
        <v>46068.675093472222</v>
      </c>
    </row>
    <row r="771" spans="1:10" x14ac:dyDescent="0.55000000000000004">
      <c r="A771" t="s">
        <v>1599</v>
      </c>
      <c r="B771">
        <v>100421</v>
      </c>
      <c r="C771" t="s">
        <v>533</v>
      </c>
      <c r="D771" s="3">
        <v>45863</v>
      </c>
      <c r="E771" t="s">
        <v>69</v>
      </c>
      <c r="F771" t="s">
        <v>1600</v>
      </c>
      <c r="G771" t="s">
        <v>22</v>
      </c>
      <c r="H771" t="s">
        <v>1601</v>
      </c>
      <c r="I771" t="s">
        <v>1602</v>
      </c>
      <c r="J771" s="4">
        <v>46068.675093472222</v>
      </c>
    </row>
    <row r="772" spans="1:10" x14ac:dyDescent="0.55000000000000004">
      <c r="A772" t="s">
        <v>1603</v>
      </c>
      <c r="B772">
        <v>101271</v>
      </c>
      <c r="C772" t="s">
        <v>533</v>
      </c>
      <c r="D772" s="3">
        <v>46148</v>
      </c>
      <c r="E772" t="s">
        <v>155</v>
      </c>
      <c r="F772" t="s">
        <v>1604</v>
      </c>
      <c r="G772" t="s">
        <v>22</v>
      </c>
      <c r="H772" t="s">
        <v>1605</v>
      </c>
      <c r="I772" t="s">
        <v>1606</v>
      </c>
      <c r="J772" s="4">
        <v>46073.783426817128</v>
      </c>
    </row>
    <row r="773" spans="1:10" x14ac:dyDescent="0.55000000000000004">
      <c r="A773" t="s">
        <v>283</v>
      </c>
      <c r="B773">
        <v>101044</v>
      </c>
      <c r="C773" t="s">
        <v>68</v>
      </c>
      <c r="D773" s="3">
        <v>45950</v>
      </c>
      <c r="E773" t="s">
        <v>317</v>
      </c>
      <c r="F773" t="s">
        <v>1607</v>
      </c>
      <c r="G773" t="s">
        <v>15</v>
      </c>
      <c r="H773" t="s">
        <v>1608</v>
      </c>
      <c r="I773" t="s">
        <v>1609</v>
      </c>
      <c r="J773" s="4">
        <v>46088.802871261571</v>
      </c>
    </row>
    <row r="774" spans="1:10" x14ac:dyDescent="0.55000000000000004">
      <c r="A774" t="s">
        <v>283</v>
      </c>
      <c r="B774">
        <v>101044</v>
      </c>
      <c r="C774" t="s">
        <v>68</v>
      </c>
      <c r="D774" s="3">
        <v>45950</v>
      </c>
      <c r="E774" t="s">
        <v>38</v>
      </c>
      <c r="F774" t="s">
        <v>1607</v>
      </c>
      <c r="G774" t="s">
        <v>15</v>
      </c>
      <c r="H774" t="s">
        <v>1608</v>
      </c>
      <c r="I774" t="s">
        <v>1609</v>
      </c>
      <c r="J774" s="4">
        <v>46088.802871261571</v>
      </c>
    </row>
    <row r="775" spans="1:10" x14ac:dyDescent="0.55000000000000004">
      <c r="A775" t="s">
        <v>283</v>
      </c>
      <c r="B775">
        <v>101044</v>
      </c>
      <c r="C775" t="s">
        <v>68</v>
      </c>
      <c r="D775" s="3">
        <v>45950</v>
      </c>
      <c r="E775" t="s">
        <v>155</v>
      </c>
      <c r="F775" t="s">
        <v>1607</v>
      </c>
      <c r="G775" t="s">
        <v>15</v>
      </c>
      <c r="H775" t="s">
        <v>1608</v>
      </c>
      <c r="I775" t="s">
        <v>1609</v>
      </c>
      <c r="J775" s="4">
        <v>46088.802871261571</v>
      </c>
    </row>
    <row r="776" spans="1:10" x14ac:dyDescent="0.55000000000000004">
      <c r="A776" t="s">
        <v>1610</v>
      </c>
      <c r="B776">
        <v>100459</v>
      </c>
      <c r="C776" t="s">
        <v>533</v>
      </c>
      <c r="D776" s="3">
        <v>45900</v>
      </c>
      <c r="E776" t="s">
        <v>38</v>
      </c>
      <c r="F776" t="s">
        <v>1611</v>
      </c>
      <c r="G776" t="s">
        <v>22</v>
      </c>
      <c r="H776" t="s">
        <v>1612</v>
      </c>
      <c r="I776" t="s">
        <v>1613</v>
      </c>
      <c r="J776" s="4">
        <v>46092.216065717592</v>
      </c>
    </row>
    <row r="777" spans="1:10" x14ac:dyDescent="0.55000000000000004">
      <c r="A777" t="s">
        <v>1610</v>
      </c>
      <c r="B777">
        <v>100459</v>
      </c>
      <c r="C777" t="s">
        <v>533</v>
      </c>
      <c r="D777" s="3">
        <v>45900</v>
      </c>
      <c r="E777" t="s">
        <v>69</v>
      </c>
      <c r="F777" t="s">
        <v>1611</v>
      </c>
      <c r="G777" t="s">
        <v>22</v>
      </c>
      <c r="H777" t="s">
        <v>1612</v>
      </c>
      <c r="I777" t="s">
        <v>1613</v>
      </c>
      <c r="J777" s="4">
        <v>46092.216065717592</v>
      </c>
    </row>
    <row r="778" spans="1:10" x14ac:dyDescent="0.55000000000000004">
      <c r="A778" t="s">
        <v>1614</v>
      </c>
      <c r="B778">
        <v>100711</v>
      </c>
      <c r="C778" t="s">
        <v>68</v>
      </c>
      <c r="D778" s="3">
        <v>45825</v>
      </c>
      <c r="E778" t="s">
        <v>69</v>
      </c>
      <c r="F778" t="s">
        <v>1615</v>
      </c>
      <c r="G778" t="s">
        <v>22</v>
      </c>
      <c r="H778" t="s">
        <v>1616</v>
      </c>
      <c r="I778" t="s">
        <v>1617</v>
      </c>
      <c r="J778" s="4">
        <v>46068.359815717595</v>
      </c>
    </row>
    <row r="779" spans="1:10" x14ac:dyDescent="0.55000000000000004">
      <c r="A779" t="s">
        <v>1618</v>
      </c>
      <c r="B779">
        <v>101189</v>
      </c>
      <c r="C779" t="s">
        <v>179</v>
      </c>
      <c r="D779" s="3">
        <v>46085</v>
      </c>
      <c r="E779" t="s">
        <v>115</v>
      </c>
      <c r="F779" t="s">
        <v>1619</v>
      </c>
      <c r="G779" t="s">
        <v>15</v>
      </c>
      <c r="H779" t="s">
        <v>1620</v>
      </c>
      <c r="I779" t="s">
        <v>1621</v>
      </c>
      <c r="J779" s="4">
        <v>46088.75634349537</v>
      </c>
    </row>
    <row r="780" spans="1:10" x14ac:dyDescent="0.55000000000000004">
      <c r="A780" t="s">
        <v>1618</v>
      </c>
      <c r="B780">
        <v>101189</v>
      </c>
      <c r="C780" t="s">
        <v>179</v>
      </c>
      <c r="D780" s="3">
        <v>46085</v>
      </c>
      <c r="E780" t="s">
        <v>69</v>
      </c>
      <c r="F780" t="s">
        <v>1619</v>
      </c>
      <c r="G780" t="s">
        <v>15</v>
      </c>
      <c r="H780" t="s">
        <v>1620</v>
      </c>
      <c r="I780" t="s">
        <v>1621</v>
      </c>
      <c r="J780" s="4">
        <v>46088.75634349537</v>
      </c>
    </row>
    <row r="781" spans="1:10" x14ac:dyDescent="0.55000000000000004">
      <c r="A781" t="s">
        <v>1622</v>
      </c>
      <c r="B781">
        <v>100873</v>
      </c>
      <c r="C781" t="s">
        <v>37</v>
      </c>
      <c r="D781" s="3">
        <v>45813</v>
      </c>
      <c r="E781" t="s">
        <v>69</v>
      </c>
      <c r="F781" t="s">
        <v>1623</v>
      </c>
      <c r="G781" t="s">
        <v>22</v>
      </c>
      <c r="H781" t="s">
        <v>1624</v>
      </c>
      <c r="I781" t="s">
        <v>1625</v>
      </c>
      <c r="J781" s="4">
        <v>46060.781343506947</v>
      </c>
    </row>
    <row r="782" spans="1:10" x14ac:dyDescent="0.55000000000000004">
      <c r="A782" t="s">
        <v>1626</v>
      </c>
      <c r="B782">
        <v>101257</v>
      </c>
      <c r="C782" t="s">
        <v>179</v>
      </c>
      <c r="D782" s="3">
        <v>45824</v>
      </c>
      <c r="E782" t="s">
        <v>20</v>
      </c>
      <c r="F782" t="s">
        <v>1627</v>
      </c>
      <c r="G782" t="s">
        <v>15</v>
      </c>
      <c r="H782" t="s">
        <v>1628</v>
      </c>
      <c r="I782" t="s">
        <v>1629</v>
      </c>
      <c r="J782" s="4">
        <v>46067.052176840276</v>
      </c>
    </row>
    <row r="783" spans="1:10" x14ac:dyDescent="0.55000000000000004">
      <c r="A783" t="s">
        <v>1626</v>
      </c>
      <c r="B783">
        <v>101257</v>
      </c>
      <c r="C783" t="s">
        <v>179</v>
      </c>
      <c r="D783" s="3">
        <v>45824</v>
      </c>
      <c r="E783" t="s">
        <v>155</v>
      </c>
      <c r="F783" t="s">
        <v>1627</v>
      </c>
      <c r="G783" t="s">
        <v>15</v>
      </c>
      <c r="H783" t="s">
        <v>1628</v>
      </c>
      <c r="I783" t="s">
        <v>1629</v>
      </c>
      <c r="J783" s="4">
        <v>46067.052176840276</v>
      </c>
    </row>
    <row r="784" spans="1:10" x14ac:dyDescent="0.55000000000000004">
      <c r="A784" t="s">
        <v>1626</v>
      </c>
      <c r="B784">
        <v>101257</v>
      </c>
      <c r="C784" t="s">
        <v>179</v>
      </c>
      <c r="D784" s="3">
        <v>45824</v>
      </c>
      <c r="E784" t="s">
        <v>69</v>
      </c>
      <c r="F784" t="s">
        <v>1627</v>
      </c>
      <c r="G784" t="s">
        <v>15</v>
      </c>
      <c r="H784" t="s">
        <v>1628</v>
      </c>
      <c r="I784" t="s">
        <v>1629</v>
      </c>
      <c r="J784" s="4">
        <v>46067.052176840276</v>
      </c>
    </row>
    <row r="785" spans="1:11" x14ac:dyDescent="0.55000000000000004">
      <c r="A785" t="s">
        <v>1630</v>
      </c>
      <c r="B785">
        <v>101379</v>
      </c>
      <c r="C785" t="s">
        <v>533</v>
      </c>
      <c r="D785" s="3">
        <v>45942</v>
      </c>
      <c r="E785" t="s">
        <v>317</v>
      </c>
      <c r="F785" t="s">
        <v>1631</v>
      </c>
      <c r="G785" t="s">
        <v>22</v>
      </c>
      <c r="H785" t="s">
        <v>1632</v>
      </c>
      <c r="I785" t="s">
        <v>1633</v>
      </c>
      <c r="J785" s="4">
        <v>46056.299399062496</v>
      </c>
    </row>
    <row r="786" spans="1:11" x14ac:dyDescent="0.55000000000000004">
      <c r="A786" t="s">
        <v>1630</v>
      </c>
      <c r="B786">
        <v>101379</v>
      </c>
      <c r="C786" t="s">
        <v>533</v>
      </c>
      <c r="D786" s="3">
        <v>45942</v>
      </c>
      <c r="E786" t="s">
        <v>155</v>
      </c>
      <c r="F786" t="s">
        <v>1631</v>
      </c>
      <c r="G786" t="s">
        <v>22</v>
      </c>
      <c r="H786" t="s">
        <v>1632</v>
      </c>
      <c r="I786" t="s">
        <v>1633</v>
      </c>
      <c r="J786" s="4">
        <v>46056.299399062496</v>
      </c>
    </row>
    <row r="787" spans="1:11" x14ac:dyDescent="0.55000000000000004">
      <c r="A787" t="s">
        <v>1634</v>
      </c>
      <c r="B787">
        <v>100390</v>
      </c>
      <c r="C787" t="s">
        <v>37</v>
      </c>
      <c r="D787" s="3">
        <v>46092</v>
      </c>
      <c r="E787" t="s">
        <v>317</v>
      </c>
      <c r="F787" t="s">
        <v>1635</v>
      </c>
      <c r="G787" t="s">
        <v>22</v>
      </c>
      <c r="H787" t="s">
        <v>1636</v>
      </c>
      <c r="I787" t="s">
        <v>1637</v>
      </c>
      <c r="J787" s="4">
        <v>46064.002176851849</v>
      </c>
    </row>
    <row r="788" spans="1:11" x14ac:dyDescent="0.55000000000000004">
      <c r="A788" t="s">
        <v>1634</v>
      </c>
      <c r="B788">
        <v>100390</v>
      </c>
      <c r="C788" t="s">
        <v>37</v>
      </c>
      <c r="D788" s="3">
        <v>46092</v>
      </c>
      <c r="E788" t="s">
        <v>38</v>
      </c>
      <c r="F788" t="s">
        <v>1635</v>
      </c>
      <c r="G788" t="s">
        <v>22</v>
      </c>
      <c r="H788" t="s">
        <v>1636</v>
      </c>
      <c r="I788" t="s">
        <v>1637</v>
      </c>
      <c r="J788" s="4">
        <v>46064.002176851849</v>
      </c>
    </row>
    <row r="789" spans="1:11" x14ac:dyDescent="0.55000000000000004">
      <c r="A789" t="s">
        <v>1634</v>
      </c>
      <c r="B789">
        <v>100390</v>
      </c>
      <c r="C789" t="s">
        <v>37</v>
      </c>
      <c r="D789" s="3">
        <v>46092</v>
      </c>
      <c r="E789" t="s">
        <v>115</v>
      </c>
      <c r="F789" t="s">
        <v>1635</v>
      </c>
      <c r="G789" t="s">
        <v>22</v>
      </c>
      <c r="H789" t="s">
        <v>1636</v>
      </c>
      <c r="I789" t="s">
        <v>1637</v>
      </c>
      <c r="J789" s="4">
        <v>46064.002176851849</v>
      </c>
    </row>
    <row r="790" spans="1:11" x14ac:dyDescent="0.55000000000000004">
      <c r="A790" t="s">
        <v>1638</v>
      </c>
      <c r="B790">
        <v>100423</v>
      </c>
      <c r="C790" t="s">
        <v>19</v>
      </c>
      <c r="D790" s="3">
        <v>45780</v>
      </c>
      <c r="E790" t="s">
        <v>317</v>
      </c>
      <c r="F790" t="s">
        <v>1639</v>
      </c>
      <c r="G790" t="s">
        <v>22</v>
      </c>
      <c r="H790" t="s">
        <v>1640</v>
      </c>
      <c r="I790" t="s">
        <v>1641</v>
      </c>
      <c r="J790" s="4">
        <v>46074.802176851852</v>
      </c>
    </row>
    <row r="791" spans="1:11" x14ac:dyDescent="0.55000000000000004">
      <c r="A791" t="s">
        <v>1638</v>
      </c>
      <c r="B791">
        <v>100423</v>
      </c>
      <c r="C791" t="s">
        <v>19</v>
      </c>
      <c r="D791" s="3">
        <v>45780</v>
      </c>
      <c r="E791" t="s">
        <v>115</v>
      </c>
      <c r="F791" t="s">
        <v>1639</v>
      </c>
      <c r="G791" t="s">
        <v>22</v>
      </c>
      <c r="H791" t="s">
        <v>1640</v>
      </c>
      <c r="I791" t="s">
        <v>1641</v>
      </c>
      <c r="J791" s="4">
        <v>46074.802176851852</v>
      </c>
    </row>
    <row r="792" spans="1:11" x14ac:dyDescent="0.55000000000000004">
      <c r="A792" t="s">
        <v>1642</v>
      </c>
      <c r="B792">
        <v>100170</v>
      </c>
      <c r="C792" t="s">
        <v>179</v>
      </c>
      <c r="D792" s="3">
        <v>45808</v>
      </c>
      <c r="E792" t="s">
        <v>317</v>
      </c>
      <c r="F792" t="s">
        <v>1643</v>
      </c>
      <c r="G792" t="s">
        <v>15</v>
      </c>
      <c r="H792" t="s">
        <v>1644</v>
      </c>
      <c r="I792" t="s">
        <v>1645</v>
      </c>
      <c r="J792" s="4">
        <v>46065.07856574074</v>
      </c>
    </row>
    <row r="793" spans="1:11" x14ac:dyDescent="0.55000000000000004">
      <c r="A793" t="s">
        <v>1642</v>
      </c>
      <c r="B793">
        <v>100170</v>
      </c>
      <c r="C793" t="s">
        <v>179</v>
      </c>
      <c r="D793" s="3">
        <v>45808</v>
      </c>
      <c r="E793" t="s">
        <v>38</v>
      </c>
      <c r="F793" t="s">
        <v>1643</v>
      </c>
      <c r="G793" t="s">
        <v>15</v>
      </c>
      <c r="H793" t="s">
        <v>1644</v>
      </c>
      <c r="I793" t="s">
        <v>1645</v>
      </c>
      <c r="J793" s="4">
        <v>46065.07856574074</v>
      </c>
    </row>
    <row r="794" spans="1:11" x14ac:dyDescent="0.55000000000000004">
      <c r="A794" t="s">
        <v>1642</v>
      </c>
      <c r="B794">
        <v>100170</v>
      </c>
      <c r="C794" t="s">
        <v>179</v>
      </c>
      <c r="D794" s="3">
        <v>45808</v>
      </c>
      <c r="E794" t="s">
        <v>155</v>
      </c>
      <c r="F794" t="s">
        <v>1643</v>
      </c>
      <c r="G794" t="s">
        <v>15</v>
      </c>
      <c r="H794" t="s">
        <v>1644</v>
      </c>
      <c r="I794" t="s">
        <v>1645</v>
      </c>
      <c r="J794" s="4">
        <v>46065.07856574074</v>
      </c>
    </row>
    <row r="795" spans="1:11" x14ac:dyDescent="0.55000000000000004">
      <c r="A795" t="s">
        <v>6029</v>
      </c>
      <c r="B795">
        <v>100176</v>
      </c>
      <c r="C795" t="s">
        <v>19</v>
      </c>
      <c r="D795" s="3">
        <v>45816</v>
      </c>
      <c r="E795" t="s">
        <v>69</v>
      </c>
      <c r="F795" t="s">
        <v>1647</v>
      </c>
      <c r="G795" t="s">
        <v>22</v>
      </c>
      <c r="H795" t="s">
        <v>1648</v>
      </c>
      <c r="I795" t="s">
        <v>1649</v>
      </c>
      <c r="J795" s="4">
        <v>46082.27578797454</v>
      </c>
      <c r="K795" t="s">
        <v>119</v>
      </c>
    </row>
    <row r="796" spans="1:11" x14ac:dyDescent="0.55000000000000004">
      <c r="A796" t="s">
        <v>1650</v>
      </c>
      <c r="B796">
        <v>100428</v>
      </c>
      <c r="C796" t="s">
        <v>248</v>
      </c>
      <c r="D796" s="3">
        <v>45757</v>
      </c>
      <c r="E796" t="s">
        <v>38</v>
      </c>
      <c r="F796" t="s">
        <v>1651</v>
      </c>
      <c r="G796" t="s">
        <v>22</v>
      </c>
      <c r="H796" t="s">
        <v>1652</v>
      </c>
      <c r="I796" t="s">
        <v>1653</v>
      </c>
      <c r="J796" s="4">
        <v>46082.63412130787</v>
      </c>
    </row>
    <row r="797" spans="1:11" x14ac:dyDescent="0.55000000000000004">
      <c r="A797" t="s">
        <v>1650</v>
      </c>
      <c r="B797">
        <v>100428</v>
      </c>
      <c r="C797" t="s">
        <v>248</v>
      </c>
      <c r="D797" s="3">
        <v>45757</v>
      </c>
      <c r="E797" t="s">
        <v>115</v>
      </c>
      <c r="F797" t="s">
        <v>1651</v>
      </c>
      <c r="G797" t="s">
        <v>22</v>
      </c>
      <c r="H797" t="s">
        <v>1652</v>
      </c>
      <c r="I797" t="s">
        <v>1653</v>
      </c>
      <c r="J797" s="4">
        <v>46082.63412130787</v>
      </c>
    </row>
    <row r="798" spans="1:11" x14ac:dyDescent="0.55000000000000004">
      <c r="A798" t="s">
        <v>1650</v>
      </c>
      <c r="B798">
        <v>100428</v>
      </c>
      <c r="C798" t="s">
        <v>248</v>
      </c>
      <c r="D798" s="3">
        <v>45757</v>
      </c>
      <c r="E798" t="s">
        <v>69</v>
      </c>
      <c r="F798" t="s">
        <v>1651</v>
      </c>
      <c r="G798" t="s">
        <v>22</v>
      </c>
      <c r="H798" t="s">
        <v>1652</v>
      </c>
      <c r="I798" t="s">
        <v>1653</v>
      </c>
      <c r="J798" s="4">
        <v>46082.63412130787</v>
      </c>
    </row>
    <row r="799" spans="1:11" x14ac:dyDescent="0.55000000000000004">
      <c r="A799" t="s">
        <v>1654</v>
      </c>
      <c r="B799">
        <v>100525</v>
      </c>
      <c r="C799" t="s">
        <v>179</v>
      </c>
      <c r="D799" s="3">
        <v>45959</v>
      </c>
      <c r="E799" t="s">
        <v>317</v>
      </c>
      <c r="F799" t="s">
        <v>1655</v>
      </c>
      <c r="G799" t="s">
        <v>22</v>
      </c>
      <c r="H799" t="s">
        <v>1656</v>
      </c>
      <c r="I799" t="s">
        <v>1657</v>
      </c>
      <c r="J799" s="4">
        <v>46077.577176863429</v>
      </c>
    </row>
    <row r="800" spans="1:11" x14ac:dyDescent="0.55000000000000004">
      <c r="A800" t="s">
        <v>1654</v>
      </c>
      <c r="B800">
        <v>100525</v>
      </c>
      <c r="C800" t="s">
        <v>179</v>
      </c>
      <c r="D800" s="3">
        <v>45959</v>
      </c>
      <c r="E800" t="s">
        <v>155</v>
      </c>
      <c r="F800" t="s">
        <v>1655</v>
      </c>
      <c r="G800" t="s">
        <v>22</v>
      </c>
      <c r="H800" t="s">
        <v>1656</v>
      </c>
      <c r="I800" t="s">
        <v>1657</v>
      </c>
      <c r="J800" s="4">
        <v>46077.577176863429</v>
      </c>
    </row>
    <row r="801" spans="1:10" x14ac:dyDescent="0.55000000000000004">
      <c r="A801" t="s">
        <v>1654</v>
      </c>
      <c r="B801">
        <v>100525</v>
      </c>
      <c r="C801" t="s">
        <v>179</v>
      </c>
      <c r="D801" s="3">
        <v>45959</v>
      </c>
      <c r="E801" t="s">
        <v>69</v>
      </c>
      <c r="F801" t="s">
        <v>1655</v>
      </c>
      <c r="G801" t="s">
        <v>22</v>
      </c>
      <c r="H801" t="s">
        <v>1656</v>
      </c>
      <c r="I801" t="s">
        <v>1657</v>
      </c>
      <c r="J801" s="4">
        <v>46077.577176863429</v>
      </c>
    </row>
    <row r="802" spans="1:10" x14ac:dyDescent="0.55000000000000004">
      <c r="A802" t="s">
        <v>1658</v>
      </c>
      <c r="B802">
        <v>101347</v>
      </c>
      <c r="C802" t="s">
        <v>19</v>
      </c>
      <c r="D802" s="3">
        <v>46113</v>
      </c>
      <c r="E802" t="s">
        <v>317</v>
      </c>
      <c r="F802" t="s">
        <v>1659</v>
      </c>
      <c r="G802" t="s">
        <v>22</v>
      </c>
      <c r="H802" t="s">
        <v>1660</v>
      </c>
      <c r="I802" t="s">
        <v>1661</v>
      </c>
      <c r="J802" s="4">
        <v>46094.953565763892</v>
      </c>
    </row>
    <row r="803" spans="1:10" x14ac:dyDescent="0.55000000000000004">
      <c r="A803" t="s">
        <v>1658</v>
      </c>
      <c r="B803">
        <v>101347</v>
      </c>
      <c r="C803" t="s">
        <v>19</v>
      </c>
      <c r="D803" s="3">
        <v>46113</v>
      </c>
      <c r="E803" t="s">
        <v>155</v>
      </c>
      <c r="F803" t="s">
        <v>1659</v>
      </c>
      <c r="G803" t="s">
        <v>22</v>
      </c>
      <c r="H803" t="s">
        <v>1660</v>
      </c>
      <c r="I803" t="s">
        <v>1661</v>
      </c>
      <c r="J803" s="4">
        <v>46094.953565763892</v>
      </c>
    </row>
    <row r="804" spans="1:10" x14ac:dyDescent="0.55000000000000004">
      <c r="A804" t="s">
        <v>1658</v>
      </c>
      <c r="B804">
        <v>101347</v>
      </c>
      <c r="C804" t="s">
        <v>19</v>
      </c>
      <c r="D804" s="3">
        <v>46113</v>
      </c>
      <c r="E804" t="s">
        <v>69</v>
      </c>
      <c r="F804" t="s">
        <v>1659</v>
      </c>
      <c r="G804" t="s">
        <v>22</v>
      </c>
      <c r="H804" t="s">
        <v>1660</v>
      </c>
      <c r="I804" t="s">
        <v>1661</v>
      </c>
      <c r="J804" s="4">
        <v>46094.953565763892</v>
      </c>
    </row>
    <row r="805" spans="1:10" x14ac:dyDescent="0.55000000000000004">
      <c r="A805" t="s">
        <v>1662</v>
      </c>
      <c r="B805">
        <v>100935</v>
      </c>
      <c r="C805" t="s">
        <v>19</v>
      </c>
      <c r="D805" s="3">
        <v>45732</v>
      </c>
      <c r="E805" t="s">
        <v>38</v>
      </c>
      <c r="F805" t="s">
        <v>1663</v>
      </c>
      <c r="G805" t="s">
        <v>22</v>
      </c>
      <c r="H805" t="s">
        <v>1664</v>
      </c>
      <c r="I805" t="s">
        <v>1665</v>
      </c>
      <c r="J805" s="4">
        <v>46064.946621319446</v>
      </c>
    </row>
    <row r="806" spans="1:10" x14ac:dyDescent="0.55000000000000004">
      <c r="A806" t="s">
        <v>1666</v>
      </c>
      <c r="B806">
        <v>100972</v>
      </c>
      <c r="C806" t="s">
        <v>248</v>
      </c>
      <c r="D806" s="3">
        <v>46067</v>
      </c>
      <c r="E806" t="s">
        <v>38</v>
      </c>
      <c r="F806" t="s">
        <v>1667</v>
      </c>
      <c r="G806" t="s">
        <v>15</v>
      </c>
      <c r="H806" t="s">
        <v>1668</v>
      </c>
      <c r="I806" t="s">
        <v>1669</v>
      </c>
      <c r="J806" s="4">
        <v>46083.100093541667</v>
      </c>
    </row>
    <row r="807" spans="1:10" x14ac:dyDescent="0.55000000000000004">
      <c r="A807" t="s">
        <v>1666</v>
      </c>
      <c r="B807">
        <v>100972</v>
      </c>
      <c r="C807" t="s">
        <v>248</v>
      </c>
      <c r="D807" s="3">
        <v>46067</v>
      </c>
      <c r="E807" t="s">
        <v>20</v>
      </c>
      <c r="F807" t="s">
        <v>1667</v>
      </c>
      <c r="G807" t="s">
        <v>15</v>
      </c>
      <c r="H807" t="s">
        <v>1668</v>
      </c>
      <c r="I807" t="s">
        <v>1669</v>
      </c>
      <c r="J807" s="4">
        <v>46083.100093541667</v>
      </c>
    </row>
    <row r="808" spans="1:10" x14ac:dyDescent="0.55000000000000004">
      <c r="A808" t="s">
        <v>1666</v>
      </c>
      <c r="B808">
        <v>100972</v>
      </c>
      <c r="C808" t="s">
        <v>248</v>
      </c>
      <c r="D808" s="3">
        <v>46067</v>
      </c>
      <c r="E808" t="s">
        <v>69</v>
      </c>
      <c r="F808" t="s">
        <v>1667</v>
      </c>
      <c r="G808" t="s">
        <v>15</v>
      </c>
      <c r="H808" t="s">
        <v>1668</v>
      </c>
      <c r="I808" t="s">
        <v>1669</v>
      </c>
      <c r="J808" s="4">
        <v>46083.100093541667</v>
      </c>
    </row>
    <row r="809" spans="1:10" x14ac:dyDescent="0.55000000000000004">
      <c r="A809" t="s">
        <v>1670</v>
      </c>
      <c r="B809">
        <v>101217</v>
      </c>
      <c r="C809" t="s">
        <v>68</v>
      </c>
      <c r="D809" s="3">
        <v>46018</v>
      </c>
      <c r="E809" t="s">
        <v>38</v>
      </c>
      <c r="F809" t="s">
        <v>1671</v>
      </c>
      <c r="G809" t="s">
        <v>22</v>
      </c>
      <c r="H809" t="s">
        <v>1672</v>
      </c>
      <c r="I809" t="s">
        <v>1673</v>
      </c>
      <c r="J809" s="4">
        <v>46090.607732442128</v>
      </c>
    </row>
    <row r="810" spans="1:10" x14ac:dyDescent="0.55000000000000004">
      <c r="A810" t="s">
        <v>1670</v>
      </c>
      <c r="B810">
        <v>101217</v>
      </c>
      <c r="C810" t="s">
        <v>68</v>
      </c>
      <c r="D810" s="3">
        <v>46018</v>
      </c>
      <c r="E810" t="s">
        <v>20</v>
      </c>
      <c r="F810" t="s">
        <v>1671</v>
      </c>
      <c r="G810" t="s">
        <v>22</v>
      </c>
      <c r="H810" t="s">
        <v>1672</v>
      </c>
      <c r="I810" t="s">
        <v>1673</v>
      </c>
      <c r="J810" s="4">
        <v>46090.607732442128</v>
      </c>
    </row>
    <row r="811" spans="1:10" x14ac:dyDescent="0.55000000000000004">
      <c r="A811" t="s">
        <v>1670</v>
      </c>
      <c r="B811">
        <v>101217</v>
      </c>
      <c r="C811" t="s">
        <v>68</v>
      </c>
      <c r="D811" s="3">
        <v>46018</v>
      </c>
      <c r="E811" t="s">
        <v>69</v>
      </c>
      <c r="F811" t="s">
        <v>1671</v>
      </c>
      <c r="G811" t="s">
        <v>22</v>
      </c>
      <c r="H811" t="s">
        <v>1672</v>
      </c>
      <c r="I811" t="s">
        <v>1673</v>
      </c>
      <c r="J811" s="4">
        <v>46090.607732442128</v>
      </c>
    </row>
    <row r="812" spans="1:10" x14ac:dyDescent="0.55000000000000004">
      <c r="A812" t="s">
        <v>1674</v>
      </c>
      <c r="B812">
        <v>100296</v>
      </c>
      <c r="C812" t="s">
        <v>248</v>
      </c>
      <c r="D812" s="3">
        <v>45733</v>
      </c>
      <c r="E812" t="s">
        <v>317</v>
      </c>
      <c r="F812" t="s">
        <v>1675</v>
      </c>
      <c r="G812" t="s">
        <v>22</v>
      </c>
      <c r="H812" t="s">
        <v>1676</v>
      </c>
      <c r="I812" t="s">
        <v>1677</v>
      </c>
      <c r="J812" s="4">
        <v>46053.595232442131</v>
      </c>
    </row>
    <row r="813" spans="1:10" x14ac:dyDescent="0.55000000000000004">
      <c r="A813" t="s">
        <v>1674</v>
      </c>
      <c r="B813">
        <v>100296</v>
      </c>
      <c r="C813" t="s">
        <v>248</v>
      </c>
      <c r="D813" s="3">
        <v>45733</v>
      </c>
      <c r="E813" t="s">
        <v>20</v>
      </c>
      <c r="F813" t="s">
        <v>1675</v>
      </c>
      <c r="G813" t="s">
        <v>22</v>
      </c>
      <c r="H813" t="s">
        <v>1676</v>
      </c>
      <c r="I813" t="s">
        <v>1677</v>
      </c>
      <c r="J813" s="4">
        <v>46053.595232442131</v>
      </c>
    </row>
    <row r="814" spans="1:10" x14ac:dyDescent="0.55000000000000004">
      <c r="A814" t="s">
        <v>1678</v>
      </c>
      <c r="B814">
        <v>100300</v>
      </c>
      <c r="C814" t="s">
        <v>37</v>
      </c>
      <c r="D814" s="3">
        <v>45816</v>
      </c>
      <c r="E814" t="s">
        <v>115</v>
      </c>
      <c r="F814" t="s">
        <v>1679</v>
      </c>
      <c r="G814" t="s">
        <v>15</v>
      </c>
      <c r="H814" t="s">
        <v>1680</v>
      </c>
      <c r="I814" t="s">
        <v>1681</v>
      </c>
      <c r="J814" s="4">
        <v>46080.877176898146</v>
      </c>
    </row>
    <row r="815" spans="1:10" x14ac:dyDescent="0.55000000000000004">
      <c r="A815" t="s">
        <v>1678</v>
      </c>
      <c r="B815">
        <v>100300</v>
      </c>
      <c r="C815" t="s">
        <v>37</v>
      </c>
      <c r="D815" s="3">
        <v>45816</v>
      </c>
      <c r="E815" t="s">
        <v>69</v>
      </c>
      <c r="F815" t="s">
        <v>1679</v>
      </c>
      <c r="G815" t="s">
        <v>15</v>
      </c>
      <c r="H815" t="s">
        <v>1680</v>
      </c>
      <c r="I815" t="s">
        <v>1681</v>
      </c>
      <c r="J815" s="4">
        <v>46080.877176898146</v>
      </c>
    </row>
    <row r="816" spans="1:10" x14ac:dyDescent="0.55000000000000004">
      <c r="A816" t="s">
        <v>1682</v>
      </c>
      <c r="B816">
        <v>100744</v>
      </c>
      <c r="C816" t="s">
        <v>248</v>
      </c>
      <c r="D816" s="3">
        <v>45828</v>
      </c>
      <c r="E816" t="s">
        <v>69</v>
      </c>
      <c r="F816" t="s">
        <v>1683</v>
      </c>
      <c r="G816" t="s">
        <v>15</v>
      </c>
      <c r="H816" t="s">
        <v>1684</v>
      </c>
      <c r="I816" t="s">
        <v>1685</v>
      </c>
      <c r="J816" s="4">
        <v>46068.475093564812</v>
      </c>
    </row>
    <row r="817" spans="1:10" x14ac:dyDescent="0.55000000000000004">
      <c r="A817" t="s">
        <v>1686</v>
      </c>
      <c r="B817">
        <v>100371</v>
      </c>
      <c r="C817" t="s">
        <v>68</v>
      </c>
      <c r="D817" s="3">
        <v>45787</v>
      </c>
      <c r="E817" t="s">
        <v>38</v>
      </c>
      <c r="F817" t="s">
        <v>1687</v>
      </c>
      <c r="G817" t="s">
        <v>15</v>
      </c>
      <c r="H817" t="s">
        <v>1688</v>
      </c>
      <c r="I817" t="s">
        <v>1689</v>
      </c>
      <c r="J817" s="4">
        <v>46069.095926898146</v>
      </c>
    </row>
    <row r="818" spans="1:10" x14ac:dyDescent="0.55000000000000004">
      <c r="A818" t="s">
        <v>1686</v>
      </c>
      <c r="B818">
        <v>100371</v>
      </c>
      <c r="C818" t="s">
        <v>68</v>
      </c>
      <c r="D818" s="3">
        <v>45787</v>
      </c>
      <c r="E818" t="s">
        <v>155</v>
      </c>
      <c r="F818" t="s">
        <v>1687</v>
      </c>
      <c r="G818" t="s">
        <v>15</v>
      </c>
      <c r="H818" t="s">
        <v>1688</v>
      </c>
      <c r="I818" t="s">
        <v>1689</v>
      </c>
      <c r="J818" s="4">
        <v>46069.095926898146</v>
      </c>
    </row>
    <row r="819" spans="1:10" x14ac:dyDescent="0.55000000000000004">
      <c r="A819" t="s">
        <v>615</v>
      </c>
      <c r="B819">
        <v>100144</v>
      </c>
      <c r="C819" t="s">
        <v>19</v>
      </c>
      <c r="D819" s="3">
        <v>45990</v>
      </c>
      <c r="E819" t="s">
        <v>69</v>
      </c>
      <c r="F819" t="s">
        <v>1690</v>
      </c>
      <c r="G819" t="s">
        <v>15</v>
      </c>
      <c r="H819" t="s">
        <v>1691</v>
      </c>
      <c r="I819" t="s">
        <v>1692</v>
      </c>
      <c r="J819" s="4">
        <v>46064.677176898149</v>
      </c>
    </row>
    <row r="820" spans="1:10" x14ac:dyDescent="0.55000000000000004">
      <c r="A820" t="s">
        <v>1693</v>
      </c>
      <c r="B820">
        <v>101325</v>
      </c>
      <c r="C820" t="s">
        <v>19</v>
      </c>
      <c r="D820" s="3">
        <v>45953</v>
      </c>
      <c r="E820" t="s">
        <v>38</v>
      </c>
      <c r="F820" t="s">
        <v>1694</v>
      </c>
      <c r="G820" t="s">
        <v>15</v>
      </c>
      <c r="H820" t="s">
        <v>1695</v>
      </c>
      <c r="I820" t="s">
        <v>1696</v>
      </c>
      <c r="J820" s="4">
        <v>46089.598704687502</v>
      </c>
    </row>
    <row r="821" spans="1:10" x14ac:dyDescent="0.55000000000000004">
      <c r="A821" t="s">
        <v>1693</v>
      </c>
      <c r="B821">
        <v>101325</v>
      </c>
      <c r="C821" t="s">
        <v>19</v>
      </c>
      <c r="D821" s="3">
        <v>45953</v>
      </c>
      <c r="E821" t="s">
        <v>115</v>
      </c>
      <c r="F821" t="s">
        <v>1694</v>
      </c>
      <c r="G821" t="s">
        <v>15</v>
      </c>
      <c r="H821" t="s">
        <v>1695</v>
      </c>
      <c r="I821" t="s">
        <v>1696</v>
      </c>
      <c r="J821" s="4">
        <v>46089.598704687502</v>
      </c>
    </row>
    <row r="822" spans="1:10" x14ac:dyDescent="0.55000000000000004">
      <c r="A822" t="s">
        <v>1693</v>
      </c>
      <c r="B822">
        <v>101325</v>
      </c>
      <c r="C822" t="s">
        <v>19</v>
      </c>
      <c r="D822" s="3">
        <v>45953</v>
      </c>
      <c r="E822" t="s">
        <v>69</v>
      </c>
      <c r="F822" t="s">
        <v>1694</v>
      </c>
      <c r="G822" t="s">
        <v>15</v>
      </c>
      <c r="H822" t="s">
        <v>1695</v>
      </c>
      <c r="I822" t="s">
        <v>1696</v>
      </c>
      <c r="J822" s="4">
        <v>46089.598704687502</v>
      </c>
    </row>
    <row r="823" spans="1:10" x14ac:dyDescent="0.55000000000000004">
      <c r="A823" t="s">
        <v>1697</v>
      </c>
      <c r="B823">
        <v>100806</v>
      </c>
      <c r="C823" t="s">
        <v>179</v>
      </c>
      <c r="D823" s="3">
        <v>46068</v>
      </c>
      <c r="E823" t="s">
        <v>38</v>
      </c>
      <c r="F823" t="s">
        <v>1698</v>
      </c>
      <c r="G823" t="s">
        <v>22</v>
      </c>
      <c r="H823" t="s">
        <v>1699</v>
      </c>
      <c r="I823" t="s">
        <v>1700</v>
      </c>
      <c r="J823" s="4">
        <v>46058.7612046875</v>
      </c>
    </row>
    <row r="824" spans="1:10" x14ac:dyDescent="0.55000000000000004">
      <c r="A824" t="s">
        <v>1697</v>
      </c>
      <c r="B824">
        <v>100806</v>
      </c>
      <c r="C824" t="s">
        <v>179</v>
      </c>
      <c r="D824" s="3">
        <v>46068</v>
      </c>
      <c r="E824" t="s">
        <v>20</v>
      </c>
      <c r="F824" t="s">
        <v>1698</v>
      </c>
      <c r="G824" t="s">
        <v>22</v>
      </c>
      <c r="H824" t="s">
        <v>1699</v>
      </c>
      <c r="I824" t="s">
        <v>1700</v>
      </c>
      <c r="J824" s="4">
        <v>46058.7612046875</v>
      </c>
    </row>
    <row r="825" spans="1:10" x14ac:dyDescent="0.55000000000000004">
      <c r="A825" t="s">
        <v>1697</v>
      </c>
      <c r="B825">
        <v>100806</v>
      </c>
      <c r="C825" t="s">
        <v>179</v>
      </c>
      <c r="D825" s="3">
        <v>46068</v>
      </c>
      <c r="E825" t="s">
        <v>69</v>
      </c>
      <c r="F825" t="s">
        <v>1698</v>
      </c>
      <c r="G825" t="s">
        <v>22</v>
      </c>
      <c r="H825" t="s">
        <v>1699</v>
      </c>
      <c r="I825" t="s">
        <v>1700</v>
      </c>
      <c r="J825" s="4">
        <v>46058.7612046875</v>
      </c>
    </row>
    <row r="826" spans="1:10" x14ac:dyDescent="0.55000000000000004">
      <c r="A826" t="s">
        <v>1701</v>
      </c>
      <c r="B826">
        <v>100259</v>
      </c>
      <c r="C826" t="s">
        <v>248</v>
      </c>
      <c r="D826" s="3">
        <v>45872</v>
      </c>
      <c r="E826" t="s">
        <v>317</v>
      </c>
      <c r="F826" t="s">
        <v>1702</v>
      </c>
      <c r="G826" t="s">
        <v>22</v>
      </c>
      <c r="H826" t="s">
        <v>1703</v>
      </c>
      <c r="I826" t="s">
        <v>1704</v>
      </c>
      <c r="J826" s="4">
        <v>46089.550093576392</v>
      </c>
    </row>
    <row r="827" spans="1:10" x14ac:dyDescent="0.55000000000000004">
      <c r="A827" t="s">
        <v>1701</v>
      </c>
      <c r="B827">
        <v>100259</v>
      </c>
      <c r="C827" t="s">
        <v>248</v>
      </c>
      <c r="D827" s="3">
        <v>45872</v>
      </c>
      <c r="E827" t="s">
        <v>20</v>
      </c>
      <c r="F827" t="s">
        <v>1702</v>
      </c>
      <c r="G827" t="s">
        <v>22</v>
      </c>
      <c r="H827" t="s">
        <v>1703</v>
      </c>
      <c r="I827" t="s">
        <v>1704</v>
      </c>
      <c r="J827" s="4">
        <v>46089.550093576392</v>
      </c>
    </row>
    <row r="828" spans="1:10" x14ac:dyDescent="0.55000000000000004">
      <c r="A828" t="s">
        <v>1705</v>
      </c>
      <c r="B828">
        <v>100822</v>
      </c>
      <c r="C828" t="s">
        <v>179</v>
      </c>
      <c r="D828" s="3">
        <v>46040</v>
      </c>
      <c r="E828" t="s">
        <v>317</v>
      </c>
      <c r="F828" t="s">
        <v>1706</v>
      </c>
      <c r="G828" t="s">
        <v>22</v>
      </c>
      <c r="H828" t="s">
        <v>1707</v>
      </c>
      <c r="I828" t="s">
        <v>1708</v>
      </c>
      <c r="J828" s="4">
        <v>46051.95912136574</v>
      </c>
    </row>
    <row r="829" spans="1:10" x14ac:dyDescent="0.55000000000000004">
      <c r="A829" t="s">
        <v>1705</v>
      </c>
      <c r="B829">
        <v>100822</v>
      </c>
      <c r="C829" t="s">
        <v>179</v>
      </c>
      <c r="D829" s="3">
        <v>46040</v>
      </c>
      <c r="E829" t="s">
        <v>38</v>
      </c>
      <c r="F829" t="s">
        <v>1706</v>
      </c>
      <c r="G829" t="s">
        <v>22</v>
      </c>
      <c r="H829" t="s">
        <v>1707</v>
      </c>
      <c r="I829" t="s">
        <v>1708</v>
      </c>
      <c r="J829" s="4">
        <v>46051.95912136574</v>
      </c>
    </row>
    <row r="830" spans="1:10" x14ac:dyDescent="0.55000000000000004">
      <c r="A830" t="s">
        <v>1705</v>
      </c>
      <c r="B830">
        <v>100822</v>
      </c>
      <c r="C830" t="s">
        <v>179</v>
      </c>
      <c r="D830" s="3">
        <v>46040</v>
      </c>
      <c r="E830" t="s">
        <v>20</v>
      </c>
      <c r="F830" t="s">
        <v>1706</v>
      </c>
      <c r="G830" t="s">
        <v>22</v>
      </c>
      <c r="H830" t="s">
        <v>1707</v>
      </c>
      <c r="I830" t="s">
        <v>1708</v>
      </c>
      <c r="J830" s="4">
        <v>46051.95912136574</v>
      </c>
    </row>
    <row r="831" spans="1:10" x14ac:dyDescent="0.55000000000000004">
      <c r="A831" t="s">
        <v>1709</v>
      </c>
      <c r="B831">
        <v>100174</v>
      </c>
      <c r="C831" t="s">
        <v>248</v>
      </c>
      <c r="D831" s="3">
        <v>45834</v>
      </c>
      <c r="E831" t="s">
        <v>38</v>
      </c>
      <c r="F831" t="s">
        <v>1710</v>
      </c>
      <c r="G831" t="s">
        <v>22</v>
      </c>
      <c r="H831" t="s">
        <v>1711</v>
      </c>
      <c r="I831" t="s">
        <v>1712</v>
      </c>
      <c r="J831" s="4">
        <v>46054.254954699078</v>
      </c>
    </row>
    <row r="832" spans="1:10" x14ac:dyDescent="0.55000000000000004">
      <c r="A832" t="s">
        <v>1713</v>
      </c>
      <c r="B832">
        <v>100849</v>
      </c>
      <c r="C832" t="s">
        <v>533</v>
      </c>
      <c r="D832" s="3">
        <v>46095</v>
      </c>
      <c r="E832" t="s">
        <v>38</v>
      </c>
      <c r="F832" t="s">
        <v>1714</v>
      </c>
      <c r="G832" t="s">
        <v>15</v>
      </c>
      <c r="H832" t="s">
        <v>1715</v>
      </c>
      <c r="I832" t="s">
        <v>1716</v>
      </c>
      <c r="J832" s="4">
        <v>46074.946621377312</v>
      </c>
    </row>
    <row r="833" spans="1:10" x14ac:dyDescent="0.55000000000000004">
      <c r="A833" t="s">
        <v>1713</v>
      </c>
      <c r="B833">
        <v>100849</v>
      </c>
      <c r="C833" t="s">
        <v>533</v>
      </c>
      <c r="D833" s="3">
        <v>46095</v>
      </c>
      <c r="E833" t="s">
        <v>20</v>
      </c>
      <c r="F833" t="s">
        <v>1714</v>
      </c>
      <c r="G833" t="s">
        <v>15</v>
      </c>
      <c r="H833" t="s">
        <v>1715</v>
      </c>
      <c r="I833" t="s">
        <v>1716</v>
      </c>
      <c r="J833" s="4">
        <v>46074.946621377312</v>
      </c>
    </row>
    <row r="834" spans="1:10" x14ac:dyDescent="0.55000000000000004">
      <c r="A834" t="s">
        <v>1713</v>
      </c>
      <c r="B834">
        <v>100849</v>
      </c>
      <c r="C834" t="s">
        <v>533</v>
      </c>
      <c r="D834" s="3">
        <v>46095</v>
      </c>
      <c r="E834" t="s">
        <v>115</v>
      </c>
      <c r="F834" t="s">
        <v>1714</v>
      </c>
      <c r="G834" t="s">
        <v>15</v>
      </c>
      <c r="H834" t="s">
        <v>1715</v>
      </c>
      <c r="I834" t="s">
        <v>1716</v>
      </c>
      <c r="J834" s="4">
        <v>46074.946621377312</v>
      </c>
    </row>
    <row r="835" spans="1:10" x14ac:dyDescent="0.55000000000000004">
      <c r="A835" t="s">
        <v>1717</v>
      </c>
      <c r="B835">
        <v>100404</v>
      </c>
      <c r="C835" t="s">
        <v>19</v>
      </c>
      <c r="D835" s="3">
        <v>46030</v>
      </c>
      <c r="E835" t="s">
        <v>317</v>
      </c>
      <c r="F835" t="s">
        <v>1718</v>
      </c>
      <c r="G835" t="s">
        <v>22</v>
      </c>
      <c r="H835" t="s">
        <v>1719</v>
      </c>
      <c r="I835" t="s">
        <v>1720</v>
      </c>
      <c r="J835" s="4">
        <v>46097.002871377314</v>
      </c>
    </row>
    <row r="836" spans="1:10" x14ac:dyDescent="0.55000000000000004">
      <c r="A836" t="s">
        <v>1717</v>
      </c>
      <c r="B836">
        <v>100404</v>
      </c>
      <c r="C836" t="s">
        <v>19</v>
      </c>
      <c r="D836" s="3">
        <v>46030</v>
      </c>
      <c r="E836" t="s">
        <v>20</v>
      </c>
      <c r="F836" t="s">
        <v>1718</v>
      </c>
      <c r="G836" t="s">
        <v>22</v>
      </c>
      <c r="H836" t="s">
        <v>1719</v>
      </c>
      <c r="I836" t="s">
        <v>1720</v>
      </c>
      <c r="J836" s="4">
        <v>46097.002871377314</v>
      </c>
    </row>
    <row r="837" spans="1:10" x14ac:dyDescent="0.55000000000000004">
      <c r="A837" t="s">
        <v>1717</v>
      </c>
      <c r="B837">
        <v>100404</v>
      </c>
      <c r="C837" t="s">
        <v>19</v>
      </c>
      <c r="D837" s="3">
        <v>46030</v>
      </c>
      <c r="E837" t="s">
        <v>69</v>
      </c>
      <c r="F837" t="s">
        <v>1718</v>
      </c>
      <c r="G837" t="s">
        <v>22</v>
      </c>
      <c r="H837" t="s">
        <v>1719</v>
      </c>
      <c r="I837" t="s">
        <v>1720</v>
      </c>
      <c r="J837" s="4">
        <v>46097.002871377314</v>
      </c>
    </row>
    <row r="838" spans="1:10" x14ac:dyDescent="0.55000000000000004">
      <c r="A838" t="s">
        <v>1721</v>
      </c>
      <c r="B838">
        <v>100855</v>
      </c>
      <c r="C838" t="s">
        <v>533</v>
      </c>
      <c r="D838" s="3">
        <v>45744</v>
      </c>
      <c r="E838" t="s">
        <v>155</v>
      </c>
      <c r="F838" t="s">
        <v>1722</v>
      </c>
      <c r="G838" t="s">
        <v>15</v>
      </c>
      <c r="H838" t="s">
        <v>1723</v>
      </c>
      <c r="I838" t="s">
        <v>1724</v>
      </c>
      <c r="J838" s="4">
        <v>46085.366760266203</v>
      </c>
    </row>
    <row r="839" spans="1:10" x14ac:dyDescent="0.55000000000000004">
      <c r="A839" t="s">
        <v>1721</v>
      </c>
      <c r="B839">
        <v>100855</v>
      </c>
      <c r="C839" t="s">
        <v>533</v>
      </c>
      <c r="D839" s="3">
        <v>45744</v>
      </c>
      <c r="E839" t="s">
        <v>115</v>
      </c>
      <c r="F839" t="s">
        <v>1722</v>
      </c>
      <c r="G839" t="s">
        <v>15</v>
      </c>
      <c r="H839" t="s">
        <v>1723</v>
      </c>
      <c r="I839" t="s">
        <v>1724</v>
      </c>
      <c r="J839" s="4">
        <v>46085.366760266203</v>
      </c>
    </row>
    <row r="840" spans="1:10" x14ac:dyDescent="0.55000000000000004">
      <c r="A840" t="s">
        <v>1725</v>
      </c>
      <c r="B840">
        <v>100908</v>
      </c>
      <c r="C840" t="s">
        <v>533</v>
      </c>
      <c r="D840" s="3">
        <v>45878</v>
      </c>
      <c r="E840" t="s">
        <v>20</v>
      </c>
      <c r="F840" t="s">
        <v>1726</v>
      </c>
      <c r="G840" t="s">
        <v>22</v>
      </c>
      <c r="H840" t="s">
        <v>1727</v>
      </c>
      <c r="I840" t="s">
        <v>1728</v>
      </c>
      <c r="J840" s="4">
        <v>46083.976482500002</v>
      </c>
    </row>
    <row r="841" spans="1:10" x14ac:dyDescent="0.55000000000000004">
      <c r="A841" t="s">
        <v>1725</v>
      </c>
      <c r="B841">
        <v>100908</v>
      </c>
      <c r="C841" t="s">
        <v>533</v>
      </c>
      <c r="D841" s="3">
        <v>45878</v>
      </c>
      <c r="E841" t="s">
        <v>155</v>
      </c>
      <c r="F841" t="s">
        <v>1726</v>
      </c>
      <c r="G841" t="s">
        <v>22</v>
      </c>
      <c r="H841" t="s">
        <v>1727</v>
      </c>
      <c r="I841" t="s">
        <v>1728</v>
      </c>
      <c r="J841" s="4">
        <v>46083.976482500002</v>
      </c>
    </row>
    <row r="842" spans="1:10" x14ac:dyDescent="0.55000000000000004">
      <c r="A842" t="s">
        <v>1725</v>
      </c>
      <c r="B842">
        <v>100908</v>
      </c>
      <c r="C842" t="s">
        <v>533</v>
      </c>
      <c r="D842" s="3">
        <v>45878</v>
      </c>
      <c r="E842" t="s">
        <v>115</v>
      </c>
      <c r="F842" t="s">
        <v>1726</v>
      </c>
      <c r="G842" t="s">
        <v>22</v>
      </c>
      <c r="H842" t="s">
        <v>1727</v>
      </c>
      <c r="I842" t="s">
        <v>1728</v>
      </c>
      <c r="J842" s="4">
        <v>46083.976482500002</v>
      </c>
    </row>
    <row r="843" spans="1:10" x14ac:dyDescent="0.55000000000000004">
      <c r="A843" t="s">
        <v>1729</v>
      </c>
      <c r="B843">
        <v>100035</v>
      </c>
      <c r="C843" t="s">
        <v>37</v>
      </c>
      <c r="D843" s="3">
        <v>45915</v>
      </c>
      <c r="E843" t="s">
        <v>38</v>
      </c>
      <c r="F843" t="s">
        <v>1730</v>
      </c>
      <c r="G843" t="s">
        <v>15</v>
      </c>
      <c r="H843" t="s">
        <v>1731</v>
      </c>
      <c r="I843" t="s">
        <v>1732</v>
      </c>
      <c r="J843" s="4">
        <v>46055.948010277774</v>
      </c>
    </row>
    <row r="844" spans="1:10" x14ac:dyDescent="0.55000000000000004">
      <c r="A844" t="s">
        <v>1729</v>
      </c>
      <c r="B844">
        <v>100035</v>
      </c>
      <c r="C844" t="s">
        <v>37</v>
      </c>
      <c r="D844" s="3">
        <v>45915</v>
      </c>
      <c r="E844" t="s">
        <v>155</v>
      </c>
      <c r="F844" t="s">
        <v>1730</v>
      </c>
      <c r="G844" t="s">
        <v>15</v>
      </c>
      <c r="H844" t="s">
        <v>1731</v>
      </c>
      <c r="I844" t="s">
        <v>1732</v>
      </c>
      <c r="J844" s="4">
        <v>46055.948010277774</v>
      </c>
    </row>
    <row r="845" spans="1:10" x14ac:dyDescent="0.55000000000000004">
      <c r="A845" t="s">
        <v>1733</v>
      </c>
      <c r="B845">
        <v>100069</v>
      </c>
      <c r="C845" t="s">
        <v>179</v>
      </c>
      <c r="D845" s="3">
        <v>45853</v>
      </c>
      <c r="E845" t="s">
        <v>317</v>
      </c>
      <c r="F845" t="s">
        <v>1734</v>
      </c>
      <c r="G845" t="s">
        <v>22</v>
      </c>
      <c r="H845" t="s">
        <v>1735</v>
      </c>
      <c r="I845" t="s">
        <v>1736</v>
      </c>
      <c r="J845" s="4">
        <v>46073.153565833331</v>
      </c>
    </row>
    <row r="846" spans="1:10" x14ac:dyDescent="0.55000000000000004">
      <c r="A846" t="s">
        <v>1733</v>
      </c>
      <c r="B846">
        <v>100069</v>
      </c>
      <c r="C846" t="s">
        <v>179</v>
      </c>
      <c r="D846" s="3">
        <v>45853</v>
      </c>
      <c r="E846" t="s">
        <v>20</v>
      </c>
      <c r="F846" t="s">
        <v>1734</v>
      </c>
      <c r="G846" t="s">
        <v>22</v>
      </c>
      <c r="H846" t="s">
        <v>1735</v>
      </c>
      <c r="I846" t="s">
        <v>1736</v>
      </c>
      <c r="J846" s="4">
        <v>46073.153565833331</v>
      </c>
    </row>
    <row r="847" spans="1:10" x14ac:dyDescent="0.55000000000000004">
      <c r="A847" t="s">
        <v>1733</v>
      </c>
      <c r="B847">
        <v>100069</v>
      </c>
      <c r="C847" t="s">
        <v>179</v>
      </c>
      <c r="D847" s="3">
        <v>45853</v>
      </c>
      <c r="E847" t="s">
        <v>155</v>
      </c>
      <c r="F847" t="s">
        <v>1734</v>
      </c>
      <c r="G847" t="s">
        <v>22</v>
      </c>
      <c r="H847" t="s">
        <v>1735</v>
      </c>
      <c r="I847" t="s">
        <v>1736</v>
      </c>
      <c r="J847" s="4">
        <v>46073.153565833331</v>
      </c>
    </row>
    <row r="848" spans="1:10" x14ac:dyDescent="0.55000000000000004">
      <c r="A848" t="s">
        <v>1737</v>
      </c>
      <c r="B848">
        <v>100382</v>
      </c>
      <c r="C848" t="s">
        <v>68</v>
      </c>
      <c r="D848" s="3">
        <v>46014</v>
      </c>
      <c r="E848" t="s">
        <v>155</v>
      </c>
      <c r="F848" t="s">
        <v>1738</v>
      </c>
      <c r="G848" t="s">
        <v>22</v>
      </c>
      <c r="H848" t="s">
        <v>1739</v>
      </c>
      <c r="I848" t="s">
        <v>1740</v>
      </c>
      <c r="J848" s="4">
        <v>46084.863982511575</v>
      </c>
    </row>
    <row r="849" spans="1:10" x14ac:dyDescent="0.55000000000000004">
      <c r="A849" t="s">
        <v>1741</v>
      </c>
      <c r="B849">
        <v>101394</v>
      </c>
      <c r="C849" t="s">
        <v>179</v>
      </c>
      <c r="D849" s="3">
        <v>46156</v>
      </c>
      <c r="E849" t="s">
        <v>317</v>
      </c>
      <c r="F849" t="s">
        <v>1742</v>
      </c>
      <c r="G849" t="s">
        <v>22</v>
      </c>
      <c r="H849" t="s">
        <v>1743</v>
      </c>
      <c r="I849" t="s">
        <v>1744</v>
      </c>
      <c r="J849" s="4">
        <v>46059.968843622686</v>
      </c>
    </row>
    <row r="850" spans="1:10" x14ac:dyDescent="0.55000000000000004">
      <c r="A850" t="s">
        <v>1745</v>
      </c>
      <c r="B850">
        <v>100306</v>
      </c>
      <c r="C850" t="s">
        <v>19</v>
      </c>
      <c r="D850" s="3">
        <v>45832</v>
      </c>
      <c r="E850" t="s">
        <v>20</v>
      </c>
      <c r="F850" t="s">
        <v>1746</v>
      </c>
      <c r="G850" t="s">
        <v>15</v>
      </c>
      <c r="H850" t="s">
        <v>1747</v>
      </c>
      <c r="I850" t="s">
        <v>1748</v>
      </c>
      <c r="J850" s="4">
        <v>46054.640371400463</v>
      </c>
    </row>
    <row r="851" spans="1:10" x14ac:dyDescent="0.55000000000000004">
      <c r="A851" t="s">
        <v>1745</v>
      </c>
      <c r="B851">
        <v>100306</v>
      </c>
      <c r="C851" t="s">
        <v>19</v>
      </c>
      <c r="D851" s="3">
        <v>45832</v>
      </c>
      <c r="E851" t="s">
        <v>115</v>
      </c>
      <c r="F851" t="s">
        <v>1746</v>
      </c>
      <c r="G851" t="s">
        <v>15</v>
      </c>
      <c r="H851" t="s">
        <v>1747</v>
      </c>
      <c r="I851" t="s">
        <v>1748</v>
      </c>
      <c r="J851" s="4">
        <v>46054.640371400463</v>
      </c>
    </row>
    <row r="852" spans="1:10" x14ac:dyDescent="0.55000000000000004">
      <c r="A852" t="s">
        <v>1745</v>
      </c>
      <c r="B852">
        <v>100306</v>
      </c>
      <c r="C852" t="s">
        <v>19</v>
      </c>
      <c r="D852" s="3">
        <v>45832</v>
      </c>
      <c r="E852" t="s">
        <v>69</v>
      </c>
      <c r="F852" t="s">
        <v>1746</v>
      </c>
      <c r="G852" t="s">
        <v>15</v>
      </c>
      <c r="H852" t="s">
        <v>1747</v>
      </c>
      <c r="I852" t="s">
        <v>1748</v>
      </c>
      <c r="J852" s="4">
        <v>46054.640371400463</v>
      </c>
    </row>
    <row r="853" spans="1:10" x14ac:dyDescent="0.55000000000000004">
      <c r="A853" t="s">
        <v>1749</v>
      </c>
      <c r="B853">
        <v>100097</v>
      </c>
      <c r="C853" t="s">
        <v>533</v>
      </c>
      <c r="D853" s="3">
        <v>45820</v>
      </c>
      <c r="E853" t="s">
        <v>38</v>
      </c>
      <c r="F853" t="s">
        <v>1750</v>
      </c>
      <c r="G853" t="s">
        <v>15</v>
      </c>
      <c r="H853" t="s">
        <v>1751</v>
      </c>
      <c r="I853" t="s">
        <v>1752</v>
      </c>
      <c r="J853" s="4">
        <v>46070.349399189814</v>
      </c>
    </row>
    <row r="854" spans="1:10" x14ac:dyDescent="0.55000000000000004">
      <c r="A854" t="s">
        <v>1749</v>
      </c>
      <c r="B854">
        <v>100097</v>
      </c>
      <c r="C854" t="s">
        <v>533</v>
      </c>
      <c r="D854" s="3">
        <v>45820</v>
      </c>
      <c r="E854" t="s">
        <v>155</v>
      </c>
      <c r="F854" t="s">
        <v>1750</v>
      </c>
      <c r="G854" t="s">
        <v>15</v>
      </c>
      <c r="H854" t="s">
        <v>1751</v>
      </c>
      <c r="I854" t="s">
        <v>1752</v>
      </c>
      <c r="J854" s="4">
        <v>46070.349399189814</v>
      </c>
    </row>
    <row r="855" spans="1:10" x14ac:dyDescent="0.55000000000000004">
      <c r="A855" t="s">
        <v>1749</v>
      </c>
      <c r="B855">
        <v>100097</v>
      </c>
      <c r="C855" t="s">
        <v>533</v>
      </c>
      <c r="D855" s="3">
        <v>45820</v>
      </c>
      <c r="E855" t="s">
        <v>69</v>
      </c>
      <c r="F855" t="s">
        <v>1750</v>
      </c>
      <c r="G855" t="s">
        <v>15</v>
      </c>
      <c r="H855" t="s">
        <v>1751</v>
      </c>
      <c r="I855" t="s">
        <v>1752</v>
      </c>
      <c r="J855" s="4">
        <v>46070.349399189814</v>
      </c>
    </row>
    <row r="856" spans="1:10" x14ac:dyDescent="0.55000000000000004">
      <c r="A856" t="s">
        <v>992</v>
      </c>
      <c r="B856">
        <v>100895</v>
      </c>
      <c r="C856" t="s">
        <v>19</v>
      </c>
      <c r="D856" s="3">
        <v>45867</v>
      </c>
      <c r="E856" t="s">
        <v>115</v>
      </c>
      <c r="F856" t="s">
        <v>1753</v>
      </c>
      <c r="G856" t="s">
        <v>22</v>
      </c>
      <c r="H856" t="s">
        <v>1754</v>
      </c>
      <c r="I856" t="s">
        <v>1755</v>
      </c>
      <c r="J856" s="4">
        <v>46097.27648252315</v>
      </c>
    </row>
    <row r="857" spans="1:10" x14ac:dyDescent="0.55000000000000004">
      <c r="A857" t="s">
        <v>1756</v>
      </c>
      <c r="B857">
        <v>100967</v>
      </c>
      <c r="C857" t="s">
        <v>179</v>
      </c>
      <c r="D857" s="3">
        <v>46095</v>
      </c>
      <c r="E857" t="s">
        <v>155</v>
      </c>
      <c r="F857" t="s">
        <v>1757</v>
      </c>
      <c r="G857" t="s">
        <v>15</v>
      </c>
      <c r="H857" t="s">
        <v>1758</v>
      </c>
      <c r="I857" t="s">
        <v>1759</v>
      </c>
      <c r="J857" s="4">
        <v>46076.897315856484</v>
      </c>
    </row>
    <row r="858" spans="1:10" x14ac:dyDescent="0.55000000000000004">
      <c r="A858" t="s">
        <v>1760</v>
      </c>
      <c r="B858">
        <v>100731</v>
      </c>
      <c r="C858" t="s">
        <v>37</v>
      </c>
      <c r="D858" s="3">
        <v>46128</v>
      </c>
      <c r="E858" t="s">
        <v>38</v>
      </c>
      <c r="F858" t="s">
        <v>1761</v>
      </c>
      <c r="G858" t="s">
        <v>22</v>
      </c>
      <c r="H858" t="s">
        <v>1762</v>
      </c>
      <c r="I858" t="s">
        <v>1763</v>
      </c>
      <c r="J858" s="4">
        <v>46093.294538090275</v>
      </c>
    </row>
    <row r="859" spans="1:10" x14ac:dyDescent="0.55000000000000004">
      <c r="A859" t="s">
        <v>1760</v>
      </c>
      <c r="B859">
        <v>100731</v>
      </c>
      <c r="C859" t="s">
        <v>37</v>
      </c>
      <c r="D859" s="3">
        <v>46128</v>
      </c>
      <c r="E859" t="s">
        <v>20</v>
      </c>
      <c r="F859" t="s">
        <v>1761</v>
      </c>
      <c r="G859" t="s">
        <v>22</v>
      </c>
      <c r="H859" t="s">
        <v>1762</v>
      </c>
      <c r="I859" t="s">
        <v>1763</v>
      </c>
      <c r="J859" s="4">
        <v>46093.294538090275</v>
      </c>
    </row>
    <row r="860" spans="1:10" x14ac:dyDescent="0.55000000000000004">
      <c r="A860" t="s">
        <v>1760</v>
      </c>
      <c r="B860">
        <v>100731</v>
      </c>
      <c r="C860" t="s">
        <v>37</v>
      </c>
      <c r="D860" s="3">
        <v>46128</v>
      </c>
      <c r="E860" t="s">
        <v>69</v>
      </c>
      <c r="F860" t="s">
        <v>1761</v>
      </c>
      <c r="G860" t="s">
        <v>22</v>
      </c>
      <c r="H860" t="s">
        <v>1762</v>
      </c>
      <c r="I860" t="s">
        <v>1763</v>
      </c>
      <c r="J860" s="4">
        <v>46093.294538090275</v>
      </c>
    </row>
    <row r="861" spans="1:10" x14ac:dyDescent="0.55000000000000004">
      <c r="A861" t="s">
        <v>1764</v>
      </c>
      <c r="B861">
        <v>100233</v>
      </c>
      <c r="C861" t="s">
        <v>19</v>
      </c>
      <c r="D861" s="3">
        <v>45844</v>
      </c>
      <c r="E861" t="s">
        <v>38</v>
      </c>
      <c r="F861" t="s">
        <v>1765</v>
      </c>
      <c r="G861" t="s">
        <v>15</v>
      </c>
      <c r="H861" t="s">
        <v>1766</v>
      </c>
      <c r="I861" t="s">
        <v>1767</v>
      </c>
      <c r="J861" s="4">
        <v>46065.519538090281</v>
      </c>
    </row>
    <row r="862" spans="1:10" x14ac:dyDescent="0.55000000000000004">
      <c r="A862" t="s">
        <v>1768</v>
      </c>
      <c r="B862">
        <v>100932</v>
      </c>
      <c r="C862" t="s">
        <v>179</v>
      </c>
      <c r="D862" s="3">
        <v>46010</v>
      </c>
      <c r="E862" t="s">
        <v>20</v>
      </c>
      <c r="F862" t="s">
        <v>1769</v>
      </c>
      <c r="G862" t="s">
        <v>15</v>
      </c>
      <c r="H862" t="s">
        <v>1770</v>
      </c>
      <c r="I862" t="s">
        <v>1771</v>
      </c>
      <c r="J862" s="4">
        <v>46083.802871435182</v>
      </c>
    </row>
    <row r="863" spans="1:10" x14ac:dyDescent="0.55000000000000004">
      <c r="A863" t="s">
        <v>1768</v>
      </c>
      <c r="B863">
        <v>100932</v>
      </c>
      <c r="C863" t="s">
        <v>179</v>
      </c>
      <c r="D863" s="3">
        <v>46010</v>
      </c>
      <c r="E863" t="s">
        <v>155</v>
      </c>
      <c r="F863" t="s">
        <v>1769</v>
      </c>
      <c r="G863" t="s">
        <v>15</v>
      </c>
      <c r="H863" t="s">
        <v>1770</v>
      </c>
      <c r="I863" t="s">
        <v>1771</v>
      </c>
      <c r="J863" s="4">
        <v>46083.802871435182</v>
      </c>
    </row>
    <row r="864" spans="1:10" x14ac:dyDescent="0.55000000000000004">
      <c r="A864" t="s">
        <v>1768</v>
      </c>
      <c r="B864">
        <v>100932</v>
      </c>
      <c r="C864" t="s">
        <v>179</v>
      </c>
      <c r="D864" s="3">
        <v>46010</v>
      </c>
      <c r="E864" t="s">
        <v>69</v>
      </c>
      <c r="F864" t="s">
        <v>1769</v>
      </c>
      <c r="G864" t="s">
        <v>15</v>
      </c>
      <c r="H864" t="s">
        <v>1770</v>
      </c>
      <c r="I864" t="s">
        <v>1771</v>
      </c>
      <c r="J864" s="4">
        <v>46083.802871435182</v>
      </c>
    </row>
    <row r="865" spans="1:11" x14ac:dyDescent="0.55000000000000004">
      <c r="A865" t="s">
        <v>1772</v>
      </c>
      <c r="B865">
        <v>100241</v>
      </c>
      <c r="C865" t="s">
        <v>68</v>
      </c>
      <c r="D865" s="3">
        <v>45901</v>
      </c>
      <c r="E865" t="s">
        <v>20</v>
      </c>
      <c r="F865" t="s">
        <v>1773</v>
      </c>
      <c r="G865" t="s">
        <v>22</v>
      </c>
      <c r="H865" t="s">
        <v>1774</v>
      </c>
      <c r="I865" t="s">
        <v>1775</v>
      </c>
      <c r="J865" s="4">
        <v>46061.823010324071</v>
      </c>
    </row>
    <row r="866" spans="1:11" x14ac:dyDescent="0.55000000000000004">
      <c r="A866" t="s">
        <v>1772</v>
      </c>
      <c r="B866">
        <v>100241</v>
      </c>
      <c r="C866" t="s">
        <v>68</v>
      </c>
      <c r="D866" s="3">
        <v>45901</v>
      </c>
      <c r="E866" t="s">
        <v>115</v>
      </c>
      <c r="F866" t="s">
        <v>1773</v>
      </c>
      <c r="G866" t="s">
        <v>22</v>
      </c>
      <c r="H866" t="s">
        <v>1774</v>
      </c>
      <c r="I866" t="s">
        <v>1775</v>
      </c>
      <c r="J866" s="4">
        <v>46061.823010324071</v>
      </c>
    </row>
    <row r="867" spans="1:11" x14ac:dyDescent="0.55000000000000004">
      <c r="A867" t="s">
        <v>6030</v>
      </c>
      <c r="B867">
        <v>101089</v>
      </c>
      <c r="C867" t="s">
        <v>37</v>
      </c>
      <c r="D867" s="3">
        <v>45790</v>
      </c>
      <c r="E867" t="s">
        <v>20</v>
      </c>
      <c r="F867" t="s">
        <v>1777</v>
      </c>
      <c r="G867" t="s">
        <v>15</v>
      </c>
      <c r="H867" t="s">
        <v>1778</v>
      </c>
      <c r="I867" t="s">
        <v>1779</v>
      </c>
      <c r="J867" s="4">
        <v>46094.775788101855</v>
      </c>
      <c r="K867" t="s">
        <v>119</v>
      </c>
    </row>
    <row r="868" spans="1:11" x14ac:dyDescent="0.55000000000000004">
      <c r="A868" t="s">
        <v>6030</v>
      </c>
      <c r="B868">
        <v>101089</v>
      </c>
      <c r="C868" t="s">
        <v>37</v>
      </c>
      <c r="D868" s="3">
        <v>45790</v>
      </c>
      <c r="E868" t="s">
        <v>115</v>
      </c>
      <c r="F868" t="s">
        <v>1777</v>
      </c>
      <c r="G868" t="s">
        <v>15</v>
      </c>
      <c r="H868" t="s">
        <v>1778</v>
      </c>
      <c r="I868" t="s">
        <v>1779</v>
      </c>
      <c r="J868" s="4">
        <v>46094.775788101855</v>
      </c>
      <c r="K868" t="s">
        <v>119</v>
      </c>
    </row>
    <row r="869" spans="1:11" x14ac:dyDescent="0.55000000000000004">
      <c r="A869" t="s">
        <v>6030</v>
      </c>
      <c r="B869">
        <v>101089</v>
      </c>
      <c r="C869" t="s">
        <v>37</v>
      </c>
      <c r="D869" s="3">
        <v>45790</v>
      </c>
      <c r="E869" t="s">
        <v>69</v>
      </c>
      <c r="F869" t="s">
        <v>1777</v>
      </c>
      <c r="G869" t="s">
        <v>15</v>
      </c>
      <c r="H869" t="s">
        <v>1778</v>
      </c>
      <c r="I869" t="s">
        <v>1779</v>
      </c>
      <c r="J869" s="4">
        <v>46094.775788101855</v>
      </c>
      <c r="K869" t="s">
        <v>119</v>
      </c>
    </row>
    <row r="870" spans="1:11" x14ac:dyDescent="0.55000000000000004">
      <c r="A870" t="s">
        <v>1780</v>
      </c>
      <c r="B870">
        <v>100427</v>
      </c>
      <c r="C870" t="s">
        <v>68</v>
      </c>
      <c r="D870" s="3">
        <v>45927</v>
      </c>
      <c r="E870" t="s">
        <v>69</v>
      </c>
      <c r="F870" t="s">
        <v>1781</v>
      </c>
      <c r="G870" t="s">
        <v>22</v>
      </c>
      <c r="H870" t="s">
        <v>1782</v>
      </c>
      <c r="I870" t="s">
        <v>1783</v>
      </c>
      <c r="J870" s="4">
        <v>46063.343843668983</v>
      </c>
    </row>
    <row r="871" spans="1:11" x14ac:dyDescent="0.55000000000000004">
      <c r="A871" t="s">
        <v>1784</v>
      </c>
      <c r="B871">
        <v>100578</v>
      </c>
      <c r="C871" t="s">
        <v>37</v>
      </c>
      <c r="D871" s="3">
        <v>45996</v>
      </c>
      <c r="E871" t="s">
        <v>317</v>
      </c>
      <c r="F871" t="s">
        <v>1785</v>
      </c>
      <c r="G871" t="s">
        <v>22</v>
      </c>
      <c r="H871" t="s">
        <v>1786</v>
      </c>
      <c r="I871" t="s">
        <v>1787</v>
      </c>
      <c r="J871" s="4">
        <v>46066.684121446757</v>
      </c>
    </row>
    <row r="872" spans="1:11" x14ac:dyDescent="0.55000000000000004">
      <c r="A872" t="s">
        <v>1784</v>
      </c>
      <c r="B872">
        <v>100578</v>
      </c>
      <c r="C872" t="s">
        <v>37</v>
      </c>
      <c r="D872" s="3">
        <v>45996</v>
      </c>
      <c r="E872" t="s">
        <v>38</v>
      </c>
      <c r="F872" t="s">
        <v>1785</v>
      </c>
      <c r="G872" t="s">
        <v>22</v>
      </c>
      <c r="H872" t="s">
        <v>1786</v>
      </c>
      <c r="I872" t="s">
        <v>1787</v>
      </c>
      <c r="J872" s="4">
        <v>46066.684121446757</v>
      </c>
    </row>
    <row r="873" spans="1:11" x14ac:dyDescent="0.55000000000000004">
      <c r="A873" t="s">
        <v>1788</v>
      </c>
      <c r="B873">
        <v>101202</v>
      </c>
      <c r="C873" t="s">
        <v>68</v>
      </c>
      <c r="D873" s="3">
        <v>46065</v>
      </c>
      <c r="E873" t="s">
        <v>20</v>
      </c>
      <c r="F873" t="s">
        <v>1789</v>
      </c>
      <c r="G873" t="s">
        <v>15</v>
      </c>
      <c r="H873" t="s">
        <v>1790</v>
      </c>
      <c r="I873" t="s">
        <v>1791</v>
      </c>
      <c r="J873" s="4">
        <v>46091.508427002314</v>
      </c>
    </row>
    <row r="874" spans="1:11" x14ac:dyDescent="0.55000000000000004">
      <c r="A874" t="s">
        <v>1792</v>
      </c>
      <c r="B874">
        <v>100361</v>
      </c>
      <c r="C874" t="s">
        <v>19</v>
      </c>
      <c r="D874" s="3">
        <v>46005</v>
      </c>
      <c r="E874" t="s">
        <v>317</v>
      </c>
      <c r="F874" t="s">
        <v>1793</v>
      </c>
      <c r="G874" t="s">
        <v>15</v>
      </c>
      <c r="H874" t="s">
        <v>1794</v>
      </c>
      <c r="I874" t="s">
        <v>1795</v>
      </c>
      <c r="J874" s="4">
        <v>46083.793149236109</v>
      </c>
    </row>
    <row r="875" spans="1:11" x14ac:dyDescent="0.55000000000000004">
      <c r="A875" t="s">
        <v>1796</v>
      </c>
      <c r="B875">
        <v>101027</v>
      </c>
      <c r="C875" t="s">
        <v>248</v>
      </c>
      <c r="D875" s="3">
        <v>46082</v>
      </c>
      <c r="E875" t="s">
        <v>155</v>
      </c>
      <c r="F875" t="s">
        <v>1797</v>
      </c>
      <c r="G875" t="s">
        <v>22</v>
      </c>
      <c r="H875" t="s">
        <v>1798</v>
      </c>
      <c r="I875" t="s">
        <v>1799</v>
      </c>
      <c r="J875" s="4">
        <v>46056.643843680555</v>
      </c>
    </row>
    <row r="876" spans="1:11" x14ac:dyDescent="0.55000000000000004">
      <c r="A876" t="s">
        <v>1796</v>
      </c>
      <c r="B876">
        <v>101027</v>
      </c>
      <c r="C876" t="s">
        <v>248</v>
      </c>
      <c r="D876" s="3">
        <v>46082</v>
      </c>
      <c r="E876" t="s">
        <v>115</v>
      </c>
      <c r="F876" t="s">
        <v>1797</v>
      </c>
      <c r="G876" t="s">
        <v>22</v>
      </c>
      <c r="H876" t="s">
        <v>1798</v>
      </c>
      <c r="I876" t="s">
        <v>1799</v>
      </c>
      <c r="J876" s="4">
        <v>46056.643843680555</v>
      </c>
    </row>
    <row r="877" spans="1:11" x14ac:dyDescent="0.55000000000000004">
      <c r="A877" t="s">
        <v>1800</v>
      </c>
      <c r="B877">
        <v>100149</v>
      </c>
      <c r="C877" t="s">
        <v>533</v>
      </c>
      <c r="D877" s="3">
        <v>45744</v>
      </c>
      <c r="E877" t="s">
        <v>317</v>
      </c>
      <c r="F877" t="s">
        <v>1801</v>
      </c>
      <c r="G877" t="s">
        <v>15</v>
      </c>
      <c r="H877" t="s">
        <v>1802</v>
      </c>
      <c r="I877" t="s">
        <v>1803</v>
      </c>
      <c r="J877" s="4">
        <v>46092.641760347222</v>
      </c>
    </row>
    <row r="878" spans="1:11" x14ac:dyDescent="0.55000000000000004">
      <c r="A878" t="s">
        <v>1800</v>
      </c>
      <c r="B878">
        <v>100149</v>
      </c>
      <c r="C878" t="s">
        <v>533</v>
      </c>
      <c r="D878" s="3">
        <v>45744</v>
      </c>
      <c r="E878" t="s">
        <v>20</v>
      </c>
      <c r="F878" t="s">
        <v>1801</v>
      </c>
      <c r="G878" t="s">
        <v>15</v>
      </c>
      <c r="H878" t="s">
        <v>1802</v>
      </c>
      <c r="I878" t="s">
        <v>1803</v>
      </c>
      <c r="J878" s="4">
        <v>46092.641760347222</v>
      </c>
    </row>
    <row r="879" spans="1:11" x14ac:dyDescent="0.55000000000000004">
      <c r="A879" t="s">
        <v>1804</v>
      </c>
      <c r="B879">
        <v>100366</v>
      </c>
      <c r="C879" t="s">
        <v>37</v>
      </c>
      <c r="D879" s="3">
        <v>45823</v>
      </c>
      <c r="E879" t="s">
        <v>38</v>
      </c>
      <c r="F879" t="s">
        <v>1805</v>
      </c>
      <c r="G879" t="s">
        <v>15</v>
      </c>
      <c r="H879" t="s">
        <v>1806</v>
      </c>
      <c r="I879" t="s">
        <v>1807</v>
      </c>
      <c r="J879" s="4">
        <v>46081.166760358799</v>
      </c>
    </row>
    <row r="880" spans="1:11" x14ac:dyDescent="0.55000000000000004">
      <c r="A880" t="s">
        <v>1804</v>
      </c>
      <c r="B880">
        <v>100366</v>
      </c>
      <c r="C880" t="s">
        <v>37</v>
      </c>
      <c r="D880" s="3">
        <v>45823</v>
      </c>
      <c r="E880" t="s">
        <v>155</v>
      </c>
      <c r="F880" t="s">
        <v>1805</v>
      </c>
      <c r="G880" t="s">
        <v>15</v>
      </c>
      <c r="H880" t="s">
        <v>1806</v>
      </c>
      <c r="I880" t="s">
        <v>1807</v>
      </c>
      <c r="J880" s="4">
        <v>46081.166760358799</v>
      </c>
    </row>
    <row r="881" spans="1:11" x14ac:dyDescent="0.55000000000000004">
      <c r="A881" t="s">
        <v>1808</v>
      </c>
      <c r="B881">
        <v>101282</v>
      </c>
      <c r="C881" t="s">
        <v>179</v>
      </c>
      <c r="D881" s="3">
        <v>45962</v>
      </c>
      <c r="E881" t="s">
        <v>317</v>
      </c>
      <c r="F881" t="s">
        <v>1809</v>
      </c>
      <c r="G881" t="s">
        <v>15</v>
      </c>
      <c r="H881" t="s">
        <v>1810</v>
      </c>
      <c r="I881" t="s">
        <v>1811</v>
      </c>
      <c r="J881" s="4">
        <v>46072.78898258102</v>
      </c>
    </row>
    <row r="882" spans="1:11" x14ac:dyDescent="0.55000000000000004">
      <c r="A882" t="s">
        <v>1808</v>
      </c>
      <c r="B882">
        <v>101282</v>
      </c>
      <c r="C882" t="s">
        <v>179</v>
      </c>
      <c r="D882" s="3">
        <v>45962</v>
      </c>
      <c r="E882" t="s">
        <v>20</v>
      </c>
      <c r="F882" t="s">
        <v>1809</v>
      </c>
      <c r="G882" t="s">
        <v>15</v>
      </c>
      <c r="H882" t="s">
        <v>1810</v>
      </c>
      <c r="I882" t="s">
        <v>1811</v>
      </c>
      <c r="J882" s="4">
        <v>46072.78898258102</v>
      </c>
    </row>
    <row r="883" spans="1:11" x14ac:dyDescent="0.55000000000000004">
      <c r="A883" t="s">
        <v>1808</v>
      </c>
      <c r="B883">
        <v>101282</v>
      </c>
      <c r="C883" t="s">
        <v>179</v>
      </c>
      <c r="D883" s="3">
        <v>45962</v>
      </c>
      <c r="E883" t="s">
        <v>69</v>
      </c>
      <c r="F883" t="s">
        <v>1809</v>
      </c>
      <c r="G883" t="s">
        <v>15</v>
      </c>
      <c r="H883" t="s">
        <v>1810</v>
      </c>
      <c r="I883" t="s">
        <v>1811</v>
      </c>
      <c r="J883" s="4">
        <v>46072.78898258102</v>
      </c>
    </row>
    <row r="884" spans="1:11" x14ac:dyDescent="0.55000000000000004">
      <c r="A884" t="s">
        <v>1812</v>
      </c>
      <c r="B884">
        <v>101054</v>
      </c>
      <c r="C884" t="s">
        <v>533</v>
      </c>
      <c r="D884" s="3">
        <v>46005</v>
      </c>
      <c r="E884" t="s">
        <v>317</v>
      </c>
      <c r="F884" t="s">
        <v>1813</v>
      </c>
      <c r="G884" t="s">
        <v>15</v>
      </c>
      <c r="H884" t="s">
        <v>1814</v>
      </c>
      <c r="I884" t="s">
        <v>1815</v>
      </c>
      <c r="J884" s="4">
        <v>46060.681343692129</v>
      </c>
    </row>
    <row r="885" spans="1:11" x14ac:dyDescent="0.55000000000000004">
      <c r="A885" t="s">
        <v>1816</v>
      </c>
      <c r="B885">
        <v>101228</v>
      </c>
      <c r="C885" t="s">
        <v>37</v>
      </c>
      <c r="D885" s="3">
        <v>45915</v>
      </c>
      <c r="E885" t="s">
        <v>38</v>
      </c>
      <c r="F885" t="s">
        <v>1817</v>
      </c>
      <c r="G885" t="s">
        <v>15</v>
      </c>
      <c r="H885" t="s">
        <v>1818</v>
      </c>
      <c r="I885" t="s">
        <v>1819</v>
      </c>
      <c r="J885" s="4">
        <v>46079.123704814818</v>
      </c>
    </row>
    <row r="886" spans="1:11" x14ac:dyDescent="0.55000000000000004">
      <c r="A886" t="s">
        <v>1816</v>
      </c>
      <c r="B886">
        <v>101228</v>
      </c>
      <c r="C886" t="s">
        <v>37</v>
      </c>
      <c r="D886" s="3">
        <v>45915</v>
      </c>
      <c r="E886" t="s">
        <v>20</v>
      </c>
      <c r="F886" t="s">
        <v>1817</v>
      </c>
      <c r="G886" t="s">
        <v>15</v>
      </c>
      <c r="H886" t="s">
        <v>1818</v>
      </c>
      <c r="I886" t="s">
        <v>1819</v>
      </c>
      <c r="J886" s="4">
        <v>46079.123704814818</v>
      </c>
    </row>
    <row r="887" spans="1:11" x14ac:dyDescent="0.55000000000000004">
      <c r="A887" t="s">
        <v>1816</v>
      </c>
      <c r="B887">
        <v>101228</v>
      </c>
      <c r="C887" t="s">
        <v>37</v>
      </c>
      <c r="D887" s="3">
        <v>45915</v>
      </c>
      <c r="E887" t="s">
        <v>155</v>
      </c>
      <c r="F887" t="s">
        <v>1817</v>
      </c>
      <c r="G887" t="s">
        <v>15</v>
      </c>
      <c r="H887" t="s">
        <v>1818</v>
      </c>
      <c r="I887" t="s">
        <v>1819</v>
      </c>
      <c r="J887" s="4">
        <v>46079.123704814818</v>
      </c>
    </row>
    <row r="888" spans="1:11" x14ac:dyDescent="0.55000000000000004">
      <c r="A888" t="s">
        <v>1820</v>
      </c>
      <c r="B888">
        <v>100704</v>
      </c>
      <c r="C888" t="s">
        <v>179</v>
      </c>
      <c r="D888" s="3">
        <v>45934</v>
      </c>
      <c r="E888" t="s">
        <v>155</v>
      </c>
      <c r="F888" t="s">
        <v>1821</v>
      </c>
      <c r="G888" t="s">
        <v>15</v>
      </c>
      <c r="H888" t="s">
        <v>1822</v>
      </c>
      <c r="I888" t="s">
        <v>1823</v>
      </c>
      <c r="J888" s="4">
        <v>46089.190371481483</v>
      </c>
      <c r="K888" t="s">
        <v>139</v>
      </c>
    </row>
    <row r="889" spans="1:11" x14ac:dyDescent="0.55000000000000004">
      <c r="A889" t="s">
        <v>1820</v>
      </c>
      <c r="B889">
        <v>100704</v>
      </c>
      <c r="C889" t="s">
        <v>179</v>
      </c>
      <c r="D889" s="3">
        <v>45934</v>
      </c>
      <c r="E889" t="s">
        <v>115</v>
      </c>
      <c r="F889" t="s">
        <v>1821</v>
      </c>
      <c r="G889" t="s">
        <v>15</v>
      </c>
      <c r="H889" t="s">
        <v>1822</v>
      </c>
      <c r="I889" t="s">
        <v>1823</v>
      </c>
      <c r="J889" s="4">
        <v>46089.190371481483</v>
      </c>
      <c r="K889" t="s">
        <v>139</v>
      </c>
    </row>
    <row r="890" spans="1:11" x14ac:dyDescent="0.55000000000000004">
      <c r="A890" t="s">
        <v>1820</v>
      </c>
      <c r="B890">
        <v>100704</v>
      </c>
      <c r="C890" t="s">
        <v>179</v>
      </c>
      <c r="D890" s="3">
        <v>45934</v>
      </c>
      <c r="E890" t="s">
        <v>69</v>
      </c>
      <c r="F890" t="s">
        <v>1821</v>
      </c>
      <c r="G890" t="s">
        <v>15</v>
      </c>
      <c r="H890" t="s">
        <v>1822</v>
      </c>
      <c r="I890" t="s">
        <v>1823</v>
      </c>
      <c r="J890" s="4">
        <v>46089.190371481483</v>
      </c>
      <c r="K890" t="s">
        <v>139</v>
      </c>
    </row>
    <row r="891" spans="1:11" x14ac:dyDescent="0.55000000000000004">
      <c r="A891" t="s">
        <v>909</v>
      </c>
      <c r="B891">
        <v>100060</v>
      </c>
      <c r="C891" t="s">
        <v>19</v>
      </c>
      <c r="D891" s="3">
        <v>45883</v>
      </c>
      <c r="E891" t="s">
        <v>38</v>
      </c>
      <c r="F891" t="s">
        <v>1824</v>
      </c>
      <c r="G891" t="s">
        <v>15</v>
      </c>
      <c r="H891" t="s">
        <v>1825</v>
      </c>
      <c r="I891" t="s">
        <v>1826</v>
      </c>
      <c r="J891" s="4">
        <v>46061.957038148146</v>
      </c>
    </row>
    <row r="892" spans="1:11" x14ac:dyDescent="0.55000000000000004">
      <c r="A892" t="s">
        <v>909</v>
      </c>
      <c r="B892">
        <v>100060</v>
      </c>
      <c r="C892" t="s">
        <v>19</v>
      </c>
      <c r="D892" s="3">
        <v>45883</v>
      </c>
      <c r="E892" t="s">
        <v>20</v>
      </c>
      <c r="F892" t="s">
        <v>1824</v>
      </c>
      <c r="G892" t="s">
        <v>15</v>
      </c>
      <c r="H892" t="s">
        <v>1825</v>
      </c>
      <c r="I892" t="s">
        <v>1826</v>
      </c>
      <c r="J892" s="4">
        <v>46061.957038148146</v>
      </c>
    </row>
    <row r="893" spans="1:11" x14ac:dyDescent="0.55000000000000004">
      <c r="A893" t="s">
        <v>909</v>
      </c>
      <c r="B893">
        <v>100060</v>
      </c>
      <c r="C893" t="s">
        <v>19</v>
      </c>
      <c r="D893" s="3">
        <v>45883</v>
      </c>
      <c r="E893" t="s">
        <v>115</v>
      </c>
      <c r="F893" t="s">
        <v>1824</v>
      </c>
      <c r="G893" t="s">
        <v>15</v>
      </c>
      <c r="H893" t="s">
        <v>1825</v>
      </c>
      <c r="I893" t="s">
        <v>1826</v>
      </c>
      <c r="J893" s="4">
        <v>46061.957038148146</v>
      </c>
    </row>
    <row r="894" spans="1:11" x14ac:dyDescent="0.55000000000000004">
      <c r="A894" t="s">
        <v>1827</v>
      </c>
      <c r="B894">
        <v>101488</v>
      </c>
      <c r="C894" t="s">
        <v>533</v>
      </c>
      <c r="D894" s="3">
        <v>45795</v>
      </c>
      <c r="E894" t="s">
        <v>155</v>
      </c>
      <c r="F894" t="s">
        <v>1828</v>
      </c>
      <c r="G894" t="s">
        <v>22</v>
      </c>
      <c r="H894" t="s">
        <v>1829</v>
      </c>
      <c r="I894" t="s">
        <v>1830</v>
      </c>
      <c r="J894" s="4">
        <v>46062.967454826387</v>
      </c>
    </row>
    <row r="895" spans="1:11" x14ac:dyDescent="0.55000000000000004">
      <c r="A895" t="s">
        <v>1831</v>
      </c>
      <c r="B895">
        <v>100058</v>
      </c>
      <c r="C895" t="s">
        <v>37</v>
      </c>
      <c r="D895" s="3">
        <v>45888</v>
      </c>
      <c r="E895" t="s">
        <v>317</v>
      </c>
      <c r="F895" t="s">
        <v>1832</v>
      </c>
      <c r="G895" t="s">
        <v>22</v>
      </c>
      <c r="H895" t="s">
        <v>1833</v>
      </c>
      <c r="I895" t="s">
        <v>1834</v>
      </c>
      <c r="J895" s="4">
        <v>46084.159121493052</v>
      </c>
    </row>
    <row r="896" spans="1:11" x14ac:dyDescent="0.55000000000000004">
      <c r="A896" t="s">
        <v>1835</v>
      </c>
      <c r="B896">
        <v>101422</v>
      </c>
      <c r="C896" t="s">
        <v>19</v>
      </c>
      <c r="D896" s="3">
        <v>45804</v>
      </c>
      <c r="E896" t="s">
        <v>115</v>
      </c>
      <c r="F896" t="s">
        <v>1836</v>
      </c>
      <c r="G896" t="s">
        <v>15</v>
      </c>
      <c r="H896" t="s">
        <v>1837</v>
      </c>
      <c r="I896" t="s">
        <v>1838</v>
      </c>
      <c r="J896" s="4">
        <v>46058.386899282406</v>
      </c>
    </row>
    <row r="897" spans="1:10" x14ac:dyDescent="0.55000000000000004">
      <c r="A897" t="s">
        <v>1839</v>
      </c>
      <c r="B897">
        <v>100115</v>
      </c>
      <c r="C897" t="s">
        <v>248</v>
      </c>
      <c r="D897" s="3">
        <v>45790</v>
      </c>
      <c r="E897" t="s">
        <v>317</v>
      </c>
      <c r="F897" t="s">
        <v>1840</v>
      </c>
      <c r="G897" t="s">
        <v>15</v>
      </c>
      <c r="H897" t="s">
        <v>1841</v>
      </c>
      <c r="I897" t="s">
        <v>1842</v>
      </c>
      <c r="J897" s="4">
        <v>46062.09037150463</v>
      </c>
    </row>
    <row r="898" spans="1:10" x14ac:dyDescent="0.55000000000000004">
      <c r="A898" t="s">
        <v>1843</v>
      </c>
      <c r="B898">
        <v>101306</v>
      </c>
      <c r="C898" t="s">
        <v>19</v>
      </c>
      <c r="D898" s="3">
        <v>45769</v>
      </c>
      <c r="E898" t="s">
        <v>317</v>
      </c>
      <c r="F898" t="s">
        <v>1844</v>
      </c>
      <c r="G898" t="s">
        <v>22</v>
      </c>
      <c r="H898" t="s">
        <v>1845</v>
      </c>
      <c r="I898" t="s">
        <v>1846</v>
      </c>
      <c r="J898" s="4">
        <v>46091.46537150463</v>
      </c>
    </row>
    <row r="899" spans="1:10" x14ac:dyDescent="0.55000000000000004">
      <c r="A899" t="s">
        <v>1843</v>
      </c>
      <c r="B899">
        <v>101306</v>
      </c>
      <c r="C899" t="s">
        <v>19</v>
      </c>
      <c r="D899" s="3">
        <v>45769</v>
      </c>
      <c r="E899" t="s">
        <v>155</v>
      </c>
      <c r="F899" t="s">
        <v>1844</v>
      </c>
      <c r="G899" t="s">
        <v>22</v>
      </c>
      <c r="H899" t="s">
        <v>1845</v>
      </c>
      <c r="I899" t="s">
        <v>1846</v>
      </c>
      <c r="J899" s="4">
        <v>46091.46537150463</v>
      </c>
    </row>
    <row r="900" spans="1:10" x14ac:dyDescent="0.55000000000000004">
      <c r="A900" t="s">
        <v>1847</v>
      </c>
      <c r="B900">
        <v>100208</v>
      </c>
      <c r="C900" t="s">
        <v>19</v>
      </c>
      <c r="D900" s="3">
        <v>45981</v>
      </c>
      <c r="E900" t="s">
        <v>20</v>
      </c>
      <c r="F900" t="s">
        <v>1848</v>
      </c>
      <c r="G900" t="s">
        <v>15</v>
      </c>
      <c r="H900" t="s">
        <v>1849</v>
      </c>
      <c r="I900" t="s">
        <v>1850</v>
      </c>
      <c r="J900" s="4">
        <v>46091.341065960645</v>
      </c>
    </row>
    <row r="901" spans="1:10" x14ac:dyDescent="0.55000000000000004">
      <c r="A901" t="s">
        <v>1847</v>
      </c>
      <c r="B901">
        <v>100208</v>
      </c>
      <c r="C901" t="s">
        <v>19</v>
      </c>
      <c r="D901" s="3">
        <v>45981</v>
      </c>
      <c r="E901" t="s">
        <v>115</v>
      </c>
      <c r="F901" t="s">
        <v>1848</v>
      </c>
      <c r="G901" t="s">
        <v>15</v>
      </c>
      <c r="H901" t="s">
        <v>1849</v>
      </c>
      <c r="I901" t="s">
        <v>1850</v>
      </c>
      <c r="J901" s="4">
        <v>46091.341065960645</v>
      </c>
    </row>
    <row r="902" spans="1:10" x14ac:dyDescent="0.55000000000000004">
      <c r="A902" t="s">
        <v>1851</v>
      </c>
      <c r="B902">
        <v>100829</v>
      </c>
      <c r="C902" t="s">
        <v>19</v>
      </c>
      <c r="D902" s="3">
        <v>45767</v>
      </c>
      <c r="E902" t="s">
        <v>20</v>
      </c>
      <c r="F902" t="s">
        <v>1852</v>
      </c>
      <c r="G902" t="s">
        <v>22</v>
      </c>
      <c r="H902" t="s">
        <v>1853</v>
      </c>
      <c r="I902" t="s">
        <v>1854</v>
      </c>
      <c r="J902" s="4">
        <v>46069.279260405092</v>
      </c>
    </row>
    <row r="903" spans="1:10" x14ac:dyDescent="0.55000000000000004">
      <c r="A903" t="s">
        <v>1855</v>
      </c>
      <c r="B903">
        <v>101119</v>
      </c>
      <c r="C903" t="s">
        <v>19</v>
      </c>
      <c r="D903" s="3">
        <v>46069</v>
      </c>
      <c r="E903" t="s">
        <v>317</v>
      </c>
      <c r="F903" t="s">
        <v>1856</v>
      </c>
      <c r="G903" t="s">
        <v>15</v>
      </c>
      <c r="H903" t="s">
        <v>1857</v>
      </c>
      <c r="I903" t="s">
        <v>1858</v>
      </c>
      <c r="J903" s="4">
        <v>46060.940371516204</v>
      </c>
    </row>
    <row r="904" spans="1:10" x14ac:dyDescent="0.55000000000000004">
      <c r="A904" t="s">
        <v>1855</v>
      </c>
      <c r="B904">
        <v>101119</v>
      </c>
      <c r="C904" t="s">
        <v>19</v>
      </c>
      <c r="D904" s="3">
        <v>46069</v>
      </c>
      <c r="E904" t="s">
        <v>38</v>
      </c>
      <c r="F904" t="s">
        <v>1856</v>
      </c>
      <c r="G904" t="s">
        <v>15</v>
      </c>
      <c r="H904" t="s">
        <v>1857</v>
      </c>
      <c r="I904" t="s">
        <v>1858</v>
      </c>
      <c r="J904" s="4">
        <v>46060.940371516204</v>
      </c>
    </row>
    <row r="905" spans="1:10" x14ac:dyDescent="0.55000000000000004">
      <c r="A905" t="s">
        <v>1859</v>
      </c>
      <c r="B905">
        <v>100698</v>
      </c>
      <c r="C905" t="s">
        <v>68</v>
      </c>
      <c r="D905" s="3">
        <v>46145</v>
      </c>
      <c r="E905" t="s">
        <v>115</v>
      </c>
      <c r="F905" t="s">
        <v>1860</v>
      </c>
      <c r="G905" t="s">
        <v>15</v>
      </c>
      <c r="H905" t="s">
        <v>1861</v>
      </c>
      <c r="I905" t="s">
        <v>1862</v>
      </c>
      <c r="J905" s="4">
        <v>46077.395927083337</v>
      </c>
    </row>
    <row r="906" spans="1:10" x14ac:dyDescent="0.55000000000000004">
      <c r="A906" t="s">
        <v>1859</v>
      </c>
      <c r="B906">
        <v>100698</v>
      </c>
      <c r="C906" t="s">
        <v>68</v>
      </c>
      <c r="D906" s="3">
        <v>46145</v>
      </c>
      <c r="E906" t="s">
        <v>69</v>
      </c>
      <c r="F906" t="s">
        <v>1860</v>
      </c>
      <c r="G906" t="s">
        <v>15</v>
      </c>
      <c r="H906" t="s">
        <v>1861</v>
      </c>
      <c r="I906" t="s">
        <v>1862</v>
      </c>
      <c r="J906" s="4">
        <v>46077.395927083337</v>
      </c>
    </row>
    <row r="907" spans="1:10" x14ac:dyDescent="0.55000000000000004">
      <c r="A907" t="s">
        <v>1863</v>
      </c>
      <c r="B907">
        <v>100159</v>
      </c>
      <c r="C907" t="s">
        <v>248</v>
      </c>
      <c r="D907" s="3">
        <v>46096</v>
      </c>
      <c r="E907" t="s">
        <v>317</v>
      </c>
      <c r="F907" t="s">
        <v>1864</v>
      </c>
      <c r="G907" t="s">
        <v>22</v>
      </c>
      <c r="H907" t="s">
        <v>1865</v>
      </c>
      <c r="I907" t="s">
        <v>1866</v>
      </c>
      <c r="J907" s="4">
        <v>46088.779954861115</v>
      </c>
    </row>
    <row r="908" spans="1:10" x14ac:dyDescent="0.55000000000000004">
      <c r="A908" t="s">
        <v>1863</v>
      </c>
      <c r="B908">
        <v>100159</v>
      </c>
      <c r="C908" t="s">
        <v>248</v>
      </c>
      <c r="D908" s="3">
        <v>46096</v>
      </c>
      <c r="E908" t="s">
        <v>20</v>
      </c>
      <c r="F908" t="s">
        <v>1864</v>
      </c>
      <c r="G908" t="s">
        <v>22</v>
      </c>
      <c r="H908" t="s">
        <v>1865</v>
      </c>
      <c r="I908" t="s">
        <v>1866</v>
      </c>
      <c r="J908" s="4">
        <v>46088.779954861115</v>
      </c>
    </row>
    <row r="909" spans="1:10" x14ac:dyDescent="0.55000000000000004">
      <c r="A909" t="s">
        <v>1863</v>
      </c>
      <c r="B909">
        <v>100159</v>
      </c>
      <c r="C909" t="s">
        <v>248</v>
      </c>
      <c r="D909" s="3">
        <v>46096</v>
      </c>
      <c r="E909" t="s">
        <v>69</v>
      </c>
      <c r="F909" t="s">
        <v>1864</v>
      </c>
      <c r="G909" t="s">
        <v>22</v>
      </c>
      <c r="H909" t="s">
        <v>1865</v>
      </c>
      <c r="I909" t="s">
        <v>1866</v>
      </c>
      <c r="J909" s="4">
        <v>46088.779954861115</v>
      </c>
    </row>
    <row r="910" spans="1:10" x14ac:dyDescent="0.55000000000000004">
      <c r="A910" t="s">
        <v>1867</v>
      </c>
      <c r="B910">
        <v>101100</v>
      </c>
      <c r="C910" t="s">
        <v>68</v>
      </c>
      <c r="D910" s="3">
        <v>45977</v>
      </c>
      <c r="E910" t="s">
        <v>20</v>
      </c>
      <c r="F910" t="s">
        <v>1868</v>
      </c>
      <c r="G910" t="s">
        <v>22</v>
      </c>
      <c r="H910" t="s">
        <v>1869</v>
      </c>
      <c r="I910" t="s">
        <v>1870</v>
      </c>
      <c r="J910" s="4">
        <v>46065.961899305556</v>
      </c>
    </row>
    <row r="911" spans="1:10" x14ac:dyDescent="0.55000000000000004">
      <c r="A911" t="s">
        <v>1867</v>
      </c>
      <c r="B911">
        <v>101100</v>
      </c>
      <c r="C911" t="s">
        <v>68</v>
      </c>
      <c r="D911" s="3">
        <v>45977</v>
      </c>
      <c r="E911" t="s">
        <v>69</v>
      </c>
      <c r="F911" t="s">
        <v>1868</v>
      </c>
      <c r="G911" t="s">
        <v>22</v>
      </c>
      <c r="H911" t="s">
        <v>1869</v>
      </c>
      <c r="I911" t="s">
        <v>1870</v>
      </c>
      <c r="J911" s="4">
        <v>46065.961899305556</v>
      </c>
    </row>
    <row r="912" spans="1:10" x14ac:dyDescent="0.55000000000000004">
      <c r="A912" t="s">
        <v>1871</v>
      </c>
      <c r="B912">
        <v>101459</v>
      </c>
      <c r="C912" t="s">
        <v>533</v>
      </c>
      <c r="D912" s="3">
        <v>45821</v>
      </c>
      <c r="E912" t="s">
        <v>38</v>
      </c>
      <c r="F912" t="s">
        <v>1872</v>
      </c>
      <c r="G912" t="s">
        <v>15</v>
      </c>
      <c r="H912" t="s">
        <v>1873</v>
      </c>
      <c r="I912" t="s">
        <v>1874</v>
      </c>
      <c r="J912" s="4">
        <v>46063.466760428244</v>
      </c>
    </row>
    <row r="913" spans="1:10" x14ac:dyDescent="0.55000000000000004">
      <c r="A913" t="s">
        <v>1871</v>
      </c>
      <c r="B913">
        <v>101459</v>
      </c>
      <c r="C913" t="s">
        <v>533</v>
      </c>
      <c r="D913" s="3">
        <v>45821</v>
      </c>
      <c r="E913" t="s">
        <v>20</v>
      </c>
      <c r="F913" t="s">
        <v>1872</v>
      </c>
      <c r="G913" t="s">
        <v>15</v>
      </c>
      <c r="H913" t="s">
        <v>1873</v>
      </c>
      <c r="I913" t="s">
        <v>1874</v>
      </c>
      <c r="J913" s="4">
        <v>46063.466760428244</v>
      </c>
    </row>
    <row r="914" spans="1:10" x14ac:dyDescent="0.55000000000000004">
      <c r="A914" t="s">
        <v>1871</v>
      </c>
      <c r="B914">
        <v>101459</v>
      </c>
      <c r="C914" t="s">
        <v>533</v>
      </c>
      <c r="D914" s="3">
        <v>45821</v>
      </c>
      <c r="E914" t="s">
        <v>155</v>
      </c>
      <c r="F914" t="s">
        <v>1872</v>
      </c>
      <c r="G914" t="s">
        <v>15</v>
      </c>
      <c r="H914" t="s">
        <v>1873</v>
      </c>
      <c r="I914" t="s">
        <v>1874</v>
      </c>
      <c r="J914" s="4">
        <v>46063.466760428244</v>
      </c>
    </row>
    <row r="915" spans="1:10" x14ac:dyDescent="0.55000000000000004">
      <c r="A915" t="s">
        <v>1875</v>
      </c>
      <c r="B915">
        <v>101078</v>
      </c>
      <c r="C915" t="s">
        <v>248</v>
      </c>
      <c r="D915" s="3">
        <v>46107</v>
      </c>
      <c r="E915" t="s">
        <v>317</v>
      </c>
      <c r="F915" t="s">
        <v>1876</v>
      </c>
      <c r="G915" t="s">
        <v>15</v>
      </c>
      <c r="H915" t="s">
        <v>1877</v>
      </c>
      <c r="I915" t="s">
        <v>1878</v>
      </c>
      <c r="J915" s="4">
        <v>46059.92301042824</v>
      </c>
    </row>
    <row r="916" spans="1:10" x14ac:dyDescent="0.55000000000000004">
      <c r="A916" t="s">
        <v>1875</v>
      </c>
      <c r="B916">
        <v>101078</v>
      </c>
      <c r="C916" t="s">
        <v>248</v>
      </c>
      <c r="D916" s="3">
        <v>46107</v>
      </c>
      <c r="E916" t="s">
        <v>38</v>
      </c>
      <c r="F916" t="s">
        <v>1876</v>
      </c>
      <c r="G916" t="s">
        <v>15</v>
      </c>
      <c r="H916" t="s">
        <v>1877</v>
      </c>
      <c r="I916" t="s">
        <v>1878</v>
      </c>
      <c r="J916" s="4">
        <v>46059.92301042824</v>
      </c>
    </row>
    <row r="917" spans="1:10" x14ac:dyDescent="0.55000000000000004">
      <c r="A917" t="s">
        <v>1875</v>
      </c>
      <c r="B917">
        <v>101078</v>
      </c>
      <c r="C917" t="s">
        <v>248</v>
      </c>
      <c r="D917" s="3">
        <v>46107</v>
      </c>
      <c r="E917" t="s">
        <v>155</v>
      </c>
      <c r="F917" t="s">
        <v>1876</v>
      </c>
      <c r="G917" t="s">
        <v>15</v>
      </c>
      <c r="H917" t="s">
        <v>1877</v>
      </c>
      <c r="I917" t="s">
        <v>1878</v>
      </c>
      <c r="J917" s="4">
        <v>46059.92301042824</v>
      </c>
    </row>
    <row r="918" spans="1:10" x14ac:dyDescent="0.55000000000000004">
      <c r="A918" t="s">
        <v>1879</v>
      </c>
      <c r="B918">
        <v>101251</v>
      </c>
      <c r="C918" t="s">
        <v>179</v>
      </c>
      <c r="D918" s="3">
        <v>46125</v>
      </c>
      <c r="E918" t="s">
        <v>20</v>
      </c>
      <c r="F918" t="s">
        <v>1880</v>
      </c>
      <c r="G918" t="s">
        <v>22</v>
      </c>
      <c r="H918" t="s">
        <v>1881</v>
      </c>
      <c r="I918" t="s">
        <v>1882</v>
      </c>
      <c r="J918" s="4">
        <v>46056.534815983796</v>
      </c>
    </row>
    <row r="919" spans="1:10" x14ac:dyDescent="0.55000000000000004">
      <c r="A919" t="s">
        <v>1879</v>
      </c>
      <c r="B919">
        <v>101251</v>
      </c>
      <c r="C919" t="s">
        <v>179</v>
      </c>
      <c r="D919" s="3">
        <v>46125</v>
      </c>
      <c r="E919" t="s">
        <v>155</v>
      </c>
      <c r="F919" t="s">
        <v>1880</v>
      </c>
      <c r="G919" t="s">
        <v>22</v>
      </c>
      <c r="H919" t="s">
        <v>1881</v>
      </c>
      <c r="I919" t="s">
        <v>1882</v>
      </c>
      <c r="J919" s="4">
        <v>46056.534815983796</v>
      </c>
    </row>
    <row r="920" spans="1:10" x14ac:dyDescent="0.55000000000000004">
      <c r="A920" t="s">
        <v>1879</v>
      </c>
      <c r="B920">
        <v>101251</v>
      </c>
      <c r="C920" t="s">
        <v>179</v>
      </c>
      <c r="D920" s="3">
        <v>46125</v>
      </c>
      <c r="E920" t="s">
        <v>115</v>
      </c>
      <c r="F920" t="s">
        <v>1880</v>
      </c>
      <c r="G920" t="s">
        <v>22</v>
      </c>
      <c r="H920" t="s">
        <v>1881</v>
      </c>
      <c r="I920" t="s">
        <v>1882</v>
      </c>
      <c r="J920" s="4">
        <v>46056.534815983796</v>
      </c>
    </row>
    <row r="921" spans="1:10" x14ac:dyDescent="0.55000000000000004">
      <c r="A921" t="s">
        <v>1883</v>
      </c>
      <c r="B921">
        <v>101128</v>
      </c>
      <c r="C921" t="s">
        <v>68</v>
      </c>
      <c r="D921" s="3">
        <v>45932</v>
      </c>
      <c r="E921" t="s">
        <v>38</v>
      </c>
      <c r="F921" t="s">
        <v>1884</v>
      </c>
      <c r="G921" t="s">
        <v>22</v>
      </c>
      <c r="H921" t="s">
        <v>1885</v>
      </c>
      <c r="I921" t="s">
        <v>1886</v>
      </c>
      <c r="J921" s="4">
        <v>46089.085510439814</v>
      </c>
    </row>
    <row r="922" spans="1:10" x14ac:dyDescent="0.55000000000000004">
      <c r="A922" t="s">
        <v>1887</v>
      </c>
      <c r="B922">
        <v>101192</v>
      </c>
      <c r="C922" t="s">
        <v>19</v>
      </c>
      <c r="D922" s="3">
        <v>45993</v>
      </c>
      <c r="E922" t="s">
        <v>69</v>
      </c>
      <c r="F922" t="s">
        <v>1888</v>
      </c>
      <c r="G922" t="s">
        <v>22</v>
      </c>
      <c r="H922" t="s">
        <v>1889</v>
      </c>
      <c r="I922" t="s">
        <v>1890</v>
      </c>
      <c r="J922" s="4">
        <v>46065.73134377315</v>
      </c>
    </row>
    <row r="923" spans="1:10" x14ac:dyDescent="0.55000000000000004">
      <c r="A923" t="s">
        <v>1891</v>
      </c>
      <c r="B923">
        <v>100626</v>
      </c>
      <c r="C923" t="s">
        <v>248</v>
      </c>
      <c r="D923" s="3">
        <v>46144</v>
      </c>
      <c r="E923" t="s">
        <v>317</v>
      </c>
      <c r="F923" t="s">
        <v>1892</v>
      </c>
      <c r="G923" t="s">
        <v>22</v>
      </c>
      <c r="H923" t="s">
        <v>1893</v>
      </c>
      <c r="I923" t="s">
        <v>1894</v>
      </c>
      <c r="J923" s="4">
        <v>46087.491760439814</v>
      </c>
    </row>
    <row r="924" spans="1:10" x14ac:dyDescent="0.55000000000000004">
      <c r="A924" t="s">
        <v>1891</v>
      </c>
      <c r="B924">
        <v>100626</v>
      </c>
      <c r="C924" t="s">
        <v>248</v>
      </c>
      <c r="D924" s="3">
        <v>46144</v>
      </c>
      <c r="E924" t="s">
        <v>38</v>
      </c>
      <c r="F924" t="s">
        <v>1892</v>
      </c>
      <c r="G924" t="s">
        <v>22</v>
      </c>
      <c r="H924" t="s">
        <v>1893</v>
      </c>
      <c r="I924" t="s">
        <v>1894</v>
      </c>
      <c r="J924" s="4">
        <v>46087.491760439814</v>
      </c>
    </row>
    <row r="925" spans="1:10" x14ac:dyDescent="0.55000000000000004">
      <c r="A925" t="s">
        <v>1891</v>
      </c>
      <c r="B925">
        <v>100626</v>
      </c>
      <c r="C925" t="s">
        <v>248</v>
      </c>
      <c r="D925" s="3">
        <v>46144</v>
      </c>
      <c r="E925" t="s">
        <v>115</v>
      </c>
      <c r="F925" t="s">
        <v>1892</v>
      </c>
      <c r="G925" t="s">
        <v>22</v>
      </c>
      <c r="H925" t="s">
        <v>1893</v>
      </c>
      <c r="I925" t="s">
        <v>1894</v>
      </c>
      <c r="J925" s="4">
        <v>46087.491760439814</v>
      </c>
    </row>
    <row r="926" spans="1:10" x14ac:dyDescent="0.55000000000000004">
      <c r="A926" t="s">
        <v>1895</v>
      </c>
      <c r="B926">
        <v>100062</v>
      </c>
      <c r="C926" t="s">
        <v>19</v>
      </c>
      <c r="D926" s="3">
        <v>46021</v>
      </c>
      <c r="E926" t="s">
        <v>20</v>
      </c>
      <c r="F926" t="s">
        <v>1896</v>
      </c>
      <c r="G926" t="s">
        <v>15</v>
      </c>
      <c r="H926" t="s">
        <v>1897</v>
      </c>
      <c r="I926" t="s">
        <v>1898</v>
      </c>
      <c r="J926" s="4">
        <v>46083.052871562497</v>
      </c>
    </row>
    <row r="927" spans="1:10" x14ac:dyDescent="0.55000000000000004">
      <c r="A927" t="s">
        <v>1895</v>
      </c>
      <c r="B927">
        <v>100062</v>
      </c>
      <c r="C927" t="s">
        <v>19</v>
      </c>
      <c r="D927" s="3">
        <v>46021</v>
      </c>
      <c r="E927" t="s">
        <v>115</v>
      </c>
      <c r="F927" t="s">
        <v>1896</v>
      </c>
      <c r="G927" t="s">
        <v>15</v>
      </c>
      <c r="H927" t="s">
        <v>1897</v>
      </c>
      <c r="I927" t="s">
        <v>1898</v>
      </c>
      <c r="J927" s="4">
        <v>46083.052871562497</v>
      </c>
    </row>
    <row r="928" spans="1:10" x14ac:dyDescent="0.55000000000000004">
      <c r="A928" t="s">
        <v>1895</v>
      </c>
      <c r="B928">
        <v>100062</v>
      </c>
      <c r="C928" t="s">
        <v>19</v>
      </c>
      <c r="D928" s="3">
        <v>46021</v>
      </c>
      <c r="E928" t="s">
        <v>69</v>
      </c>
      <c r="F928" t="s">
        <v>1896</v>
      </c>
      <c r="G928" t="s">
        <v>15</v>
      </c>
      <c r="H928" t="s">
        <v>1897</v>
      </c>
      <c r="I928" t="s">
        <v>1898</v>
      </c>
      <c r="J928" s="4">
        <v>46083.052871562497</v>
      </c>
    </row>
    <row r="929" spans="1:11" x14ac:dyDescent="0.55000000000000004">
      <c r="A929" t="s">
        <v>1899</v>
      </c>
      <c r="B929">
        <v>101158</v>
      </c>
      <c r="C929" t="s">
        <v>248</v>
      </c>
      <c r="D929" s="3">
        <v>45764</v>
      </c>
      <c r="E929" t="s">
        <v>20</v>
      </c>
      <c r="F929" t="s">
        <v>1900</v>
      </c>
      <c r="G929" t="s">
        <v>15</v>
      </c>
      <c r="H929" t="s">
        <v>1901</v>
      </c>
      <c r="I929" t="s">
        <v>1902</v>
      </c>
      <c r="J929" s="4">
        <v>46055.452177118059</v>
      </c>
    </row>
    <row r="930" spans="1:11" x14ac:dyDescent="0.55000000000000004">
      <c r="A930" t="s">
        <v>1899</v>
      </c>
      <c r="B930">
        <v>101158</v>
      </c>
      <c r="C930" t="s">
        <v>248</v>
      </c>
      <c r="D930" s="3">
        <v>45764</v>
      </c>
      <c r="E930" t="s">
        <v>115</v>
      </c>
      <c r="F930" t="s">
        <v>1900</v>
      </c>
      <c r="G930" t="s">
        <v>15</v>
      </c>
      <c r="H930" t="s">
        <v>1901</v>
      </c>
      <c r="I930" t="s">
        <v>1902</v>
      </c>
      <c r="J930" s="4">
        <v>46055.452177118059</v>
      </c>
    </row>
    <row r="931" spans="1:11" x14ac:dyDescent="0.55000000000000004">
      <c r="A931" t="s">
        <v>1903</v>
      </c>
      <c r="B931">
        <v>100357</v>
      </c>
      <c r="C931" t="s">
        <v>19</v>
      </c>
      <c r="D931" s="3">
        <v>46137</v>
      </c>
      <c r="E931" t="s">
        <v>317</v>
      </c>
      <c r="F931" t="s">
        <v>1904</v>
      </c>
      <c r="G931" t="s">
        <v>22</v>
      </c>
      <c r="H931" t="s">
        <v>1905</v>
      </c>
      <c r="I931" t="s">
        <v>1906</v>
      </c>
      <c r="J931" s="4">
        <v>46095.689677129631</v>
      </c>
    </row>
    <row r="932" spans="1:11" x14ac:dyDescent="0.55000000000000004">
      <c r="A932" t="s">
        <v>1903</v>
      </c>
      <c r="B932">
        <v>100357</v>
      </c>
      <c r="C932" t="s">
        <v>19</v>
      </c>
      <c r="D932" s="3">
        <v>46137</v>
      </c>
      <c r="E932" t="s">
        <v>69</v>
      </c>
      <c r="F932" t="s">
        <v>1904</v>
      </c>
      <c r="G932" t="s">
        <v>22</v>
      </c>
      <c r="H932" t="s">
        <v>1905</v>
      </c>
      <c r="I932" t="s">
        <v>1906</v>
      </c>
      <c r="J932" s="4">
        <v>46095.689677129631</v>
      </c>
    </row>
    <row r="933" spans="1:11" x14ac:dyDescent="0.55000000000000004">
      <c r="A933" t="s">
        <v>1907</v>
      </c>
      <c r="C933" t="s">
        <v>68</v>
      </c>
      <c r="D933" s="3">
        <v>45784</v>
      </c>
      <c r="E933" t="s">
        <v>317</v>
      </c>
      <c r="F933" t="s">
        <v>1908</v>
      </c>
      <c r="G933" t="s">
        <v>15</v>
      </c>
      <c r="H933" t="s">
        <v>1909</v>
      </c>
      <c r="I933" t="s">
        <v>1910</v>
      </c>
      <c r="J933" s="4">
        <v>46072.816760462963</v>
      </c>
      <c r="K933" t="s">
        <v>112</v>
      </c>
    </row>
    <row r="934" spans="1:11" x14ac:dyDescent="0.55000000000000004">
      <c r="A934" t="s">
        <v>1907</v>
      </c>
      <c r="C934" t="s">
        <v>68</v>
      </c>
      <c r="D934" s="3">
        <v>45784</v>
      </c>
      <c r="E934" t="s">
        <v>38</v>
      </c>
      <c r="F934" t="s">
        <v>1908</v>
      </c>
      <c r="G934" t="s">
        <v>15</v>
      </c>
      <c r="H934" t="s">
        <v>1909</v>
      </c>
      <c r="I934" t="s">
        <v>1910</v>
      </c>
      <c r="J934" s="4">
        <v>46072.816760462963</v>
      </c>
      <c r="K934" t="s">
        <v>112</v>
      </c>
    </row>
    <row r="935" spans="1:11" x14ac:dyDescent="0.55000000000000004">
      <c r="A935" t="s">
        <v>1907</v>
      </c>
      <c r="C935" t="s">
        <v>68</v>
      </c>
      <c r="D935" s="3">
        <v>45784</v>
      </c>
      <c r="E935" t="s">
        <v>20</v>
      </c>
      <c r="F935" t="s">
        <v>1908</v>
      </c>
      <c r="G935" t="s">
        <v>15</v>
      </c>
      <c r="H935" t="s">
        <v>1909</v>
      </c>
      <c r="I935" t="s">
        <v>1910</v>
      </c>
      <c r="J935" s="4">
        <v>46072.816760462963</v>
      </c>
      <c r="K935" t="s">
        <v>112</v>
      </c>
    </row>
    <row r="936" spans="1:11" x14ac:dyDescent="0.55000000000000004">
      <c r="A936" t="s">
        <v>1911</v>
      </c>
      <c r="C936" t="s">
        <v>179</v>
      </c>
      <c r="D936" s="3">
        <v>45919</v>
      </c>
      <c r="E936" t="s">
        <v>317</v>
      </c>
      <c r="F936" t="s">
        <v>1286</v>
      </c>
      <c r="G936" t="s">
        <v>22</v>
      </c>
      <c r="H936" t="s">
        <v>1912</v>
      </c>
      <c r="I936" t="s">
        <v>1913</v>
      </c>
      <c r="J936" s="4">
        <v>46083.011899351855</v>
      </c>
      <c r="K936" t="s">
        <v>112</v>
      </c>
    </row>
    <row r="937" spans="1:11" x14ac:dyDescent="0.55000000000000004">
      <c r="A937" t="s">
        <v>1911</v>
      </c>
      <c r="C937" t="s">
        <v>179</v>
      </c>
      <c r="D937" s="3">
        <v>45919</v>
      </c>
      <c r="E937" t="s">
        <v>20</v>
      </c>
      <c r="F937" t="s">
        <v>1286</v>
      </c>
      <c r="G937" t="s">
        <v>22</v>
      </c>
      <c r="H937" t="s">
        <v>1912</v>
      </c>
      <c r="I937" t="s">
        <v>1913</v>
      </c>
      <c r="J937" s="4">
        <v>46083.011899351855</v>
      </c>
      <c r="K937" t="s">
        <v>112</v>
      </c>
    </row>
    <row r="938" spans="1:11" x14ac:dyDescent="0.55000000000000004">
      <c r="A938" t="s">
        <v>1911</v>
      </c>
      <c r="C938" t="s">
        <v>179</v>
      </c>
      <c r="D938" s="3">
        <v>45919</v>
      </c>
      <c r="E938" t="s">
        <v>155</v>
      </c>
      <c r="F938" t="s">
        <v>1286</v>
      </c>
      <c r="G938" t="s">
        <v>22</v>
      </c>
      <c r="H938" t="s">
        <v>1912</v>
      </c>
      <c r="I938" t="s">
        <v>1913</v>
      </c>
      <c r="J938" s="4">
        <v>46083.011899351855</v>
      </c>
      <c r="K938" t="s">
        <v>112</v>
      </c>
    </row>
    <row r="939" spans="1:11" x14ac:dyDescent="0.55000000000000004">
      <c r="A939" t="s">
        <v>1914</v>
      </c>
      <c r="B939">
        <v>101085</v>
      </c>
      <c r="C939" t="s">
        <v>179</v>
      </c>
      <c r="D939" s="3">
        <v>45912</v>
      </c>
      <c r="E939" t="s">
        <v>317</v>
      </c>
      <c r="F939" t="s">
        <v>1915</v>
      </c>
      <c r="G939" t="s">
        <v>15</v>
      </c>
      <c r="H939" t="s">
        <v>1916</v>
      </c>
      <c r="I939" t="s">
        <v>1917</v>
      </c>
      <c r="J939" s="4">
        <v>46065.548704918983</v>
      </c>
    </row>
    <row r="940" spans="1:11" x14ac:dyDescent="0.55000000000000004">
      <c r="A940" t="s">
        <v>1914</v>
      </c>
      <c r="B940">
        <v>101085</v>
      </c>
      <c r="C940" t="s">
        <v>179</v>
      </c>
      <c r="D940" s="3">
        <v>45912</v>
      </c>
      <c r="E940" t="s">
        <v>69</v>
      </c>
      <c r="F940" t="s">
        <v>1915</v>
      </c>
      <c r="G940" t="s">
        <v>15</v>
      </c>
      <c r="H940" t="s">
        <v>1916</v>
      </c>
      <c r="I940" t="s">
        <v>1917</v>
      </c>
      <c r="J940" s="4">
        <v>46065.548704918983</v>
      </c>
    </row>
    <row r="941" spans="1:11" x14ac:dyDescent="0.55000000000000004">
      <c r="A941" t="s">
        <v>1918</v>
      </c>
      <c r="B941">
        <v>100067</v>
      </c>
      <c r="C941" t="s">
        <v>179</v>
      </c>
      <c r="D941" s="3">
        <v>45816</v>
      </c>
      <c r="E941" t="s">
        <v>155</v>
      </c>
      <c r="F941" t="s">
        <v>1919</v>
      </c>
      <c r="G941" t="s">
        <v>22</v>
      </c>
      <c r="H941" t="s">
        <v>1920</v>
      </c>
      <c r="I941" t="s">
        <v>1921</v>
      </c>
      <c r="J941" s="4">
        <v>46084.53273269676</v>
      </c>
    </row>
    <row r="942" spans="1:11" x14ac:dyDescent="0.55000000000000004">
      <c r="A942" t="s">
        <v>1922</v>
      </c>
      <c r="B942">
        <v>100896</v>
      </c>
      <c r="C942" t="s">
        <v>533</v>
      </c>
      <c r="D942" s="3">
        <v>45812</v>
      </c>
      <c r="E942" t="s">
        <v>38</v>
      </c>
      <c r="F942" t="s">
        <v>1923</v>
      </c>
      <c r="G942" t="s">
        <v>15</v>
      </c>
      <c r="H942" t="s">
        <v>1924</v>
      </c>
      <c r="I942" t="s">
        <v>1925</v>
      </c>
      <c r="J942" s="4">
        <v>46071.276482696761</v>
      </c>
    </row>
    <row r="943" spans="1:11" x14ac:dyDescent="0.55000000000000004">
      <c r="A943" t="s">
        <v>1922</v>
      </c>
      <c r="B943">
        <v>100896</v>
      </c>
      <c r="C943" t="s">
        <v>533</v>
      </c>
      <c r="D943" s="3">
        <v>45812</v>
      </c>
      <c r="E943" t="s">
        <v>155</v>
      </c>
      <c r="F943" t="s">
        <v>1923</v>
      </c>
      <c r="G943" t="s">
        <v>15</v>
      </c>
      <c r="H943" t="s">
        <v>1924</v>
      </c>
      <c r="I943" t="s">
        <v>1925</v>
      </c>
      <c r="J943" s="4">
        <v>46071.276482696761</v>
      </c>
    </row>
    <row r="944" spans="1:11" x14ac:dyDescent="0.55000000000000004">
      <c r="A944" t="s">
        <v>1926</v>
      </c>
      <c r="B944">
        <v>100930</v>
      </c>
      <c r="C944" t="s">
        <v>533</v>
      </c>
      <c r="D944" s="3">
        <v>45978</v>
      </c>
      <c r="E944" t="s">
        <v>317</v>
      </c>
      <c r="F944" t="s">
        <v>1927</v>
      </c>
      <c r="G944" t="s">
        <v>15</v>
      </c>
      <c r="H944" t="s">
        <v>1928</v>
      </c>
      <c r="I944" t="s">
        <v>1929</v>
      </c>
      <c r="J944" s="4">
        <v>46056.161899375002</v>
      </c>
    </row>
    <row r="945" spans="1:10" x14ac:dyDescent="0.55000000000000004">
      <c r="A945" t="s">
        <v>1926</v>
      </c>
      <c r="B945">
        <v>100930</v>
      </c>
      <c r="C945" t="s">
        <v>533</v>
      </c>
      <c r="D945" s="3">
        <v>45978</v>
      </c>
      <c r="E945" t="s">
        <v>115</v>
      </c>
      <c r="F945" t="s">
        <v>1927</v>
      </c>
      <c r="G945" t="s">
        <v>15</v>
      </c>
      <c r="H945" t="s">
        <v>1928</v>
      </c>
      <c r="I945" t="s">
        <v>1929</v>
      </c>
      <c r="J945" s="4">
        <v>46056.161899375002</v>
      </c>
    </row>
    <row r="946" spans="1:10" x14ac:dyDescent="0.55000000000000004">
      <c r="A946" t="s">
        <v>1926</v>
      </c>
      <c r="B946">
        <v>100930</v>
      </c>
      <c r="C946" t="s">
        <v>533</v>
      </c>
      <c r="D946" s="3">
        <v>45978</v>
      </c>
      <c r="E946" t="s">
        <v>69</v>
      </c>
      <c r="F946" t="s">
        <v>1927</v>
      </c>
      <c r="G946" t="s">
        <v>15</v>
      </c>
      <c r="H946" t="s">
        <v>1928</v>
      </c>
      <c r="I946" t="s">
        <v>1929</v>
      </c>
      <c r="J946" s="4">
        <v>46056.161899375002</v>
      </c>
    </row>
    <row r="947" spans="1:10" x14ac:dyDescent="0.55000000000000004">
      <c r="A947" t="s">
        <v>1930</v>
      </c>
      <c r="B947">
        <v>101333</v>
      </c>
      <c r="C947" t="s">
        <v>37</v>
      </c>
      <c r="D947" s="3">
        <v>45856</v>
      </c>
      <c r="E947" t="s">
        <v>115</v>
      </c>
      <c r="F947" t="s">
        <v>1931</v>
      </c>
      <c r="G947" t="s">
        <v>15</v>
      </c>
      <c r="H947" t="s">
        <v>1932</v>
      </c>
      <c r="I947" t="s">
        <v>1933</v>
      </c>
      <c r="J947" s="4">
        <v>46088.850788263888</v>
      </c>
    </row>
    <row r="948" spans="1:10" x14ac:dyDescent="0.55000000000000004">
      <c r="A948" t="s">
        <v>1934</v>
      </c>
      <c r="B948">
        <v>100681</v>
      </c>
      <c r="C948" t="s">
        <v>19</v>
      </c>
      <c r="D948" s="3">
        <v>45752</v>
      </c>
      <c r="E948" t="s">
        <v>317</v>
      </c>
      <c r="F948" t="s">
        <v>1935</v>
      </c>
      <c r="G948" t="s">
        <v>22</v>
      </c>
      <c r="H948" t="s">
        <v>1936</v>
      </c>
      <c r="I948" t="s">
        <v>1937</v>
      </c>
      <c r="J948" s="4">
        <v>46086.01120494213</v>
      </c>
    </row>
    <row r="949" spans="1:10" x14ac:dyDescent="0.55000000000000004">
      <c r="A949" t="s">
        <v>1934</v>
      </c>
      <c r="B949">
        <v>100681</v>
      </c>
      <c r="C949" t="s">
        <v>19</v>
      </c>
      <c r="D949" s="3">
        <v>45752</v>
      </c>
      <c r="E949" t="s">
        <v>155</v>
      </c>
      <c r="F949" t="s">
        <v>1935</v>
      </c>
      <c r="G949" t="s">
        <v>22</v>
      </c>
      <c r="H949" t="s">
        <v>1936</v>
      </c>
      <c r="I949" t="s">
        <v>1937</v>
      </c>
      <c r="J949" s="4">
        <v>46086.01120494213</v>
      </c>
    </row>
    <row r="950" spans="1:10" x14ac:dyDescent="0.55000000000000004">
      <c r="A950" t="s">
        <v>1934</v>
      </c>
      <c r="B950">
        <v>100681</v>
      </c>
      <c r="C950" t="s">
        <v>19</v>
      </c>
      <c r="D950" s="3">
        <v>45752</v>
      </c>
      <c r="E950" t="s">
        <v>115</v>
      </c>
      <c r="F950" t="s">
        <v>1935</v>
      </c>
      <c r="G950" t="s">
        <v>22</v>
      </c>
      <c r="H950" t="s">
        <v>1936</v>
      </c>
      <c r="I950" t="s">
        <v>1937</v>
      </c>
      <c r="J950" s="4">
        <v>46086.01120494213</v>
      </c>
    </row>
    <row r="951" spans="1:10" x14ac:dyDescent="0.55000000000000004">
      <c r="A951" t="s">
        <v>1938</v>
      </c>
      <c r="B951">
        <v>100837</v>
      </c>
      <c r="C951" t="s">
        <v>179</v>
      </c>
      <c r="D951" s="3">
        <v>46038</v>
      </c>
      <c r="E951" t="s">
        <v>317</v>
      </c>
      <c r="F951" t="s">
        <v>1939</v>
      </c>
      <c r="G951" t="s">
        <v>15</v>
      </c>
      <c r="H951" t="s">
        <v>1940</v>
      </c>
      <c r="I951" t="s">
        <v>1941</v>
      </c>
      <c r="J951" s="4">
        <v>46084.107732719909</v>
      </c>
    </row>
    <row r="952" spans="1:10" x14ac:dyDescent="0.55000000000000004">
      <c r="A952" t="s">
        <v>1938</v>
      </c>
      <c r="B952">
        <v>100837</v>
      </c>
      <c r="C952" t="s">
        <v>179</v>
      </c>
      <c r="D952" s="3">
        <v>46038</v>
      </c>
      <c r="E952" t="s">
        <v>20</v>
      </c>
      <c r="F952" t="s">
        <v>1939</v>
      </c>
      <c r="G952" t="s">
        <v>15</v>
      </c>
      <c r="H952" t="s">
        <v>1940</v>
      </c>
      <c r="I952" t="s">
        <v>1941</v>
      </c>
      <c r="J952" s="4">
        <v>46084.107732719909</v>
      </c>
    </row>
    <row r="953" spans="1:10" x14ac:dyDescent="0.55000000000000004">
      <c r="A953" t="s">
        <v>1938</v>
      </c>
      <c r="B953">
        <v>100837</v>
      </c>
      <c r="C953" t="s">
        <v>179</v>
      </c>
      <c r="D953" s="3">
        <v>46038</v>
      </c>
      <c r="E953" t="s">
        <v>155</v>
      </c>
      <c r="F953" t="s">
        <v>1939</v>
      </c>
      <c r="G953" t="s">
        <v>15</v>
      </c>
      <c r="H953" t="s">
        <v>1940</v>
      </c>
      <c r="I953" t="s">
        <v>1941</v>
      </c>
      <c r="J953" s="4">
        <v>46084.107732719909</v>
      </c>
    </row>
    <row r="954" spans="1:10" x14ac:dyDescent="0.55000000000000004">
      <c r="A954" t="s">
        <v>1942</v>
      </c>
      <c r="B954">
        <v>100800</v>
      </c>
      <c r="C954" t="s">
        <v>19</v>
      </c>
      <c r="D954" s="3">
        <v>45973</v>
      </c>
      <c r="E954" t="s">
        <v>317</v>
      </c>
      <c r="F954" t="s">
        <v>203</v>
      </c>
      <c r="G954" t="s">
        <v>22</v>
      </c>
      <c r="H954" t="s">
        <v>1943</v>
      </c>
      <c r="I954" t="s">
        <v>1944</v>
      </c>
      <c r="J954" s="4">
        <v>46059.543149386576</v>
      </c>
    </row>
    <row r="955" spans="1:10" x14ac:dyDescent="0.55000000000000004">
      <c r="A955" t="s">
        <v>1942</v>
      </c>
      <c r="B955">
        <v>100800</v>
      </c>
      <c r="C955" t="s">
        <v>19</v>
      </c>
      <c r="D955" s="3">
        <v>45973</v>
      </c>
      <c r="E955" t="s">
        <v>115</v>
      </c>
      <c r="F955" t="s">
        <v>203</v>
      </c>
      <c r="G955" t="s">
        <v>22</v>
      </c>
      <c r="H955" t="s">
        <v>1943</v>
      </c>
      <c r="I955" t="s">
        <v>1944</v>
      </c>
      <c r="J955" s="4">
        <v>46059.543149386576</v>
      </c>
    </row>
    <row r="956" spans="1:10" x14ac:dyDescent="0.55000000000000004">
      <c r="A956" t="s">
        <v>1945</v>
      </c>
      <c r="B956">
        <v>100320</v>
      </c>
      <c r="C956" t="s">
        <v>19</v>
      </c>
      <c r="D956" s="3">
        <v>46152</v>
      </c>
      <c r="E956" t="s">
        <v>38</v>
      </c>
      <c r="F956" t="s">
        <v>1946</v>
      </c>
      <c r="G956" t="s">
        <v>22</v>
      </c>
      <c r="H956" t="s">
        <v>1947</v>
      </c>
      <c r="I956" t="s">
        <v>1948</v>
      </c>
      <c r="J956" s="4">
        <v>46086.770927175923</v>
      </c>
    </row>
    <row r="957" spans="1:10" x14ac:dyDescent="0.55000000000000004">
      <c r="A957" t="s">
        <v>1949</v>
      </c>
      <c r="B957">
        <v>100934</v>
      </c>
      <c r="C957" t="s">
        <v>68</v>
      </c>
      <c r="D957" s="3">
        <v>45964</v>
      </c>
      <c r="E957" t="s">
        <v>38</v>
      </c>
      <c r="F957" t="s">
        <v>1950</v>
      </c>
      <c r="G957" t="s">
        <v>22</v>
      </c>
      <c r="H957" t="s">
        <v>1951</v>
      </c>
      <c r="I957" t="s">
        <v>1952</v>
      </c>
      <c r="J957" s="4">
        <v>46073.558427175929</v>
      </c>
    </row>
    <row r="958" spans="1:10" x14ac:dyDescent="0.55000000000000004">
      <c r="A958" t="s">
        <v>1949</v>
      </c>
      <c r="B958">
        <v>100934</v>
      </c>
      <c r="C958" t="s">
        <v>68</v>
      </c>
      <c r="D958" s="3">
        <v>45964</v>
      </c>
      <c r="E958" t="s">
        <v>155</v>
      </c>
      <c r="F958" t="s">
        <v>1950</v>
      </c>
      <c r="G958" t="s">
        <v>22</v>
      </c>
      <c r="H958" t="s">
        <v>1951</v>
      </c>
      <c r="I958" t="s">
        <v>1952</v>
      </c>
      <c r="J958" s="4">
        <v>46073.558427175929</v>
      </c>
    </row>
    <row r="959" spans="1:10" x14ac:dyDescent="0.55000000000000004">
      <c r="A959" t="s">
        <v>1949</v>
      </c>
      <c r="B959">
        <v>100934</v>
      </c>
      <c r="C959" t="s">
        <v>68</v>
      </c>
      <c r="D959" s="3">
        <v>45964</v>
      </c>
      <c r="E959" t="s">
        <v>115</v>
      </c>
      <c r="F959" t="s">
        <v>1950</v>
      </c>
      <c r="G959" t="s">
        <v>22</v>
      </c>
      <c r="H959" t="s">
        <v>1951</v>
      </c>
      <c r="I959" t="s">
        <v>1952</v>
      </c>
      <c r="J959" s="4">
        <v>46073.558427175929</v>
      </c>
    </row>
    <row r="960" spans="1:10" x14ac:dyDescent="0.55000000000000004">
      <c r="A960" t="s">
        <v>1953</v>
      </c>
      <c r="B960">
        <v>100387</v>
      </c>
      <c r="C960" t="s">
        <v>533</v>
      </c>
      <c r="D960" s="3">
        <v>45740</v>
      </c>
      <c r="E960" t="s">
        <v>38</v>
      </c>
      <c r="F960" t="s">
        <v>1954</v>
      </c>
      <c r="G960" t="s">
        <v>22</v>
      </c>
      <c r="H960" t="s">
        <v>1955</v>
      </c>
      <c r="I960" t="s">
        <v>1956</v>
      </c>
      <c r="J960" s="4">
        <v>46087.884816064812</v>
      </c>
    </row>
    <row r="961" spans="1:11" x14ac:dyDescent="0.55000000000000004">
      <c r="A961" t="s">
        <v>1957</v>
      </c>
      <c r="B961">
        <v>100909</v>
      </c>
      <c r="C961" t="s">
        <v>533</v>
      </c>
      <c r="D961" s="3">
        <v>45822</v>
      </c>
      <c r="E961" t="s">
        <v>317</v>
      </c>
      <c r="F961" t="s">
        <v>1958</v>
      </c>
      <c r="G961" t="s">
        <v>15</v>
      </c>
      <c r="H961" t="s">
        <v>1959</v>
      </c>
      <c r="I961" t="s">
        <v>1960</v>
      </c>
      <c r="J961" s="4">
        <v>46063.030649409724</v>
      </c>
    </row>
    <row r="962" spans="1:11" x14ac:dyDescent="0.55000000000000004">
      <c r="A962" t="s">
        <v>1957</v>
      </c>
      <c r="B962">
        <v>100909</v>
      </c>
      <c r="C962" t="s">
        <v>533</v>
      </c>
      <c r="D962" s="3">
        <v>45822</v>
      </c>
      <c r="E962" t="s">
        <v>38</v>
      </c>
      <c r="F962" t="s">
        <v>1958</v>
      </c>
      <c r="G962" t="s">
        <v>15</v>
      </c>
      <c r="H962" t="s">
        <v>1959</v>
      </c>
      <c r="I962" t="s">
        <v>1960</v>
      </c>
      <c r="J962" s="4">
        <v>46063.030649409724</v>
      </c>
    </row>
    <row r="963" spans="1:11" x14ac:dyDescent="0.55000000000000004">
      <c r="A963" t="s">
        <v>1961</v>
      </c>
      <c r="B963">
        <v>100519</v>
      </c>
      <c r="C963" t="s">
        <v>533</v>
      </c>
      <c r="D963" s="3">
        <v>45779</v>
      </c>
      <c r="E963" t="s">
        <v>317</v>
      </c>
      <c r="F963" t="s">
        <v>1962</v>
      </c>
      <c r="G963" t="s">
        <v>15</v>
      </c>
      <c r="H963" t="s">
        <v>1963</v>
      </c>
      <c r="I963" t="s">
        <v>1964</v>
      </c>
      <c r="J963" s="4">
        <v>46053.823010520835</v>
      </c>
    </row>
    <row r="964" spans="1:11" x14ac:dyDescent="0.55000000000000004">
      <c r="A964" t="s">
        <v>1961</v>
      </c>
      <c r="B964">
        <v>100519</v>
      </c>
      <c r="C964" t="s">
        <v>533</v>
      </c>
      <c r="D964" s="3">
        <v>45779</v>
      </c>
      <c r="E964" t="s">
        <v>115</v>
      </c>
      <c r="F964" t="s">
        <v>1962</v>
      </c>
      <c r="G964" t="s">
        <v>15</v>
      </c>
      <c r="H964" t="s">
        <v>1963</v>
      </c>
      <c r="I964" t="s">
        <v>1964</v>
      </c>
      <c r="J964" s="4">
        <v>46053.823010520835</v>
      </c>
    </row>
    <row r="965" spans="1:11" x14ac:dyDescent="0.55000000000000004">
      <c r="A965" t="s">
        <v>1965</v>
      </c>
      <c r="B965">
        <v>100905</v>
      </c>
      <c r="C965" t="s">
        <v>179</v>
      </c>
      <c r="D965" s="3">
        <v>45999</v>
      </c>
      <c r="E965" t="s">
        <v>20</v>
      </c>
      <c r="F965" t="s">
        <v>1966</v>
      </c>
      <c r="G965" t="s">
        <v>22</v>
      </c>
      <c r="H965" t="s">
        <v>1967</v>
      </c>
      <c r="I965" t="s">
        <v>1968</v>
      </c>
      <c r="J965" s="4">
        <v>46083.060510520831</v>
      </c>
    </row>
    <row r="966" spans="1:11" x14ac:dyDescent="0.55000000000000004">
      <c r="A966" t="s">
        <v>1965</v>
      </c>
      <c r="B966">
        <v>100905</v>
      </c>
      <c r="C966" t="s">
        <v>179</v>
      </c>
      <c r="D966" s="3">
        <v>45999</v>
      </c>
      <c r="E966" t="s">
        <v>155</v>
      </c>
      <c r="F966" t="s">
        <v>1966</v>
      </c>
      <c r="G966" t="s">
        <v>22</v>
      </c>
      <c r="H966" t="s">
        <v>1967</v>
      </c>
      <c r="I966" t="s">
        <v>1968</v>
      </c>
      <c r="J966" s="4">
        <v>46083.060510520831</v>
      </c>
    </row>
    <row r="967" spans="1:11" x14ac:dyDescent="0.55000000000000004">
      <c r="A967" t="s">
        <v>1969</v>
      </c>
      <c r="B967">
        <v>101368</v>
      </c>
      <c r="C967" t="s">
        <v>179</v>
      </c>
      <c r="D967" s="3">
        <v>45911</v>
      </c>
      <c r="E967" t="s">
        <v>317</v>
      </c>
      <c r="F967" t="s">
        <v>1970</v>
      </c>
      <c r="G967" t="s">
        <v>22</v>
      </c>
      <c r="H967" t="s">
        <v>1971</v>
      </c>
      <c r="I967" t="s">
        <v>1972</v>
      </c>
      <c r="J967" s="4">
        <v>46089.384121643518</v>
      </c>
    </row>
    <row r="968" spans="1:11" x14ac:dyDescent="0.55000000000000004">
      <c r="A968" t="s">
        <v>1969</v>
      </c>
      <c r="B968">
        <v>101368</v>
      </c>
      <c r="C968" t="s">
        <v>179</v>
      </c>
      <c r="D968" s="3">
        <v>45911</v>
      </c>
      <c r="E968" t="s">
        <v>38</v>
      </c>
      <c r="F968" t="s">
        <v>1970</v>
      </c>
      <c r="G968" t="s">
        <v>22</v>
      </c>
      <c r="H968" t="s">
        <v>1971</v>
      </c>
      <c r="I968" t="s">
        <v>1972</v>
      </c>
      <c r="J968" s="4">
        <v>46089.384121643518</v>
      </c>
    </row>
    <row r="969" spans="1:11" x14ac:dyDescent="0.55000000000000004">
      <c r="A969" t="s">
        <v>1969</v>
      </c>
      <c r="B969">
        <v>101368</v>
      </c>
      <c r="C969" t="s">
        <v>179</v>
      </c>
      <c r="D969" s="3">
        <v>45911</v>
      </c>
      <c r="E969" t="s">
        <v>155</v>
      </c>
      <c r="F969" t="s">
        <v>1970</v>
      </c>
      <c r="G969" t="s">
        <v>22</v>
      </c>
      <c r="H969" t="s">
        <v>1971</v>
      </c>
      <c r="I969" t="s">
        <v>1972</v>
      </c>
      <c r="J969" s="4">
        <v>46089.384121643518</v>
      </c>
    </row>
    <row r="970" spans="1:11" x14ac:dyDescent="0.55000000000000004">
      <c r="A970" t="s">
        <v>1973</v>
      </c>
      <c r="B970">
        <v>101061</v>
      </c>
      <c r="C970" t="s">
        <v>19</v>
      </c>
      <c r="D970" s="3">
        <v>46124</v>
      </c>
      <c r="E970" t="s">
        <v>155</v>
      </c>
      <c r="F970" t="s">
        <v>1974</v>
      </c>
      <c r="G970" t="s">
        <v>22</v>
      </c>
      <c r="H970" t="s">
        <v>1975</v>
      </c>
      <c r="I970" t="s">
        <v>1976</v>
      </c>
      <c r="J970" s="4">
        <v>46058.973010532405</v>
      </c>
    </row>
    <row r="971" spans="1:11" x14ac:dyDescent="0.55000000000000004">
      <c r="A971" t="s">
        <v>1977</v>
      </c>
      <c r="B971">
        <v>101210</v>
      </c>
      <c r="C971" t="s">
        <v>179</v>
      </c>
      <c r="D971" s="3">
        <v>45863</v>
      </c>
      <c r="E971" t="s">
        <v>155</v>
      </c>
      <c r="F971" t="s">
        <v>1978</v>
      </c>
      <c r="G971" t="s">
        <v>15</v>
      </c>
      <c r="H971" t="s">
        <v>1979</v>
      </c>
      <c r="I971" t="s">
        <v>1980</v>
      </c>
      <c r="J971" s="4">
        <v>46061.002871655095</v>
      </c>
    </row>
    <row r="972" spans="1:11" x14ac:dyDescent="0.55000000000000004">
      <c r="A972" t="s">
        <v>1981</v>
      </c>
      <c r="B972">
        <v>100988</v>
      </c>
      <c r="C972" t="s">
        <v>533</v>
      </c>
      <c r="D972" s="3">
        <v>45998</v>
      </c>
      <c r="E972" t="s">
        <v>69</v>
      </c>
      <c r="F972" t="s">
        <v>1982</v>
      </c>
      <c r="G972" t="s">
        <v>15</v>
      </c>
      <c r="H972" t="s">
        <v>1983</v>
      </c>
      <c r="I972" t="s">
        <v>1984</v>
      </c>
      <c r="J972" s="4">
        <v>46053.297316099539</v>
      </c>
    </row>
    <row r="973" spans="1:11" x14ac:dyDescent="0.55000000000000004">
      <c r="A973" t="s">
        <v>1985</v>
      </c>
      <c r="B973">
        <v>100651</v>
      </c>
      <c r="C973" t="s">
        <v>179</v>
      </c>
      <c r="D973" s="3">
        <v>45917</v>
      </c>
      <c r="E973" t="s">
        <v>115</v>
      </c>
      <c r="F973" t="s">
        <v>1986</v>
      </c>
      <c r="G973" t="s">
        <v>22</v>
      </c>
      <c r="H973" t="s">
        <v>1987</v>
      </c>
      <c r="I973" t="s">
        <v>1988</v>
      </c>
      <c r="J973" s="4">
        <v>46055.9139827662</v>
      </c>
    </row>
    <row r="974" spans="1:11" x14ac:dyDescent="0.55000000000000004">
      <c r="A974" t="s">
        <v>6031</v>
      </c>
      <c r="B974">
        <v>101063</v>
      </c>
      <c r="C974" t="s">
        <v>248</v>
      </c>
      <c r="D974" s="3">
        <v>45865</v>
      </c>
      <c r="E974" t="s">
        <v>38</v>
      </c>
      <c r="F974" t="s">
        <v>1990</v>
      </c>
      <c r="G974" t="s">
        <v>22</v>
      </c>
      <c r="H974" t="s">
        <v>1991</v>
      </c>
      <c r="I974" t="s">
        <v>1992</v>
      </c>
      <c r="J974" s="4">
        <v>46054.181343888886</v>
      </c>
      <c r="K974" t="s">
        <v>119</v>
      </c>
    </row>
    <row r="975" spans="1:11" x14ac:dyDescent="0.55000000000000004">
      <c r="A975" t="s">
        <v>6031</v>
      </c>
      <c r="B975">
        <v>101063</v>
      </c>
      <c r="C975" t="s">
        <v>248</v>
      </c>
      <c r="D975" s="3">
        <v>45865</v>
      </c>
      <c r="E975" t="s">
        <v>20</v>
      </c>
      <c r="F975" t="s">
        <v>1990</v>
      </c>
      <c r="G975" t="s">
        <v>22</v>
      </c>
      <c r="H975" t="s">
        <v>1991</v>
      </c>
      <c r="I975" t="s">
        <v>1992</v>
      </c>
      <c r="J975" s="4">
        <v>46054.181343888886</v>
      </c>
      <c r="K975" t="s">
        <v>119</v>
      </c>
    </row>
    <row r="976" spans="1:11" x14ac:dyDescent="0.55000000000000004">
      <c r="A976" t="s">
        <v>6031</v>
      </c>
      <c r="B976">
        <v>101063</v>
      </c>
      <c r="C976" t="s">
        <v>248</v>
      </c>
      <c r="D976" s="3">
        <v>45865</v>
      </c>
      <c r="E976" t="s">
        <v>69</v>
      </c>
      <c r="F976" t="s">
        <v>1990</v>
      </c>
      <c r="G976" t="s">
        <v>22</v>
      </c>
      <c r="H976" t="s">
        <v>1991</v>
      </c>
      <c r="I976" t="s">
        <v>1992</v>
      </c>
      <c r="J976" s="4">
        <v>46054.181343888886</v>
      </c>
      <c r="K976" t="s">
        <v>119</v>
      </c>
    </row>
    <row r="977" spans="1:10" x14ac:dyDescent="0.55000000000000004">
      <c r="A977" t="s">
        <v>1993</v>
      </c>
      <c r="B977">
        <v>100336</v>
      </c>
      <c r="C977" t="s">
        <v>248</v>
      </c>
      <c r="D977" s="3">
        <v>45943</v>
      </c>
      <c r="E977" t="s">
        <v>38</v>
      </c>
      <c r="F977" t="s">
        <v>1994</v>
      </c>
      <c r="G977" t="s">
        <v>22</v>
      </c>
      <c r="H977" t="s">
        <v>1995</v>
      </c>
      <c r="I977" t="s">
        <v>1996</v>
      </c>
      <c r="J977" s="4">
        <v>46061.957038333334</v>
      </c>
    </row>
    <row r="978" spans="1:10" x14ac:dyDescent="0.55000000000000004">
      <c r="A978" t="s">
        <v>1993</v>
      </c>
      <c r="B978">
        <v>100336</v>
      </c>
      <c r="C978" t="s">
        <v>248</v>
      </c>
      <c r="D978" s="3">
        <v>45943</v>
      </c>
      <c r="E978" t="s">
        <v>115</v>
      </c>
      <c r="F978" t="s">
        <v>1994</v>
      </c>
      <c r="G978" t="s">
        <v>22</v>
      </c>
      <c r="H978" t="s">
        <v>1995</v>
      </c>
      <c r="I978" t="s">
        <v>1996</v>
      </c>
      <c r="J978" s="4">
        <v>46061.957038333334</v>
      </c>
    </row>
    <row r="979" spans="1:10" x14ac:dyDescent="0.55000000000000004">
      <c r="A979" t="s">
        <v>1993</v>
      </c>
      <c r="B979">
        <v>100336</v>
      </c>
      <c r="C979" t="s">
        <v>248</v>
      </c>
      <c r="D979" s="3">
        <v>45943</v>
      </c>
      <c r="E979" t="s">
        <v>69</v>
      </c>
      <c r="F979" t="s">
        <v>1994</v>
      </c>
      <c r="G979" t="s">
        <v>22</v>
      </c>
      <c r="H979" t="s">
        <v>1995</v>
      </c>
      <c r="I979" t="s">
        <v>1996</v>
      </c>
      <c r="J979" s="4">
        <v>46061.957038333334</v>
      </c>
    </row>
    <row r="980" spans="1:10" x14ac:dyDescent="0.55000000000000004">
      <c r="A980" t="s">
        <v>1997</v>
      </c>
      <c r="B980">
        <v>101016</v>
      </c>
      <c r="C980" t="s">
        <v>19</v>
      </c>
      <c r="D980" s="3">
        <v>45861</v>
      </c>
      <c r="E980" t="s">
        <v>38</v>
      </c>
      <c r="F980" t="s">
        <v>1998</v>
      </c>
      <c r="G980" t="s">
        <v>22</v>
      </c>
      <c r="H980" t="s">
        <v>1999</v>
      </c>
      <c r="I980" t="s">
        <v>2000</v>
      </c>
      <c r="J980" s="4">
        <v>46088.808427222219</v>
      </c>
    </row>
    <row r="981" spans="1:10" x14ac:dyDescent="0.55000000000000004">
      <c r="A981" t="s">
        <v>1997</v>
      </c>
      <c r="B981">
        <v>101016</v>
      </c>
      <c r="C981" t="s">
        <v>19</v>
      </c>
      <c r="D981" s="3">
        <v>45861</v>
      </c>
      <c r="E981" t="s">
        <v>20</v>
      </c>
      <c r="F981" t="s">
        <v>1998</v>
      </c>
      <c r="G981" t="s">
        <v>22</v>
      </c>
      <c r="H981" t="s">
        <v>1999</v>
      </c>
      <c r="I981" t="s">
        <v>2000</v>
      </c>
      <c r="J981" s="4">
        <v>46088.808427222219</v>
      </c>
    </row>
    <row r="982" spans="1:10" x14ac:dyDescent="0.55000000000000004">
      <c r="A982" t="s">
        <v>2001</v>
      </c>
      <c r="B982">
        <v>100422</v>
      </c>
      <c r="C982" t="s">
        <v>533</v>
      </c>
      <c r="D982" s="3">
        <v>46114</v>
      </c>
      <c r="E982" t="s">
        <v>69</v>
      </c>
      <c r="F982" t="s">
        <v>2002</v>
      </c>
      <c r="G982" t="s">
        <v>15</v>
      </c>
      <c r="H982" t="s">
        <v>2003</v>
      </c>
      <c r="I982" t="s">
        <v>2004</v>
      </c>
      <c r="J982" s="4">
        <v>46091.441066122687</v>
      </c>
    </row>
    <row r="983" spans="1:10" x14ac:dyDescent="0.55000000000000004">
      <c r="A983" t="s">
        <v>2005</v>
      </c>
      <c r="B983">
        <v>100263</v>
      </c>
      <c r="C983" t="s">
        <v>19</v>
      </c>
      <c r="D983" s="3">
        <v>45937</v>
      </c>
      <c r="E983" t="s">
        <v>317</v>
      </c>
      <c r="F983" t="s">
        <v>2006</v>
      </c>
      <c r="G983" t="s">
        <v>15</v>
      </c>
      <c r="H983" t="s">
        <v>2007</v>
      </c>
      <c r="I983" t="s">
        <v>2008</v>
      </c>
      <c r="J983" s="4">
        <v>46087.193149456019</v>
      </c>
    </row>
    <row r="984" spans="1:10" x14ac:dyDescent="0.55000000000000004">
      <c r="A984" t="s">
        <v>2005</v>
      </c>
      <c r="B984">
        <v>100263</v>
      </c>
      <c r="C984" t="s">
        <v>19</v>
      </c>
      <c r="D984" s="3">
        <v>45937</v>
      </c>
      <c r="E984" t="s">
        <v>38</v>
      </c>
      <c r="F984" t="s">
        <v>2006</v>
      </c>
      <c r="G984" t="s">
        <v>15</v>
      </c>
      <c r="H984" t="s">
        <v>2007</v>
      </c>
      <c r="I984" t="s">
        <v>2008</v>
      </c>
      <c r="J984" s="4">
        <v>46087.193149456019</v>
      </c>
    </row>
    <row r="985" spans="1:10" x14ac:dyDescent="0.55000000000000004">
      <c r="A985" t="s">
        <v>2009</v>
      </c>
      <c r="B985">
        <v>100532</v>
      </c>
      <c r="C985" t="s">
        <v>37</v>
      </c>
      <c r="D985" s="3">
        <v>46143</v>
      </c>
      <c r="E985" t="s">
        <v>115</v>
      </c>
      <c r="F985" t="s">
        <v>2010</v>
      </c>
      <c r="G985" t="s">
        <v>22</v>
      </c>
      <c r="H985" t="s">
        <v>2011</v>
      </c>
      <c r="I985" t="s">
        <v>2012</v>
      </c>
      <c r="J985" s="4">
        <v>46059.127177233793</v>
      </c>
    </row>
    <row r="986" spans="1:10" x14ac:dyDescent="0.55000000000000004">
      <c r="A986" t="s">
        <v>2013</v>
      </c>
      <c r="B986">
        <v>101430</v>
      </c>
      <c r="C986" t="s">
        <v>37</v>
      </c>
      <c r="D986" s="3">
        <v>45764</v>
      </c>
      <c r="E986" t="s">
        <v>20</v>
      </c>
      <c r="F986" t="s">
        <v>2014</v>
      </c>
      <c r="G986" t="s">
        <v>15</v>
      </c>
      <c r="H986" t="s">
        <v>2015</v>
      </c>
      <c r="I986" t="s">
        <v>2016</v>
      </c>
      <c r="J986" s="4">
        <v>46059.692455023149</v>
      </c>
    </row>
    <row r="987" spans="1:10" x14ac:dyDescent="0.55000000000000004">
      <c r="A987" t="s">
        <v>2013</v>
      </c>
      <c r="B987">
        <v>101430</v>
      </c>
      <c r="C987" t="s">
        <v>37</v>
      </c>
      <c r="D987" s="3">
        <v>45764</v>
      </c>
      <c r="E987" t="s">
        <v>115</v>
      </c>
      <c r="F987" t="s">
        <v>2014</v>
      </c>
      <c r="G987" t="s">
        <v>15</v>
      </c>
      <c r="H987" t="s">
        <v>2015</v>
      </c>
      <c r="I987" t="s">
        <v>2016</v>
      </c>
      <c r="J987" s="4">
        <v>46059.692455023149</v>
      </c>
    </row>
    <row r="988" spans="1:10" x14ac:dyDescent="0.55000000000000004">
      <c r="A988" t="s">
        <v>2017</v>
      </c>
      <c r="B988">
        <v>101069</v>
      </c>
      <c r="C988" t="s">
        <v>179</v>
      </c>
      <c r="D988" s="3">
        <v>45937</v>
      </c>
      <c r="E988" t="s">
        <v>317</v>
      </c>
      <c r="F988" t="s">
        <v>2018</v>
      </c>
      <c r="G988" t="s">
        <v>15</v>
      </c>
      <c r="H988" t="s">
        <v>2019</v>
      </c>
      <c r="I988" t="s">
        <v>2020</v>
      </c>
      <c r="J988" s="4">
        <v>46085.835510578705</v>
      </c>
    </row>
    <row r="989" spans="1:10" x14ac:dyDescent="0.55000000000000004">
      <c r="A989" t="s">
        <v>2017</v>
      </c>
      <c r="B989">
        <v>101069</v>
      </c>
      <c r="C989" t="s">
        <v>179</v>
      </c>
      <c r="D989" s="3">
        <v>45937</v>
      </c>
      <c r="E989" t="s">
        <v>38</v>
      </c>
      <c r="F989" t="s">
        <v>2018</v>
      </c>
      <c r="G989" t="s">
        <v>15</v>
      </c>
      <c r="H989" t="s">
        <v>2019</v>
      </c>
      <c r="I989" t="s">
        <v>2020</v>
      </c>
      <c r="J989" s="4">
        <v>46085.835510578705</v>
      </c>
    </row>
    <row r="990" spans="1:10" x14ac:dyDescent="0.55000000000000004">
      <c r="A990" t="s">
        <v>2017</v>
      </c>
      <c r="B990">
        <v>101069</v>
      </c>
      <c r="C990" t="s">
        <v>179</v>
      </c>
      <c r="D990" s="3">
        <v>45937</v>
      </c>
      <c r="E990" t="s">
        <v>20</v>
      </c>
      <c r="F990" t="s">
        <v>2018</v>
      </c>
      <c r="G990" t="s">
        <v>15</v>
      </c>
      <c r="H990" t="s">
        <v>2019</v>
      </c>
      <c r="I990" t="s">
        <v>2020</v>
      </c>
      <c r="J990" s="4">
        <v>46085.835510578705</v>
      </c>
    </row>
    <row r="991" spans="1:10" x14ac:dyDescent="0.55000000000000004">
      <c r="A991" t="s">
        <v>2021</v>
      </c>
      <c r="B991">
        <v>100059</v>
      </c>
      <c r="C991" t="s">
        <v>19</v>
      </c>
      <c r="D991" s="3">
        <v>45956</v>
      </c>
      <c r="E991" t="s">
        <v>115</v>
      </c>
      <c r="F991" t="s">
        <v>2022</v>
      </c>
      <c r="G991" t="s">
        <v>22</v>
      </c>
      <c r="H991" t="s">
        <v>2023</v>
      </c>
      <c r="I991" t="s">
        <v>2024</v>
      </c>
      <c r="J991" s="4">
        <v>46085.698705034723</v>
      </c>
    </row>
    <row r="992" spans="1:10" x14ac:dyDescent="0.55000000000000004">
      <c r="A992" t="s">
        <v>2025</v>
      </c>
      <c r="B992">
        <v>100165</v>
      </c>
      <c r="C992" t="s">
        <v>19</v>
      </c>
      <c r="D992" s="3">
        <v>45993</v>
      </c>
      <c r="E992" t="s">
        <v>317</v>
      </c>
      <c r="F992" t="s">
        <v>2026</v>
      </c>
      <c r="G992" t="s">
        <v>15</v>
      </c>
      <c r="H992" t="s">
        <v>2027</v>
      </c>
      <c r="I992" t="s">
        <v>2028</v>
      </c>
      <c r="J992" s="4">
        <v>46074.406343923612</v>
      </c>
    </row>
    <row r="993" spans="1:10" x14ac:dyDescent="0.55000000000000004">
      <c r="A993" t="s">
        <v>2025</v>
      </c>
      <c r="B993">
        <v>100165</v>
      </c>
      <c r="C993" t="s">
        <v>19</v>
      </c>
      <c r="D993" s="3">
        <v>45993</v>
      </c>
      <c r="E993" t="s">
        <v>38</v>
      </c>
      <c r="F993" t="s">
        <v>2026</v>
      </c>
      <c r="G993" t="s">
        <v>15</v>
      </c>
      <c r="H993" t="s">
        <v>2027</v>
      </c>
      <c r="I993" t="s">
        <v>2028</v>
      </c>
      <c r="J993" s="4">
        <v>46074.406343923612</v>
      </c>
    </row>
    <row r="994" spans="1:10" x14ac:dyDescent="0.55000000000000004">
      <c r="A994" t="s">
        <v>2025</v>
      </c>
      <c r="B994">
        <v>100165</v>
      </c>
      <c r="C994" t="s">
        <v>19</v>
      </c>
      <c r="D994" s="3">
        <v>45993</v>
      </c>
      <c r="E994" t="s">
        <v>115</v>
      </c>
      <c r="F994" t="s">
        <v>2026</v>
      </c>
      <c r="G994" t="s">
        <v>15</v>
      </c>
      <c r="H994" t="s">
        <v>2027</v>
      </c>
      <c r="I994" t="s">
        <v>2028</v>
      </c>
      <c r="J994" s="4">
        <v>46074.406343923612</v>
      </c>
    </row>
    <row r="995" spans="1:10" x14ac:dyDescent="0.55000000000000004">
      <c r="A995" t="s">
        <v>2029</v>
      </c>
      <c r="B995">
        <v>100618</v>
      </c>
      <c r="C995" t="s">
        <v>37</v>
      </c>
      <c r="D995" s="3">
        <v>45812</v>
      </c>
      <c r="E995" t="s">
        <v>20</v>
      </c>
      <c r="F995" t="s">
        <v>2030</v>
      </c>
      <c r="G995" t="s">
        <v>22</v>
      </c>
      <c r="H995" t="s">
        <v>2031</v>
      </c>
      <c r="I995" t="s">
        <v>2032</v>
      </c>
      <c r="J995" s="4">
        <v>46074.79384392361</v>
      </c>
    </row>
    <row r="996" spans="1:10" x14ac:dyDescent="0.55000000000000004">
      <c r="A996" t="s">
        <v>2033</v>
      </c>
      <c r="B996">
        <v>101313</v>
      </c>
      <c r="C996" t="s">
        <v>179</v>
      </c>
      <c r="D996" s="3">
        <v>45939</v>
      </c>
      <c r="E996" t="s">
        <v>38</v>
      </c>
      <c r="F996" t="s">
        <v>2034</v>
      </c>
      <c r="G996" t="s">
        <v>15</v>
      </c>
      <c r="H996" t="s">
        <v>2035</v>
      </c>
      <c r="I996" t="s">
        <v>2036</v>
      </c>
      <c r="J996" s="4">
        <v>46091.964677268516</v>
      </c>
    </row>
    <row r="997" spans="1:10" x14ac:dyDescent="0.55000000000000004">
      <c r="A997" t="s">
        <v>2033</v>
      </c>
      <c r="B997">
        <v>101313</v>
      </c>
      <c r="C997" t="s">
        <v>179</v>
      </c>
      <c r="D997" s="3">
        <v>45939</v>
      </c>
      <c r="E997" t="s">
        <v>155</v>
      </c>
      <c r="F997" t="s">
        <v>2034</v>
      </c>
      <c r="G997" t="s">
        <v>15</v>
      </c>
      <c r="H997" t="s">
        <v>2035</v>
      </c>
      <c r="I997" t="s">
        <v>2036</v>
      </c>
      <c r="J997" s="4">
        <v>46091.964677268516</v>
      </c>
    </row>
    <row r="998" spans="1:10" x14ac:dyDescent="0.55000000000000004">
      <c r="A998" t="s">
        <v>2033</v>
      </c>
      <c r="B998">
        <v>101313</v>
      </c>
      <c r="C998" t="s">
        <v>179</v>
      </c>
      <c r="D998" s="3">
        <v>45939</v>
      </c>
      <c r="E998" t="s">
        <v>115</v>
      </c>
      <c r="F998" t="s">
        <v>2034</v>
      </c>
      <c r="G998" t="s">
        <v>15</v>
      </c>
      <c r="H998" t="s">
        <v>2035</v>
      </c>
      <c r="I998" t="s">
        <v>2036</v>
      </c>
      <c r="J998" s="4">
        <v>46091.964677268516</v>
      </c>
    </row>
    <row r="999" spans="1:10" x14ac:dyDescent="0.55000000000000004">
      <c r="A999" t="s">
        <v>2037</v>
      </c>
      <c r="B999">
        <v>100045</v>
      </c>
      <c r="C999" t="s">
        <v>68</v>
      </c>
      <c r="D999" s="3">
        <v>46103</v>
      </c>
      <c r="E999" t="s">
        <v>317</v>
      </c>
      <c r="F999" t="s">
        <v>2038</v>
      </c>
      <c r="G999" t="s">
        <v>22</v>
      </c>
      <c r="H999" t="s">
        <v>2039</v>
      </c>
      <c r="I999" t="s">
        <v>2040</v>
      </c>
      <c r="J999" s="4">
        <v>46082.884121712967</v>
      </c>
    </row>
    <row r="1000" spans="1:10" x14ac:dyDescent="0.55000000000000004">
      <c r="A1000" t="s">
        <v>2037</v>
      </c>
      <c r="B1000">
        <v>100045</v>
      </c>
      <c r="C1000" t="s">
        <v>68</v>
      </c>
      <c r="D1000" s="3">
        <v>46103</v>
      </c>
      <c r="E1000" t="s">
        <v>38</v>
      </c>
      <c r="F1000" t="s">
        <v>2038</v>
      </c>
      <c r="G1000" t="s">
        <v>22</v>
      </c>
      <c r="H1000" t="s">
        <v>2039</v>
      </c>
      <c r="I1000" t="s">
        <v>2040</v>
      </c>
      <c r="J1000" s="4">
        <v>46082.884121712967</v>
      </c>
    </row>
    <row r="1001" spans="1:10" x14ac:dyDescent="0.55000000000000004">
      <c r="A1001" t="s">
        <v>2037</v>
      </c>
      <c r="B1001">
        <v>100045</v>
      </c>
      <c r="C1001" t="s">
        <v>68</v>
      </c>
      <c r="D1001" s="3">
        <v>46103</v>
      </c>
      <c r="E1001" t="s">
        <v>20</v>
      </c>
      <c r="F1001" t="s">
        <v>2038</v>
      </c>
      <c r="G1001" t="s">
        <v>22</v>
      </c>
      <c r="H1001" t="s">
        <v>2039</v>
      </c>
      <c r="I1001" t="s">
        <v>2040</v>
      </c>
      <c r="J1001" s="4">
        <v>46082.884121712967</v>
      </c>
    </row>
    <row r="1002" spans="1:10" x14ac:dyDescent="0.55000000000000004">
      <c r="A1002" t="s">
        <v>2041</v>
      </c>
      <c r="B1002">
        <v>101314</v>
      </c>
      <c r="C1002" t="s">
        <v>248</v>
      </c>
      <c r="D1002" s="3">
        <v>45964</v>
      </c>
      <c r="E1002" t="s">
        <v>38</v>
      </c>
      <c r="F1002" t="s">
        <v>2042</v>
      </c>
      <c r="G1002" t="s">
        <v>22</v>
      </c>
      <c r="H1002" t="s">
        <v>2043</v>
      </c>
      <c r="I1002" t="s">
        <v>2044</v>
      </c>
      <c r="J1002" s="4">
        <v>46086.167455046299</v>
      </c>
    </row>
    <row r="1003" spans="1:10" x14ac:dyDescent="0.55000000000000004">
      <c r="A1003" t="s">
        <v>2041</v>
      </c>
      <c r="B1003">
        <v>101314</v>
      </c>
      <c r="C1003" t="s">
        <v>248</v>
      </c>
      <c r="D1003" s="3">
        <v>45964</v>
      </c>
      <c r="E1003" t="s">
        <v>155</v>
      </c>
      <c r="F1003" t="s">
        <v>2042</v>
      </c>
      <c r="G1003" t="s">
        <v>22</v>
      </c>
      <c r="H1003" t="s">
        <v>2043</v>
      </c>
      <c r="I1003" t="s">
        <v>2044</v>
      </c>
      <c r="J1003" s="4">
        <v>46086.167455046299</v>
      </c>
    </row>
    <row r="1004" spans="1:10" x14ac:dyDescent="0.55000000000000004">
      <c r="A1004" t="s">
        <v>2045</v>
      </c>
      <c r="B1004">
        <v>100018</v>
      </c>
      <c r="C1004" t="s">
        <v>19</v>
      </c>
      <c r="D1004" s="3">
        <v>45786</v>
      </c>
      <c r="E1004" t="s">
        <v>38</v>
      </c>
      <c r="F1004" t="s">
        <v>2046</v>
      </c>
      <c r="G1004" t="s">
        <v>22</v>
      </c>
      <c r="H1004" t="s">
        <v>2047</v>
      </c>
      <c r="I1004" t="s">
        <v>2048</v>
      </c>
      <c r="J1004" s="4">
        <v>46090.016066168981</v>
      </c>
    </row>
    <row r="1005" spans="1:10" x14ac:dyDescent="0.55000000000000004">
      <c r="A1005" t="s">
        <v>2045</v>
      </c>
      <c r="B1005">
        <v>100018</v>
      </c>
      <c r="C1005" t="s">
        <v>19</v>
      </c>
      <c r="D1005" s="3">
        <v>45786</v>
      </c>
      <c r="E1005" t="s">
        <v>20</v>
      </c>
      <c r="F1005" t="s">
        <v>2046</v>
      </c>
      <c r="G1005" t="s">
        <v>22</v>
      </c>
      <c r="H1005" t="s">
        <v>2047</v>
      </c>
      <c r="I1005" t="s">
        <v>2048</v>
      </c>
      <c r="J1005" s="4">
        <v>46090.016066168981</v>
      </c>
    </row>
    <row r="1006" spans="1:10" x14ac:dyDescent="0.55000000000000004">
      <c r="A1006" t="s">
        <v>2045</v>
      </c>
      <c r="B1006">
        <v>100018</v>
      </c>
      <c r="C1006" t="s">
        <v>19</v>
      </c>
      <c r="D1006" s="3">
        <v>45786</v>
      </c>
      <c r="E1006" t="s">
        <v>155</v>
      </c>
      <c r="F1006" t="s">
        <v>2046</v>
      </c>
      <c r="G1006" t="s">
        <v>22</v>
      </c>
      <c r="H1006" t="s">
        <v>2047</v>
      </c>
      <c r="I1006" t="s">
        <v>2048</v>
      </c>
      <c r="J1006" s="4">
        <v>46090.016066168981</v>
      </c>
    </row>
    <row r="1007" spans="1:10" x14ac:dyDescent="0.55000000000000004">
      <c r="A1007" t="s">
        <v>2049</v>
      </c>
      <c r="B1007">
        <v>101042</v>
      </c>
      <c r="C1007" t="s">
        <v>248</v>
      </c>
      <c r="D1007" s="3">
        <v>46007</v>
      </c>
      <c r="E1007" t="s">
        <v>38</v>
      </c>
      <c r="F1007" t="s">
        <v>2050</v>
      </c>
      <c r="G1007" t="s">
        <v>22</v>
      </c>
      <c r="H1007" t="s">
        <v>2051</v>
      </c>
      <c r="I1007" t="s">
        <v>2052</v>
      </c>
      <c r="J1007" s="4">
        <v>46082.263288391201</v>
      </c>
    </row>
    <row r="1008" spans="1:10" x14ac:dyDescent="0.55000000000000004">
      <c r="A1008" t="s">
        <v>2049</v>
      </c>
      <c r="B1008">
        <v>101042</v>
      </c>
      <c r="C1008" t="s">
        <v>248</v>
      </c>
      <c r="D1008" s="3">
        <v>46007</v>
      </c>
      <c r="E1008" t="s">
        <v>20</v>
      </c>
      <c r="F1008" t="s">
        <v>2050</v>
      </c>
      <c r="G1008" t="s">
        <v>22</v>
      </c>
      <c r="H1008" t="s">
        <v>2051</v>
      </c>
      <c r="I1008" t="s">
        <v>2052</v>
      </c>
      <c r="J1008" s="4">
        <v>46082.263288391201</v>
      </c>
    </row>
    <row r="1009" spans="1:10" x14ac:dyDescent="0.55000000000000004">
      <c r="A1009" t="s">
        <v>2049</v>
      </c>
      <c r="B1009">
        <v>101042</v>
      </c>
      <c r="C1009" t="s">
        <v>248</v>
      </c>
      <c r="D1009" s="3">
        <v>46007</v>
      </c>
      <c r="E1009" t="s">
        <v>69</v>
      </c>
      <c r="F1009" t="s">
        <v>2050</v>
      </c>
      <c r="G1009" t="s">
        <v>22</v>
      </c>
      <c r="H1009" t="s">
        <v>2051</v>
      </c>
      <c r="I1009" t="s">
        <v>2052</v>
      </c>
      <c r="J1009" s="4">
        <v>46082.263288391201</v>
      </c>
    </row>
    <row r="1010" spans="1:10" x14ac:dyDescent="0.55000000000000004">
      <c r="A1010" t="s">
        <v>2053</v>
      </c>
      <c r="B1010">
        <v>100586</v>
      </c>
      <c r="C1010" t="s">
        <v>179</v>
      </c>
      <c r="D1010" s="3">
        <v>46080</v>
      </c>
      <c r="E1010" t="s">
        <v>38</v>
      </c>
      <c r="F1010" t="s">
        <v>2054</v>
      </c>
      <c r="G1010" t="s">
        <v>22</v>
      </c>
      <c r="H1010" t="s">
        <v>2055</v>
      </c>
      <c r="I1010" t="s">
        <v>2056</v>
      </c>
      <c r="J1010" s="4">
        <v>46090.379260624999</v>
      </c>
    </row>
    <row r="1011" spans="1:10" x14ac:dyDescent="0.55000000000000004">
      <c r="A1011" t="s">
        <v>2053</v>
      </c>
      <c r="B1011">
        <v>100586</v>
      </c>
      <c r="C1011" t="s">
        <v>179</v>
      </c>
      <c r="D1011" s="3">
        <v>46080</v>
      </c>
      <c r="E1011" t="s">
        <v>155</v>
      </c>
      <c r="F1011" t="s">
        <v>2054</v>
      </c>
      <c r="G1011" t="s">
        <v>22</v>
      </c>
      <c r="H1011" t="s">
        <v>2055</v>
      </c>
      <c r="I1011" t="s">
        <v>2056</v>
      </c>
      <c r="J1011" s="4">
        <v>46090.379260624999</v>
      </c>
    </row>
    <row r="1012" spans="1:10" x14ac:dyDescent="0.55000000000000004">
      <c r="A1012" t="s">
        <v>2057</v>
      </c>
      <c r="B1012">
        <v>100734</v>
      </c>
      <c r="C1012" t="s">
        <v>37</v>
      </c>
      <c r="D1012" s="3">
        <v>45927</v>
      </c>
      <c r="E1012" t="s">
        <v>317</v>
      </c>
      <c r="F1012" t="s">
        <v>2058</v>
      </c>
      <c r="G1012" t="s">
        <v>22</v>
      </c>
      <c r="H1012" t="s">
        <v>2059</v>
      </c>
      <c r="I1012" t="s">
        <v>2060</v>
      </c>
      <c r="J1012" s="4">
        <v>46075.011899513891</v>
      </c>
    </row>
    <row r="1013" spans="1:10" x14ac:dyDescent="0.55000000000000004">
      <c r="A1013" t="s">
        <v>2057</v>
      </c>
      <c r="B1013">
        <v>100734</v>
      </c>
      <c r="C1013" t="s">
        <v>37</v>
      </c>
      <c r="D1013" s="3">
        <v>45927</v>
      </c>
      <c r="E1013" t="s">
        <v>20</v>
      </c>
      <c r="F1013" t="s">
        <v>2058</v>
      </c>
      <c r="G1013" t="s">
        <v>22</v>
      </c>
      <c r="H1013" t="s">
        <v>2059</v>
      </c>
      <c r="I1013" t="s">
        <v>2060</v>
      </c>
      <c r="J1013" s="4">
        <v>46075.011899513891</v>
      </c>
    </row>
    <row r="1014" spans="1:10" x14ac:dyDescent="0.55000000000000004">
      <c r="A1014" t="s">
        <v>2057</v>
      </c>
      <c r="B1014">
        <v>100734</v>
      </c>
      <c r="C1014" t="s">
        <v>37</v>
      </c>
      <c r="D1014" s="3">
        <v>45927</v>
      </c>
      <c r="E1014" t="s">
        <v>115</v>
      </c>
      <c r="F1014" t="s">
        <v>2058</v>
      </c>
      <c r="G1014" t="s">
        <v>22</v>
      </c>
      <c r="H1014" t="s">
        <v>2059</v>
      </c>
      <c r="I1014" t="s">
        <v>2060</v>
      </c>
      <c r="J1014" s="4">
        <v>46075.011899513891</v>
      </c>
    </row>
    <row r="1015" spans="1:10" x14ac:dyDescent="0.55000000000000004">
      <c r="A1015" t="s">
        <v>2061</v>
      </c>
      <c r="B1015">
        <v>100205</v>
      </c>
      <c r="C1015" t="s">
        <v>19</v>
      </c>
      <c r="D1015" s="3">
        <v>45736</v>
      </c>
      <c r="E1015" t="s">
        <v>317</v>
      </c>
      <c r="F1015" t="s">
        <v>2062</v>
      </c>
      <c r="G1015" t="s">
        <v>15</v>
      </c>
      <c r="H1015" t="s">
        <v>2063</v>
      </c>
      <c r="I1015" t="s">
        <v>2064</v>
      </c>
      <c r="J1015" s="4">
        <v>46071.788288402779</v>
      </c>
    </row>
    <row r="1016" spans="1:10" x14ac:dyDescent="0.55000000000000004">
      <c r="A1016" t="s">
        <v>2061</v>
      </c>
      <c r="B1016">
        <v>100205</v>
      </c>
      <c r="C1016" t="s">
        <v>19</v>
      </c>
      <c r="D1016" s="3">
        <v>45736</v>
      </c>
      <c r="E1016" t="s">
        <v>20</v>
      </c>
      <c r="F1016" t="s">
        <v>2062</v>
      </c>
      <c r="G1016" t="s">
        <v>15</v>
      </c>
      <c r="H1016" t="s">
        <v>2063</v>
      </c>
      <c r="I1016" t="s">
        <v>2064</v>
      </c>
      <c r="J1016" s="4">
        <v>46071.788288402779</v>
      </c>
    </row>
    <row r="1017" spans="1:10" x14ac:dyDescent="0.55000000000000004">
      <c r="A1017" t="s">
        <v>2061</v>
      </c>
      <c r="B1017">
        <v>100205</v>
      </c>
      <c r="C1017" t="s">
        <v>19</v>
      </c>
      <c r="D1017" s="3">
        <v>45736</v>
      </c>
      <c r="E1017" t="s">
        <v>115</v>
      </c>
      <c r="F1017" t="s">
        <v>2062</v>
      </c>
      <c r="G1017" t="s">
        <v>15</v>
      </c>
      <c r="H1017" t="s">
        <v>2063</v>
      </c>
      <c r="I1017" t="s">
        <v>2064</v>
      </c>
      <c r="J1017" s="4">
        <v>46071.788288402779</v>
      </c>
    </row>
    <row r="1018" spans="1:10" x14ac:dyDescent="0.55000000000000004">
      <c r="A1018" t="s">
        <v>2065</v>
      </c>
      <c r="B1018">
        <v>100483</v>
      </c>
      <c r="C1018" t="s">
        <v>68</v>
      </c>
      <c r="D1018" s="3">
        <v>45770</v>
      </c>
      <c r="E1018" t="s">
        <v>20</v>
      </c>
      <c r="F1018" t="s">
        <v>725</v>
      </c>
      <c r="G1018" t="s">
        <v>22</v>
      </c>
      <c r="H1018" t="s">
        <v>2066</v>
      </c>
      <c r="I1018" t="s">
        <v>2067</v>
      </c>
      <c r="J1018" s="4">
        <v>46083.930649525464</v>
      </c>
    </row>
    <row r="1019" spans="1:10" x14ac:dyDescent="0.55000000000000004">
      <c r="A1019" t="s">
        <v>2065</v>
      </c>
      <c r="B1019">
        <v>100483</v>
      </c>
      <c r="C1019" t="s">
        <v>68</v>
      </c>
      <c r="D1019" s="3">
        <v>45770</v>
      </c>
      <c r="E1019" t="s">
        <v>115</v>
      </c>
      <c r="F1019" t="s">
        <v>725</v>
      </c>
      <c r="G1019" t="s">
        <v>22</v>
      </c>
      <c r="H1019" t="s">
        <v>2066</v>
      </c>
      <c r="I1019" t="s">
        <v>2067</v>
      </c>
      <c r="J1019" s="4">
        <v>46083.930649525464</v>
      </c>
    </row>
    <row r="1020" spans="1:10" x14ac:dyDescent="0.55000000000000004">
      <c r="A1020" t="s">
        <v>2065</v>
      </c>
      <c r="B1020">
        <v>100483</v>
      </c>
      <c r="C1020" t="s">
        <v>68</v>
      </c>
      <c r="D1020" s="3">
        <v>45770</v>
      </c>
      <c r="E1020" t="s">
        <v>69</v>
      </c>
      <c r="F1020" t="s">
        <v>725</v>
      </c>
      <c r="G1020" t="s">
        <v>22</v>
      </c>
      <c r="H1020" t="s">
        <v>2066</v>
      </c>
      <c r="I1020" t="s">
        <v>2067</v>
      </c>
      <c r="J1020" s="4">
        <v>46083.930649525464</v>
      </c>
    </row>
    <row r="1021" spans="1:10" x14ac:dyDescent="0.55000000000000004">
      <c r="A1021" t="s">
        <v>2068</v>
      </c>
      <c r="B1021">
        <v>100339</v>
      </c>
      <c r="C1021" t="s">
        <v>248</v>
      </c>
      <c r="D1021" s="3">
        <v>45825</v>
      </c>
      <c r="E1021" t="s">
        <v>317</v>
      </c>
      <c r="F1021" t="s">
        <v>2069</v>
      </c>
      <c r="G1021" t="s">
        <v>15</v>
      </c>
      <c r="H1021" t="s">
        <v>2070</v>
      </c>
      <c r="I1021" t="s">
        <v>2071</v>
      </c>
      <c r="J1021" s="4">
        <v>46082.402177303244</v>
      </c>
    </row>
    <row r="1022" spans="1:10" x14ac:dyDescent="0.55000000000000004">
      <c r="A1022" t="s">
        <v>2068</v>
      </c>
      <c r="B1022">
        <v>100339</v>
      </c>
      <c r="C1022" t="s">
        <v>248</v>
      </c>
      <c r="D1022" s="3">
        <v>45825</v>
      </c>
      <c r="E1022" t="s">
        <v>115</v>
      </c>
      <c r="F1022" t="s">
        <v>2069</v>
      </c>
      <c r="G1022" t="s">
        <v>15</v>
      </c>
      <c r="H1022" t="s">
        <v>2070</v>
      </c>
      <c r="I1022" t="s">
        <v>2071</v>
      </c>
      <c r="J1022" s="4">
        <v>46082.402177303244</v>
      </c>
    </row>
    <row r="1023" spans="1:10" x14ac:dyDescent="0.55000000000000004">
      <c r="A1023" t="s">
        <v>2068</v>
      </c>
      <c r="B1023">
        <v>100339</v>
      </c>
      <c r="C1023" t="s">
        <v>248</v>
      </c>
      <c r="D1023" s="3">
        <v>45825</v>
      </c>
      <c r="E1023" t="s">
        <v>69</v>
      </c>
      <c r="F1023" t="s">
        <v>2069</v>
      </c>
      <c r="G1023" t="s">
        <v>15</v>
      </c>
      <c r="H1023" t="s">
        <v>2070</v>
      </c>
      <c r="I1023" t="s">
        <v>2071</v>
      </c>
      <c r="J1023" s="4">
        <v>46082.402177303244</v>
      </c>
    </row>
    <row r="1024" spans="1:10" x14ac:dyDescent="0.55000000000000004">
      <c r="A1024" t="s">
        <v>2072</v>
      </c>
      <c r="B1024">
        <v>100147</v>
      </c>
      <c r="C1024" t="s">
        <v>248</v>
      </c>
      <c r="D1024" s="3">
        <v>45837</v>
      </c>
      <c r="E1024" t="s">
        <v>115</v>
      </c>
      <c r="F1024" t="s">
        <v>2073</v>
      </c>
      <c r="G1024" t="s">
        <v>15</v>
      </c>
      <c r="H1024" t="s">
        <v>2074</v>
      </c>
      <c r="I1024" t="s">
        <v>2075</v>
      </c>
      <c r="J1024" s="4">
        <v>46058.239677303238</v>
      </c>
    </row>
    <row r="1025" spans="1:10" x14ac:dyDescent="0.55000000000000004">
      <c r="A1025" t="s">
        <v>2076</v>
      </c>
      <c r="B1025">
        <v>101178</v>
      </c>
      <c r="C1025" t="s">
        <v>533</v>
      </c>
      <c r="D1025" s="3">
        <v>46130</v>
      </c>
      <c r="E1025" t="s">
        <v>155</v>
      </c>
      <c r="F1025" t="s">
        <v>2077</v>
      </c>
      <c r="G1025" t="s">
        <v>15</v>
      </c>
      <c r="H1025" t="s">
        <v>2078</v>
      </c>
      <c r="I1025" t="s">
        <v>2079</v>
      </c>
      <c r="J1025" s="4">
        <v>46053.802871759261</v>
      </c>
    </row>
    <row r="1026" spans="1:10" x14ac:dyDescent="0.55000000000000004">
      <c r="A1026" t="s">
        <v>2080</v>
      </c>
      <c r="B1026">
        <v>100737</v>
      </c>
      <c r="C1026" t="s">
        <v>19</v>
      </c>
      <c r="D1026" s="3">
        <v>46046</v>
      </c>
      <c r="E1026" t="s">
        <v>38</v>
      </c>
      <c r="F1026" t="s">
        <v>2081</v>
      </c>
      <c r="G1026" t="s">
        <v>15</v>
      </c>
      <c r="H1026" t="s">
        <v>2082</v>
      </c>
      <c r="I1026" t="s">
        <v>2083</v>
      </c>
      <c r="J1026" s="4">
        <v>46067.218149537039</v>
      </c>
    </row>
    <row r="1027" spans="1:10" x14ac:dyDescent="0.55000000000000004">
      <c r="A1027" t="s">
        <v>2084</v>
      </c>
      <c r="B1027">
        <v>101096</v>
      </c>
      <c r="C1027" t="s">
        <v>19</v>
      </c>
      <c r="D1027" s="3">
        <v>45893</v>
      </c>
      <c r="E1027" t="s">
        <v>38</v>
      </c>
      <c r="F1027" t="s">
        <v>2085</v>
      </c>
      <c r="G1027" t="s">
        <v>22</v>
      </c>
      <c r="H1027" t="s">
        <v>2086</v>
      </c>
      <c r="I1027" t="s">
        <v>2087</v>
      </c>
      <c r="J1027" s="4">
        <v>46086.019538425928</v>
      </c>
    </row>
    <row r="1028" spans="1:10" x14ac:dyDescent="0.55000000000000004">
      <c r="A1028" t="s">
        <v>2084</v>
      </c>
      <c r="B1028">
        <v>101096</v>
      </c>
      <c r="C1028" t="s">
        <v>19</v>
      </c>
      <c r="D1028" s="3">
        <v>45893</v>
      </c>
      <c r="E1028" t="s">
        <v>20</v>
      </c>
      <c r="F1028" t="s">
        <v>2085</v>
      </c>
      <c r="G1028" t="s">
        <v>22</v>
      </c>
      <c r="H1028" t="s">
        <v>2086</v>
      </c>
      <c r="I1028" t="s">
        <v>2087</v>
      </c>
      <c r="J1028" s="4">
        <v>46086.019538425928</v>
      </c>
    </row>
    <row r="1029" spans="1:10" x14ac:dyDescent="0.55000000000000004">
      <c r="A1029" t="s">
        <v>2088</v>
      </c>
      <c r="B1029">
        <v>100168</v>
      </c>
      <c r="C1029" t="s">
        <v>248</v>
      </c>
      <c r="D1029" s="3">
        <v>45935</v>
      </c>
      <c r="E1029" t="s">
        <v>38</v>
      </c>
      <c r="F1029" t="s">
        <v>2089</v>
      </c>
      <c r="G1029" t="s">
        <v>15</v>
      </c>
      <c r="H1029" t="s">
        <v>2090</v>
      </c>
      <c r="I1029" t="s">
        <v>2091</v>
      </c>
      <c r="J1029" s="4">
        <v>46093.998705104168</v>
      </c>
    </row>
    <row r="1030" spans="1:10" x14ac:dyDescent="0.55000000000000004">
      <c r="A1030" t="s">
        <v>2092</v>
      </c>
      <c r="B1030">
        <v>100717</v>
      </c>
      <c r="C1030" t="s">
        <v>179</v>
      </c>
      <c r="D1030" s="3">
        <v>45976</v>
      </c>
      <c r="E1030" t="s">
        <v>38</v>
      </c>
      <c r="F1030" t="s">
        <v>2093</v>
      </c>
      <c r="G1030" t="s">
        <v>22</v>
      </c>
      <c r="H1030" t="s">
        <v>2094</v>
      </c>
      <c r="I1030" t="s">
        <v>2095</v>
      </c>
      <c r="J1030" s="4">
        <v>46054.498010659721</v>
      </c>
    </row>
    <row r="1031" spans="1:10" x14ac:dyDescent="0.55000000000000004">
      <c r="A1031" t="s">
        <v>2092</v>
      </c>
      <c r="B1031">
        <v>100717</v>
      </c>
      <c r="C1031" t="s">
        <v>179</v>
      </c>
      <c r="D1031" s="3">
        <v>45976</v>
      </c>
      <c r="E1031" t="s">
        <v>20</v>
      </c>
      <c r="F1031" t="s">
        <v>2093</v>
      </c>
      <c r="G1031" t="s">
        <v>22</v>
      </c>
      <c r="H1031" t="s">
        <v>2094</v>
      </c>
      <c r="I1031" t="s">
        <v>2095</v>
      </c>
      <c r="J1031" s="4">
        <v>46054.498010659721</v>
      </c>
    </row>
    <row r="1032" spans="1:10" x14ac:dyDescent="0.55000000000000004">
      <c r="A1032" t="s">
        <v>2092</v>
      </c>
      <c r="B1032">
        <v>100717</v>
      </c>
      <c r="C1032" t="s">
        <v>179</v>
      </c>
      <c r="D1032" s="3">
        <v>45976</v>
      </c>
      <c r="E1032" t="s">
        <v>155</v>
      </c>
      <c r="F1032" t="s">
        <v>2093</v>
      </c>
      <c r="G1032" t="s">
        <v>22</v>
      </c>
      <c r="H1032" t="s">
        <v>2094</v>
      </c>
      <c r="I1032" t="s">
        <v>2095</v>
      </c>
      <c r="J1032" s="4">
        <v>46054.498010659721</v>
      </c>
    </row>
    <row r="1033" spans="1:10" x14ac:dyDescent="0.55000000000000004">
      <c r="A1033" t="s">
        <v>2096</v>
      </c>
      <c r="B1033">
        <v>101021</v>
      </c>
      <c r="C1033" t="s">
        <v>179</v>
      </c>
      <c r="D1033" s="3">
        <v>45793</v>
      </c>
      <c r="E1033" t="s">
        <v>38</v>
      </c>
      <c r="F1033" t="s">
        <v>2097</v>
      </c>
      <c r="G1033" t="s">
        <v>15</v>
      </c>
      <c r="H1033" t="s">
        <v>2098</v>
      </c>
      <c r="I1033" t="s">
        <v>2099</v>
      </c>
      <c r="J1033" s="4">
        <v>46096.787593993053</v>
      </c>
    </row>
    <row r="1034" spans="1:10" x14ac:dyDescent="0.55000000000000004">
      <c r="A1034" t="s">
        <v>2096</v>
      </c>
      <c r="B1034">
        <v>101021</v>
      </c>
      <c r="C1034" t="s">
        <v>179</v>
      </c>
      <c r="D1034" s="3">
        <v>45793</v>
      </c>
      <c r="E1034" t="s">
        <v>20</v>
      </c>
      <c r="F1034" t="s">
        <v>2097</v>
      </c>
      <c r="G1034" t="s">
        <v>15</v>
      </c>
      <c r="H1034" t="s">
        <v>2098</v>
      </c>
      <c r="I1034" t="s">
        <v>2099</v>
      </c>
      <c r="J1034" s="4">
        <v>46096.787593993053</v>
      </c>
    </row>
    <row r="1035" spans="1:10" x14ac:dyDescent="0.55000000000000004">
      <c r="A1035" t="s">
        <v>2096</v>
      </c>
      <c r="B1035">
        <v>101021</v>
      </c>
      <c r="C1035" t="s">
        <v>179</v>
      </c>
      <c r="D1035" s="3">
        <v>45793</v>
      </c>
      <c r="E1035" t="s">
        <v>69</v>
      </c>
      <c r="F1035" t="s">
        <v>2097</v>
      </c>
      <c r="G1035" t="s">
        <v>15</v>
      </c>
      <c r="H1035" t="s">
        <v>2098</v>
      </c>
      <c r="I1035" t="s">
        <v>2099</v>
      </c>
      <c r="J1035" s="4">
        <v>46096.787593993053</v>
      </c>
    </row>
    <row r="1036" spans="1:10" x14ac:dyDescent="0.55000000000000004">
      <c r="A1036" t="s">
        <v>2100</v>
      </c>
      <c r="B1036">
        <v>100792</v>
      </c>
      <c r="C1036" t="s">
        <v>248</v>
      </c>
      <c r="D1036" s="3">
        <v>45926</v>
      </c>
      <c r="E1036" t="s">
        <v>38</v>
      </c>
      <c r="F1036" t="s">
        <v>2101</v>
      </c>
      <c r="G1036" t="s">
        <v>22</v>
      </c>
      <c r="H1036" t="s">
        <v>2102</v>
      </c>
      <c r="I1036" t="s">
        <v>2103</v>
      </c>
      <c r="J1036" s="4">
        <v>46085.966066226851</v>
      </c>
    </row>
    <row r="1037" spans="1:10" x14ac:dyDescent="0.55000000000000004">
      <c r="A1037" t="s">
        <v>2100</v>
      </c>
      <c r="B1037">
        <v>100792</v>
      </c>
      <c r="C1037" t="s">
        <v>248</v>
      </c>
      <c r="D1037" s="3">
        <v>45926</v>
      </c>
      <c r="E1037" t="s">
        <v>20</v>
      </c>
      <c r="F1037" t="s">
        <v>2101</v>
      </c>
      <c r="G1037" t="s">
        <v>22</v>
      </c>
      <c r="H1037" t="s">
        <v>2102</v>
      </c>
      <c r="I1037" t="s">
        <v>2103</v>
      </c>
      <c r="J1037" s="4">
        <v>46085.966066226851</v>
      </c>
    </row>
    <row r="1038" spans="1:10" x14ac:dyDescent="0.55000000000000004">
      <c r="A1038" t="s">
        <v>2100</v>
      </c>
      <c r="B1038">
        <v>100792</v>
      </c>
      <c r="C1038" t="s">
        <v>248</v>
      </c>
      <c r="D1038" s="3">
        <v>45926</v>
      </c>
      <c r="E1038" t="s">
        <v>155</v>
      </c>
      <c r="F1038" t="s">
        <v>2101</v>
      </c>
      <c r="G1038" t="s">
        <v>22</v>
      </c>
      <c r="H1038" t="s">
        <v>2102</v>
      </c>
      <c r="I1038" t="s">
        <v>2103</v>
      </c>
      <c r="J1038" s="4">
        <v>46085.966066226851</v>
      </c>
    </row>
    <row r="1039" spans="1:10" x14ac:dyDescent="0.55000000000000004">
      <c r="A1039" t="s">
        <v>2104</v>
      </c>
      <c r="B1039">
        <v>100886</v>
      </c>
      <c r="C1039" t="s">
        <v>248</v>
      </c>
      <c r="D1039" s="3">
        <v>45853</v>
      </c>
      <c r="E1039" t="s">
        <v>38</v>
      </c>
      <c r="F1039" t="s">
        <v>2105</v>
      </c>
      <c r="G1039" t="s">
        <v>22</v>
      </c>
      <c r="H1039" t="s">
        <v>2106</v>
      </c>
      <c r="I1039" t="s">
        <v>2107</v>
      </c>
      <c r="J1039" s="4">
        <v>46074.484816226854</v>
      </c>
    </row>
    <row r="1040" spans="1:10" x14ac:dyDescent="0.55000000000000004">
      <c r="A1040" t="s">
        <v>2104</v>
      </c>
      <c r="B1040">
        <v>100886</v>
      </c>
      <c r="C1040" t="s">
        <v>248</v>
      </c>
      <c r="D1040" s="3">
        <v>45853</v>
      </c>
      <c r="E1040" t="s">
        <v>69</v>
      </c>
      <c r="F1040" t="s">
        <v>2105</v>
      </c>
      <c r="G1040" t="s">
        <v>22</v>
      </c>
      <c r="H1040" t="s">
        <v>2106</v>
      </c>
      <c r="I1040" t="s">
        <v>2107</v>
      </c>
      <c r="J1040" s="4">
        <v>46074.484816226854</v>
      </c>
    </row>
    <row r="1041" spans="1:11" x14ac:dyDescent="0.55000000000000004">
      <c r="A1041" t="s">
        <v>2108</v>
      </c>
      <c r="B1041">
        <v>100328</v>
      </c>
      <c r="C1041" t="s">
        <v>19</v>
      </c>
      <c r="D1041" s="3">
        <v>45949</v>
      </c>
      <c r="E1041" t="s">
        <v>69</v>
      </c>
      <c r="F1041" t="s">
        <v>2109</v>
      </c>
      <c r="G1041" t="s">
        <v>22</v>
      </c>
      <c r="H1041" t="s">
        <v>2110</v>
      </c>
      <c r="I1041" t="s">
        <v>2111</v>
      </c>
      <c r="J1041" s="4">
        <v>46074.176482905095</v>
      </c>
    </row>
    <row r="1042" spans="1:11" x14ac:dyDescent="0.55000000000000004">
      <c r="A1042" t="s">
        <v>2112</v>
      </c>
      <c r="B1042">
        <v>100341</v>
      </c>
      <c r="C1042" t="s">
        <v>248</v>
      </c>
      <c r="D1042" s="3">
        <v>45962</v>
      </c>
      <c r="E1042" t="s">
        <v>38</v>
      </c>
      <c r="F1042" t="s">
        <v>2113</v>
      </c>
      <c r="G1042" t="s">
        <v>15</v>
      </c>
      <c r="H1042" t="s">
        <v>2114</v>
      </c>
      <c r="I1042" t="s">
        <v>2115</v>
      </c>
      <c r="J1042" s="4">
        <v>46060.770927349535</v>
      </c>
    </row>
    <row r="1043" spans="1:11" x14ac:dyDescent="0.55000000000000004">
      <c r="A1043" t="s">
        <v>2116</v>
      </c>
      <c r="B1043">
        <v>100567</v>
      </c>
      <c r="C1043" t="s">
        <v>248</v>
      </c>
      <c r="D1043" s="3">
        <v>46148</v>
      </c>
      <c r="E1043" t="s">
        <v>317</v>
      </c>
      <c r="F1043" t="s">
        <v>2117</v>
      </c>
      <c r="G1043" t="s">
        <v>22</v>
      </c>
      <c r="H1043" t="s">
        <v>2118</v>
      </c>
      <c r="I1043" t="s">
        <v>2119</v>
      </c>
      <c r="J1043" s="4">
        <v>46081.956344016202</v>
      </c>
    </row>
    <row r="1044" spans="1:11" x14ac:dyDescent="0.55000000000000004">
      <c r="A1044" t="s">
        <v>2120</v>
      </c>
      <c r="B1044">
        <v>101023</v>
      </c>
      <c r="C1044" t="s">
        <v>179</v>
      </c>
      <c r="D1044" s="3">
        <v>45927</v>
      </c>
      <c r="E1044" t="s">
        <v>115</v>
      </c>
      <c r="F1044" t="s">
        <v>2121</v>
      </c>
      <c r="G1044" t="s">
        <v>15</v>
      </c>
      <c r="H1044" t="s">
        <v>2122</v>
      </c>
      <c r="I1044" t="s">
        <v>2123</v>
      </c>
      <c r="J1044" s="4">
        <v>46067.732732916666</v>
      </c>
    </row>
    <row r="1045" spans="1:11" x14ac:dyDescent="0.55000000000000004">
      <c r="A1045" t="s">
        <v>2124</v>
      </c>
      <c r="B1045">
        <v>100522</v>
      </c>
      <c r="C1045" t="s">
        <v>533</v>
      </c>
      <c r="D1045" s="3">
        <v>45947</v>
      </c>
      <c r="E1045" t="s">
        <v>38</v>
      </c>
      <c r="F1045" t="s">
        <v>2125</v>
      </c>
      <c r="G1045" t="s">
        <v>22</v>
      </c>
      <c r="H1045" t="s">
        <v>2126</v>
      </c>
      <c r="I1045" t="s">
        <v>2127</v>
      </c>
      <c r="J1045" s="4">
        <v>46066.31953847222</v>
      </c>
    </row>
    <row r="1046" spans="1:11" x14ac:dyDescent="0.55000000000000004">
      <c r="A1046" t="s">
        <v>2124</v>
      </c>
      <c r="B1046">
        <v>100522</v>
      </c>
      <c r="C1046" t="s">
        <v>533</v>
      </c>
      <c r="D1046" s="3">
        <v>45947</v>
      </c>
      <c r="E1046" t="s">
        <v>115</v>
      </c>
      <c r="F1046" t="s">
        <v>2125</v>
      </c>
      <c r="G1046" t="s">
        <v>22</v>
      </c>
      <c r="H1046" t="s">
        <v>2126</v>
      </c>
      <c r="I1046" t="s">
        <v>2127</v>
      </c>
      <c r="J1046" s="4">
        <v>46066.31953847222</v>
      </c>
    </row>
    <row r="1047" spans="1:11" x14ac:dyDescent="0.55000000000000004">
      <c r="A1047" t="s">
        <v>2128</v>
      </c>
      <c r="B1047">
        <v>100528</v>
      </c>
      <c r="C1047" t="s">
        <v>248</v>
      </c>
      <c r="D1047" s="3">
        <v>46019</v>
      </c>
      <c r="E1047" t="s">
        <v>317</v>
      </c>
      <c r="F1047" t="s">
        <v>2129</v>
      </c>
      <c r="G1047" t="s">
        <v>15</v>
      </c>
      <c r="H1047" t="s">
        <v>2130</v>
      </c>
      <c r="I1047" t="s">
        <v>2131</v>
      </c>
      <c r="J1047" s="4">
        <v>46094.439677361108</v>
      </c>
    </row>
    <row r="1048" spans="1:11" x14ac:dyDescent="0.55000000000000004">
      <c r="A1048" t="s">
        <v>2128</v>
      </c>
      <c r="B1048">
        <v>100528</v>
      </c>
      <c r="C1048" t="s">
        <v>248</v>
      </c>
      <c r="D1048" s="3">
        <v>46019</v>
      </c>
      <c r="E1048" t="s">
        <v>155</v>
      </c>
      <c r="F1048" t="s">
        <v>2129</v>
      </c>
      <c r="G1048" t="s">
        <v>15</v>
      </c>
      <c r="H1048" t="s">
        <v>2130</v>
      </c>
      <c r="I1048" t="s">
        <v>2131</v>
      </c>
      <c r="J1048" s="4">
        <v>46094.439677361108</v>
      </c>
    </row>
    <row r="1049" spans="1:11" x14ac:dyDescent="0.55000000000000004">
      <c r="A1049" t="s">
        <v>2128</v>
      </c>
      <c r="B1049">
        <v>100528</v>
      </c>
      <c r="C1049" t="s">
        <v>248</v>
      </c>
      <c r="D1049" s="3">
        <v>46019</v>
      </c>
      <c r="E1049" t="s">
        <v>69</v>
      </c>
      <c r="F1049" t="s">
        <v>2129</v>
      </c>
      <c r="G1049" t="s">
        <v>15</v>
      </c>
      <c r="H1049" t="s">
        <v>2130</v>
      </c>
      <c r="I1049" t="s">
        <v>2131</v>
      </c>
      <c r="J1049" s="4">
        <v>46094.439677361108</v>
      </c>
    </row>
    <row r="1050" spans="1:11" x14ac:dyDescent="0.55000000000000004">
      <c r="A1050" t="s">
        <v>2132</v>
      </c>
      <c r="B1050">
        <v>101346</v>
      </c>
      <c r="C1050" t="s">
        <v>248</v>
      </c>
      <c r="D1050" s="3">
        <v>45975</v>
      </c>
      <c r="E1050" t="s">
        <v>20</v>
      </c>
      <c r="F1050" t="s">
        <v>2133</v>
      </c>
      <c r="G1050" t="s">
        <v>22</v>
      </c>
      <c r="H1050" t="s">
        <v>2134</v>
      </c>
      <c r="I1050" t="s">
        <v>2135</v>
      </c>
      <c r="J1050" s="4">
        <v>46074.234121817128</v>
      </c>
    </row>
    <row r="1051" spans="1:11" x14ac:dyDescent="0.55000000000000004">
      <c r="A1051" t="s">
        <v>2132</v>
      </c>
      <c r="B1051">
        <v>101346</v>
      </c>
      <c r="C1051" t="s">
        <v>248</v>
      </c>
      <c r="D1051" s="3">
        <v>45975</v>
      </c>
      <c r="E1051" t="s">
        <v>155</v>
      </c>
      <c r="F1051" t="s">
        <v>2133</v>
      </c>
      <c r="G1051" t="s">
        <v>22</v>
      </c>
      <c r="H1051" t="s">
        <v>2134</v>
      </c>
      <c r="I1051" t="s">
        <v>2135</v>
      </c>
      <c r="J1051" s="4">
        <v>46074.234121817128</v>
      </c>
    </row>
    <row r="1052" spans="1:11" x14ac:dyDescent="0.55000000000000004">
      <c r="A1052" t="s">
        <v>2132</v>
      </c>
      <c r="B1052">
        <v>101346</v>
      </c>
      <c r="C1052" t="s">
        <v>248</v>
      </c>
      <c r="D1052" s="3">
        <v>45975</v>
      </c>
      <c r="E1052" t="s">
        <v>69</v>
      </c>
      <c r="F1052" t="s">
        <v>2133</v>
      </c>
      <c r="G1052" t="s">
        <v>22</v>
      </c>
      <c r="H1052" t="s">
        <v>2134</v>
      </c>
      <c r="I1052" t="s">
        <v>2135</v>
      </c>
      <c r="J1052" s="4">
        <v>46074.234121817128</v>
      </c>
    </row>
    <row r="1053" spans="1:11" x14ac:dyDescent="0.55000000000000004">
      <c r="A1053" t="s">
        <v>6032</v>
      </c>
      <c r="B1053">
        <v>100878</v>
      </c>
      <c r="C1053" t="s">
        <v>19</v>
      </c>
      <c r="D1053" s="3">
        <v>46017</v>
      </c>
      <c r="E1053" t="s">
        <v>20</v>
      </c>
      <c r="F1053" t="s">
        <v>2137</v>
      </c>
      <c r="G1053" t="s">
        <v>22</v>
      </c>
      <c r="H1053" t="s">
        <v>2138</v>
      </c>
      <c r="I1053" t="s">
        <v>2139</v>
      </c>
      <c r="J1053" s="4">
        <v>46090.246621817132</v>
      </c>
      <c r="K1053" t="s">
        <v>119</v>
      </c>
    </row>
    <row r="1054" spans="1:11" x14ac:dyDescent="0.55000000000000004">
      <c r="A1054" t="s">
        <v>6032</v>
      </c>
      <c r="B1054">
        <v>100878</v>
      </c>
      <c r="C1054" t="s">
        <v>19</v>
      </c>
      <c r="D1054" s="3">
        <v>46017</v>
      </c>
      <c r="E1054" t="s">
        <v>155</v>
      </c>
      <c r="F1054" t="s">
        <v>2137</v>
      </c>
      <c r="G1054" t="s">
        <v>22</v>
      </c>
      <c r="H1054" t="s">
        <v>2138</v>
      </c>
      <c r="I1054" t="s">
        <v>2139</v>
      </c>
      <c r="J1054" s="4">
        <v>46090.246621817132</v>
      </c>
      <c r="K1054" t="s">
        <v>119</v>
      </c>
    </row>
    <row r="1055" spans="1:11" x14ac:dyDescent="0.55000000000000004">
      <c r="A1055" t="s">
        <v>2140</v>
      </c>
      <c r="B1055">
        <v>100185</v>
      </c>
      <c r="C1055" t="s">
        <v>19</v>
      </c>
      <c r="D1055" s="3">
        <v>45833</v>
      </c>
      <c r="E1055" t="s">
        <v>317</v>
      </c>
      <c r="F1055" t="s">
        <v>2141</v>
      </c>
      <c r="G1055" t="s">
        <v>22</v>
      </c>
      <c r="H1055" t="s">
        <v>2142</v>
      </c>
      <c r="I1055" t="s">
        <v>2143</v>
      </c>
      <c r="J1055" s="4">
        <v>46075.284121828707</v>
      </c>
    </row>
    <row r="1056" spans="1:11" x14ac:dyDescent="0.55000000000000004">
      <c r="A1056" t="s">
        <v>2140</v>
      </c>
      <c r="B1056">
        <v>100185</v>
      </c>
      <c r="C1056" t="s">
        <v>19</v>
      </c>
      <c r="D1056" s="3">
        <v>45833</v>
      </c>
      <c r="E1056" t="s">
        <v>38</v>
      </c>
      <c r="F1056" t="s">
        <v>2141</v>
      </c>
      <c r="G1056" t="s">
        <v>22</v>
      </c>
      <c r="H1056" t="s">
        <v>2142</v>
      </c>
      <c r="I1056" t="s">
        <v>2143</v>
      </c>
      <c r="J1056" s="4">
        <v>46075.284121828707</v>
      </c>
    </row>
    <row r="1057" spans="1:10" x14ac:dyDescent="0.55000000000000004">
      <c r="A1057" t="s">
        <v>2140</v>
      </c>
      <c r="B1057">
        <v>100185</v>
      </c>
      <c r="C1057" t="s">
        <v>19</v>
      </c>
      <c r="D1057" s="3">
        <v>45833</v>
      </c>
      <c r="E1057" t="s">
        <v>115</v>
      </c>
      <c r="F1057" t="s">
        <v>2141</v>
      </c>
      <c r="G1057" t="s">
        <v>22</v>
      </c>
      <c r="H1057" t="s">
        <v>2142</v>
      </c>
      <c r="I1057" t="s">
        <v>2143</v>
      </c>
      <c r="J1057" s="4">
        <v>46075.284121828707</v>
      </c>
    </row>
    <row r="1058" spans="1:10" x14ac:dyDescent="0.55000000000000004">
      <c r="A1058" t="s">
        <v>2144</v>
      </c>
      <c r="B1058">
        <v>100801</v>
      </c>
      <c r="C1058" t="s">
        <v>19</v>
      </c>
      <c r="D1058" s="3">
        <v>45981</v>
      </c>
      <c r="E1058" t="s">
        <v>317</v>
      </c>
      <c r="F1058" t="s">
        <v>2145</v>
      </c>
      <c r="G1058" t="s">
        <v>22</v>
      </c>
      <c r="H1058" t="s">
        <v>2146</v>
      </c>
      <c r="I1058" t="s">
        <v>2147</v>
      </c>
      <c r="J1058" s="4">
        <v>46067.848010717593</v>
      </c>
    </row>
    <row r="1059" spans="1:10" x14ac:dyDescent="0.55000000000000004">
      <c r="A1059" t="s">
        <v>2144</v>
      </c>
      <c r="B1059">
        <v>100801</v>
      </c>
      <c r="C1059" t="s">
        <v>19</v>
      </c>
      <c r="D1059" s="3">
        <v>45981</v>
      </c>
      <c r="E1059" t="s">
        <v>155</v>
      </c>
      <c r="F1059" t="s">
        <v>2145</v>
      </c>
      <c r="G1059" t="s">
        <v>22</v>
      </c>
      <c r="H1059" t="s">
        <v>2146</v>
      </c>
      <c r="I1059" t="s">
        <v>2147</v>
      </c>
      <c r="J1059" s="4">
        <v>46067.848010717593</v>
      </c>
    </row>
    <row r="1060" spans="1:10" x14ac:dyDescent="0.55000000000000004">
      <c r="A1060" t="s">
        <v>2144</v>
      </c>
      <c r="B1060">
        <v>100801</v>
      </c>
      <c r="C1060" t="s">
        <v>19</v>
      </c>
      <c r="D1060" s="3">
        <v>45981</v>
      </c>
      <c r="E1060" t="s">
        <v>69</v>
      </c>
      <c r="F1060" t="s">
        <v>2145</v>
      </c>
      <c r="G1060" t="s">
        <v>22</v>
      </c>
      <c r="H1060" t="s">
        <v>2146</v>
      </c>
      <c r="I1060" t="s">
        <v>2147</v>
      </c>
      <c r="J1060" s="4">
        <v>46067.848010717593</v>
      </c>
    </row>
    <row r="1061" spans="1:10" x14ac:dyDescent="0.55000000000000004">
      <c r="A1061" t="s">
        <v>2148</v>
      </c>
      <c r="B1061">
        <v>101004</v>
      </c>
      <c r="C1061" t="s">
        <v>533</v>
      </c>
      <c r="D1061" s="3">
        <v>45817</v>
      </c>
      <c r="E1061" t="s">
        <v>38</v>
      </c>
      <c r="F1061" t="s">
        <v>2149</v>
      </c>
      <c r="G1061" t="s">
        <v>15</v>
      </c>
      <c r="H1061" t="s">
        <v>2150</v>
      </c>
      <c r="I1061" t="s">
        <v>2151</v>
      </c>
      <c r="J1061" s="4">
        <v>46092.51606627315</v>
      </c>
    </row>
    <row r="1062" spans="1:10" x14ac:dyDescent="0.55000000000000004">
      <c r="A1062" t="s">
        <v>2148</v>
      </c>
      <c r="B1062">
        <v>101004</v>
      </c>
      <c r="C1062" t="s">
        <v>533</v>
      </c>
      <c r="D1062" s="3">
        <v>45817</v>
      </c>
      <c r="E1062" t="s">
        <v>20</v>
      </c>
      <c r="F1062" t="s">
        <v>2149</v>
      </c>
      <c r="G1062" t="s">
        <v>15</v>
      </c>
      <c r="H1062" t="s">
        <v>2150</v>
      </c>
      <c r="I1062" t="s">
        <v>2151</v>
      </c>
      <c r="J1062" s="4">
        <v>46092.51606627315</v>
      </c>
    </row>
    <row r="1063" spans="1:10" x14ac:dyDescent="0.55000000000000004">
      <c r="A1063" t="s">
        <v>2148</v>
      </c>
      <c r="B1063">
        <v>101004</v>
      </c>
      <c r="C1063" t="s">
        <v>533</v>
      </c>
      <c r="D1063" s="3">
        <v>45817</v>
      </c>
      <c r="E1063" t="s">
        <v>69</v>
      </c>
      <c r="F1063" t="s">
        <v>2149</v>
      </c>
      <c r="G1063" t="s">
        <v>15</v>
      </c>
      <c r="H1063" t="s">
        <v>2150</v>
      </c>
      <c r="I1063" t="s">
        <v>2151</v>
      </c>
      <c r="J1063" s="4">
        <v>46092.51606627315</v>
      </c>
    </row>
    <row r="1064" spans="1:10" x14ac:dyDescent="0.55000000000000004">
      <c r="A1064" t="s">
        <v>2152</v>
      </c>
      <c r="B1064">
        <v>100599</v>
      </c>
      <c r="C1064" t="s">
        <v>68</v>
      </c>
      <c r="D1064" s="3">
        <v>45848</v>
      </c>
      <c r="E1064" t="s">
        <v>317</v>
      </c>
      <c r="F1064" t="s">
        <v>2153</v>
      </c>
      <c r="G1064" t="s">
        <v>22</v>
      </c>
      <c r="H1064" t="s">
        <v>2154</v>
      </c>
      <c r="I1064" t="s">
        <v>2155</v>
      </c>
      <c r="J1064" s="4">
        <v>46058.829260729166</v>
      </c>
    </row>
    <row r="1065" spans="1:10" x14ac:dyDescent="0.55000000000000004">
      <c r="A1065" t="s">
        <v>2152</v>
      </c>
      <c r="B1065">
        <v>100599</v>
      </c>
      <c r="C1065" t="s">
        <v>68</v>
      </c>
      <c r="D1065" s="3">
        <v>45848</v>
      </c>
      <c r="E1065" t="s">
        <v>20</v>
      </c>
      <c r="F1065" t="s">
        <v>2153</v>
      </c>
      <c r="G1065" t="s">
        <v>22</v>
      </c>
      <c r="H1065" t="s">
        <v>2154</v>
      </c>
      <c r="I1065" t="s">
        <v>2155</v>
      </c>
      <c r="J1065" s="4">
        <v>46058.829260729166</v>
      </c>
    </row>
    <row r="1066" spans="1:10" x14ac:dyDescent="0.55000000000000004">
      <c r="A1066" t="s">
        <v>2156</v>
      </c>
      <c r="B1066">
        <v>100179</v>
      </c>
      <c r="C1066" t="s">
        <v>179</v>
      </c>
      <c r="D1066" s="3">
        <v>45870</v>
      </c>
      <c r="E1066" t="s">
        <v>38</v>
      </c>
      <c r="F1066" t="s">
        <v>2157</v>
      </c>
      <c r="G1066" t="s">
        <v>22</v>
      </c>
      <c r="H1066" t="s">
        <v>2158</v>
      </c>
      <c r="I1066" t="s">
        <v>2159</v>
      </c>
      <c r="J1066" s="4">
        <v>46071.508427395835</v>
      </c>
    </row>
    <row r="1067" spans="1:10" x14ac:dyDescent="0.55000000000000004">
      <c r="A1067" t="s">
        <v>2156</v>
      </c>
      <c r="B1067">
        <v>100179</v>
      </c>
      <c r="C1067" t="s">
        <v>179</v>
      </c>
      <c r="D1067" s="3">
        <v>45870</v>
      </c>
      <c r="E1067" t="s">
        <v>20</v>
      </c>
      <c r="F1067" t="s">
        <v>2157</v>
      </c>
      <c r="G1067" t="s">
        <v>22</v>
      </c>
      <c r="H1067" t="s">
        <v>2158</v>
      </c>
      <c r="I1067" t="s">
        <v>2159</v>
      </c>
      <c r="J1067" s="4">
        <v>46071.508427395835</v>
      </c>
    </row>
    <row r="1068" spans="1:10" x14ac:dyDescent="0.55000000000000004">
      <c r="A1068" t="s">
        <v>2160</v>
      </c>
      <c r="B1068">
        <v>101260</v>
      </c>
      <c r="C1068" t="s">
        <v>533</v>
      </c>
      <c r="D1068" s="3">
        <v>45743</v>
      </c>
      <c r="E1068" t="s">
        <v>317</v>
      </c>
      <c r="F1068" t="s">
        <v>2161</v>
      </c>
      <c r="G1068" t="s">
        <v>15</v>
      </c>
      <c r="H1068" t="s">
        <v>2162</v>
      </c>
      <c r="I1068" t="s">
        <v>2163</v>
      </c>
      <c r="J1068" s="4">
        <v>46055.388288506947</v>
      </c>
    </row>
    <row r="1069" spans="1:10" x14ac:dyDescent="0.55000000000000004">
      <c r="A1069" t="s">
        <v>2164</v>
      </c>
      <c r="B1069">
        <v>101139</v>
      </c>
      <c r="C1069" t="s">
        <v>37</v>
      </c>
      <c r="D1069" s="3">
        <v>45839</v>
      </c>
      <c r="E1069" t="s">
        <v>69</v>
      </c>
      <c r="F1069" t="s">
        <v>2165</v>
      </c>
      <c r="G1069" t="s">
        <v>15</v>
      </c>
      <c r="H1069" t="s">
        <v>2166</v>
      </c>
      <c r="I1069" t="s">
        <v>2167</v>
      </c>
      <c r="J1069" s="4">
        <v>46091.655649629633</v>
      </c>
    </row>
    <row r="1070" spans="1:10" x14ac:dyDescent="0.55000000000000004">
      <c r="A1070" t="s">
        <v>2168</v>
      </c>
      <c r="B1070">
        <v>100021</v>
      </c>
      <c r="C1070" t="s">
        <v>19</v>
      </c>
      <c r="D1070" s="3">
        <v>46012</v>
      </c>
      <c r="E1070" t="s">
        <v>155</v>
      </c>
      <c r="F1070" t="s">
        <v>2169</v>
      </c>
      <c r="G1070" t="s">
        <v>22</v>
      </c>
      <c r="H1070" t="s">
        <v>2170</v>
      </c>
      <c r="I1070" t="s">
        <v>2171</v>
      </c>
      <c r="J1070" s="4">
        <v>46064.627871851852</v>
      </c>
    </row>
    <row r="1071" spans="1:10" x14ac:dyDescent="0.55000000000000004">
      <c r="A1071" t="s">
        <v>2172</v>
      </c>
      <c r="B1071">
        <v>101352</v>
      </c>
      <c r="C1071" t="s">
        <v>533</v>
      </c>
      <c r="D1071" s="3">
        <v>45866</v>
      </c>
      <c r="E1071" t="s">
        <v>155</v>
      </c>
      <c r="F1071" t="s">
        <v>2173</v>
      </c>
      <c r="G1071" t="s">
        <v>22</v>
      </c>
      <c r="H1071" t="s">
        <v>2174</v>
      </c>
      <c r="I1071" t="s">
        <v>2175</v>
      </c>
      <c r="J1071" s="4">
        <v>46083.394538518522</v>
      </c>
    </row>
    <row r="1072" spans="1:10" x14ac:dyDescent="0.55000000000000004">
      <c r="A1072" t="s">
        <v>2172</v>
      </c>
      <c r="B1072">
        <v>101352</v>
      </c>
      <c r="C1072" t="s">
        <v>533</v>
      </c>
      <c r="D1072" s="3">
        <v>45866</v>
      </c>
      <c r="E1072" t="s">
        <v>115</v>
      </c>
      <c r="F1072" t="s">
        <v>2173</v>
      </c>
      <c r="G1072" t="s">
        <v>22</v>
      </c>
      <c r="H1072" t="s">
        <v>2174</v>
      </c>
      <c r="I1072" t="s">
        <v>2175</v>
      </c>
      <c r="J1072" s="4">
        <v>46083.394538518522</v>
      </c>
    </row>
    <row r="1073" spans="1:10" x14ac:dyDescent="0.55000000000000004">
      <c r="A1073" t="s">
        <v>2172</v>
      </c>
      <c r="B1073">
        <v>101352</v>
      </c>
      <c r="C1073" t="s">
        <v>533</v>
      </c>
      <c r="D1073" s="3">
        <v>45866</v>
      </c>
      <c r="E1073" t="s">
        <v>69</v>
      </c>
      <c r="F1073" t="s">
        <v>2173</v>
      </c>
      <c r="G1073" t="s">
        <v>22</v>
      </c>
      <c r="H1073" t="s">
        <v>2174</v>
      </c>
      <c r="I1073" t="s">
        <v>2175</v>
      </c>
      <c r="J1073" s="4">
        <v>46083.394538518522</v>
      </c>
    </row>
    <row r="1074" spans="1:10" x14ac:dyDescent="0.55000000000000004">
      <c r="A1074" t="s">
        <v>2176</v>
      </c>
      <c r="B1074">
        <v>101474</v>
      </c>
      <c r="C1074" t="s">
        <v>68</v>
      </c>
      <c r="D1074" s="3">
        <v>45958</v>
      </c>
      <c r="E1074" t="s">
        <v>317</v>
      </c>
      <c r="F1074" t="s">
        <v>2177</v>
      </c>
      <c r="G1074" t="s">
        <v>15</v>
      </c>
      <c r="H1074" t="s">
        <v>2178</v>
      </c>
      <c r="I1074" t="s">
        <v>2179</v>
      </c>
      <c r="J1074" s="4">
        <v>46094.802871863423</v>
      </c>
    </row>
    <row r="1075" spans="1:10" x14ac:dyDescent="0.55000000000000004">
      <c r="A1075" t="s">
        <v>2176</v>
      </c>
      <c r="B1075">
        <v>101474</v>
      </c>
      <c r="C1075" t="s">
        <v>68</v>
      </c>
      <c r="D1075" s="3">
        <v>45958</v>
      </c>
      <c r="E1075" t="s">
        <v>38</v>
      </c>
      <c r="F1075" t="s">
        <v>2177</v>
      </c>
      <c r="G1075" t="s">
        <v>15</v>
      </c>
      <c r="H1075" t="s">
        <v>2178</v>
      </c>
      <c r="I1075" t="s">
        <v>2179</v>
      </c>
      <c r="J1075" s="4">
        <v>46094.802871863423</v>
      </c>
    </row>
    <row r="1076" spans="1:10" x14ac:dyDescent="0.55000000000000004">
      <c r="A1076" t="s">
        <v>2176</v>
      </c>
      <c r="B1076">
        <v>101474</v>
      </c>
      <c r="C1076" t="s">
        <v>68</v>
      </c>
      <c r="D1076" s="3">
        <v>45958</v>
      </c>
      <c r="E1076" t="s">
        <v>115</v>
      </c>
      <c r="F1076" t="s">
        <v>2177</v>
      </c>
      <c r="G1076" t="s">
        <v>15</v>
      </c>
      <c r="H1076" t="s">
        <v>2178</v>
      </c>
      <c r="I1076" t="s">
        <v>2179</v>
      </c>
      <c r="J1076" s="4">
        <v>46094.802871863423</v>
      </c>
    </row>
    <row r="1077" spans="1:10" x14ac:dyDescent="0.55000000000000004">
      <c r="A1077" t="s">
        <v>2180</v>
      </c>
      <c r="B1077">
        <v>101423</v>
      </c>
      <c r="C1077" t="s">
        <v>68</v>
      </c>
      <c r="D1077" s="3">
        <v>45898</v>
      </c>
      <c r="E1077" t="s">
        <v>38</v>
      </c>
      <c r="F1077" t="s">
        <v>2181</v>
      </c>
      <c r="G1077" t="s">
        <v>22</v>
      </c>
      <c r="H1077" t="s">
        <v>2182</v>
      </c>
      <c r="I1077" t="s">
        <v>2183</v>
      </c>
      <c r="J1077" s="4">
        <v>46062.11328853009</v>
      </c>
    </row>
    <row r="1078" spans="1:10" x14ac:dyDescent="0.55000000000000004">
      <c r="A1078" t="s">
        <v>2180</v>
      </c>
      <c r="B1078">
        <v>101423</v>
      </c>
      <c r="C1078" t="s">
        <v>68</v>
      </c>
      <c r="D1078" s="3">
        <v>45898</v>
      </c>
      <c r="E1078" t="s">
        <v>69</v>
      </c>
      <c r="F1078" t="s">
        <v>2181</v>
      </c>
      <c r="G1078" t="s">
        <v>22</v>
      </c>
      <c r="H1078" t="s">
        <v>2182</v>
      </c>
      <c r="I1078" t="s">
        <v>2183</v>
      </c>
      <c r="J1078" s="4">
        <v>46062.11328853009</v>
      </c>
    </row>
    <row r="1079" spans="1:10" x14ac:dyDescent="0.55000000000000004">
      <c r="A1079" t="s">
        <v>2184</v>
      </c>
      <c r="B1079">
        <v>100256</v>
      </c>
      <c r="C1079" t="s">
        <v>533</v>
      </c>
      <c r="D1079" s="3">
        <v>46089</v>
      </c>
      <c r="E1079" t="s">
        <v>38</v>
      </c>
      <c r="F1079" t="s">
        <v>2185</v>
      </c>
      <c r="G1079" t="s">
        <v>22</v>
      </c>
      <c r="H1079" t="s">
        <v>2186</v>
      </c>
      <c r="I1079" t="s">
        <v>2187</v>
      </c>
      <c r="J1079" s="4">
        <v>46063.836205208332</v>
      </c>
    </row>
    <row r="1080" spans="1:10" x14ac:dyDescent="0.55000000000000004">
      <c r="A1080" t="s">
        <v>2184</v>
      </c>
      <c r="B1080">
        <v>100256</v>
      </c>
      <c r="C1080" t="s">
        <v>533</v>
      </c>
      <c r="D1080" s="3">
        <v>46089</v>
      </c>
      <c r="E1080" t="s">
        <v>115</v>
      </c>
      <c r="F1080" t="s">
        <v>2185</v>
      </c>
      <c r="G1080" t="s">
        <v>22</v>
      </c>
      <c r="H1080" t="s">
        <v>2186</v>
      </c>
      <c r="I1080" t="s">
        <v>2187</v>
      </c>
      <c r="J1080" s="4">
        <v>46063.836205208332</v>
      </c>
    </row>
    <row r="1081" spans="1:10" x14ac:dyDescent="0.55000000000000004">
      <c r="A1081" t="s">
        <v>2184</v>
      </c>
      <c r="B1081">
        <v>100256</v>
      </c>
      <c r="C1081" t="s">
        <v>533</v>
      </c>
      <c r="D1081" s="3">
        <v>46089</v>
      </c>
      <c r="E1081" t="s">
        <v>69</v>
      </c>
      <c r="F1081" t="s">
        <v>2185</v>
      </c>
      <c r="G1081" t="s">
        <v>22</v>
      </c>
      <c r="H1081" t="s">
        <v>2186</v>
      </c>
      <c r="I1081" t="s">
        <v>2187</v>
      </c>
      <c r="J1081" s="4">
        <v>46063.836205208332</v>
      </c>
    </row>
    <row r="1082" spans="1:10" x14ac:dyDescent="0.55000000000000004">
      <c r="A1082" t="s">
        <v>2188</v>
      </c>
      <c r="B1082">
        <v>100748</v>
      </c>
      <c r="C1082" t="s">
        <v>19</v>
      </c>
      <c r="D1082" s="3">
        <v>45890</v>
      </c>
      <c r="E1082" t="s">
        <v>38</v>
      </c>
      <c r="F1082" t="s">
        <v>2189</v>
      </c>
      <c r="G1082" t="s">
        <v>15</v>
      </c>
      <c r="H1082" t="s">
        <v>2190</v>
      </c>
      <c r="I1082" t="s">
        <v>2191</v>
      </c>
      <c r="J1082" s="4">
        <v>46092.118149652779</v>
      </c>
    </row>
    <row r="1083" spans="1:10" x14ac:dyDescent="0.55000000000000004">
      <c r="A1083" t="s">
        <v>2188</v>
      </c>
      <c r="B1083">
        <v>100748</v>
      </c>
      <c r="C1083" t="s">
        <v>19</v>
      </c>
      <c r="D1083" s="3">
        <v>45890</v>
      </c>
      <c r="E1083" t="s">
        <v>69</v>
      </c>
      <c r="F1083" t="s">
        <v>2189</v>
      </c>
      <c r="G1083" t="s">
        <v>15</v>
      </c>
      <c r="H1083" t="s">
        <v>2190</v>
      </c>
      <c r="I1083" t="s">
        <v>2191</v>
      </c>
      <c r="J1083" s="4">
        <v>46092.118149652779</v>
      </c>
    </row>
    <row r="1084" spans="1:10" x14ac:dyDescent="0.55000000000000004">
      <c r="A1084" t="s">
        <v>2192</v>
      </c>
      <c r="B1084">
        <v>100442</v>
      </c>
      <c r="C1084" t="s">
        <v>68</v>
      </c>
      <c r="D1084" s="3">
        <v>45919</v>
      </c>
      <c r="E1084" t="s">
        <v>20</v>
      </c>
      <c r="F1084" t="s">
        <v>2193</v>
      </c>
      <c r="G1084" t="s">
        <v>22</v>
      </c>
      <c r="H1084" t="s">
        <v>2194</v>
      </c>
      <c r="I1084" t="s">
        <v>2195</v>
      </c>
      <c r="J1084" s="4">
        <v>46097.745927430558</v>
      </c>
    </row>
    <row r="1085" spans="1:10" x14ac:dyDescent="0.55000000000000004">
      <c r="A1085" t="s">
        <v>2192</v>
      </c>
      <c r="B1085">
        <v>100442</v>
      </c>
      <c r="C1085" t="s">
        <v>68</v>
      </c>
      <c r="D1085" s="3">
        <v>45919</v>
      </c>
      <c r="E1085" t="s">
        <v>115</v>
      </c>
      <c r="F1085" t="s">
        <v>2193</v>
      </c>
      <c r="G1085" t="s">
        <v>22</v>
      </c>
      <c r="H1085" t="s">
        <v>2194</v>
      </c>
      <c r="I1085" t="s">
        <v>2195</v>
      </c>
      <c r="J1085" s="4">
        <v>46097.745927430558</v>
      </c>
    </row>
    <row r="1086" spans="1:10" x14ac:dyDescent="0.55000000000000004">
      <c r="A1086" t="s">
        <v>2196</v>
      </c>
      <c r="B1086">
        <v>100040</v>
      </c>
      <c r="C1086" t="s">
        <v>19</v>
      </c>
      <c r="D1086" s="3">
        <v>46149</v>
      </c>
      <c r="E1086" t="s">
        <v>20</v>
      </c>
      <c r="F1086" t="s">
        <v>2197</v>
      </c>
      <c r="G1086" t="s">
        <v>22</v>
      </c>
      <c r="H1086" t="s">
        <v>2198</v>
      </c>
      <c r="I1086" t="s">
        <v>2199</v>
      </c>
      <c r="J1086" s="4">
        <v>46066.985510775463</v>
      </c>
    </row>
    <row r="1087" spans="1:10" x14ac:dyDescent="0.55000000000000004">
      <c r="A1087" t="s">
        <v>2200</v>
      </c>
      <c r="B1087">
        <v>101038</v>
      </c>
      <c r="C1087" t="s">
        <v>37</v>
      </c>
      <c r="D1087" s="3">
        <v>46084</v>
      </c>
      <c r="E1087" t="s">
        <v>20</v>
      </c>
      <c r="F1087" t="s">
        <v>2201</v>
      </c>
      <c r="G1087" t="s">
        <v>15</v>
      </c>
      <c r="H1087" t="s">
        <v>2202</v>
      </c>
      <c r="I1087" t="s">
        <v>2203</v>
      </c>
      <c r="J1087" s="4">
        <v>46070.32995521991</v>
      </c>
    </row>
    <row r="1088" spans="1:10" x14ac:dyDescent="0.55000000000000004">
      <c r="A1088" t="s">
        <v>2200</v>
      </c>
      <c r="B1088">
        <v>101038</v>
      </c>
      <c r="C1088" t="s">
        <v>37</v>
      </c>
      <c r="D1088" s="3">
        <v>46084</v>
      </c>
      <c r="E1088" t="s">
        <v>69</v>
      </c>
      <c r="F1088" t="s">
        <v>2201</v>
      </c>
      <c r="G1088" t="s">
        <v>15</v>
      </c>
      <c r="H1088" t="s">
        <v>2202</v>
      </c>
      <c r="I1088" t="s">
        <v>2203</v>
      </c>
      <c r="J1088" s="4">
        <v>46070.32995521991</v>
      </c>
    </row>
    <row r="1089" spans="1:11" x14ac:dyDescent="0.55000000000000004">
      <c r="A1089" t="s">
        <v>2204</v>
      </c>
      <c r="B1089">
        <v>100676</v>
      </c>
      <c r="C1089" t="s">
        <v>19</v>
      </c>
      <c r="D1089" s="3">
        <v>45850</v>
      </c>
      <c r="E1089" t="s">
        <v>38</v>
      </c>
      <c r="F1089" t="s">
        <v>2205</v>
      </c>
      <c r="G1089" t="s">
        <v>22</v>
      </c>
      <c r="H1089" t="s">
        <v>2206</v>
      </c>
      <c r="I1089" t="s">
        <v>2207</v>
      </c>
      <c r="J1089" s="4">
        <v>46085.160510775466</v>
      </c>
      <c r="K1089" t="s">
        <v>139</v>
      </c>
    </row>
    <row r="1090" spans="1:11" x14ac:dyDescent="0.55000000000000004">
      <c r="A1090" t="s">
        <v>2208</v>
      </c>
      <c r="B1090">
        <v>101382</v>
      </c>
      <c r="C1090" t="s">
        <v>19</v>
      </c>
      <c r="D1090" s="3">
        <v>45955</v>
      </c>
      <c r="E1090" t="s">
        <v>317</v>
      </c>
      <c r="F1090" t="s">
        <v>2209</v>
      </c>
      <c r="G1090" t="s">
        <v>22</v>
      </c>
      <c r="H1090" t="s">
        <v>2210</v>
      </c>
      <c r="I1090" t="s">
        <v>2211</v>
      </c>
      <c r="J1090" s="4">
        <v>46073.432733009256</v>
      </c>
    </row>
    <row r="1091" spans="1:11" x14ac:dyDescent="0.55000000000000004">
      <c r="A1091" t="s">
        <v>2208</v>
      </c>
      <c r="B1091">
        <v>101382</v>
      </c>
      <c r="C1091" t="s">
        <v>19</v>
      </c>
      <c r="D1091" s="3">
        <v>45955</v>
      </c>
      <c r="E1091" t="s">
        <v>115</v>
      </c>
      <c r="F1091" t="s">
        <v>2209</v>
      </c>
      <c r="G1091" t="s">
        <v>22</v>
      </c>
      <c r="H1091" t="s">
        <v>2210</v>
      </c>
      <c r="I1091" t="s">
        <v>2211</v>
      </c>
      <c r="J1091" s="4">
        <v>46073.432733009256</v>
      </c>
    </row>
    <row r="1092" spans="1:11" x14ac:dyDescent="0.55000000000000004">
      <c r="A1092" t="s">
        <v>2212</v>
      </c>
      <c r="B1092">
        <v>100512</v>
      </c>
      <c r="C1092" t="s">
        <v>248</v>
      </c>
      <c r="D1092" s="3">
        <v>45772</v>
      </c>
      <c r="E1092" t="s">
        <v>317</v>
      </c>
      <c r="F1092" t="s">
        <v>2213</v>
      </c>
      <c r="G1092" t="s">
        <v>22</v>
      </c>
      <c r="H1092" t="s">
        <v>2214</v>
      </c>
      <c r="I1092" t="s">
        <v>2215</v>
      </c>
      <c r="J1092" s="4">
        <v>46078.82370523148</v>
      </c>
    </row>
    <row r="1093" spans="1:11" x14ac:dyDescent="0.55000000000000004">
      <c r="A1093" t="s">
        <v>2212</v>
      </c>
      <c r="B1093">
        <v>100512</v>
      </c>
      <c r="C1093" t="s">
        <v>248</v>
      </c>
      <c r="D1093" s="3">
        <v>45772</v>
      </c>
      <c r="E1093" t="s">
        <v>115</v>
      </c>
      <c r="F1093" t="s">
        <v>2213</v>
      </c>
      <c r="G1093" t="s">
        <v>22</v>
      </c>
      <c r="H1093" t="s">
        <v>2214</v>
      </c>
      <c r="I1093" t="s">
        <v>2215</v>
      </c>
      <c r="J1093" s="4">
        <v>46078.82370523148</v>
      </c>
    </row>
    <row r="1094" spans="1:11" x14ac:dyDescent="0.55000000000000004">
      <c r="A1094" t="s">
        <v>2216</v>
      </c>
      <c r="B1094">
        <v>100887</v>
      </c>
      <c r="C1094" t="s">
        <v>19</v>
      </c>
      <c r="D1094" s="3">
        <v>46146</v>
      </c>
      <c r="E1094" t="s">
        <v>115</v>
      </c>
      <c r="F1094" t="s">
        <v>2217</v>
      </c>
      <c r="G1094" t="s">
        <v>15</v>
      </c>
      <c r="H1094" t="s">
        <v>2218</v>
      </c>
      <c r="I1094" t="s">
        <v>2219</v>
      </c>
      <c r="J1094" s="4">
        <v>46086.552177453705</v>
      </c>
    </row>
    <row r="1095" spans="1:11" x14ac:dyDescent="0.55000000000000004">
      <c r="A1095" t="s">
        <v>2216</v>
      </c>
      <c r="B1095">
        <v>100887</v>
      </c>
      <c r="C1095" t="s">
        <v>19</v>
      </c>
      <c r="D1095" s="3">
        <v>46146</v>
      </c>
      <c r="E1095" t="s">
        <v>69</v>
      </c>
      <c r="F1095" t="s">
        <v>2217</v>
      </c>
      <c r="G1095" t="s">
        <v>15</v>
      </c>
      <c r="H1095" t="s">
        <v>2218</v>
      </c>
      <c r="I1095" t="s">
        <v>2219</v>
      </c>
      <c r="J1095" s="4">
        <v>46086.552177453705</v>
      </c>
    </row>
    <row r="1096" spans="1:11" x14ac:dyDescent="0.55000000000000004">
      <c r="A1096" t="s">
        <v>2220</v>
      </c>
      <c r="B1096">
        <v>100412</v>
      </c>
      <c r="C1096" t="s">
        <v>68</v>
      </c>
      <c r="D1096" s="3">
        <v>45788</v>
      </c>
      <c r="E1096" t="s">
        <v>317</v>
      </c>
      <c r="F1096" t="s">
        <v>2221</v>
      </c>
      <c r="G1096" t="s">
        <v>22</v>
      </c>
      <c r="H1096" t="s">
        <v>2222</v>
      </c>
      <c r="I1096" t="s">
        <v>2223</v>
      </c>
      <c r="J1096" s="4">
        <v>46052.860510798608</v>
      </c>
    </row>
    <row r="1097" spans="1:11" x14ac:dyDescent="0.55000000000000004">
      <c r="A1097" t="s">
        <v>2220</v>
      </c>
      <c r="B1097">
        <v>100412</v>
      </c>
      <c r="C1097" t="s">
        <v>68</v>
      </c>
      <c r="D1097" s="3">
        <v>45788</v>
      </c>
      <c r="E1097" t="s">
        <v>38</v>
      </c>
      <c r="F1097" t="s">
        <v>2221</v>
      </c>
      <c r="G1097" t="s">
        <v>22</v>
      </c>
      <c r="H1097" t="s">
        <v>2222</v>
      </c>
      <c r="I1097" t="s">
        <v>2223</v>
      </c>
      <c r="J1097" s="4">
        <v>46052.860510798608</v>
      </c>
    </row>
    <row r="1098" spans="1:11" x14ac:dyDescent="0.55000000000000004">
      <c r="A1098" t="s">
        <v>2220</v>
      </c>
      <c r="B1098">
        <v>100412</v>
      </c>
      <c r="C1098" t="s">
        <v>68</v>
      </c>
      <c r="D1098" s="3">
        <v>45788</v>
      </c>
      <c r="E1098" t="s">
        <v>69</v>
      </c>
      <c r="F1098" t="s">
        <v>2221</v>
      </c>
      <c r="G1098" t="s">
        <v>22</v>
      </c>
      <c r="H1098" t="s">
        <v>2222</v>
      </c>
      <c r="I1098" t="s">
        <v>2223</v>
      </c>
      <c r="J1098" s="4">
        <v>46052.860510798608</v>
      </c>
    </row>
    <row r="1099" spans="1:11" x14ac:dyDescent="0.55000000000000004">
      <c r="A1099" t="s">
        <v>2224</v>
      </c>
      <c r="B1099">
        <v>100594</v>
      </c>
      <c r="C1099" t="s">
        <v>19</v>
      </c>
      <c r="D1099" s="3">
        <v>45828</v>
      </c>
      <c r="E1099" t="s">
        <v>155</v>
      </c>
      <c r="F1099" t="s">
        <v>2225</v>
      </c>
      <c r="G1099" t="s">
        <v>15</v>
      </c>
      <c r="H1099" t="s">
        <v>2226</v>
      </c>
      <c r="I1099" t="s">
        <v>2227</v>
      </c>
      <c r="J1099" s="4">
        <v>46063.714677465279</v>
      </c>
    </row>
    <row r="1100" spans="1:11" x14ac:dyDescent="0.55000000000000004">
      <c r="A1100" t="s">
        <v>2224</v>
      </c>
      <c r="B1100">
        <v>100594</v>
      </c>
      <c r="C1100" t="s">
        <v>19</v>
      </c>
      <c r="D1100" s="3">
        <v>45828</v>
      </c>
      <c r="E1100" t="s">
        <v>115</v>
      </c>
      <c r="F1100" t="s">
        <v>2225</v>
      </c>
      <c r="G1100" t="s">
        <v>15</v>
      </c>
      <c r="H1100" t="s">
        <v>2226</v>
      </c>
      <c r="I1100" t="s">
        <v>2227</v>
      </c>
      <c r="J1100" s="4">
        <v>46063.714677465279</v>
      </c>
    </row>
    <row r="1101" spans="1:11" x14ac:dyDescent="0.55000000000000004">
      <c r="A1101" t="s">
        <v>2228</v>
      </c>
      <c r="B1101">
        <v>100479</v>
      </c>
      <c r="C1101" t="s">
        <v>533</v>
      </c>
      <c r="D1101" s="3">
        <v>45784</v>
      </c>
      <c r="E1101" t="s">
        <v>20</v>
      </c>
      <c r="F1101" t="s">
        <v>2229</v>
      </c>
      <c r="G1101" t="s">
        <v>22</v>
      </c>
      <c r="H1101" t="s">
        <v>2230</v>
      </c>
      <c r="I1101" t="s">
        <v>2231</v>
      </c>
      <c r="J1101" s="4">
        <v>46097.415371921299</v>
      </c>
    </row>
    <row r="1102" spans="1:11" x14ac:dyDescent="0.55000000000000004">
      <c r="A1102" t="s">
        <v>2228</v>
      </c>
      <c r="B1102">
        <v>100479</v>
      </c>
      <c r="C1102" t="s">
        <v>533</v>
      </c>
      <c r="D1102" s="3">
        <v>45784</v>
      </c>
      <c r="E1102" t="s">
        <v>115</v>
      </c>
      <c r="F1102" t="s">
        <v>2229</v>
      </c>
      <c r="G1102" t="s">
        <v>22</v>
      </c>
      <c r="H1102" t="s">
        <v>2230</v>
      </c>
      <c r="I1102" t="s">
        <v>2231</v>
      </c>
      <c r="J1102" s="4">
        <v>46097.415371921299</v>
      </c>
    </row>
    <row r="1103" spans="1:11" x14ac:dyDescent="0.55000000000000004">
      <c r="A1103" t="s">
        <v>2232</v>
      </c>
      <c r="B1103">
        <v>100127</v>
      </c>
      <c r="C1103" t="s">
        <v>37</v>
      </c>
      <c r="D1103" s="3">
        <v>45809</v>
      </c>
      <c r="E1103" t="s">
        <v>69</v>
      </c>
      <c r="F1103" t="s">
        <v>2233</v>
      </c>
      <c r="G1103" t="s">
        <v>15</v>
      </c>
      <c r="H1103" t="s">
        <v>2234</v>
      </c>
      <c r="I1103" t="s">
        <v>2235</v>
      </c>
      <c r="J1103" s="4">
        <v>46076.148705254629</v>
      </c>
    </row>
    <row r="1104" spans="1:11" x14ac:dyDescent="0.55000000000000004">
      <c r="A1104" t="s">
        <v>2236</v>
      </c>
      <c r="B1104">
        <v>101373</v>
      </c>
      <c r="C1104" t="s">
        <v>68</v>
      </c>
      <c r="D1104" s="3">
        <v>46134</v>
      </c>
      <c r="E1104" t="s">
        <v>20</v>
      </c>
      <c r="F1104" t="s">
        <v>2237</v>
      </c>
      <c r="G1104" t="s">
        <v>15</v>
      </c>
      <c r="H1104" t="s">
        <v>2238</v>
      </c>
      <c r="I1104" t="s">
        <v>2239</v>
      </c>
      <c r="J1104" s="4">
        <v>46076.632038587966</v>
      </c>
    </row>
    <row r="1105" spans="1:10" x14ac:dyDescent="0.55000000000000004">
      <c r="A1105" t="s">
        <v>2236</v>
      </c>
      <c r="B1105">
        <v>101373</v>
      </c>
      <c r="C1105" t="s">
        <v>68</v>
      </c>
      <c r="D1105" s="3">
        <v>46134</v>
      </c>
      <c r="E1105" t="s">
        <v>69</v>
      </c>
      <c r="F1105" t="s">
        <v>2237</v>
      </c>
      <c r="G1105" t="s">
        <v>15</v>
      </c>
      <c r="H1105" t="s">
        <v>2238</v>
      </c>
      <c r="I1105" t="s">
        <v>2239</v>
      </c>
      <c r="J1105" s="4">
        <v>46076.632038587966</v>
      </c>
    </row>
    <row r="1106" spans="1:10" x14ac:dyDescent="0.55000000000000004">
      <c r="A1106" t="s">
        <v>2240</v>
      </c>
      <c r="B1106">
        <v>100921</v>
      </c>
      <c r="C1106" t="s">
        <v>533</v>
      </c>
      <c r="D1106" s="3">
        <v>45760</v>
      </c>
      <c r="E1106" t="s">
        <v>155</v>
      </c>
      <c r="F1106" t="s">
        <v>2241</v>
      </c>
      <c r="G1106" t="s">
        <v>22</v>
      </c>
      <c r="H1106" t="s">
        <v>2242</v>
      </c>
      <c r="I1106" t="s">
        <v>2243</v>
      </c>
      <c r="J1106" s="4">
        <v>46086.473010821763</v>
      </c>
    </row>
    <row r="1107" spans="1:10" x14ac:dyDescent="0.55000000000000004">
      <c r="A1107" t="s">
        <v>2240</v>
      </c>
      <c r="B1107">
        <v>100921</v>
      </c>
      <c r="C1107" t="s">
        <v>533</v>
      </c>
      <c r="D1107" s="3">
        <v>45760</v>
      </c>
      <c r="E1107" t="s">
        <v>69</v>
      </c>
      <c r="F1107" t="s">
        <v>2241</v>
      </c>
      <c r="G1107" t="s">
        <v>22</v>
      </c>
      <c r="H1107" t="s">
        <v>2242</v>
      </c>
      <c r="I1107" t="s">
        <v>2243</v>
      </c>
      <c r="J1107" s="4">
        <v>46086.473010821763</v>
      </c>
    </row>
    <row r="1108" spans="1:10" x14ac:dyDescent="0.55000000000000004">
      <c r="A1108" t="s">
        <v>2244</v>
      </c>
      <c r="B1108">
        <v>100314</v>
      </c>
      <c r="C1108" t="s">
        <v>248</v>
      </c>
      <c r="D1108" s="3">
        <v>46150</v>
      </c>
      <c r="E1108" t="s">
        <v>317</v>
      </c>
      <c r="F1108" t="s">
        <v>2245</v>
      </c>
      <c r="G1108" t="s">
        <v>15</v>
      </c>
      <c r="H1108" t="s">
        <v>2246</v>
      </c>
      <c r="I1108" t="s">
        <v>2247</v>
      </c>
      <c r="J1108" s="4">
        <v>46073.116066377312</v>
      </c>
    </row>
    <row r="1109" spans="1:10" x14ac:dyDescent="0.55000000000000004">
      <c r="A1109" t="s">
        <v>2244</v>
      </c>
      <c r="B1109">
        <v>100314</v>
      </c>
      <c r="C1109" t="s">
        <v>248</v>
      </c>
      <c r="D1109" s="3">
        <v>46150</v>
      </c>
      <c r="E1109" t="s">
        <v>155</v>
      </c>
      <c r="F1109" t="s">
        <v>2245</v>
      </c>
      <c r="G1109" t="s">
        <v>15</v>
      </c>
      <c r="H1109" t="s">
        <v>2246</v>
      </c>
      <c r="I1109" t="s">
        <v>2247</v>
      </c>
      <c r="J1109" s="4">
        <v>46073.116066377312</v>
      </c>
    </row>
    <row r="1110" spans="1:10" x14ac:dyDescent="0.55000000000000004">
      <c r="A1110" t="s">
        <v>2248</v>
      </c>
      <c r="B1110">
        <v>100828</v>
      </c>
      <c r="C1110" t="s">
        <v>248</v>
      </c>
      <c r="D1110" s="3">
        <v>46109</v>
      </c>
      <c r="E1110" t="s">
        <v>115</v>
      </c>
      <c r="F1110" t="s">
        <v>2249</v>
      </c>
      <c r="G1110" t="s">
        <v>22</v>
      </c>
      <c r="H1110" t="s">
        <v>2250</v>
      </c>
      <c r="I1110" t="s">
        <v>2251</v>
      </c>
      <c r="J1110" s="4">
        <v>46091.004955266202</v>
      </c>
    </row>
    <row r="1111" spans="1:10" x14ac:dyDescent="0.55000000000000004">
      <c r="A1111" t="s">
        <v>2252</v>
      </c>
      <c r="B1111">
        <v>100580</v>
      </c>
      <c r="C1111" t="s">
        <v>248</v>
      </c>
      <c r="D1111" s="3">
        <v>45974</v>
      </c>
      <c r="E1111" t="s">
        <v>317</v>
      </c>
      <c r="F1111" t="s">
        <v>2253</v>
      </c>
      <c r="G1111" t="s">
        <v>22</v>
      </c>
      <c r="H1111" t="s">
        <v>2254</v>
      </c>
      <c r="I1111" t="s">
        <v>2255</v>
      </c>
      <c r="J1111" s="4">
        <v>46086.851483055558</v>
      </c>
    </row>
    <row r="1112" spans="1:10" x14ac:dyDescent="0.55000000000000004">
      <c r="A1112" t="s">
        <v>2252</v>
      </c>
      <c r="B1112">
        <v>100580</v>
      </c>
      <c r="C1112" t="s">
        <v>248</v>
      </c>
      <c r="D1112" s="3">
        <v>45974</v>
      </c>
      <c r="E1112" t="s">
        <v>20</v>
      </c>
      <c r="F1112" t="s">
        <v>2253</v>
      </c>
      <c r="G1112" t="s">
        <v>22</v>
      </c>
      <c r="H1112" t="s">
        <v>2254</v>
      </c>
      <c r="I1112" t="s">
        <v>2255</v>
      </c>
      <c r="J1112" s="4">
        <v>46086.851483055558</v>
      </c>
    </row>
    <row r="1113" spans="1:10" x14ac:dyDescent="0.55000000000000004">
      <c r="A1113" t="s">
        <v>2256</v>
      </c>
      <c r="B1113">
        <v>101108</v>
      </c>
      <c r="C1113" t="s">
        <v>37</v>
      </c>
      <c r="D1113" s="3">
        <v>46113</v>
      </c>
      <c r="E1113" t="s">
        <v>38</v>
      </c>
      <c r="F1113" t="s">
        <v>2257</v>
      </c>
      <c r="G1113" t="s">
        <v>22</v>
      </c>
      <c r="H1113" t="s">
        <v>2258</v>
      </c>
      <c r="I1113" t="s">
        <v>2259</v>
      </c>
      <c r="J1113" s="4">
        <v>46057.321621944444</v>
      </c>
    </row>
    <row r="1114" spans="1:10" x14ac:dyDescent="0.55000000000000004">
      <c r="A1114" t="s">
        <v>2256</v>
      </c>
      <c r="B1114">
        <v>101108</v>
      </c>
      <c r="C1114" t="s">
        <v>37</v>
      </c>
      <c r="D1114" s="3">
        <v>46113</v>
      </c>
      <c r="E1114" t="s">
        <v>20</v>
      </c>
      <c r="F1114" t="s">
        <v>2257</v>
      </c>
      <c r="G1114" t="s">
        <v>22</v>
      </c>
      <c r="H1114" t="s">
        <v>2258</v>
      </c>
      <c r="I1114" t="s">
        <v>2259</v>
      </c>
      <c r="J1114" s="4">
        <v>46057.321621944444</v>
      </c>
    </row>
    <row r="1115" spans="1:10" x14ac:dyDescent="0.55000000000000004">
      <c r="A1115" t="s">
        <v>2256</v>
      </c>
      <c r="B1115">
        <v>101108</v>
      </c>
      <c r="C1115" t="s">
        <v>37</v>
      </c>
      <c r="D1115" s="3">
        <v>46113</v>
      </c>
      <c r="E1115" t="s">
        <v>155</v>
      </c>
      <c r="F1115" t="s">
        <v>2257</v>
      </c>
      <c r="G1115" t="s">
        <v>22</v>
      </c>
      <c r="H1115" t="s">
        <v>2258</v>
      </c>
      <c r="I1115" t="s">
        <v>2259</v>
      </c>
      <c r="J1115" s="4">
        <v>46057.321621944444</v>
      </c>
    </row>
    <row r="1116" spans="1:10" x14ac:dyDescent="0.55000000000000004">
      <c r="A1116" t="s">
        <v>2260</v>
      </c>
      <c r="B1116">
        <v>101272</v>
      </c>
      <c r="C1116" t="s">
        <v>248</v>
      </c>
      <c r="D1116" s="3">
        <v>45916</v>
      </c>
      <c r="E1116" t="s">
        <v>317</v>
      </c>
      <c r="F1116" t="s">
        <v>2261</v>
      </c>
      <c r="G1116" t="s">
        <v>15</v>
      </c>
      <c r="H1116" t="s">
        <v>2262</v>
      </c>
      <c r="I1116" t="s">
        <v>2263</v>
      </c>
      <c r="J1116" s="4">
        <v>46090.410510833332</v>
      </c>
    </row>
    <row r="1117" spans="1:10" x14ac:dyDescent="0.55000000000000004">
      <c r="A1117" t="s">
        <v>2264</v>
      </c>
      <c r="B1117">
        <v>100272</v>
      </c>
      <c r="C1117" t="s">
        <v>179</v>
      </c>
      <c r="D1117" s="3">
        <v>45898</v>
      </c>
      <c r="E1117" t="s">
        <v>115</v>
      </c>
      <c r="F1117" t="s">
        <v>2265</v>
      </c>
      <c r="G1117" t="s">
        <v>22</v>
      </c>
      <c r="H1117" t="s">
        <v>2266</v>
      </c>
      <c r="I1117" t="s">
        <v>2267</v>
      </c>
      <c r="J1117" s="4">
        <v>46060.575788622686</v>
      </c>
    </row>
    <row r="1118" spans="1:10" x14ac:dyDescent="0.55000000000000004">
      <c r="A1118" t="s">
        <v>2268</v>
      </c>
      <c r="B1118">
        <v>100596</v>
      </c>
      <c r="C1118" t="s">
        <v>179</v>
      </c>
      <c r="D1118" s="3">
        <v>46136</v>
      </c>
      <c r="E1118" t="s">
        <v>155</v>
      </c>
      <c r="F1118" t="s">
        <v>2269</v>
      </c>
      <c r="G1118" t="s">
        <v>15</v>
      </c>
      <c r="H1118" t="s">
        <v>2270</v>
      </c>
      <c r="I1118" t="s">
        <v>2271</v>
      </c>
      <c r="J1118" s="4">
        <v>46059.763983067132</v>
      </c>
    </row>
    <row r="1119" spans="1:10" x14ac:dyDescent="0.55000000000000004">
      <c r="A1119" t="s">
        <v>2272</v>
      </c>
      <c r="B1119">
        <v>100978</v>
      </c>
      <c r="C1119" t="s">
        <v>19</v>
      </c>
      <c r="D1119" s="3">
        <v>46084</v>
      </c>
      <c r="E1119" t="s">
        <v>20</v>
      </c>
      <c r="F1119" t="s">
        <v>2273</v>
      </c>
      <c r="G1119" t="s">
        <v>15</v>
      </c>
      <c r="H1119" t="s">
        <v>2274</v>
      </c>
      <c r="I1119" t="s">
        <v>2275</v>
      </c>
      <c r="J1119" s="4">
        <v>46087.035510844908</v>
      </c>
    </row>
    <row r="1120" spans="1:10" x14ac:dyDescent="0.55000000000000004">
      <c r="A1120" t="s">
        <v>2272</v>
      </c>
      <c r="B1120">
        <v>100978</v>
      </c>
      <c r="C1120" t="s">
        <v>19</v>
      </c>
      <c r="D1120" s="3">
        <v>46084</v>
      </c>
      <c r="E1120" t="s">
        <v>155</v>
      </c>
      <c r="F1120" t="s">
        <v>2273</v>
      </c>
      <c r="G1120" t="s">
        <v>15</v>
      </c>
      <c r="H1120" t="s">
        <v>2274</v>
      </c>
      <c r="I1120" t="s">
        <v>2275</v>
      </c>
      <c r="J1120" s="4">
        <v>46087.035510844908</v>
      </c>
    </row>
    <row r="1121" spans="1:10" x14ac:dyDescent="0.55000000000000004">
      <c r="A1121" t="s">
        <v>2272</v>
      </c>
      <c r="B1121">
        <v>100978</v>
      </c>
      <c r="C1121" t="s">
        <v>19</v>
      </c>
      <c r="D1121" s="3">
        <v>46084</v>
      </c>
      <c r="E1121" t="s">
        <v>115</v>
      </c>
      <c r="F1121" t="s">
        <v>2273</v>
      </c>
      <c r="G1121" t="s">
        <v>15</v>
      </c>
      <c r="H1121" t="s">
        <v>2274</v>
      </c>
      <c r="I1121" t="s">
        <v>2275</v>
      </c>
      <c r="J1121" s="4">
        <v>46087.035510844908</v>
      </c>
    </row>
    <row r="1122" spans="1:10" x14ac:dyDescent="0.55000000000000004">
      <c r="A1122" t="s">
        <v>2276</v>
      </c>
      <c r="B1122">
        <v>100763</v>
      </c>
      <c r="C1122" t="s">
        <v>37</v>
      </c>
      <c r="D1122" s="3">
        <v>46083</v>
      </c>
      <c r="E1122" t="s">
        <v>38</v>
      </c>
      <c r="F1122" t="s">
        <v>2277</v>
      </c>
      <c r="G1122" t="s">
        <v>22</v>
      </c>
      <c r="H1122" t="s">
        <v>2278</v>
      </c>
      <c r="I1122" t="s">
        <v>2279</v>
      </c>
      <c r="J1122" s="4">
        <v>46056.527177523145</v>
      </c>
    </row>
    <row r="1123" spans="1:10" x14ac:dyDescent="0.55000000000000004">
      <c r="A1123" t="s">
        <v>2276</v>
      </c>
      <c r="B1123">
        <v>100763</v>
      </c>
      <c r="C1123" t="s">
        <v>37</v>
      </c>
      <c r="D1123" s="3">
        <v>46083</v>
      </c>
      <c r="E1123" t="s">
        <v>20</v>
      </c>
      <c r="F1123" t="s">
        <v>2277</v>
      </c>
      <c r="G1123" t="s">
        <v>22</v>
      </c>
      <c r="H1123" t="s">
        <v>2278</v>
      </c>
      <c r="I1123" t="s">
        <v>2279</v>
      </c>
      <c r="J1123" s="4">
        <v>46056.527177523145</v>
      </c>
    </row>
    <row r="1124" spans="1:10" x14ac:dyDescent="0.55000000000000004">
      <c r="A1124" t="s">
        <v>2276</v>
      </c>
      <c r="B1124">
        <v>100763</v>
      </c>
      <c r="C1124" t="s">
        <v>37</v>
      </c>
      <c r="D1124" s="3">
        <v>46083</v>
      </c>
      <c r="E1124" t="s">
        <v>155</v>
      </c>
      <c r="F1124" t="s">
        <v>2277</v>
      </c>
      <c r="G1124" t="s">
        <v>22</v>
      </c>
      <c r="H1124" t="s">
        <v>2278</v>
      </c>
      <c r="I1124" t="s">
        <v>2279</v>
      </c>
      <c r="J1124" s="4">
        <v>46056.527177523145</v>
      </c>
    </row>
    <row r="1125" spans="1:10" x14ac:dyDescent="0.55000000000000004">
      <c r="A1125" t="s">
        <v>2280</v>
      </c>
      <c r="B1125">
        <v>100656</v>
      </c>
      <c r="C1125" t="s">
        <v>19</v>
      </c>
      <c r="D1125" s="3">
        <v>46137</v>
      </c>
      <c r="E1125" t="s">
        <v>115</v>
      </c>
      <c r="F1125" t="s">
        <v>2281</v>
      </c>
      <c r="G1125" t="s">
        <v>22</v>
      </c>
      <c r="H1125" t="s">
        <v>2282</v>
      </c>
      <c r="I1125" t="s">
        <v>2283</v>
      </c>
      <c r="J1125" s="4">
        <v>46083.295927523148</v>
      </c>
    </row>
    <row r="1126" spans="1:10" x14ac:dyDescent="0.55000000000000004">
      <c r="A1126" t="s">
        <v>2284</v>
      </c>
      <c r="B1126">
        <v>100202</v>
      </c>
      <c r="C1126" t="s">
        <v>19</v>
      </c>
      <c r="D1126" s="3">
        <v>46135</v>
      </c>
      <c r="E1126" t="s">
        <v>20</v>
      </c>
      <c r="F1126" t="s">
        <v>2285</v>
      </c>
      <c r="G1126" t="s">
        <v>15</v>
      </c>
      <c r="H1126" t="s">
        <v>2286</v>
      </c>
      <c r="I1126" t="s">
        <v>2287</v>
      </c>
      <c r="J1126" s="4">
        <v>46053.209121979169</v>
      </c>
    </row>
    <row r="1127" spans="1:10" x14ac:dyDescent="0.55000000000000004">
      <c r="A1127" t="s">
        <v>2284</v>
      </c>
      <c r="B1127">
        <v>100202</v>
      </c>
      <c r="C1127" t="s">
        <v>19</v>
      </c>
      <c r="D1127" s="3">
        <v>46135</v>
      </c>
      <c r="E1127" t="s">
        <v>115</v>
      </c>
      <c r="F1127" t="s">
        <v>2285</v>
      </c>
      <c r="G1127" t="s">
        <v>15</v>
      </c>
      <c r="H1127" t="s">
        <v>2286</v>
      </c>
      <c r="I1127" t="s">
        <v>2287</v>
      </c>
      <c r="J1127" s="4">
        <v>46053.209121979169</v>
      </c>
    </row>
    <row r="1128" spans="1:10" x14ac:dyDescent="0.55000000000000004">
      <c r="A1128" t="s">
        <v>2284</v>
      </c>
      <c r="B1128">
        <v>100202</v>
      </c>
      <c r="C1128" t="s">
        <v>19</v>
      </c>
      <c r="D1128" s="3">
        <v>46135</v>
      </c>
      <c r="E1128" t="s">
        <v>69</v>
      </c>
      <c r="F1128" t="s">
        <v>2285</v>
      </c>
      <c r="G1128" t="s">
        <v>15</v>
      </c>
      <c r="H1128" t="s">
        <v>2286</v>
      </c>
      <c r="I1128" t="s">
        <v>2287</v>
      </c>
      <c r="J1128" s="4">
        <v>46053.209121979169</v>
      </c>
    </row>
    <row r="1129" spans="1:10" x14ac:dyDescent="0.55000000000000004">
      <c r="A1129" t="s">
        <v>2288</v>
      </c>
      <c r="B1129">
        <v>100662</v>
      </c>
      <c r="C1129" t="s">
        <v>68</v>
      </c>
      <c r="D1129" s="3">
        <v>46102</v>
      </c>
      <c r="E1129" t="s">
        <v>20</v>
      </c>
      <c r="F1129" t="s">
        <v>2289</v>
      </c>
      <c r="G1129" t="s">
        <v>15</v>
      </c>
      <c r="H1129" t="s">
        <v>2290</v>
      </c>
      <c r="I1129" t="s">
        <v>2291</v>
      </c>
      <c r="J1129" s="4">
        <v>46066.123705312501</v>
      </c>
    </row>
    <row r="1130" spans="1:10" x14ac:dyDescent="0.55000000000000004">
      <c r="A1130" t="s">
        <v>2292</v>
      </c>
      <c r="B1130">
        <v>100239</v>
      </c>
      <c r="C1130" t="s">
        <v>19</v>
      </c>
      <c r="D1130" s="3">
        <v>45882</v>
      </c>
      <c r="E1130" t="s">
        <v>317</v>
      </c>
      <c r="F1130" t="s">
        <v>2293</v>
      </c>
      <c r="G1130" t="s">
        <v>15</v>
      </c>
      <c r="H1130" t="s">
        <v>2294</v>
      </c>
      <c r="I1130" t="s">
        <v>2295</v>
      </c>
      <c r="J1130" s="4">
        <v>46063.25148309028</v>
      </c>
    </row>
    <row r="1131" spans="1:10" x14ac:dyDescent="0.55000000000000004">
      <c r="A1131" t="s">
        <v>2292</v>
      </c>
      <c r="B1131">
        <v>100239</v>
      </c>
      <c r="C1131" t="s">
        <v>19</v>
      </c>
      <c r="D1131" s="3">
        <v>45882</v>
      </c>
      <c r="E1131" t="s">
        <v>115</v>
      </c>
      <c r="F1131" t="s">
        <v>2293</v>
      </c>
      <c r="G1131" t="s">
        <v>15</v>
      </c>
      <c r="H1131" t="s">
        <v>2294</v>
      </c>
      <c r="I1131" t="s">
        <v>2295</v>
      </c>
      <c r="J1131" s="4">
        <v>46063.25148309028</v>
      </c>
    </row>
    <row r="1132" spans="1:10" x14ac:dyDescent="0.55000000000000004">
      <c r="A1132" t="s">
        <v>2292</v>
      </c>
      <c r="B1132">
        <v>100239</v>
      </c>
      <c r="C1132" t="s">
        <v>19</v>
      </c>
      <c r="D1132" s="3">
        <v>45882</v>
      </c>
      <c r="E1132" t="s">
        <v>69</v>
      </c>
      <c r="F1132" t="s">
        <v>2293</v>
      </c>
      <c r="G1132" t="s">
        <v>15</v>
      </c>
      <c r="H1132" t="s">
        <v>2294</v>
      </c>
      <c r="I1132" t="s">
        <v>2295</v>
      </c>
      <c r="J1132" s="4">
        <v>46063.25148309028</v>
      </c>
    </row>
    <row r="1133" spans="1:10" x14ac:dyDescent="0.55000000000000004">
      <c r="A1133" t="s">
        <v>2296</v>
      </c>
      <c r="B1133">
        <v>100072</v>
      </c>
      <c r="C1133" t="s">
        <v>68</v>
      </c>
      <c r="D1133" s="3">
        <v>46106</v>
      </c>
      <c r="E1133" t="s">
        <v>38</v>
      </c>
      <c r="F1133" t="s">
        <v>2297</v>
      </c>
      <c r="G1133" t="s">
        <v>15</v>
      </c>
      <c r="H1133" t="s">
        <v>2298</v>
      </c>
      <c r="I1133" t="s">
        <v>2299</v>
      </c>
      <c r="J1133" s="4">
        <v>46092.991066435185</v>
      </c>
    </row>
    <row r="1134" spans="1:10" x14ac:dyDescent="0.55000000000000004">
      <c r="A1134" t="s">
        <v>2296</v>
      </c>
      <c r="B1134">
        <v>100072</v>
      </c>
      <c r="C1134" t="s">
        <v>68</v>
      </c>
      <c r="D1134" s="3">
        <v>46106</v>
      </c>
      <c r="E1134" t="s">
        <v>20</v>
      </c>
      <c r="F1134" t="s">
        <v>2297</v>
      </c>
      <c r="G1134" t="s">
        <v>15</v>
      </c>
      <c r="H1134" t="s">
        <v>2298</v>
      </c>
      <c r="I1134" t="s">
        <v>2299</v>
      </c>
      <c r="J1134" s="4">
        <v>46092.991066435185</v>
      </c>
    </row>
    <row r="1135" spans="1:10" x14ac:dyDescent="0.55000000000000004">
      <c r="A1135" t="s">
        <v>2300</v>
      </c>
      <c r="B1135">
        <v>100901</v>
      </c>
      <c r="C1135" t="s">
        <v>533</v>
      </c>
      <c r="D1135" s="3">
        <v>45962</v>
      </c>
      <c r="E1135" t="s">
        <v>38</v>
      </c>
      <c r="F1135" t="s">
        <v>2301</v>
      </c>
      <c r="G1135" t="s">
        <v>22</v>
      </c>
      <c r="H1135" t="s">
        <v>2302</v>
      </c>
      <c r="I1135" t="s">
        <v>2303</v>
      </c>
      <c r="J1135" s="4">
        <v>46068.74523310185</v>
      </c>
    </row>
    <row r="1136" spans="1:10" x14ac:dyDescent="0.55000000000000004">
      <c r="A1136" t="s">
        <v>2300</v>
      </c>
      <c r="B1136">
        <v>100901</v>
      </c>
      <c r="C1136" t="s">
        <v>533</v>
      </c>
      <c r="D1136" s="3">
        <v>45962</v>
      </c>
      <c r="E1136" t="s">
        <v>20</v>
      </c>
      <c r="F1136" t="s">
        <v>2301</v>
      </c>
      <c r="G1136" t="s">
        <v>22</v>
      </c>
      <c r="H1136" t="s">
        <v>2302</v>
      </c>
      <c r="I1136" t="s">
        <v>2303</v>
      </c>
      <c r="J1136" s="4">
        <v>46068.74523310185</v>
      </c>
    </row>
    <row r="1137" spans="1:11" x14ac:dyDescent="0.55000000000000004">
      <c r="A1137" t="s">
        <v>2304</v>
      </c>
      <c r="B1137">
        <v>100987</v>
      </c>
      <c r="C1137" t="s">
        <v>19</v>
      </c>
      <c r="D1137" s="3">
        <v>45926</v>
      </c>
      <c r="E1137" t="s">
        <v>20</v>
      </c>
      <c r="F1137" t="s">
        <v>2305</v>
      </c>
      <c r="G1137" t="s">
        <v>15</v>
      </c>
      <c r="H1137" t="s">
        <v>2306</v>
      </c>
      <c r="I1137" t="s">
        <v>2307</v>
      </c>
      <c r="J1137" s="4">
        <v>46077.656344212963</v>
      </c>
    </row>
    <row r="1138" spans="1:11" x14ac:dyDescent="0.55000000000000004">
      <c r="A1138" t="s">
        <v>2304</v>
      </c>
      <c r="B1138">
        <v>100987</v>
      </c>
      <c r="C1138" t="s">
        <v>19</v>
      </c>
      <c r="D1138" s="3">
        <v>45926</v>
      </c>
      <c r="E1138" t="s">
        <v>155</v>
      </c>
      <c r="F1138" t="s">
        <v>2305</v>
      </c>
      <c r="G1138" t="s">
        <v>15</v>
      </c>
      <c r="H1138" t="s">
        <v>2306</v>
      </c>
      <c r="I1138" t="s">
        <v>2307</v>
      </c>
      <c r="J1138" s="4">
        <v>46077.656344212963</v>
      </c>
    </row>
    <row r="1139" spans="1:11" x14ac:dyDescent="0.55000000000000004">
      <c r="A1139" t="s">
        <v>2304</v>
      </c>
      <c r="B1139">
        <v>100987</v>
      </c>
      <c r="C1139" t="s">
        <v>19</v>
      </c>
      <c r="D1139" s="3">
        <v>45926</v>
      </c>
      <c r="E1139" t="s">
        <v>115</v>
      </c>
      <c r="F1139" t="s">
        <v>2305</v>
      </c>
      <c r="G1139" t="s">
        <v>15</v>
      </c>
      <c r="H1139" t="s">
        <v>2306</v>
      </c>
      <c r="I1139" t="s">
        <v>2307</v>
      </c>
      <c r="J1139" s="4">
        <v>46077.656344212963</v>
      </c>
    </row>
    <row r="1140" spans="1:11" x14ac:dyDescent="0.55000000000000004">
      <c r="A1140" t="s">
        <v>2308</v>
      </c>
      <c r="B1140">
        <v>100295</v>
      </c>
      <c r="C1140" t="s">
        <v>19</v>
      </c>
      <c r="D1140" s="3">
        <v>46151</v>
      </c>
      <c r="E1140" t="s">
        <v>38</v>
      </c>
      <c r="F1140" t="s">
        <v>2309</v>
      </c>
      <c r="G1140" t="s">
        <v>22</v>
      </c>
      <c r="H1140" t="s">
        <v>2310</v>
      </c>
      <c r="I1140" t="s">
        <v>2311</v>
      </c>
      <c r="J1140" s="4">
        <v>46062.527177557873</v>
      </c>
    </row>
    <row r="1141" spans="1:11" x14ac:dyDescent="0.55000000000000004">
      <c r="A1141" t="s">
        <v>2308</v>
      </c>
      <c r="B1141">
        <v>100295</v>
      </c>
      <c r="C1141" t="s">
        <v>19</v>
      </c>
      <c r="D1141" s="3">
        <v>46151</v>
      </c>
      <c r="E1141" t="s">
        <v>115</v>
      </c>
      <c r="F1141" t="s">
        <v>2309</v>
      </c>
      <c r="G1141" t="s">
        <v>22</v>
      </c>
      <c r="H1141" t="s">
        <v>2310</v>
      </c>
      <c r="I1141" t="s">
        <v>2311</v>
      </c>
      <c r="J1141" s="4">
        <v>46062.527177557873</v>
      </c>
    </row>
    <row r="1142" spans="1:11" x14ac:dyDescent="0.55000000000000004">
      <c r="A1142" t="s">
        <v>2312</v>
      </c>
      <c r="B1142">
        <v>100237</v>
      </c>
      <c r="C1142" t="s">
        <v>19</v>
      </c>
      <c r="D1142" s="3">
        <v>45876</v>
      </c>
      <c r="E1142" t="s">
        <v>20</v>
      </c>
      <c r="F1142" t="s">
        <v>2313</v>
      </c>
      <c r="G1142" t="s">
        <v>15</v>
      </c>
      <c r="H1142" t="s">
        <v>2314</v>
      </c>
      <c r="I1142" t="s">
        <v>2315</v>
      </c>
      <c r="J1142" s="4">
        <v>46091.002177557872</v>
      </c>
    </row>
    <row r="1143" spans="1:11" x14ac:dyDescent="0.55000000000000004">
      <c r="A1143" t="s">
        <v>2312</v>
      </c>
      <c r="B1143">
        <v>100237</v>
      </c>
      <c r="C1143" t="s">
        <v>19</v>
      </c>
      <c r="D1143" s="3">
        <v>45876</v>
      </c>
      <c r="E1143" t="s">
        <v>69</v>
      </c>
      <c r="F1143" t="s">
        <v>2313</v>
      </c>
      <c r="G1143" t="s">
        <v>15</v>
      </c>
      <c r="H1143" t="s">
        <v>2314</v>
      </c>
      <c r="I1143" t="s">
        <v>2315</v>
      </c>
      <c r="J1143" s="4">
        <v>46091.002177557872</v>
      </c>
    </row>
    <row r="1144" spans="1:11" x14ac:dyDescent="0.55000000000000004">
      <c r="A1144" t="s">
        <v>2316</v>
      </c>
      <c r="B1144">
        <v>100033</v>
      </c>
      <c r="C1144" t="s">
        <v>37</v>
      </c>
      <c r="D1144" s="3">
        <v>45754</v>
      </c>
      <c r="E1144" t="s">
        <v>115</v>
      </c>
      <c r="F1144" t="s">
        <v>2317</v>
      </c>
      <c r="G1144" t="s">
        <v>15</v>
      </c>
      <c r="H1144" t="s">
        <v>2318</v>
      </c>
      <c r="I1144" t="s">
        <v>2319</v>
      </c>
      <c r="J1144" s="4">
        <v>46085.593844224539</v>
      </c>
    </row>
    <row r="1145" spans="1:11" x14ac:dyDescent="0.55000000000000004">
      <c r="A1145" t="s">
        <v>2320</v>
      </c>
      <c r="B1145">
        <v>101385</v>
      </c>
      <c r="C1145" t="s">
        <v>19</v>
      </c>
      <c r="D1145" s="3">
        <v>45830</v>
      </c>
      <c r="E1145" t="s">
        <v>155</v>
      </c>
      <c r="F1145" t="s">
        <v>2321</v>
      </c>
      <c r="G1145" t="s">
        <v>22</v>
      </c>
      <c r="H1145" t="s">
        <v>2322</v>
      </c>
      <c r="I1145" t="s">
        <v>2323</v>
      </c>
      <c r="J1145" s="4">
        <v>46055.049399791664</v>
      </c>
      <c r="K1145" t="s">
        <v>139</v>
      </c>
    </row>
    <row r="1146" spans="1:11" x14ac:dyDescent="0.55000000000000004">
      <c r="A1146" t="s">
        <v>2324</v>
      </c>
      <c r="B1146">
        <v>100898</v>
      </c>
      <c r="C1146" t="s">
        <v>19</v>
      </c>
      <c r="D1146" s="3">
        <v>46051</v>
      </c>
      <c r="E1146" t="s">
        <v>38</v>
      </c>
      <c r="F1146" t="s">
        <v>2325</v>
      </c>
      <c r="G1146" t="s">
        <v>22</v>
      </c>
      <c r="H1146" t="s">
        <v>2326</v>
      </c>
      <c r="I1146" t="s">
        <v>2327</v>
      </c>
      <c r="J1146" s="4">
        <v>46082.884816458332</v>
      </c>
    </row>
    <row r="1147" spans="1:11" x14ac:dyDescent="0.55000000000000004">
      <c r="A1147" t="s">
        <v>2324</v>
      </c>
      <c r="B1147">
        <v>100898</v>
      </c>
      <c r="C1147" t="s">
        <v>19</v>
      </c>
      <c r="D1147" s="3">
        <v>46051</v>
      </c>
      <c r="E1147" t="s">
        <v>20</v>
      </c>
      <c r="F1147" t="s">
        <v>2325</v>
      </c>
      <c r="G1147" t="s">
        <v>22</v>
      </c>
      <c r="H1147" t="s">
        <v>2326</v>
      </c>
      <c r="I1147" t="s">
        <v>2327</v>
      </c>
      <c r="J1147" s="4">
        <v>46082.884816458332</v>
      </c>
    </row>
    <row r="1148" spans="1:11" x14ac:dyDescent="0.55000000000000004">
      <c r="A1148" t="s">
        <v>2324</v>
      </c>
      <c r="B1148">
        <v>100898</v>
      </c>
      <c r="C1148" t="s">
        <v>19</v>
      </c>
      <c r="D1148" s="3">
        <v>46051</v>
      </c>
      <c r="E1148" t="s">
        <v>155</v>
      </c>
      <c r="F1148" t="s">
        <v>2325</v>
      </c>
      <c r="G1148" t="s">
        <v>22</v>
      </c>
      <c r="H1148" t="s">
        <v>2326</v>
      </c>
      <c r="I1148" t="s">
        <v>2327</v>
      </c>
      <c r="J1148" s="4">
        <v>46082.884816458332</v>
      </c>
    </row>
    <row r="1149" spans="1:11" x14ac:dyDescent="0.55000000000000004">
      <c r="A1149" t="s">
        <v>2328</v>
      </c>
      <c r="B1149">
        <v>100585</v>
      </c>
      <c r="C1149" t="s">
        <v>37</v>
      </c>
      <c r="D1149" s="3">
        <v>45738</v>
      </c>
      <c r="E1149" t="s">
        <v>317</v>
      </c>
      <c r="F1149" t="s">
        <v>2329</v>
      </c>
      <c r="G1149" t="s">
        <v>22</v>
      </c>
      <c r="H1149" t="s">
        <v>2330</v>
      </c>
      <c r="I1149" t="s">
        <v>2331</v>
      </c>
      <c r="J1149" s="4">
        <v>46092.08064980324</v>
      </c>
    </row>
    <row r="1150" spans="1:11" x14ac:dyDescent="0.55000000000000004">
      <c r="A1150" t="s">
        <v>2332</v>
      </c>
      <c r="B1150">
        <v>101173</v>
      </c>
      <c r="C1150" t="s">
        <v>37</v>
      </c>
      <c r="D1150" s="3">
        <v>45916</v>
      </c>
      <c r="E1150" t="s">
        <v>317</v>
      </c>
      <c r="F1150" t="s">
        <v>2333</v>
      </c>
      <c r="G1150" t="s">
        <v>15</v>
      </c>
      <c r="H1150" t="s">
        <v>2334</v>
      </c>
      <c r="I1150" t="s">
        <v>2335</v>
      </c>
      <c r="J1150" s="4">
        <v>46058.368149803238</v>
      </c>
    </row>
    <row r="1151" spans="1:11" x14ac:dyDescent="0.55000000000000004">
      <c r="A1151" t="s">
        <v>2332</v>
      </c>
      <c r="B1151">
        <v>101173</v>
      </c>
      <c r="C1151" t="s">
        <v>37</v>
      </c>
      <c r="D1151" s="3">
        <v>45916</v>
      </c>
      <c r="E1151" t="s">
        <v>20</v>
      </c>
      <c r="F1151" t="s">
        <v>2333</v>
      </c>
      <c r="G1151" t="s">
        <v>15</v>
      </c>
      <c r="H1151" t="s">
        <v>2334</v>
      </c>
      <c r="I1151" t="s">
        <v>2335</v>
      </c>
      <c r="J1151" s="4">
        <v>46058.368149803238</v>
      </c>
    </row>
    <row r="1152" spans="1:11" x14ac:dyDescent="0.55000000000000004">
      <c r="A1152" t="s">
        <v>2332</v>
      </c>
      <c r="B1152">
        <v>101173</v>
      </c>
      <c r="C1152" t="s">
        <v>37</v>
      </c>
      <c r="D1152" s="3">
        <v>45916</v>
      </c>
      <c r="E1152" t="s">
        <v>69</v>
      </c>
      <c r="F1152" t="s">
        <v>2333</v>
      </c>
      <c r="G1152" t="s">
        <v>15</v>
      </c>
      <c r="H1152" t="s">
        <v>2334</v>
      </c>
      <c r="I1152" t="s">
        <v>2335</v>
      </c>
      <c r="J1152" s="4">
        <v>46058.368149803238</v>
      </c>
    </row>
    <row r="1153" spans="1:10" x14ac:dyDescent="0.55000000000000004">
      <c r="A1153" t="s">
        <v>2336</v>
      </c>
      <c r="B1153">
        <v>100002</v>
      </c>
      <c r="C1153" t="s">
        <v>19</v>
      </c>
      <c r="D1153" s="3">
        <v>45752</v>
      </c>
      <c r="E1153" t="s">
        <v>317</v>
      </c>
      <c r="F1153" t="s">
        <v>2337</v>
      </c>
      <c r="G1153" t="s">
        <v>15</v>
      </c>
      <c r="H1153" t="s">
        <v>2338</v>
      </c>
      <c r="I1153" t="s">
        <v>2339</v>
      </c>
      <c r="J1153" s="4">
        <v>46064.608427581021</v>
      </c>
    </row>
    <row r="1154" spans="1:10" x14ac:dyDescent="0.55000000000000004">
      <c r="A1154" t="s">
        <v>2336</v>
      </c>
      <c r="B1154">
        <v>100002</v>
      </c>
      <c r="C1154" t="s">
        <v>19</v>
      </c>
      <c r="D1154" s="3">
        <v>45752</v>
      </c>
      <c r="E1154" t="s">
        <v>20</v>
      </c>
      <c r="F1154" t="s">
        <v>2337</v>
      </c>
      <c r="G1154" t="s">
        <v>15</v>
      </c>
      <c r="H1154" t="s">
        <v>2338</v>
      </c>
      <c r="I1154" t="s">
        <v>2339</v>
      </c>
      <c r="J1154" s="4">
        <v>46064.608427581021</v>
      </c>
    </row>
    <row r="1155" spans="1:10" x14ac:dyDescent="0.55000000000000004">
      <c r="A1155" t="s">
        <v>2336</v>
      </c>
      <c r="B1155">
        <v>100002</v>
      </c>
      <c r="C1155" t="s">
        <v>19</v>
      </c>
      <c r="D1155" s="3">
        <v>45752</v>
      </c>
      <c r="E1155" t="s">
        <v>155</v>
      </c>
      <c r="F1155" t="s">
        <v>2337</v>
      </c>
      <c r="G1155" t="s">
        <v>15</v>
      </c>
      <c r="H1155" t="s">
        <v>2338</v>
      </c>
      <c r="I1155" t="s">
        <v>2339</v>
      </c>
      <c r="J1155" s="4">
        <v>46064.608427581021</v>
      </c>
    </row>
    <row r="1156" spans="1:10" x14ac:dyDescent="0.55000000000000004">
      <c r="A1156" t="s">
        <v>2340</v>
      </c>
      <c r="B1156">
        <v>100574</v>
      </c>
      <c r="C1156" t="s">
        <v>533</v>
      </c>
      <c r="D1156" s="3">
        <v>46103</v>
      </c>
      <c r="E1156" t="s">
        <v>38</v>
      </c>
      <c r="F1156" t="s">
        <v>2341</v>
      </c>
      <c r="G1156" t="s">
        <v>22</v>
      </c>
      <c r="H1156" t="s">
        <v>2342</v>
      </c>
      <c r="I1156" t="s">
        <v>2343</v>
      </c>
      <c r="J1156" s="4">
        <v>46085.471622037039</v>
      </c>
    </row>
    <row r="1157" spans="1:10" x14ac:dyDescent="0.55000000000000004">
      <c r="A1157" t="s">
        <v>2344</v>
      </c>
      <c r="B1157">
        <v>100076</v>
      </c>
      <c r="C1157" t="s">
        <v>19</v>
      </c>
      <c r="D1157" s="3">
        <v>46068</v>
      </c>
      <c r="E1157" t="s">
        <v>38</v>
      </c>
      <c r="F1157" t="s">
        <v>2345</v>
      </c>
      <c r="G1157" t="s">
        <v>15</v>
      </c>
      <c r="H1157" t="s">
        <v>2346</v>
      </c>
      <c r="I1157" t="s">
        <v>2347</v>
      </c>
      <c r="J1157" s="4">
        <v>46061.95217759259</v>
      </c>
    </row>
    <row r="1158" spans="1:10" x14ac:dyDescent="0.55000000000000004">
      <c r="A1158" t="s">
        <v>2348</v>
      </c>
      <c r="B1158">
        <v>100565</v>
      </c>
      <c r="C1158" t="s">
        <v>179</v>
      </c>
      <c r="D1158" s="3">
        <v>46114</v>
      </c>
      <c r="E1158" t="s">
        <v>317</v>
      </c>
      <c r="F1158" t="s">
        <v>2349</v>
      </c>
      <c r="G1158" t="s">
        <v>22</v>
      </c>
      <c r="H1158" t="s">
        <v>2350</v>
      </c>
      <c r="I1158" t="s">
        <v>2351</v>
      </c>
      <c r="J1158" s="4">
        <v>46054.09384425926</v>
      </c>
    </row>
    <row r="1159" spans="1:10" x14ac:dyDescent="0.55000000000000004">
      <c r="A1159" t="s">
        <v>2352</v>
      </c>
      <c r="B1159">
        <v>100177</v>
      </c>
      <c r="C1159" t="s">
        <v>179</v>
      </c>
      <c r="D1159" s="3">
        <v>45785</v>
      </c>
      <c r="E1159" t="s">
        <v>115</v>
      </c>
      <c r="F1159" t="s">
        <v>2353</v>
      </c>
      <c r="G1159" t="s">
        <v>22</v>
      </c>
      <c r="H1159" t="s">
        <v>2354</v>
      </c>
      <c r="I1159" t="s">
        <v>2355</v>
      </c>
      <c r="J1159" s="4">
        <v>46065.266066493059</v>
      </c>
    </row>
    <row r="1160" spans="1:10" x14ac:dyDescent="0.55000000000000004">
      <c r="A1160" t="s">
        <v>2356</v>
      </c>
      <c r="B1160">
        <v>101183</v>
      </c>
      <c r="C1160" t="s">
        <v>533</v>
      </c>
      <c r="D1160" s="3">
        <v>46005</v>
      </c>
      <c r="E1160" t="s">
        <v>38</v>
      </c>
      <c r="F1160" t="s">
        <v>2357</v>
      </c>
      <c r="G1160" t="s">
        <v>22</v>
      </c>
      <c r="H1160" t="s">
        <v>2358</v>
      </c>
      <c r="I1160" t="s">
        <v>2359</v>
      </c>
      <c r="J1160" s="4">
        <v>46074.159816493055</v>
      </c>
    </row>
    <row r="1161" spans="1:10" x14ac:dyDescent="0.55000000000000004">
      <c r="A1161" t="s">
        <v>2356</v>
      </c>
      <c r="B1161">
        <v>101183</v>
      </c>
      <c r="C1161" t="s">
        <v>533</v>
      </c>
      <c r="D1161" s="3">
        <v>46005</v>
      </c>
      <c r="E1161" t="s">
        <v>20</v>
      </c>
      <c r="F1161" t="s">
        <v>2357</v>
      </c>
      <c r="G1161" t="s">
        <v>22</v>
      </c>
      <c r="H1161" t="s">
        <v>2358</v>
      </c>
      <c r="I1161" t="s">
        <v>2359</v>
      </c>
      <c r="J1161" s="4">
        <v>46074.159816493055</v>
      </c>
    </row>
    <row r="1162" spans="1:10" x14ac:dyDescent="0.55000000000000004">
      <c r="A1162" t="s">
        <v>2356</v>
      </c>
      <c r="B1162">
        <v>101183</v>
      </c>
      <c r="C1162" t="s">
        <v>533</v>
      </c>
      <c r="D1162" s="3">
        <v>46005</v>
      </c>
      <c r="E1162" t="s">
        <v>69</v>
      </c>
      <c r="F1162" t="s">
        <v>2357</v>
      </c>
      <c r="G1162" t="s">
        <v>22</v>
      </c>
      <c r="H1162" t="s">
        <v>2358</v>
      </c>
      <c r="I1162" t="s">
        <v>2359</v>
      </c>
      <c r="J1162" s="4">
        <v>46074.159816493055</v>
      </c>
    </row>
    <row r="1163" spans="1:10" x14ac:dyDescent="0.55000000000000004">
      <c r="A1163" t="s">
        <v>2360</v>
      </c>
      <c r="B1163">
        <v>100160</v>
      </c>
      <c r="C1163" t="s">
        <v>179</v>
      </c>
      <c r="D1163" s="3">
        <v>46154</v>
      </c>
      <c r="E1163" t="s">
        <v>38</v>
      </c>
      <c r="F1163" t="s">
        <v>2361</v>
      </c>
      <c r="G1163" t="s">
        <v>15</v>
      </c>
      <c r="H1163" t="s">
        <v>2362</v>
      </c>
      <c r="I1163" t="s">
        <v>2363</v>
      </c>
      <c r="J1163" s="4">
        <v>46072.963983159723</v>
      </c>
    </row>
    <row r="1164" spans="1:10" x14ac:dyDescent="0.55000000000000004">
      <c r="A1164" t="s">
        <v>2360</v>
      </c>
      <c r="B1164">
        <v>100160</v>
      </c>
      <c r="C1164" t="s">
        <v>179</v>
      </c>
      <c r="D1164" s="3">
        <v>46154</v>
      </c>
      <c r="E1164" t="s">
        <v>20</v>
      </c>
      <c r="F1164" t="s">
        <v>2361</v>
      </c>
      <c r="G1164" t="s">
        <v>15</v>
      </c>
      <c r="H1164" t="s">
        <v>2362</v>
      </c>
      <c r="I1164" t="s">
        <v>2363</v>
      </c>
      <c r="J1164" s="4">
        <v>46072.963983159723</v>
      </c>
    </row>
    <row r="1165" spans="1:10" x14ac:dyDescent="0.55000000000000004">
      <c r="A1165" t="s">
        <v>2360</v>
      </c>
      <c r="B1165">
        <v>100160</v>
      </c>
      <c r="C1165" t="s">
        <v>179</v>
      </c>
      <c r="D1165" s="3">
        <v>46154</v>
      </c>
      <c r="E1165" t="s">
        <v>115</v>
      </c>
      <c r="F1165" t="s">
        <v>2361</v>
      </c>
      <c r="G1165" t="s">
        <v>15</v>
      </c>
      <c r="H1165" t="s">
        <v>2362</v>
      </c>
      <c r="I1165" t="s">
        <v>2363</v>
      </c>
      <c r="J1165" s="4">
        <v>46072.963983159723</v>
      </c>
    </row>
    <row r="1166" spans="1:10" x14ac:dyDescent="0.55000000000000004">
      <c r="A1166" t="s">
        <v>2364</v>
      </c>
      <c r="B1166">
        <v>100944</v>
      </c>
      <c r="C1166" t="s">
        <v>248</v>
      </c>
      <c r="D1166" s="3">
        <v>45916</v>
      </c>
      <c r="E1166" t="s">
        <v>317</v>
      </c>
      <c r="F1166" t="s">
        <v>2365</v>
      </c>
      <c r="G1166" t="s">
        <v>15</v>
      </c>
      <c r="H1166" t="s">
        <v>2366</v>
      </c>
      <c r="I1166" t="s">
        <v>2367</v>
      </c>
      <c r="J1166" s="4">
        <v>46095.341760949072</v>
      </c>
    </row>
    <row r="1167" spans="1:10" x14ac:dyDescent="0.55000000000000004">
      <c r="A1167" t="s">
        <v>2364</v>
      </c>
      <c r="B1167">
        <v>100944</v>
      </c>
      <c r="C1167" t="s">
        <v>248</v>
      </c>
      <c r="D1167" s="3">
        <v>45916</v>
      </c>
      <c r="E1167" t="s">
        <v>69</v>
      </c>
      <c r="F1167" t="s">
        <v>2365</v>
      </c>
      <c r="G1167" t="s">
        <v>15</v>
      </c>
      <c r="H1167" t="s">
        <v>2366</v>
      </c>
      <c r="I1167" t="s">
        <v>2367</v>
      </c>
      <c r="J1167" s="4">
        <v>46095.341760949072</v>
      </c>
    </row>
    <row r="1168" spans="1:10" x14ac:dyDescent="0.55000000000000004">
      <c r="A1168" t="s">
        <v>2368</v>
      </c>
      <c r="B1168">
        <v>101265</v>
      </c>
      <c r="C1168" t="s">
        <v>19</v>
      </c>
      <c r="D1168" s="3">
        <v>45740</v>
      </c>
      <c r="E1168" t="s">
        <v>20</v>
      </c>
      <c r="F1168" t="s">
        <v>2369</v>
      </c>
      <c r="G1168" t="s">
        <v>22</v>
      </c>
      <c r="H1168" t="s">
        <v>2370</v>
      </c>
      <c r="I1168" t="s">
        <v>2371</v>
      </c>
      <c r="J1168" s="4">
        <v>46083.441066504631</v>
      </c>
    </row>
    <row r="1169" spans="1:11" x14ac:dyDescent="0.55000000000000004">
      <c r="A1169" t="s">
        <v>2368</v>
      </c>
      <c r="B1169">
        <v>101265</v>
      </c>
      <c r="C1169" t="s">
        <v>19</v>
      </c>
      <c r="D1169" s="3">
        <v>45740</v>
      </c>
      <c r="E1169" t="s">
        <v>155</v>
      </c>
      <c r="F1169" t="s">
        <v>2369</v>
      </c>
      <c r="G1169" t="s">
        <v>22</v>
      </c>
      <c r="H1169" t="s">
        <v>2370</v>
      </c>
      <c r="I1169" t="s">
        <v>2371</v>
      </c>
      <c r="J1169" s="4">
        <v>46083.441066504631</v>
      </c>
    </row>
    <row r="1170" spans="1:11" x14ac:dyDescent="0.55000000000000004">
      <c r="A1170" t="s">
        <v>2368</v>
      </c>
      <c r="B1170">
        <v>101265</v>
      </c>
      <c r="C1170" t="s">
        <v>19</v>
      </c>
      <c r="D1170" s="3">
        <v>45740</v>
      </c>
      <c r="E1170" t="s">
        <v>115</v>
      </c>
      <c r="F1170" t="s">
        <v>2369</v>
      </c>
      <c r="G1170" t="s">
        <v>22</v>
      </c>
      <c r="H1170" t="s">
        <v>2370</v>
      </c>
      <c r="I1170" t="s">
        <v>2371</v>
      </c>
      <c r="J1170" s="4">
        <v>46083.441066504631</v>
      </c>
    </row>
    <row r="1171" spans="1:11" x14ac:dyDescent="0.55000000000000004">
      <c r="A1171" t="s">
        <v>2372</v>
      </c>
      <c r="B1171">
        <v>100807</v>
      </c>
      <c r="C1171" t="s">
        <v>68</v>
      </c>
      <c r="D1171" s="3">
        <v>45743</v>
      </c>
      <c r="E1171" t="s">
        <v>38</v>
      </c>
      <c r="F1171" t="s">
        <v>2373</v>
      </c>
      <c r="G1171" t="s">
        <v>15</v>
      </c>
      <c r="H1171" t="s">
        <v>2374</v>
      </c>
      <c r="I1171" t="s">
        <v>2375</v>
      </c>
      <c r="J1171" s="4">
        <v>46095.091760960648</v>
      </c>
    </row>
    <row r="1172" spans="1:11" x14ac:dyDescent="0.55000000000000004">
      <c r="A1172" t="s">
        <v>2372</v>
      </c>
      <c r="B1172">
        <v>100807</v>
      </c>
      <c r="C1172" t="s">
        <v>68</v>
      </c>
      <c r="D1172" s="3">
        <v>45743</v>
      </c>
      <c r="E1172" t="s">
        <v>20</v>
      </c>
      <c r="F1172" t="s">
        <v>2373</v>
      </c>
      <c r="G1172" t="s">
        <v>15</v>
      </c>
      <c r="H1172" t="s">
        <v>2374</v>
      </c>
      <c r="I1172" t="s">
        <v>2375</v>
      </c>
      <c r="J1172" s="4">
        <v>46095.091760960648</v>
      </c>
    </row>
    <row r="1173" spans="1:11" x14ac:dyDescent="0.55000000000000004">
      <c r="A1173" t="s">
        <v>2372</v>
      </c>
      <c r="B1173">
        <v>100807</v>
      </c>
      <c r="C1173" t="s">
        <v>68</v>
      </c>
      <c r="D1173" s="3">
        <v>45743</v>
      </c>
      <c r="E1173" t="s">
        <v>115</v>
      </c>
      <c r="F1173" t="s">
        <v>2373</v>
      </c>
      <c r="G1173" t="s">
        <v>15</v>
      </c>
      <c r="H1173" t="s">
        <v>2374</v>
      </c>
      <c r="I1173" t="s">
        <v>2375</v>
      </c>
      <c r="J1173" s="4">
        <v>46095.091760960648</v>
      </c>
    </row>
    <row r="1174" spans="1:11" x14ac:dyDescent="0.55000000000000004">
      <c r="A1174" t="s">
        <v>2376</v>
      </c>
      <c r="B1174">
        <v>101405</v>
      </c>
      <c r="C1174" t="s">
        <v>68</v>
      </c>
      <c r="D1174" s="3">
        <v>45811</v>
      </c>
      <c r="E1174" t="s">
        <v>20</v>
      </c>
      <c r="F1174" t="s">
        <v>2377</v>
      </c>
      <c r="G1174" t="s">
        <v>22</v>
      </c>
      <c r="H1174" t="s">
        <v>2378</v>
      </c>
      <c r="I1174" t="s">
        <v>2379</v>
      </c>
      <c r="J1174" s="4">
        <v>46060.391066516204</v>
      </c>
    </row>
    <row r="1175" spans="1:11" x14ac:dyDescent="0.55000000000000004">
      <c r="A1175" t="s">
        <v>2380</v>
      </c>
      <c r="B1175">
        <v>100101</v>
      </c>
      <c r="C1175" t="s">
        <v>248</v>
      </c>
      <c r="D1175" s="3">
        <v>45863</v>
      </c>
      <c r="E1175" t="s">
        <v>38</v>
      </c>
      <c r="F1175" t="s">
        <v>2381</v>
      </c>
      <c r="G1175" t="s">
        <v>22</v>
      </c>
      <c r="H1175" t="s">
        <v>2382</v>
      </c>
      <c r="I1175" t="s">
        <v>2383</v>
      </c>
      <c r="J1175" s="4">
        <v>46061.436899849534</v>
      </c>
    </row>
    <row r="1176" spans="1:11" x14ac:dyDescent="0.55000000000000004">
      <c r="A1176" t="s">
        <v>2380</v>
      </c>
      <c r="B1176">
        <v>100101</v>
      </c>
      <c r="C1176" t="s">
        <v>248</v>
      </c>
      <c r="D1176" s="3">
        <v>45863</v>
      </c>
      <c r="E1176" t="s">
        <v>155</v>
      </c>
      <c r="F1176" t="s">
        <v>2381</v>
      </c>
      <c r="G1176" t="s">
        <v>22</v>
      </c>
      <c r="H1176" t="s">
        <v>2382</v>
      </c>
      <c r="I1176" t="s">
        <v>2383</v>
      </c>
      <c r="J1176" s="4">
        <v>46061.436899849534</v>
      </c>
    </row>
    <row r="1177" spans="1:11" x14ac:dyDescent="0.55000000000000004">
      <c r="A1177" t="s">
        <v>2384</v>
      </c>
      <c r="B1177">
        <v>101485</v>
      </c>
      <c r="C1177" t="s">
        <v>37</v>
      </c>
      <c r="D1177" s="3">
        <v>46102</v>
      </c>
      <c r="E1177" t="s">
        <v>115</v>
      </c>
      <c r="F1177" t="s">
        <v>2385</v>
      </c>
      <c r="G1177" t="s">
        <v>22</v>
      </c>
      <c r="H1177" t="s">
        <v>2386</v>
      </c>
      <c r="I1177" t="s">
        <v>2387</v>
      </c>
      <c r="J1177" s="4">
        <v>46052.74662208333</v>
      </c>
    </row>
    <row r="1178" spans="1:11" x14ac:dyDescent="0.55000000000000004">
      <c r="A1178" t="s">
        <v>2384</v>
      </c>
      <c r="B1178">
        <v>101485</v>
      </c>
      <c r="C1178" t="s">
        <v>37</v>
      </c>
      <c r="D1178" s="3">
        <v>46102</v>
      </c>
      <c r="E1178" t="s">
        <v>69</v>
      </c>
      <c r="F1178" t="s">
        <v>2385</v>
      </c>
      <c r="G1178" t="s">
        <v>22</v>
      </c>
      <c r="H1178" t="s">
        <v>2386</v>
      </c>
      <c r="I1178" t="s">
        <v>2387</v>
      </c>
      <c r="J1178" s="4">
        <v>46052.74662208333</v>
      </c>
    </row>
    <row r="1179" spans="1:11" x14ac:dyDescent="0.55000000000000004">
      <c r="A1179" t="s">
        <v>2388</v>
      </c>
      <c r="B1179">
        <v>100312</v>
      </c>
      <c r="C1179" t="s">
        <v>19</v>
      </c>
      <c r="D1179" s="3">
        <v>46151</v>
      </c>
      <c r="E1179" t="s">
        <v>38</v>
      </c>
      <c r="F1179" t="s">
        <v>2389</v>
      </c>
      <c r="G1179" t="s">
        <v>22</v>
      </c>
      <c r="H1179" t="s">
        <v>2390</v>
      </c>
      <c r="I1179" t="s">
        <v>2391</v>
      </c>
      <c r="J1179" s="4">
        <v>46094.926483194446</v>
      </c>
    </row>
    <row r="1180" spans="1:11" x14ac:dyDescent="0.55000000000000004">
      <c r="A1180" t="s">
        <v>2392</v>
      </c>
      <c r="B1180">
        <v>100439</v>
      </c>
      <c r="C1180" t="s">
        <v>179</v>
      </c>
      <c r="D1180" s="3">
        <v>45772</v>
      </c>
      <c r="E1180" t="s">
        <v>20</v>
      </c>
      <c r="F1180" t="s">
        <v>2393</v>
      </c>
      <c r="G1180" t="s">
        <v>22</v>
      </c>
      <c r="H1180" t="s">
        <v>2394</v>
      </c>
      <c r="I1180" t="s">
        <v>2395</v>
      </c>
      <c r="J1180" s="4">
        <v>46070.153566527777</v>
      </c>
    </row>
    <row r="1181" spans="1:11" x14ac:dyDescent="0.55000000000000004">
      <c r="A1181" t="s">
        <v>2396</v>
      </c>
      <c r="B1181">
        <v>100304</v>
      </c>
      <c r="C1181" t="s">
        <v>533</v>
      </c>
      <c r="D1181" s="3">
        <v>46126</v>
      </c>
      <c r="E1181" t="s">
        <v>317</v>
      </c>
      <c r="F1181" t="s">
        <v>2397</v>
      </c>
      <c r="G1181" t="s">
        <v>15</v>
      </c>
      <c r="H1181" t="s">
        <v>2398</v>
      </c>
      <c r="I1181" t="s">
        <v>2399</v>
      </c>
      <c r="J1181" s="4">
        <v>46056.847316539352</v>
      </c>
    </row>
    <row r="1182" spans="1:11" x14ac:dyDescent="0.55000000000000004">
      <c r="A1182" t="s">
        <v>2400</v>
      </c>
      <c r="B1182">
        <v>100920</v>
      </c>
      <c r="C1182" t="s">
        <v>179</v>
      </c>
      <c r="D1182" s="3">
        <v>45759</v>
      </c>
      <c r="E1182" t="s">
        <v>38</v>
      </c>
      <c r="F1182" t="s">
        <v>2401</v>
      </c>
      <c r="G1182" t="s">
        <v>22</v>
      </c>
      <c r="H1182" t="s">
        <v>2402</v>
      </c>
      <c r="I1182" t="s">
        <v>2403</v>
      </c>
      <c r="J1182" s="4">
        <v>46062.943149872684</v>
      </c>
    </row>
    <row r="1183" spans="1:11" x14ac:dyDescent="0.55000000000000004">
      <c r="A1183" t="s">
        <v>2400</v>
      </c>
      <c r="B1183">
        <v>100920</v>
      </c>
      <c r="C1183" t="s">
        <v>179</v>
      </c>
      <c r="D1183" s="3">
        <v>45759</v>
      </c>
      <c r="E1183" t="s">
        <v>155</v>
      </c>
      <c r="F1183" t="s">
        <v>2401</v>
      </c>
      <c r="G1183" t="s">
        <v>22</v>
      </c>
      <c r="H1183" t="s">
        <v>2402</v>
      </c>
      <c r="I1183" t="s">
        <v>2403</v>
      </c>
      <c r="J1183" s="4">
        <v>46062.943149872684</v>
      </c>
    </row>
    <row r="1184" spans="1:11" x14ac:dyDescent="0.55000000000000004">
      <c r="A1184" t="s">
        <v>2404</v>
      </c>
      <c r="B1184">
        <v>100703</v>
      </c>
      <c r="D1184" s="3">
        <v>45899</v>
      </c>
      <c r="E1184" t="s">
        <v>317</v>
      </c>
      <c r="F1184" t="s">
        <v>2405</v>
      </c>
      <c r="G1184" t="s">
        <v>15</v>
      </c>
      <c r="H1184" t="s">
        <v>2406</v>
      </c>
      <c r="I1184" t="s">
        <v>2407</v>
      </c>
      <c r="J1184" s="4">
        <v>46054.187594317133</v>
      </c>
      <c r="K1184" t="s">
        <v>217</v>
      </c>
    </row>
    <row r="1185" spans="1:11" x14ac:dyDescent="0.55000000000000004">
      <c r="A1185" t="s">
        <v>2404</v>
      </c>
      <c r="B1185">
        <v>100703</v>
      </c>
      <c r="D1185" s="3">
        <v>45899</v>
      </c>
      <c r="E1185" t="s">
        <v>38</v>
      </c>
      <c r="F1185" t="s">
        <v>2405</v>
      </c>
      <c r="G1185" t="s">
        <v>15</v>
      </c>
      <c r="H1185" t="s">
        <v>2406</v>
      </c>
      <c r="I1185" t="s">
        <v>2407</v>
      </c>
      <c r="J1185" s="4">
        <v>46054.187594317133</v>
      </c>
      <c r="K1185" t="s">
        <v>217</v>
      </c>
    </row>
    <row r="1186" spans="1:11" x14ac:dyDescent="0.55000000000000004">
      <c r="A1186" t="s">
        <v>2404</v>
      </c>
      <c r="B1186">
        <v>100703</v>
      </c>
      <c r="D1186" s="3">
        <v>45899</v>
      </c>
      <c r="E1186" t="s">
        <v>115</v>
      </c>
      <c r="F1186" t="s">
        <v>2405</v>
      </c>
      <c r="G1186" t="s">
        <v>15</v>
      </c>
      <c r="H1186" t="s">
        <v>2406</v>
      </c>
      <c r="I1186" t="s">
        <v>2407</v>
      </c>
      <c r="J1186" s="4">
        <v>46054.187594317133</v>
      </c>
      <c r="K1186" t="s">
        <v>217</v>
      </c>
    </row>
    <row r="1187" spans="1:11" x14ac:dyDescent="0.55000000000000004">
      <c r="A1187" t="s">
        <v>2408</v>
      </c>
      <c r="B1187">
        <v>100856</v>
      </c>
      <c r="C1187" t="s">
        <v>179</v>
      </c>
      <c r="D1187" s="3">
        <v>46117</v>
      </c>
      <c r="E1187" t="s">
        <v>317</v>
      </c>
      <c r="F1187" t="s">
        <v>2409</v>
      </c>
      <c r="G1187" t="s">
        <v>15</v>
      </c>
      <c r="H1187" t="s">
        <v>2410</v>
      </c>
      <c r="I1187" t="s">
        <v>2411</v>
      </c>
      <c r="J1187" s="4">
        <v>46070.334122106484</v>
      </c>
    </row>
    <row r="1188" spans="1:11" x14ac:dyDescent="0.55000000000000004">
      <c r="A1188" t="s">
        <v>2408</v>
      </c>
      <c r="B1188">
        <v>100856</v>
      </c>
      <c r="C1188" t="s">
        <v>179</v>
      </c>
      <c r="D1188" s="3">
        <v>46117</v>
      </c>
      <c r="E1188" t="s">
        <v>38</v>
      </c>
      <c r="F1188" t="s">
        <v>2409</v>
      </c>
      <c r="G1188" t="s">
        <v>15</v>
      </c>
      <c r="H1188" t="s">
        <v>2410</v>
      </c>
      <c r="I1188" t="s">
        <v>2411</v>
      </c>
      <c r="J1188" s="4">
        <v>46070.334122106484</v>
      </c>
    </row>
    <row r="1189" spans="1:11" x14ac:dyDescent="0.55000000000000004">
      <c r="A1189" t="s">
        <v>2408</v>
      </c>
      <c r="B1189">
        <v>100856</v>
      </c>
      <c r="C1189" t="s">
        <v>179</v>
      </c>
      <c r="D1189" s="3">
        <v>46117</v>
      </c>
      <c r="E1189" t="s">
        <v>155</v>
      </c>
      <c r="F1189" t="s">
        <v>2409</v>
      </c>
      <c r="G1189" t="s">
        <v>15</v>
      </c>
      <c r="H1189" t="s">
        <v>2410</v>
      </c>
      <c r="I1189" t="s">
        <v>2411</v>
      </c>
      <c r="J1189" s="4">
        <v>46070.334122106484</v>
      </c>
    </row>
    <row r="1190" spans="1:11" x14ac:dyDescent="0.55000000000000004">
      <c r="A1190" t="s">
        <v>2412</v>
      </c>
      <c r="B1190">
        <v>100535</v>
      </c>
      <c r="C1190" t="s">
        <v>179</v>
      </c>
      <c r="D1190" s="3">
        <v>45807</v>
      </c>
      <c r="E1190" t="s">
        <v>20</v>
      </c>
      <c r="F1190" t="s">
        <v>2413</v>
      </c>
      <c r="G1190" t="s">
        <v>15</v>
      </c>
      <c r="H1190" t="s">
        <v>2414</v>
      </c>
      <c r="I1190" t="s">
        <v>2415</v>
      </c>
      <c r="J1190" s="4">
        <v>46066.933427662036</v>
      </c>
    </row>
    <row r="1191" spans="1:11" x14ac:dyDescent="0.55000000000000004">
      <c r="A1191" t="s">
        <v>2416</v>
      </c>
      <c r="B1191">
        <v>100231</v>
      </c>
      <c r="C1191" t="s">
        <v>37</v>
      </c>
      <c r="D1191" s="3">
        <v>46012</v>
      </c>
      <c r="E1191" t="s">
        <v>20</v>
      </c>
      <c r="F1191" t="s">
        <v>2417</v>
      </c>
      <c r="G1191" t="s">
        <v>22</v>
      </c>
      <c r="H1191" t="s">
        <v>2418</v>
      </c>
      <c r="I1191" t="s">
        <v>2419</v>
      </c>
      <c r="J1191" s="4">
        <v>46065.128566562496</v>
      </c>
    </row>
    <row r="1192" spans="1:11" x14ac:dyDescent="0.55000000000000004">
      <c r="A1192" t="s">
        <v>2416</v>
      </c>
      <c r="B1192">
        <v>100231</v>
      </c>
      <c r="C1192" t="s">
        <v>37</v>
      </c>
      <c r="D1192" s="3">
        <v>46012</v>
      </c>
      <c r="E1192" t="s">
        <v>155</v>
      </c>
      <c r="F1192" t="s">
        <v>2417</v>
      </c>
      <c r="G1192" t="s">
        <v>22</v>
      </c>
      <c r="H1192" t="s">
        <v>2418</v>
      </c>
      <c r="I1192" t="s">
        <v>2419</v>
      </c>
      <c r="J1192" s="4">
        <v>46065.128566562496</v>
      </c>
    </row>
    <row r="1193" spans="1:11" x14ac:dyDescent="0.55000000000000004">
      <c r="A1193" t="s">
        <v>2420</v>
      </c>
      <c r="B1193">
        <v>100123</v>
      </c>
      <c r="C1193" t="s">
        <v>533</v>
      </c>
      <c r="D1193" s="3">
        <v>46122</v>
      </c>
      <c r="E1193" t="s">
        <v>69</v>
      </c>
      <c r="F1193" t="s">
        <v>2421</v>
      </c>
      <c r="G1193" t="s">
        <v>15</v>
      </c>
      <c r="H1193" t="s">
        <v>2422</v>
      </c>
      <c r="I1193" t="s">
        <v>2423</v>
      </c>
      <c r="J1193" s="4">
        <v>46066.184122118058</v>
      </c>
      <c r="K1193" t="s">
        <v>139</v>
      </c>
    </row>
    <row r="1194" spans="1:11" x14ac:dyDescent="0.55000000000000004">
      <c r="A1194" t="s">
        <v>2424</v>
      </c>
      <c r="B1194">
        <v>101064</v>
      </c>
      <c r="C1194" t="s">
        <v>19</v>
      </c>
      <c r="D1194" s="3">
        <v>45832</v>
      </c>
      <c r="E1194" t="s">
        <v>317</v>
      </c>
      <c r="F1194" t="s">
        <v>2425</v>
      </c>
      <c r="G1194" t="s">
        <v>15</v>
      </c>
      <c r="H1194" t="s">
        <v>2426</v>
      </c>
      <c r="I1194" t="s">
        <v>2427</v>
      </c>
      <c r="J1194" s="4">
        <v>46093.367455451385</v>
      </c>
    </row>
    <row r="1195" spans="1:11" x14ac:dyDescent="0.55000000000000004">
      <c r="A1195" t="s">
        <v>2424</v>
      </c>
      <c r="B1195">
        <v>101064</v>
      </c>
      <c r="C1195" t="s">
        <v>19</v>
      </c>
      <c r="D1195" s="3">
        <v>45832</v>
      </c>
      <c r="E1195" t="s">
        <v>38</v>
      </c>
      <c r="F1195" t="s">
        <v>2425</v>
      </c>
      <c r="G1195" t="s">
        <v>15</v>
      </c>
      <c r="H1195" t="s">
        <v>2426</v>
      </c>
      <c r="I1195" t="s">
        <v>2427</v>
      </c>
      <c r="J1195" s="4">
        <v>46093.367455451385</v>
      </c>
    </row>
    <row r="1196" spans="1:11" x14ac:dyDescent="0.55000000000000004">
      <c r="A1196" t="s">
        <v>2424</v>
      </c>
      <c r="B1196">
        <v>101064</v>
      </c>
      <c r="C1196" t="s">
        <v>19</v>
      </c>
      <c r="D1196" s="3">
        <v>45832</v>
      </c>
      <c r="E1196" t="s">
        <v>115</v>
      </c>
      <c r="F1196" t="s">
        <v>2425</v>
      </c>
      <c r="G1196" t="s">
        <v>15</v>
      </c>
      <c r="H1196" t="s">
        <v>2426</v>
      </c>
      <c r="I1196" t="s">
        <v>2427</v>
      </c>
      <c r="J1196" s="4">
        <v>46093.367455451385</v>
      </c>
    </row>
    <row r="1197" spans="1:11" x14ac:dyDescent="0.55000000000000004">
      <c r="A1197" t="s">
        <v>2428</v>
      </c>
      <c r="B1197">
        <v>100121</v>
      </c>
      <c r="C1197" t="s">
        <v>179</v>
      </c>
      <c r="D1197" s="3">
        <v>45897</v>
      </c>
      <c r="E1197" t="s">
        <v>317</v>
      </c>
      <c r="F1197" t="s">
        <v>2429</v>
      </c>
      <c r="G1197" t="s">
        <v>22</v>
      </c>
      <c r="H1197" t="s">
        <v>2430</v>
      </c>
      <c r="I1197" t="s">
        <v>2431</v>
      </c>
      <c r="J1197" s="4">
        <v>46070.226483240738</v>
      </c>
    </row>
    <row r="1198" spans="1:11" x14ac:dyDescent="0.55000000000000004">
      <c r="A1198" t="s">
        <v>2428</v>
      </c>
      <c r="B1198">
        <v>100121</v>
      </c>
      <c r="C1198" t="s">
        <v>179</v>
      </c>
      <c r="D1198" s="3">
        <v>45897</v>
      </c>
      <c r="E1198" t="s">
        <v>38</v>
      </c>
      <c r="F1198" t="s">
        <v>2429</v>
      </c>
      <c r="G1198" t="s">
        <v>22</v>
      </c>
      <c r="H1198" t="s">
        <v>2430</v>
      </c>
      <c r="I1198" t="s">
        <v>2431</v>
      </c>
      <c r="J1198" s="4">
        <v>46070.226483240738</v>
      </c>
    </row>
    <row r="1199" spans="1:11" x14ac:dyDescent="0.55000000000000004">
      <c r="A1199" t="s">
        <v>2428</v>
      </c>
      <c r="B1199">
        <v>100121</v>
      </c>
      <c r="C1199" t="s">
        <v>179</v>
      </c>
      <c r="D1199" s="3">
        <v>45897</v>
      </c>
      <c r="E1199" t="s">
        <v>155</v>
      </c>
      <c r="F1199" t="s">
        <v>2429</v>
      </c>
      <c r="G1199" t="s">
        <v>22</v>
      </c>
      <c r="H1199" t="s">
        <v>2430</v>
      </c>
      <c r="I1199" t="s">
        <v>2431</v>
      </c>
      <c r="J1199" s="4">
        <v>46070.226483240738</v>
      </c>
    </row>
    <row r="1200" spans="1:11" x14ac:dyDescent="0.55000000000000004">
      <c r="A1200" t="s">
        <v>2432</v>
      </c>
      <c r="B1200">
        <v>100254</v>
      </c>
      <c r="C1200" t="s">
        <v>68</v>
      </c>
      <c r="D1200" s="3">
        <v>45829</v>
      </c>
      <c r="E1200" t="s">
        <v>38</v>
      </c>
      <c r="F1200" t="s">
        <v>2433</v>
      </c>
      <c r="G1200" t="s">
        <v>15</v>
      </c>
      <c r="H1200" t="s">
        <v>2434</v>
      </c>
      <c r="I1200" t="s">
        <v>2435</v>
      </c>
      <c r="J1200" s="4">
        <v>46078.505649907405</v>
      </c>
    </row>
    <row r="1201" spans="1:11" x14ac:dyDescent="0.55000000000000004">
      <c r="A1201" t="s">
        <v>2432</v>
      </c>
      <c r="B1201">
        <v>100254</v>
      </c>
      <c r="C1201" t="s">
        <v>68</v>
      </c>
      <c r="D1201" s="3">
        <v>45829</v>
      </c>
      <c r="E1201" t="s">
        <v>20</v>
      </c>
      <c r="F1201" t="s">
        <v>2433</v>
      </c>
      <c r="G1201" t="s">
        <v>15</v>
      </c>
      <c r="H1201" t="s">
        <v>2434</v>
      </c>
      <c r="I1201" t="s">
        <v>2435</v>
      </c>
      <c r="J1201" s="4">
        <v>46078.505649907405</v>
      </c>
    </row>
    <row r="1202" spans="1:11" x14ac:dyDescent="0.55000000000000004">
      <c r="A1202" t="s">
        <v>2436</v>
      </c>
      <c r="C1202" t="s">
        <v>68</v>
      </c>
      <c r="D1202" s="3">
        <v>46047</v>
      </c>
      <c r="E1202" t="s">
        <v>38</v>
      </c>
      <c r="F1202" t="s">
        <v>2437</v>
      </c>
      <c r="G1202" t="s">
        <v>22</v>
      </c>
      <c r="H1202" t="s">
        <v>2438</v>
      </c>
      <c r="I1202" t="s">
        <v>2439</v>
      </c>
      <c r="J1202" s="4">
        <v>46095.413983240738</v>
      </c>
      <c r="K1202" t="s">
        <v>112</v>
      </c>
    </row>
    <row r="1203" spans="1:11" x14ac:dyDescent="0.55000000000000004">
      <c r="A1203" t="s">
        <v>2436</v>
      </c>
      <c r="C1203" t="s">
        <v>68</v>
      </c>
      <c r="D1203" s="3">
        <v>46047</v>
      </c>
      <c r="E1203" t="s">
        <v>115</v>
      </c>
      <c r="F1203" t="s">
        <v>2437</v>
      </c>
      <c r="G1203" t="s">
        <v>22</v>
      </c>
      <c r="H1203" t="s">
        <v>2438</v>
      </c>
      <c r="I1203" t="s">
        <v>2439</v>
      </c>
      <c r="J1203" s="4">
        <v>46095.413983240738</v>
      </c>
      <c r="K1203" t="s">
        <v>112</v>
      </c>
    </row>
    <row r="1204" spans="1:11" x14ac:dyDescent="0.55000000000000004">
      <c r="A1204" t="s">
        <v>2440</v>
      </c>
      <c r="B1204">
        <v>101015</v>
      </c>
      <c r="C1204" t="s">
        <v>248</v>
      </c>
      <c r="D1204" s="3">
        <v>46082</v>
      </c>
      <c r="E1204" t="s">
        <v>155</v>
      </c>
      <c r="F1204" t="s">
        <v>2441</v>
      </c>
      <c r="G1204" t="s">
        <v>15</v>
      </c>
      <c r="H1204" t="s">
        <v>2442</v>
      </c>
      <c r="I1204" t="s">
        <v>2443</v>
      </c>
      <c r="J1204" s="4">
        <v>46094.40078880787</v>
      </c>
    </row>
    <row r="1205" spans="1:11" x14ac:dyDescent="0.55000000000000004">
      <c r="A1205" t="s">
        <v>2440</v>
      </c>
      <c r="B1205">
        <v>101015</v>
      </c>
      <c r="C1205" t="s">
        <v>248</v>
      </c>
      <c r="D1205" s="3">
        <v>46082</v>
      </c>
      <c r="E1205" t="s">
        <v>115</v>
      </c>
      <c r="F1205" t="s">
        <v>2441</v>
      </c>
      <c r="G1205" t="s">
        <v>15</v>
      </c>
      <c r="H1205" t="s">
        <v>2442</v>
      </c>
      <c r="I1205" t="s">
        <v>2443</v>
      </c>
      <c r="J1205" s="4">
        <v>46094.40078880787</v>
      </c>
    </row>
    <row r="1206" spans="1:11" x14ac:dyDescent="0.55000000000000004">
      <c r="A1206" t="s">
        <v>2444</v>
      </c>
      <c r="B1206">
        <v>100576</v>
      </c>
      <c r="C1206" t="s">
        <v>19</v>
      </c>
      <c r="D1206" s="3">
        <v>45807</v>
      </c>
      <c r="E1206" t="s">
        <v>20</v>
      </c>
      <c r="F1206" t="s">
        <v>2445</v>
      </c>
      <c r="G1206" t="s">
        <v>15</v>
      </c>
      <c r="H1206" t="s">
        <v>2446</v>
      </c>
      <c r="I1206" t="s">
        <v>2447</v>
      </c>
      <c r="J1206" s="4">
        <v>46078.106344363427</v>
      </c>
    </row>
    <row r="1207" spans="1:11" x14ac:dyDescent="0.55000000000000004">
      <c r="A1207" t="s">
        <v>2444</v>
      </c>
      <c r="B1207">
        <v>100576</v>
      </c>
      <c r="C1207" t="s">
        <v>19</v>
      </c>
      <c r="D1207" s="3">
        <v>45807</v>
      </c>
      <c r="E1207" t="s">
        <v>155</v>
      </c>
      <c r="F1207" t="s">
        <v>2445</v>
      </c>
      <c r="G1207" t="s">
        <v>15</v>
      </c>
      <c r="H1207" t="s">
        <v>2446</v>
      </c>
      <c r="I1207" t="s">
        <v>2447</v>
      </c>
      <c r="J1207" s="4">
        <v>46078.106344363427</v>
      </c>
    </row>
    <row r="1208" spans="1:11" x14ac:dyDescent="0.55000000000000004">
      <c r="A1208" t="s">
        <v>2448</v>
      </c>
      <c r="B1208">
        <v>100152</v>
      </c>
      <c r="C1208" t="s">
        <v>19</v>
      </c>
      <c r="D1208" s="3">
        <v>45743</v>
      </c>
      <c r="E1208" t="s">
        <v>38</v>
      </c>
      <c r="F1208" t="s">
        <v>2449</v>
      </c>
      <c r="G1208" t="s">
        <v>15</v>
      </c>
      <c r="H1208" t="s">
        <v>2450</v>
      </c>
      <c r="I1208" t="s">
        <v>2451</v>
      </c>
      <c r="J1208" s="4">
        <v>46083.968844374998</v>
      </c>
    </row>
    <row r="1209" spans="1:11" x14ac:dyDescent="0.55000000000000004">
      <c r="A1209" t="s">
        <v>2448</v>
      </c>
      <c r="B1209">
        <v>100152</v>
      </c>
      <c r="C1209" t="s">
        <v>19</v>
      </c>
      <c r="D1209" s="3">
        <v>45743</v>
      </c>
      <c r="E1209" t="s">
        <v>115</v>
      </c>
      <c r="F1209" t="s">
        <v>2449</v>
      </c>
      <c r="G1209" t="s">
        <v>15</v>
      </c>
      <c r="H1209" t="s">
        <v>2450</v>
      </c>
      <c r="I1209" t="s">
        <v>2451</v>
      </c>
      <c r="J1209" s="4">
        <v>46083.968844374998</v>
      </c>
    </row>
    <row r="1210" spans="1:11" x14ac:dyDescent="0.55000000000000004">
      <c r="A1210" t="s">
        <v>2452</v>
      </c>
      <c r="B1210">
        <v>100155</v>
      </c>
      <c r="C1210" t="s">
        <v>19</v>
      </c>
      <c r="D1210" s="3">
        <v>46116</v>
      </c>
      <c r="E1210" t="s">
        <v>38</v>
      </c>
      <c r="F1210" t="s">
        <v>2453</v>
      </c>
      <c r="G1210" t="s">
        <v>15</v>
      </c>
      <c r="H1210" t="s">
        <v>2454</v>
      </c>
      <c r="I1210" t="s">
        <v>2455</v>
      </c>
      <c r="J1210" s="4">
        <v>46052.752177708331</v>
      </c>
    </row>
    <row r="1211" spans="1:11" x14ac:dyDescent="0.55000000000000004">
      <c r="A1211" t="s">
        <v>2452</v>
      </c>
      <c r="B1211">
        <v>100155</v>
      </c>
      <c r="C1211" t="s">
        <v>19</v>
      </c>
      <c r="D1211" s="3">
        <v>46116</v>
      </c>
      <c r="E1211" t="s">
        <v>69</v>
      </c>
      <c r="F1211" t="s">
        <v>2453</v>
      </c>
      <c r="G1211" t="s">
        <v>15</v>
      </c>
      <c r="H1211" t="s">
        <v>2454</v>
      </c>
      <c r="I1211" t="s">
        <v>2455</v>
      </c>
      <c r="J1211" s="4">
        <v>46052.752177708331</v>
      </c>
    </row>
    <row r="1212" spans="1:11" x14ac:dyDescent="0.55000000000000004">
      <c r="A1212" t="s">
        <v>6033</v>
      </c>
      <c r="B1212">
        <v>101479</v>
      </c>
      <c r="C1212" t="s">
        <v>37</v>
      </c>
      <c r="D1212" s="3">
        <v>45924</v>
      </c>
      <c r="E1212" t="s">
        <v>317</v>
      </c>
      <c r="F1212" t="s">
        <v>2457</v>
      </c>
      <c r="G1212" t="s">
        <v>22</v>
      </c>
      <c r="H1212" t="s">
        <v>2458</v>
      </c>
      <c r="I1212" t="s">
        <v>2459</v>
      </c>
      <c r="J1212" s="4">
        <v>46087.660511041664</v>
      </c>
      <c r="K1212" t="s">
        <v>119</v>
      </c>
    </row>
    <row r="1213" spans="1:11" x14ac:dyDescent="0.55000000000000004">
      <c r="A1213" t="s">
        <v>6033</v>
      </c>
      <c r="B1213">
        <v>101479</v>
      </c>
      <c r="C1213" t="s">
        <v>37</v>
      </c>
      <c r="D1213" s="3">
        <v>45924</v>
      </c>
      <c r="E1213" t="s">
        <v>38</v>
      </c>
      <c r="F1213" t="s">
        <v>2457</v>
      </c>
      <c r="G1213" t="s">
        <v>22</v>
      </c>
      <c r="H1213" t="s">
        <v>2458</v>
      </c>
      <c r="I1213" t="s">
        <v>2459</v>
      </c>
      <c r="J1213" s="4">
        <v>46087.660511041664</v>
      </c>
      <c r="K1213" t="s">
        <v>119</v>
      </c>
    </row>
    <row r="1214" spans="1:11" x14ac:dyDescent="0.55000000000000004">
      <c r="A1214" t="s">
        <v>6033</v>
      </c>
      <c r="B1214">
        <v>101479</v>
      </c>
      <c r="C1214" t="s">
        <v>37</v>
      </c>
      <c r="D1214" s="3">
        <v>45924</v>
      </c>
      <c r="E1214" t="s">
        <v>155</v>
      </c>
      <c r="F1214" t="s">
        <v>2457</v>
      </c>
      <c r="G1214" t="s">
        <v>22</v>
      </c>
      <c r="H1214" t="s">
        <v>2458</v>
      </c>
      <c r="I1214" t="s">
        <v>2459</v>
      </c>
      <c r="J1214" s="4">
        <v>46087.660511041664</v>
      </c>
      <c r="K1214" t="s">
        <v>119</v>
      </c>
    </row>
    <row r="1215" spans="1:11" x14ac:dyDescent="0.55000000000000004">
      <c r="A1215" t="s">
        <v>2460</v>
      </c>
      <c r="B1215">
        <v>100590</v>
      </c>
      <c r="C1215" t="s">
        <v>68</v>
      </c>
      <c r="D1215" s="3">
        <v>45834</v>
      </c>
      <c r="E1215" t="s">
        <v>38</v>
      </c>
      <c r="F1215" t="s">
        <v>2461</v>
      </c>
      <c r="G1215" t="s">
        <v>22</v>
      </c>
      <c r="H1215" t="s">
        <v>2462</v>
      </c>
      <c r="I1215" t="s">
        <v>2463</v>
      </c>
      <c r="J1215" s="4">
        <v>46056.734122164351</v>
      </c>
    </row>
    <row r="1216" spans="1:11" x14ac:dyDescent="0.55000000000000004">
      <c r="A1216" t="s">
        <v>2460</v>
      </c>
      <c r="B1216">
        <v>100590</v>
      </c>
      <c r="C1216" t="s">
        <v>68</v>
      </c>
      <c r="D1216" s="3">
        <v>45834</v>
      </c>
      <c r="E1216" t="s">
        <v>20</v>
      </c>
      <c r="F1216" t="s">
        <v>2461</v>
      </c>
      <c r="G1216" t="s">
        <v>22</v>
      </c>
      <c r="H1216" t="s">
        <v>2462</v>
      </c>
      <c r="I1216" t="s">
        <v>2463</v>
      </c>
      <c r="J1216" s="4">
        <v>46056.734122164351</v>
      </c>
    </row>
    <row r="1217" spans="1:10" x14ac:dyDescent="0.55000000000000004">
      <c r="A1217" t="s">
        <v>2460</v>
      </c>
      <c r="B1217">
        <v>100590</v>
      </c>
      <c r="C1217" t="s">
        <v>68</v>
      </c>
      <c r="D1217" s="3">
        <v>45834</v>
      </c>
      <c r="E1217" t="s">
        <v>155</v>
      </c>
      <c r="F1217" t="s">
        <v>2461</v>
      </c>
      <c r="G1217" t="s">
        <v>22</v>
      </c>
      <c r="H1217" t="s">
        <v>2462</v>
      </c>
      <c r="I1217" t="s">
        <v>2463</v>
      </c>
      <c r="J1217" s="4">
        <v>46056.734122164351</v>
      </c>
    </row>
    <row r="1218" spans="1:10" x14ac:dyDescent="0.55000000000000004">
      <c r="A1218" t="s">
        <v>2464</v>
      </c>
      <c r="B1218">
        <v>100075</v>
      </c>
      <c r="C1218" t="s">
        <v>37</v>
      </c>
      <c r="D1218" s="3">
        <v>45930</v>
      </c>
      <c r="E1218" t="s">
        <v>317</v>
      </c>
      <c r="F1218" t="s">
        <v>2465</v>
      </c>
      <c r="G1218" t="s">
        <v>15</v>
      </c>
      <c r="H1218" t="s">
        <v>2466</v>
      </c>
      <c r="I1218" t="s">
        <v>2467</v>
      </c>
      <c r="J1218" s="4">
        <v>46078.823011053239</v>
      </c>
    </row>
    <row r="1219" spans="1:10" x14ac:dyDescent="0.55000000000000004">
      <c r="A1219" t="s">
        <v>2464</v>
      </c>
      <c r="B1219">
        <v>100075</v>
      </c>
      <c r="C1219" t="s">
        <v>37</v>
      </c>
      <c r="D1219" s="3">
        <v>45930</v>
      </c>
      <c r="E1219" t="s">
        <v>20</v>
      </c>
      <c r="F1219" t="s">
        <v>2465</v>
      </c>
      <c r="G1219" t="s">
        <v>15</v>
      </c>
      <c r="H1219" t="s">
        <v>2466</v>
      </c>
      <c r="I1219" t="s">
        <v>2467</v>
      </c>
      <c r="J1219" s="4">
        <v>46078.823011053239</v>
      </c>
    </row>
    <row r="1220" spans="1:10" x14ac:dyDescent="0.55000000000000004">
      <c r="A1220" t="s">
        <v>2464</v>
      </c>
      <c r="B1220">
        <v>100075</v>
      </c>
      <c r="C1220" t="s">
        <v>37</v>
      </c>
      <c r="D1220" s="3">
        <v>45930</v>
      </c>
      <c r="E1220" t="s">
        <v>155</v>
      </c>
      <c r="F1220" t="s">
        <v>2465</v>
      </c>
      <c r="G1220" t="s">
        <v>15</v>
      </c>
      <c r="H1220" t="s">
        <v>2466</v>
      </c>
      <c r="I1220" t="s">
        <v>2467</v>
      </c>
      <c r="J1220" s="4">
        <v>46078.823011053239</v>
      </c>
    </row>
    <row r="1221" spans="1:10" x14ac:dyDescent="0.55000000000000004">
      <c r="A1221" t="s">
        <v>2468</v>
      </c>
      <c r="B1221">
        <v>100503</v>
      </c>
      <c r="C1221" t="s">
        <v>179</v>
      </c>
      <c r="D1221" s="3">
        <v>45850</v>
      </c>
      <c r="E1221" t="s">
        <v>38</v>
      </c>
      <c r="F1221" t="s">
        <v>2469</v>
      </c>
      <c r="G1221" t="s">
        <v>22</v>
      </c>
      <c r="H1221" t="s">
        <v>2470</v>
      </c>
      <c r="I1221" t="s">
        <v>2471</v>
      </c>
      <c r="J1221" s="4">
        <v>46065.897316620372</v>
      </c>
    </row>
    <row r="1222" spans="1:10" x14ac:dyDescent="0.55000000000000004">
      <c r="A1222" t="s">
        <v>2468</v>
      </c>
      <c r="B1222">
        <v>100503</v>
      </c>
      <c r="C1222" t="s">
        <v>179</v>
      </c>
      <c r="D1222" s="3">
        <v>45850</v>
      </c>
      <c r="E1222" t="s">
        <v>155</v>
      </c>
      <c r="F1222" t="s">
        <v>2469</v>
      </c>
      <c r="G1222" t="s">
        <v>22</v>
      </c>
      <c r="H1222" t="s">
        <v>2470</v>
      </c>
      <c r="I1222" t="s">
        <v>2471</v>
      </c>
      <c r="J1222" s="4">
        <v>46065.897316620372</v>
      </c>
    </row>
    <row r="1223" spans="1:10" x14ac:dyDescent="0.55000000000000004">
      <c r="A1223" t="s">
        <v>2472</v>
      </c>
      <c r="B1223">
        <v>100410</v>
      </c>
      <c r="C1223" t="s">
        <v>19</v>
      </c>
      <c r="D1223" s="3">
        <v>45777</v>
      </c>
      <c r="E1223" t="s">
        <v>115</v>
      </c>
      <c r="F1223" t="s">
        <v>2473</v>
      </c>
      <c r="G1223" t="s">
        <v>22</v>
      </c>
      <c r="H1223" t="s">
        <v>2474</v>
      </c>
      <c r="I1223" t="s">
        <v>2475</v>
      </c>
      <c r="J1223" s="4">
        <v>46062.715372175924</v>
      </c>
    </row>
    <row r="1224" spans="1:10" x14ac:dyDescent="0.55000000000000004">
      <c r="A1224" t="s">
        <v>2476</v>
      </c>
      <c r="B1224">
        <v>100066</v>
      </c>
      <c r="C1224" t="s">
        <v>37</v>
      </c>
      <c r="D1224" s="3">
        <v>45858</v>
      </c>
      <c r="E1224" t="s">
        <v>317</v>
      </c>
      <c r="F1224" t="s">
        <v>2477</v>
      </c>
      <c r="G1224" t="s">
        <v>22</v>
      </c>
      <c r="H1224" t="s">
        <v>2478</v>
      </c>
      <c r="I1224" t="s">
        <v>2479</v>
      </c>
      <c r="J1224" s="4">
        <v>46087.720233287037</v>
      </c>
    </row>
    <row r="1225" spans="1:10" x14ac:dyDescent="0.55000000000000004">
      <c r="A1225" t="s">
        <v>2476</v>
      </c>
      <c r="B1225">
        <v>100066</v>
      </c>
      <c r="C1225" t="s">
        <v>37</v>
      </c>
      <c r="D1225" s="3">
        <v>45858</v>
      </c>
      <c r="E1225" t="s">
        <v>20</v>
      </c>
      <c r="F1225" t="s">
        <v>2477</v>
      </c>
      <c r="G1225" t="s">
        <v>22</v>
      </c>
      <c r="H1225" t="s">
        <v>2478</v>
      </c>
      <c r="I1225" t="s">
        <v>2479</v>
      </c>
      <c r="J1225" s="4">
        <v>46087.720233287037</v>
      </c>
    </row>
    <row r="1226" spans="1:10" x14ac:dyDescent="0.55000000000000004">
      <c r="A1226" t="s">
        <v>2476</v>
      </c>
      <c r="B1226">
        <v>100066</v>
      </c>
      <c r="C1226" t="s">
        <v>37</v>
      </c>
      <c r="D1226" s="3">
        <v>45858</v>
      </c>
      <c r="E1226" t="s">
        <v>69</v>
      </c>
      <c r="F1226" t="s">
        <v>2477</v>
      </c>
      <c r="G1226" t="s">
        <v>22</v>
      </c>
      <c r="H1226" t="s">
        <v>2478</v>
      </c>
      <c r="I1226" t="s">
        <v>2479</v>
      </c>
      <c r="J1226" s="4">
        <v>46087.720233287037</v>
      </c>
    </row>
    <row r="1227" spans="1:10" x14ac:dyDescent="0.55000000000000004">
      <c r="A1227" t="s">
        <v>2480</v>
      </c>
      <c r="B1227">
        <v>101191</v>
      </c>
      <c r="C1227" t="s">
        <v>68</v>
      </c>
      <c r="D1227" s="3">
        <v>46082</v>
      </c>
      <c r="E1227" t="s">
        <v>317</v>
      </c>
      <c r="F1227" t="s">
        <v>2481</v>
      </c>
      <c r="G1227" t="s">
        <v>15</v>
      </c>
      <c r="H1227" t="s">
        <v>2482</v>
      </c>
      <c r="I1227" t="s">
        <v>2483</v>
      </c>
      <c r="J1227" s="4">
        <v>46065.354261076391</v>
      </c>
    </row>
    <row r="1228" spans="1:10" x14ac:dyDescent="0.55000000000000004">
      <c r="A1228" t="s">
        <v>2480</v>
      </c>
      <c r="B1228">
        <v>101191</v>
      </c>
      <c r="C1228" t="s">
        <v>68</v>
      </c>
      <c r="D1228" s="3">
        <v>46082</v>
      </c>
      <c r="E1228" t="s">
        <v>20</v>
      </c>
      <c r="F1228" t="s">
        <v>2481</v>
      </c>
      <c r="G1228" t="s">
        <v>15</v>
      </c>
      <c r="H1228" t="s">
        <v>2482</v>
      </c>
      <c r="I1228" t="s">
        <v>2483</v>
      </c>
      <c r="J1228" s="4">
        <v>46065.354261076391</v>
      </c>
    </row>
    <row r="1229" spans="1:10" x14ac:dyDescent="0.55000000000000004">
      <c r="A1229" t="s">
        <v>2484</v>
      </c>
      <c r="B1229">
        <v>100489</v>
      </c>
      <c r="C1229" t="s">
        <v>37</v>
      </c>
      <c r="D1229" s="3">
        <v>46052</v>
      </c>
      <c r="E1229" t="s">
        <v>155</v>
      </c>
      <c r="F1229" t="s">
        <v>2485</v>
      </c>
      <c r="G1229" t="s">
        <v>22</v>
      </c>
      <c r="H1229" t="s">
        <v>2486</v>
      </c>
      <c r="I1229" t="s">
        <v>2487</v>
      </c>
      <c r="J1229" s="4">
        <v>46083.53064996528</v>
      </c>
    </row>
    <row r="1230" spans="1:10" x14ac:dyDescent="0.55000000000000004">
      <c r="A1230" t="s">
        <v>2484</v>
      </c>
      <c r="B1230">
        <v>100489</v>
      </c>
      <c r="C1230" t="s">
        <v>37</v>
      </c>
      <c r="D1230" s="3">
        <v>46052</v>
      </c>
      <c r="E1230" t="s">
        <v>69</v>
      </c>
      <c r="F1230" t="s">
        <v>2485</v>
      </c>
      <c r="G1230" t="s">
        <v>22</v>
      </c>
      <c r="H1230" t="s">
        <v>2486</v>
      </c>
      <c r="I1230" t="s">
        <v>2487</v>
      </c>
      <c r="J1230" s="4">
        <v>46083.53064996528</v>
      </c>
    </row>
    <row r="1231" spans="1:10" x14ac:dyDescent="0.55000000000000004">
      <c r="A1231" t="s">
        <v>2488</v>
      </c>
      <c r="B1231">
        <v>100798</v>
      </c>
      <c r="C1231" t="s">
        <v>68</v>
      </c>
      <c r="D1231" s="3">
        <v>45933</v>
      </c>
      <c r="E1231" t="s">
        <v>155</v>
      </c>
      <c r="F1231" t="s">
        <v>2489</v>
      </c>
      <c r="G1231" t="s">
        <v>15</v>
      </c>
      <c r="H1231" t="s">
        <v>2490</v>
      </c>
      <c r="I1231" t="s">
        <v>2491</v>
      </c>
      <c r="J1231" s="4">
        <v>46071.404261076386</v>
      </c>
    </row>
    <row r="1232" spans="1:10" x14ac:dyDescent="0.55000000000000004">
      <c r="A1232" t="s">
        <v>2488</v>
      </c>
      <c r="B1232">
        <v>100798</v>
      </c>
      <c r="C1232" t="s">
        <v>68</v>
      </c>
      <c r="D1232" s="3">
        <v>45933</v>
      </c>
      <c r="E1232" t="s">
        <v>115</v>
      </c>
      <c r="F1232" t="s">
        <v>2489</v>
      </c>
      <c r="G1232" t="s">
        <v>15</v>
      </c>
      <c r="H1232" t="s">
        <v>2490</v>
      </c>
      <c r="I1232" t="s">
        <v>2491</v>
      </c>
      <c r="J1232" s="4">
        <v>46071.404261076386</v>
      </c>
    </row>
    <row r="1233" spans="1:10" x14ac:dyDescent="0.55000000000000004">
      <c r="A1233" t="s">
        <v>2488</v>
      </c>
      <c r="B1233">
        <v>100798</v>
      </c>
      <c r="C1233" t="s">
        <v>68</v>
      </c>
      <c r="D1233" s="3">
        <v>45933</v>
      </c>
      <c r="E1233" t="s">
        <v>69</v>
      </c>
      <c r="F1233" t="s">
        <v>2489</v>
      </c>
      <c r="G1233" t="s">
        <v>15</v>
      </c>
      <c r="H1233" t="s">
        <v>2490</v>
      </c>
      <c r="I1233" t="s">
        <v>2491</v>
      </c>
      <c r="J1233" s="4">
        <v>46071.404261076386</v>
      </c>
    </row>
    <row r="1234" spans="1:10" x14ac:dyDescent="0.55000000000000004">
      <c r="A1234" t="s">
        <v>2492</v>
      </c>
      <c r="B1234">
        <v>100052</v>
      </c>
      <c r="C1234" t="s">
        <v>19</v>
      </c>
      <c r="D1234" s="3">
        <v>45810</v>
      </c>
      <c r="E1234" t="s">
        <v>38</v>
      </c>
      <c r="F1234" t="s">
        <v>2493</v>
      </c>
      <c r="G1234" t="s">
        <v>22</v>
      </c>
      <c r="H1234" t="s">
        <v>2494</v>
      </c>
      <c r="I1234" t="s">
        <v>2495</v>
      </c>
      <c r="J1234" s="4">
        <v>46068.975094421294</v>
      </c>
    </row>
    <row r="1235" spans="1:10" x14ac:dyDescent="0.55000000000000004">
      <c r="A1235" t="s">
        <v>2492</v>
      </c>
      <c r="B1235">
        <v>100052</v>
      </c>
      <c r="C1235" t="s">
        <v>19</v>
      </c>
      <c r="D1235" s="3">
        <v>45810</v>
      </c>
      <c r="E1235" t="s">
        <v>20</v>
      </c>
      <c r="F1235" t="s">
        <v>2493</v>
      </c>
      <c r="G1235" t="s">
        <v>22</v>
      </c>
      <c r="H1235" t="s">
        <v>2494</v>
      </c>
      <c r="I1235" t="s">
        <v>2495</v>
      </c>
      <c r="J1235" s="4">
        <v>46068.975094421294</v>
      </c>
    </row>
    <row r="1236" spans="1:10" x14ac:dyDescent="0.55000000000000004">
      <c r="A1236" t="s">
        <v>2496</v>
      </c>
      <c r="B1236">
        <v>100188</v>
      </c>
      <c r="C1236" t="s">
        <v>533</v>
      </c>
      <c r="D1236" s="3">
        <v>45837</v>
      </c>
      <c r="E1236" t="s">
        <v>317</v>
      </c>
      <c r="F1236" t="s">
        <v>2497</v>
      </c>
      <c r="G1236" t="s">
        <v>15</v>
      </c>
      <c r="H1236" t="s">
        <v>2498</v>
      </c>
      <c r="I1236" t="s">
        <v>2499</v>
      </c>
      <c r="J1236" s="4">
        <v>46077.766761087965</v>
      </c>
    </row>
    <row r="1237" spans="1:10" x14ac:dyDescent="0.55000000000000004">
      <c r="A1237" t="s">
        <v>2496</v>
      </c>
      <c r="B1237">
        <v>100188</v>
      </c>
      <c r="C1237" t="s">
        <v>533</v>
      </c>
      <c r="D1237" s="3">
        <v>45837</v>
      </c>
      <c r="E1237" t="s">
        <v>38</v>
      </c>
      <c r="F1237" t="s">
        <v>2497</v>
      </c>
      <c r="G1237" t="s">
        <v>15</v>
      </c>
      <c r="H1237" t="s">
        <v>2498</v>
      </c>
      <c r="I1237" t="s">
        <v>2499</v>
      </c>
      <c r="J1237" s="4">
        <v>46077.766761087965</v>
      </c>
    </row>
    <row r="1238" spans="1:10" x14ac:dyDescent="0.55000000000000004">
      <c r="A1238" t="s">
        <v>2496</v>
      </c>
      <c r="B1238">
        <v>100188</v>
      </c>
      <c r="C1238" t="s">
        <v>533</v>
      </c>
      <c r="D1238" s="3">
        <v>45837</v>
      </c>
      <c r="E1238" t="s">
        <v>115</v>
      </c>
      <c r="F1238" t="s">
        <v>2497</v>
      </c>
      <c r="G1238" t="s">
        <v>15</v>
      </c>
      <c r="H1238" t="s">
        <v>2498</v>
      </c>
      <c r="I1238" t="s">
        <v>2499</v>
      </c>
      <c r="J1238" s="4">
        <v>46077.766761087965</v>
      </c>
    </row>
    <row r="1239" spans="1:10" x14ac:dyDescent="0.55000000000000004">
      <c r="A1239" t="s">
        <v>2500</v>
      </c>
      <c r="B1239">
        <v>100687</v>
      </c>
      <c r="C1239" t="s">
        <v>19</v>
      </c>
      <c r="D1239" s="3">
        <v>45801</v>
      </c>
      <c r="E1239" t="s">
        <v>38</v>
      </c>
      <c r="F1239" t="s">
        <v>2501</v>
      </c>
      <c r="G1239" t="s">
        <v>15</v>
      </c>
      <c r="H1239" t="s">
        <v>2502</v>
      </c>
      <c r="I1239" t="s">
        <v>2503</v>
      </c>
      <c r="J1239" s="4">
        <v>46077.650094421297</v>
      </c>
    </row>
    <row r="1240" spans="1:10" x14ac:dyDescent="0.55000000000000004">
      <c r="A1240" t="s">
        <v>2500</v>
      </c>
      <c r="B1240">
        <v>100687</v>
      </c>
      <c r="C1240" t="s">
        <v>19</v>
      </c>
      <c r="D1240" s="3">
        <v>45801</v>
      </c>
      <c r="E1240" t="s">
        <v>115</v>
      </c>
      <c r="F1240" t="s">
        <v>2501</v>
      </c>
      <c r="G1240" t="s">
        <v>15</v>
      </c>
      <c r="H1240" t="s">
        <v>2502</v>
      </c>
      <c r="I1240" t="s">
        <v>2503</v>
      </c>
      <c r="J1240" s="4">
        <v>46077.650094421297</v>
      </c>
    </row>
    <row r="1241" spans="1:10" x14ac:dyDescent="0.55000000000000004">
      <c r="A1241" t="s">
        <v>2504</v>
      </c>
      <c r="B1241">
        <v>101336</v>
      </c>
      <c r="C1241" t="s">
        <v>19</v>
      </c>
      <c r="D1241" s="3">
        <v>46004</v>
      </c>
      <c r="E1241" t="s">
        <v>20</v>
      </c>
      <c r="F1241" t="s">
        <v>2505</v>
      </c>
      <c r="G1241" t="s">
        <v>15</v>
      </c>
      <c r="H1241" t="s">
        <v>2506</v>
      </c>
      <c r="I1241" t="s">
        <v>2507</v>
      </c>
      <c r="J1241" s="4">
        <v>46096.293149988429</v>
      </c>
    </row>
    <row r="1242" spans="1:10" x14ac:dyDescent="0.55000000000000004">
      <c r="A1242" t="s">
        <v>2504</v>
      </c>
      <c r="B1242">
        <v>101336</v>
      </c>
      <c r="C1242" t="s">
        <v>19</v>
      </c>
      <c r="D1242" s="3">
        <v>46004</v>
      </c>
      <c r="E1242" t="s">
        <v>155</v>
      </c>
      <c r="F1242" t="s">
        <v>2505</v>
      </c>
      <c r="G1242" t="s">
        <v>15</v>
      </c>
      <c r="H1242" t="s">
        <v>2506</v>
      </c>
      <c r="I1242" t="s">
        <v>2507</v>
      </c>
      <c r="J1242" s="4">
        <v>46096.293149988429</v>
      </c>
    </row>
    <row r="1243" spans="1:10" x14ac:dyDescent="0.55000000000000004">
      <c r="A1243" t="s">
        <v>2504</v>
      </c>
      <c r="B1243">
        <v>101336</v>
      </c>
      <c r="C1243" t="s">
        <v>19</v>
      </c>
      <c r="D1243" s="3">
        <v>46004</v>
      </c>
      <c r="E1243" t="s">
        <v>115</v>
      </c>
      <c r="F1243" t="s">
        <v>2505</v>
      </c>
      <c r="G1243" t="s">
        <v>15</v>
      </c>
      <c r="H1243" t="s">
        <v>2506</v>
      </c>
      <c r="I1243" t="s">
        <v>2507</v>
      </c>
      <c r="J1243" s="4">
        <v>46096.293149988429</v>
      </c>
    </row>
    <row r="1244" spans="1:10" x14ac:dyDescent="0.55000000000000004">
      <c r="A1244" t="s">
        <v>2508</v>
      </c>
      <c r="B1244">
        <v>101317</v>
      </c>
      <c r="C1244" t="s">
        <v>179</v>
      </c>
      <c r="D1244" s="3">
        <v>45942</v>
      </c>
      <c r="E1244" t="s">
        <v>20</v>
      </c>
      <c r="F1244" t="s">
        <v>2509</v>
      </c>
      <c r="G1244" t="s">
        <v>15</v>
      </c>
      <c r="H1244" t="s">
        <v>2510</v>
      </c>
      <c r="I1244" t="s">
        <v>2511</v>
      </c>
      <c r="J1244" s="4">
        <v>46085.594538877318</v>
      </c>
    </row>
    <row r="1245" spans="1:10" x14ac:dyDescent="0.55000000000000004">
      <c r="A1245" t="s">
        <v>2508</v>
      </c>
      <c r="B1245">
        <v>101317</v>
      </c>
      <c r="C1245" t="s">
        <v>179</v>
      </c>
      <c r="D1245" s="3">
        <v>45942</v>
      </c>
      <c r="E1245" t="s">
        <v>69</v>
      </c>
      <c r="F1245" t="s">
        <v>2509</v>
      </c>
      <c r="G1245" t="s">
        <v>15</v>
      </c>
      <c r="H1245" t="s">
        <v>2510</v>
      </c>
      <c r="I1245" t="s">
        <v>2511</v>
      </c>
      <c r="J1245" s="4">
        <v>46085.594538877318</v>
      </c>
    </row>
    <row r="1246" spans="1:10" x14ac:dyDescent="0.55000000000000004">
      <c r="A1246" t="s">
        <v>2512</v>
      </c>
      <c r="B1246">
        <v>100480</v>
      </c>
      <c r="C1246" t="s">
        <v>533</v>
      </c>
      <c r="D1246" s="3">
        <v>45826</v>
      </c>
      <c r="E1246" t="s">
        <v>38</v>
      </c>
      <c r="F1246" t="s">
        <v>2513</v>
      </c>
      <c r="G1246" t="s">
        <v>22</v>
      </c>
      <c r="H1246" t="s">
        <v>2514</v>
      </c>
      <c r="I1246" t="s">
        <v>2515</v>
      </c>
      <c r="J1246" s="4">
        <v>46058.93967777778</v>
      </c>
    </row>
    <row r="1247" spans="1:10" x14ac:dyDescent="0.55000000000000004">
      <c r="A1247" t="s">
        <v>2516</v>
      </c>
      <c r="B1247">
        <v>100291</v>
      </c>
      <c r="C1247" t="s">
        <v>19</v>
      </c>
      <c r="D1247" s="3">
        <v>45850</v>
      </c>
      <c r="E1247" t="s">
        <v>317</v>
      </c>
      <c r="F1247" t="s">
        <v>2517</v>
      </c>
      <c r="G1247" t="s">
        <v>22</v>
      </c>
      <c r="H1247" t="s">
        <v>2518</v>
      </c>
      <c r="I1247" t="s">
        <v>2519</v>
      </c>
      <c r="J1247" s="4">
        <v>46091.767455555557</v>
      </c>
    </row>
    <row r="1248" spans="1:10" x14ac:dyDescent="0.55000000000000004">
      <c r="A1248" t="s">
        <v>2516</v>
      </c>
      <c r="B1248">
        <v>100291</v>
      </c>
      <c r="C1248" t="s">
        <v>19</v>
      </c>
      <c r="D1248" s="3">
        <v>45850</v>
      </c>
      <c r="E1248" t="s">
        <v>155</v>
      </c>
      <c r="F1248" t="s">
        <v>2517</v>
      </c>
      <c r="G1248" t="s">
        <v>22</v>
      </c>
      <c r="H1248" t="s">
        <v>2518</v>
      </c>
      <c r="I1248" t="s">
        <v>2519</v>
      </c>
      <c r="J1248" s="4">
        <v>46091.767455555557</v>
      </c>
    </row>
    <row r="1249" spans="1:11" x14ac:dyDescent="0.55000000000000004">
      <c r="A1249" t="s">
        <v>2516</v>
      </c>
      <c r="B1249">
        <v>100291</v>
      </c>
      <c r="C1249" t="s">
        <v>19</v>
      </c>
      <c r="D1249" s="3">
        <v>45850</v>
      </c>
      <c r="E1249" t="s">
        <v>115</v>
      </c>
      <c r="F1249" t="s">
        <v>2517</v>
      </c>
      <c r="G1249" t="s">
        <v>22</v>
      </c>
      <c r="H1249" t="s">
        <v>2518</v>
      </c>
      <c r="I1249" t="s">
        <v>2519</v>
      </c>
      <c r="J1249" s="4">
        <v>46091.767455555557</v>
      </c>
    </row>
    <row r="1250" spans="1:11" x14ac:dyDescent="0.55000000000000004">
      <c r="A1250" t="s">
        <v>2520</v>
      </c>
      <c r="B1250">
        <v>100587</v>
      </c>
      <c r="C1250" t="s">
        <v>19</v>
      </c>
      <c r="D1250" s="3">
        <v>45800</v>
      </c>
      <c r="E1250" t="s">
        <v>38</v>
      </c>
      <c r="F1250" t="s">
        <v>2521</v>
      </c>
      <c r="G1250" t="s">
        <v>15</v>
      </c>
      <c r="H1250" t="s">
        <v>2522</v>
      </c>
      <c r="I1250" t="s">
        <v>2523</v>
      </c>
      <c r="J1250" s="4">
        <v>46073.047316666663</v>
      </c>
    </row>
    <row r="1251" spans="1:11" x14ac:dyDescent="0.55000000000000004">
      <c r="A1251" t="s">
        <v>2520</v>
      </c>
      <c r="B1251">
        <v>100587</v>
      </c>
      <c r="C1251" t="s">
        <v>19</v>
      </c>
      <c r="D1251" s="3">
        <v>45800</v>
      </c>
      <c r="E1251" t="s">
        <v>20</v>
      </c>
      <c r="F1251" t="s">
        <v>2521</v>
      </c>
      <c r="G1251" t="s">
        <v>15</v>
      </c>
      <c r="H1251" t="s">
        <v>2522</v>
      </c>
      <c r="I1251" t="s">
        <v>2523</v>
      </c>
      <c r="J1251" s="4">
        <v>46073.047316666663</v>
      </c>
    </row>
    <row r="1252" spans="1:11" x14ac:dyDescent="0.55000000000000004">
      <c r="A1252" t="s">
        <v>2520</v>
      </c>
      <c r="B1252">
        <v>100587</v>
      </c>
      <c r="C1252" t="s">
        <v>19</v>
      </c>
      <c r="D1252" s="3">
        <v>45800</v>
      </c>
      <c r="E1252" t="s">
        <v>69</v>
      </c>
      <c r="F1252" t="s">
        <v>2521</v>
      </c>
      <c r="G1252" t="s">
        <v>15</v>
      </c>
      <c r="H1252" t="s">
        <v>2522</v>
      </c>
      <c r="I1252" t="s">
        <v>2523</v>
      </c>
      <c r="J1252" s="4">
        <v>46073.047316666663</v>
      </c>
    </row>
    <row r="1253" spans="1:11" x14ac:dyDescent="0.55000000000000004">
      <c r="A1253" t="s">
        <v>2524</v>
      </c>
      <c r="B1253">
        <v>100728</v>
      </c>
      <c r="C1253" t="s">
        <v>19</v>
      </c>
      <c r="D1253" s="3">
        <v>45802</v>
      </c>
      <c r="E1253" t="s">
        <v>115</v>
      </c>
      <c r="F1253" t="s">
        <v>1785</v>
      </c>
      <c r="G1253" t="s">
        <v>15</v>
      </c>
      <c r="H1253" t="s">
        <v>2525</v>
      </c>
      <c r="I1253" t="s">
        <v>2526</v>
      </c>
      <c r="J1253" s="4">
        <v>46095.165372233794</v>
      </c>
    </row>
    <row r="1254" spans="1:11" x14ac:dyDescent="0.55000000000000004">
      <c r="A1254" t="s">
        <v>2527</v>
      </c>
      <c r="B1254">
        <v>100105</v>
      </c>
      <c r="C1254" t="s">
        <v>37</v>
      </c>
      <c r="D1254" s="3">
        <v>45870</v>
      </c>
      <c r="E1254" t="s">
        <v>317</v>
      </c>
      <c r="F1254" t="s">
        <v>2528</v>
      </c>
      <c r="G1254" t="s">
        <v>15</v>
      </c>
      <c r="H1254" t="s">
        <v>2529</v>
      </c>
      <c r="I1254" t="s">
        <v>2530</v>
      </c>
      <c r="J1254" s="4">
        <v>46093.494538900464</v>
      </c>
    </row>
    <row r="1255" spans="1:11" x14ac:dyDescent="0.55000000000000004">
      <c r="A1255" t="s">
        <v>2527</v>
      </c>
      <c r="B1255">
        <v>100105</v>
      </c>
      <c r="C1255" t="s">
        <v>37</v>
      </c>
      <c r="D1255" s="3">
        <v>45870</v>
      </c>
      <c r="E1255" t="s">
        <v>115</v>
      </c>
      <c r="F1255" t="s">
        <v>2528</v>
      </c>
      <c r="G1255" t="s">
        <v>15</v>
      </c>
      <c r="H1255" t="s">
        <v>2529</v>
      </c>
      <c r="I1255" t="s">
        <v>2530</v>
      </c>
      <c r="J1255" s="4">
        <v>46093.494538900464</v>
      </c>
    </row>
    <row r="1256" spans="1:11" x14ac:dyDescent="0.55000000000000004">
      <c r="A1256" t="s">
        <v>2531</v>
      </c>
      <c r="B1256">
        <v>100953</v>
      </c>
      <c r="C1256" t="s">
        <v>179</v>
      </c>
      <c r="D1256" s="3">
        <v>46047</v>
      </c>
      <c r="E1256" t="s">
        <v>317</v>
      </c>
      <c r="F1256" t="s">
        <v>2532</v>
      </c>
      <c r="G1256" t="s">
        <v>22</v>
      </c>
      <c r="H1256" t="s">
        <v>2533</v>
      </c>
      <c r="I1256" t="s">
        <v>2534</v>
      </c>
      <c r="J1256" s="4">
        <v>46082.138288912036</v>
      </c>
    </row>
    <row r="1257" spans="1:11" x14ac:dyDescent="0.55000000000000004">
      <c r="A1257" t="s">
        <v>2531</v>
      </c>
      <c r="B1257">
        <v>100953</v>
      </c>
      <c r="C1257" t="s">
        <v>179</v>
      </c>
      <c r="D1257" s="3">
        <v>46047</v>
      </c>
      <c r="E1257" t="s">
        <v>20</v>
      </c>
      <c r="F1257" t="s">
        <v>2532</v>
      </c>
      <c r="G1257" t="s">
        <v>22</v>
      </c>
      <c r="H1257" t="s">
        <v>2533</v>
      </c>
      <c r="I1257" t="s">
        <v>2534</v>
      </c>
      <c r="J1257" s="4">
        <v>46082.138288912036</v>
      </c>
    </row>
    <row r="1258" spans="1:11" x14ac:dyDescent="0.55000000000000004">
      <c r="A1258" t="s">
        <v>2535</v>
      </c>
      <c r="B1258">
        <v>100699</v>
      </c>
      <c r="C1258" t="s">
        <v>179</v>
      </c>
      <c r="D1258" s="3">
        <v>46129</v>
      </c>
      <c r="E1258" t="s">
        <v>38</v>
      </c>
      <c r="F1258" t="s">
        <v>2536</v>
      </c>
      <c r="G1258" t="s">
        <v>22</v>
      </c>
      <c r="H1258" t="s">
        <v>2537</v>
      </c>
      <c r="I1258" t="s">
        <v>2538</v>
      </c>
      <c r="J1258" s="4">
        <v>46077.185511134259</v>
      </c>
    </row>
    <row r="1259" spans="1:11" x14ac:dyDescent="0.55000000000000004">
      <c r="A1259" t="s">
        <v>2539</v>
      </c>
      <c r="B1259">
        <v>100299</v>
      </c>
      <c r="C1259" t="s">
        <v>19</v>
      </c>
      <c r="D1259" s="3">
        <v>46112</v>
      </c>
      <c r="E1259" t="s">
        <v>317</v>
      </c>
      <c r="F1259" t="s">
        <v>2540</v>
      </c>
      <c r="G1259" t="s">
        <v>15</v>
      </c>
      <c r="H1259" t="s">
        <v>2541</v>
      </c>
      <c r="I1259" t="s">
        <v>2542</v>
      </c>
      <c r="J1259" s="4">
        <v>46069.096622245372</v>
      </c>
    </row>
    <row r="1260" spans="1:11" x14ac:dyDescent="0.55000000000000004">
      <c r="A1260" t="s">
        <v>2539</v>
      </c>
      <c r="B1260">
        <v>100299</v>
      </c>
      <c r="C1260" t="s">
        <v>19</v>
      </c>
      <c r="D1260" s="3">
        <v>46112</v>
      </c>
      <c r="E1260" t="s">
        <v>38</v>
      </c>
      <c r="F1260" t="s">
        <v>2540</v>
      </c>
      <c r="G1260" t="s">
        <v>15</v>
      </c>
      <c r="H1260" t="s">
        <v>2541</v>
      </c>
      <c r="I1260" t="s">
        <v>2542</v>
      </c>
      <c r="J1260" s="4">
        <v>46069.096622245372</v>
      </c>
    </row>
    <row r="1261" spans="1:11" x14ac:dyDescent="0.55000000000000004">
      <c r="A1261" t="s">
        <v>2539</v>
      </c>
      <c r="B1261">
        <v>100299</v>
      </c>
      <c r="C1261" t="s">
        <v>19</v>
      </c>
      <c r="D1261" s="3">
        <v>46112</v>
      </c>
      <c r="E1261" t="s">
        <v>155</v>
      </c>
      <c r="F1261" t="s">
        <v>2540</v>
      </c>
      <c r="G1261" t="s">
        <v>15</v>
      </c>
      <c r="H1261" t="s">
        <v>2541</v>
      </c>
      <c r="I1261" t="s">
        <v>2542</v>
      </c>
      <c r="J1261" s="4">
        <v>46069.096622245372</v>
      </c>
    </row>
    <row r="1262" spans="1:11" x14ac:dyDescent="0.55000000000000004">
      <c r="A1262" t="s">
        <v>2543</v>
      </c>
      <c r="C1262" t="s">
        <v>37</v>
      </c>
      <c r="D1262" s="3">
        <v>45857</v>
      </c>
      <c r="E1262" t="s">
        <v>38</v>
      </c>
      <c r="F1262" t="s">
        <v>2544</v>
      </c>
      <c r="G1262" t="s">
        <v>22</v>
      </c>
      <c r="H1262" t="s">
        <v>2545</v>
      </c>
      <c r="I1262" t="s">
        <v>2546</v>
      </c>
      <c r="J1262" s="4">
        <v>46063.84940003472</v>
      </c>
      <c r="K1262" t="s">
        <v>112</v>
      </c>
    </row>
    <row r="1263" spans="1:11" x14ac:dyDescent="0.55000000000000004">
      <c r="A1263" t="s">
        <v>2543</v>
      </c>
      <c r="C1263" t="s">
        <v>37</v>
      </c>
      <c r="D1263" s="3">
        <v>45857</v>
      </c>
      <c r="E1263" t="s">
        <v>155</v>
      </c>
      <c r="F1263" t="s">
        <v>2544</v>
      </c>
      <c r="G1263" t="s">
        <v>22</v>
      </c>
      <c r="H1263" t="s">
        <v>2545</v>
      </c>
      <c r="I1263" t="s">
        <v>2546</v>
      </c>
      <c r="J1263" s="4">
        <v>46063.84940003472</v>
      </c>
      <c r="K1263" t="s">
        <v>112</v>
      </c>
    </row>
    <row r="1264" spans="1:11" x14ac:dyDescent="0.55000000000000004">
      <c r="A1264" t="s">
        <v>2543</v>
      </c>
      <c r="C1264" t="s">
        <v>37</v>
      </c>
      <c r="D1264" s="3">
        <v>45857</v>
      </c>
      <c r="E1264" t="s">
        <v>69</v>
      </c>
      <c r="F1264" t="s">
        <v>2544</v>
      </c>
      <c r="G1264" t="s">
        <v>22</v>
      </c>
      <c r="H1264" t="s">
        <v>2545</v>
      </c>
      <c r="I1264" t="s">
        <v>2546</v>
      </c>
      <c r="J1264" s="4">
        <v>46063.84940003472</v>
      </c>
      <c r="K1264" t="s">
        <v>112</v>
      </c>
    </row>
    <row r="1265" spans="1:10" x14ac:dyDescent="0.55000000000000004">
      <c r="A1265" t="s">
        <v>2547</v>
      </c>
      <c r="B1265">
        <v>100055</v>
      </c>
      <c r="C1265" t="s">
        <v>37</v>
      </c>
      <c r="D1265" s="3">
        <v>45829</v>
      </c>
      <c r="E1265" t="s">
        <v>317</v>
      </c>
      <c r="F1265" t="s">
        <v>2548</v>
      </c>
      <c r="G1265" t="s">
        <v>22</v>
      </c>
      <c r="H1265" t="s">
        <v>2549</v>
      </c>
      <c r="I1265" t="s">
        <v>2550</v>
      </c>
      <c r="J1265" s="4">
        <v>46079.090372256942</v>
      </c>
    </row>
    <row r="1266" spans="1:10" x14ac:dyDescent="0.55000000000000004">
      <c r="A1266" t="s">
        <v>2547</v>
      </c>
      <c r="B1266">
        <v>100055</v>
      </c>
      <c r="C1266" t="s">
        <v>37</v>
      </c>
      <c r="D1266" s="3">
        <v>45829</v>
      </c>
      <c r="E1266" t="s">
        <v>69</v>
      </c>
      <c r="F1266" t="s">
        <v>2548</v>
      </c>
      <c r="G1266" t="s">
        <v>22</v>
      </c>
      <c r="H1266" t="s">
        <v>2549</v>
      </c>
      <c r="I1266" t="s">
        <v>2550</v>
      </c>
      <c r="J1266" s="4">
        <v>46079.090372256942</v>
      </c>
    </row>
    <row r="1267" spans="1:10" x14ac:dyDescent="0.55000000000000004">
      <c r="A1267" t="s">
        <v>2551</v>
      </c>
      <c r="B1267">
        <v>100046</v>
      </c>
      <c r="C1267" t="s">
        <v>533</v>
      </c>
      <c r="D1267" s="3">
        <v>45948</v>
      </c>
      <c r="E1267" t="s">
        <v>38</v>
      </c>
      <c r="F1267" t="s">
        <v>2552</v>
      </c>
      <c r="G1267" t="s">
        <v>15</v>
      </c>
      <c r="H1267" t="s">
        <v>2553</v>
      </c>
      <c r="I1267" t="s">
        <v>2554</v>
      </c>
      <c r="J1267" s="4">
        <v>46067.827177824074</v>
      </c>
    </row>
    <row r="1268" spans="1:10" x14ac:dyDescent="0.55000000000000004">
      <c r="A1268" t="s">
        <v>2551</v>
      </c>
      <c r="B1268">
        <v>100046</v>
      </c>
      <c r="C1268" t="s">
        <v>533</v>
      </c>
      <c r="D1268" s="3">
        <v>45948</v>
      </c>
      <c r="E1268" t="s">
        <v>155</v>
      </c>
      <c r="F1268" t="s">
        <v>2552</v>
      </c>
      <c r="G1268" t="s">
        <v>15</v>
      </c>
      <c r="H1268" t="s">
        <v>2553</v>
      </c>
      <c r="I1268" t="s">
        <v>2554</v>
      </c>
      <c r="J1268" s="4">
        <v>46067.827177824074</v>
      </c>
    </row>
    <row r="1269" spans="1:10" x14ac:dyDescent="0.55000000000000004">
      <c r="A1269" t="s">
        <v>2555</v>
      </c>
      <c r="B1269">
        <v>100280</v>
      </c>
      <c r="C1269" t="s">
        <v>179</v>
      </c>
      <c r="D1269" s="3">
        <v>45778</v>
      </c>
      <c r="E1269" t="s">
        <v>38</v>
      </c>
      <c r="F1269" t="s">
        <v>2556</v>
      </c>
      <c r="G1269" t="s">
        <v>15</v>
      </c>
      <c r="H1269" t="s">
        <v>2557</v>
      </c>
      <c r="I1269" t="s">
        <v>2558</v>
      </c>
      <c r="J1269" s="4">
        <v>46072.158427824077</v>
      </c>
    </row>
    <row r="1270" spans="1:10" x14ac:dyDescent="0.55000000000000004">
      <c r="A1270" t="s">
        <v>2555</v>
      </c>
      <c r="B1270">
        <v>100280</v>
      </c>
      <c r="C1270" t="s">
        <v>179</v>
      </c>
      <c r="D1270" s="3">
        <v>45778</v>
      </c>
      <c r="E1270" t="s">
        <v>155</v>
      </c>
      <c r="F1270" t="s">
        <v>2556</v>
      </c>
      <c r="G1270" t="s">
        <v>15</v>
      </c>
      <c r="H1270" t="s">
        <v>2557</v>
      </c>
      <c r="I1270" t="s">
        <v>2558</v>
      </c>
      <c r="J1270" s="4">
        <v>46072.158427824077</v>
      </c>
    </row>
    <row r="1271" spans="1:10" x14ac:dyDescent="0.55000000000000004">
      <c r="A1271" t="s">
        <v>2555</v>
      </c>
      <c r="B1271">
        <v>100280</v>
      </c>
      <c r="C1271" t="s">
        <v>179</v>
      </c>
      <c r="D1271" s="3">
        <v>45778</v>
      </c>
      <c r="E1271" t="s">
        <v>115</v>
      </c>
      <c r="F1271" t="s">
        <v>2556</v>
      </c>
      <c r="G1271" t="s">
        <v>15</v>
      </c>
      <c r="H1271" t="s">
        <v>2557</v>
      </c>
      <c r="I1271" t="s">
        <v>2558</v>
      </c>
      <c r="J1271" s="4">
        <v>46072.158427824077</v>
      </c>
    </row>
    <row r="1272" spans="1:10" x14ac:dyDescent="0.55000000000000004">
      <c r="A1272" t="s">
        <v>2559</v>
      </c>
      <c r="B1272">
        <v>101408</v>
      </c>
      <c r="C1272" t="s">
        <v>68</v>
      </c>
      <c r="D1272" s="3">
        <v>45962</v>
      </c>
      <c r="E1272" t="s">
        <v>115</v>
      </c>
      <c r="F1272" t="s">
        <v>2560</v>
      </c>
      <c r="G1272" t="s">
        <v>22</v>
      </c>
      <c r="H1272" t="s">
        <v>2561</v>
      </c>
      <c r="I1272" t="s">
        <v>2562</v>
      </c>
      <c r="J1272" s="4">
        <v>46060.459122268519</v>
      </c>
    </row>
    <row r="1273" spans="1:10" x14ac:dyDescent="0.55000000000000004">
      <c r="A1273" t="s">
        <v>2563</v>
      </c>
      <c r="B1273">
        <v>101194</v>
      </c>
      <c r="C1273" t="s">
        <v>179</v>
      </c>
      <c r="D1273" s="3">
        <v>45778</v>
      </c>
      <c r="E1273" t="s">
        <v>20</v>
      </c>
      <c r="F1273" t="s">
        <v>2564</v>
      </c>
      <c r="G1273" t="s">
        <v>15</v>
      </c>
      <c r="H1273" t="s">
        <v>2565</v>
      </c>
      <c r="I1273" t="s">
        <v>2566</v>
      </c>
      <c r="J1273" s="4">
        <v>46092.584122280095</v>
      </c>
    </row>
    <row r="1274" spans="1:10" x14ac:dyDescent="0.55000000000000004">
      <c r="A1274" t="s">
        <v>2563</v>
      </c>
      <c r="B1274">
        <v>101194</v>
      </c>
      <c r="C1274" t="s">
        <v>179</v>
      </c>
      <c r="D1274" s="3">
        <v>45778</v>
      </c>
      <c r="E1274" t="s">
        <v>115</v>
      </c>
      <c r="F1274" t="s">
        <v>2564</v>
      </c>
      <c r="G1274" t="s">
        <v>15</v>
      </c>
      <c r="H1274" t="s">
        <v>2565</v>
      </c>
      <c r="I1274" t="s">
        <v>2566</v>
      </c>
      <c r="J1274" s="4">
        <v>46092.584122280095</v>
      </c>
    </row>
    <row r="1275" spans="1:10" x14ac:dyDescent="0.55000000000000004">
      <c r="A1275" t="s">
        <v>2567</v>
      </c>
      <c r="B1275">
        <v>101279</v>
      </c>
      <c r="C1275" t="s">
        <v>179</v>
      </c>
      <c r="D1275" s="3">
        <v>46056</v>
      </c>
      <c r="E1275" t="s">
        <v>38</v>
      </c>
      <c r="F1275" t="s">
        <v>2568</v>
      </c>
      <c r="G1275" t="s">
        <v>22</v>
      </c>
      <c r="H1275" t="s">
        <v>2569</v>
      </c>
      <c r="I1275" t="s">
        <v>2570</v>
      </c>
      <c r="J1275" s="4">
        <v>46064.87578894676</v>
      </c>
    </row>
    <row r="1276" spans="1:10" x14ac:dyDescent="0.55000000000000004">
      <c r="A1276" t="s">
        <v>2567</v>
      </c>
      <c r="B1276">
        <v>101279</v>
      </c>
      <c r="C1276" t="s">
        <v>179</v>
      </c>
      <c r="D1276" s="3">
        <v>46056</v>
      </c>
      <c r="E1276" t="s">
        <v>155</v>
      </c>
      <c r="F1276" t="s">
        <v>2568</v>
      </c>
      <c r="G1276" t="s">
        <v>22</v>
      </c>
      <c r="H1276" t="s">
        <v>2569</v>
      </c>
      <c r="I1276" t="s">
        <v>2570</v>
      </c>
      <c r="J1276" s="4">
        <v>46064.87578894676</v>
      </c>
    </row>
    <row r="1277" spans="1:10" x14ac:dyDescent="0.55000000000000004">
      <c r="A1277" t="s">
        <v>2571</v>
      </c>
      <c r="B1277">
        <v>100309</v>
      </c>
      <c r="C1277" t="s">
        <v>533</v>
      </c>
      <c r="D1277" s="3">
        <v>45925</v>
      </c>
      <c r="E1277" t="s">
        <v>155</v>
      </c>
      <c r="F1277" t="s">
        <v>2572</v>
      </c>
      <c r="G1277" t="s">
        <v>22</v>
      </c>
      <c r="H1277" t="s">
        <v>2573</v>
      </c>
      <c r="I1277" t="s">
        <v>2574</v>
      </c>
      <c r="J1277" s="4">
        <v>46060.808427847223</v>
      </c>
    </row>
    <row r="1278" spans="1:10" x14ac:dyDescent="0.55000000000000004">
      <c r="A1278" t="s">
        <v>2571</v>
      </c>
      <c r="B1278">
        <v>100309</v>
      </c>
      <c r="C1278" t="s">
        <v>533</v>
      </c>
      <c r="D1278" s="3">
        <v>45925</v>
      </c>
      <c r="E1278" t="s">
        <v>115</v>
      </c>
      <c r="F1278" t="s">
        <v>2572</v>
      </c>
      <c r="G1278" t="s">
        <v>22</v>
      </c>
      <c r="H1278" t="s">
        <v>2573</v>
      </c>
      <c r="I1278" t="s">
        <v>2574</v>
      </c>
      <c r="J1278" s="4">
        <v>46060.808427847223</v>
      </c>
    </row>
    <row r="1279" spans="1:10" x14ac:dyDescent="0.55000000000000004">
      <c r="A1279" t="s">
        <v>2571</v>
      </c>
      <c r="B1279">
        <v>100309</v>
      </c>
      <c r="C1279" t="s">
        <v>533</v>
      </c>
      <c r="D1279" s="3">
        <v>45925</v>
      </c>
      <c r="E1279" t="s">
        <v>69</v>
      </c>
      <c r="F1279" t="s">
        <v>2572</v>
      </c>
      <c r="G1279" t="s">
        <v>22</v>
      </c>
      <c r="H1279" t="s">
        <v>2573</v>
      </c>
      <c r="I1279" t="s">
        <v>2574</v>
      </c>
      <c r="J1279" s="4">
        <v>46060.808427847223</v>
      </c>
    </row>
    <row r="1280" spans="1:10" x14ac:dyDescent="0.55000000000000004">
      <c r="A1280" t="s">
        <v>2575</v>
      </c>
      <c r="B1280">
        <v>100183</v>
      </c>
      <c r="C1280" t="s">
        <v>533</v>
      </c>
      <c r="D1280" s="3">
        <v>45815</v>
      </c>
      <c r="E1280" t="s">
        <v>115</v>
      </c>
      <c r="F1280" t="s">
        <v>2576</v>
      </c>
      <c r="G1280" t="s">
        <v>15</v>
      </c>
      <c r="H1280" t="s">
        <v>2577</v>
      </c>
      <c r="I1280" t="s">
        <v>2578</v>
      </c>
      <c r="J1280" s="4">
        <v>46071.308427847223</v>
      </c>
    </row>
    <row r="1281" spans="1:11" x14ac:dyDescent="0.55000000000000004">
      <c r="A1281" t="s">
        <v>2579</v>
      </c>
      <c r="B1281">
        <v>100369</v>
      </c>
      <c r="C1281" t="s">
        <v>68</v>
      </c>
      <c r="D1281" s="3">
        <v>46105</v>
      </c>
      <c r="E1281" t="s">
        <v>20</v>
      </c>
      <c r="F1281" t="s">
        <v>2580</v>
      </c>
      <c r="G1281" t="s">
        <v>15</v>
      </c>
      <c r="H1281" t="s">
        <v>2581</v>
      </c>
      <c r="I1281" t="s">
        <v>2582</v>
      </c>
      <c r="J1281" s="4">
        <v>46089.457733414354</v>
      </c>
    </row>
    <row r="1282" spans="1:11" x14ac:dyDescent="0.55000000000000004">
      <c r="A1282" t="s">
        <v>2579</v>
      </c>
      <c r="B1282">
        <v>100369</v>
      </c>
      <c r="C1282" t="s">
        <v>68</v>
      </c>
      <c r="D1282" s="3">
        <v>46105</v>
      </c>
      <c r="E1282" t="s">
        <v>115</v>
      </c>
      <c r="F1282" t="s">
        <v>2580</v>
      </c>
      <c r="G1282" t="s">
        <v>15</v>
      </c>
      <c r="H1282" t="s">
        <v>2581</v>
      </c>
      <c r="I1282" t="s">
        <v>2582</v>
      </c>
      <c r="J1282" s="4">
        <v>46089.457733414354</v>
      </c>
    </row>
    <row r="1283" spans="1:11" x14ac:dyDescent="0.55000000000000004">
      <c r="A1283" t="s">
        <v>2583</v>
      </c>
      <c r="B1283">
        <v>101215</v>
      </c>
      <c r="C1283" t="s">
        <v>37</v>
      </c>
      <c r="D1283" s="3">
        <v>46050</v>
      </c>
      <c r="E1283" t="s">
        <v>155</v>
      </c>
      <c r="F1283" t="s">
        <v>2584</v>
      </c>
      <c r="G1283" t="s">
        <v>22</v>
      </c>
      <c r="H1283" t="s">
        <v>2585</v>
      </c>
      <c r="I1283" t="s">
        <v>2586</v>
      </c>
      <c r="J1283" s="4">
        <v>46065.973011192131</v>
      </c>
      <c r="K1283" t="s">
        <v>139</v>
      </c>
    </row>
    <row r="1284" spans="1:11" x14ac:dyDescent="0.55000000000000004">
      <c r="A1284" t="s">
        <v>2583</v>
      </c>
      <c r="B1284">
        <v>101215</v>
      </c>
      <c r="C1284" t="s">
        <v>37</v>
      </c>
      <c r="D1284" s="3">
        <v>46050</v>
      </c>
      <c r="E1284" t="s">
        <v>69</v>
      </c>
      <c r="F1284" t="s">
        <v>2584</v>
      </c>
      <c r="G1284" t="s">
        <v>22</v>
      </c>
      <c r="H1284" t="s">
        <v>2585</v>
      </c>
      <c r="I1284" t="s">
        <v>2586</v>
      </c>
      <c r="J1284" s="4">
        <v>46065.973011192131</v>
      </c>
      <c r="K1284" t="s">
        <v>139</v>
      </c>
    </row>
    <row r="1285" spans="1:11" x14ac:dyDescent="0.55000000000000004">
      <c r="A1285" t="s">
        <v>2587</v>
      </c>
      <c r="B1285">
        <v>101106</v>
      </c>
      <c r="C1285" t="s">
        <v>37</v>
      </c>
      <c r="D1285" s="3">
        <v>46043</v>
      </c>
      <c r="E1285" t="s">
        <v>317</v>
      </c>
      <c r="F1285" t="s">
        <v>2588</v>
      </c>
      <c r="G1285" t="s">
        <v>22</v>
      </c>
      <c r="H1285" t="s">
        <v>2589</v>
      </c>
      <c r="I1285" t="s">
        <v>2590</v>
      </c>
      <c r="J1285" s="4">
        <v>46068.16328896991</v>
      </c>
    </row>
    <row r="1286" spans="1:11" x14ac:dyDescent="0.55000000000000004">
      <c r="A1286" t="s">
        <v>2587</v>
      </c>
      <c r="B1286">
        <v>101106</v>
      </c>
      <c r="C1286" t="s">
        <v>37</v>
      </c>
      <c r="D1286" s="3">
        <v>46043</v>
      </c>
      <c r="E1286" t="s">
        <v>115</v>
      </c>
      <c r="F1286" t="s">
        <v>2588</v>
      </c>
      <c r="G1286" t="s">
        <v>22</v>
      </c>
      <c r="H1286" t="s">
        <v>2589</v>
      </c>
      <c r="I1286" t="s">
        <v>2590</v>
      </c>
      <c r="J1286" s="4">
        <v>46068.16328896991</v>
      </c>
    </row>
    <row r="1287" spans="1:11" x14ac:dyDescent="0.55000000000000004">
      <c r="A1287" t="s">
        <v>2591</v>
      </c>
      <c r="B1287">
        <v>101256</v>
      </c>
      <c r="C1287" t="s">
        <v>179</v>
      </c>
      <c r="D1287" s="3">
        <v>45772</v>
      </c>
      <c r="E1287" t="s">
        <v>38</v>
      </c>
      <c r="F1287" t="s">
        <v>2592</v>
      </c>
      <c r="G1287" t="s">
        <v>22</v>
      </c>
      <c r="H1287" t="s">
        <v>2593</v>
      </c>
      <c r="I1287" t="s">
        <v>2594</v>
      </c>
      <c r="J1287" s="4">
        <v>46057.852177870373</v>
      </c>
    </row>
    <row r="1288" spans="1:11" x14ac:dyDescent="0.55000000000000004">
      <c r="A1288" t="s">
        <v>2591</v>
      </c>
      <c r="B1288">
        <v>101256</v>
      </c>
      <c r="C1288" t="s">
        <v>179</v>
      </c>
      <c r="D1288" s="3">
        <v>45772</v>
      </c>
      <c r="E1288" t="s">
        <v>155</v>
      </c>
      <c r="F1288" t="s">
        <v>2592</v>
      </c>
      <c r="G1288" t="s">
        <v>22</v>
      </c>
      <c r="H1288" t="s">
        <v>2593</v>
      </c>
      <c r="I1288" t="s">
        <v>2594</v>
      </c>
      <c r="J1288" s="4">
        <v>46057.852177870373</v>
      </c>
    </row>
    <row r="1289" spans="1:11" x14ac:dyDescent="0.55000000000000004">
      <c r="A1289" t="s">
        <v>2591</v>
      </c>
      <c r="B1289">
        <v>101256</v>
      </c>
      <c r="C1289" t="s">
        <v>179</v>
      </c>
      <c r="D1289" s="3">
        <v>45772</v>
      </c>
      <c r="E1289" t="s">
        <v>115</v>
      </c>
      <c r="F1289" t="s">
        <v>2592</v>
      </c>
      <c r="G1289" t="s">
        <v>22</v>
      </c>
      <c r="H1289" t="s">
        <v>2593</v>
      </c>
      <c r="I1289" t="s">
        <v>2594</v>
      </c>
      <c r="J1289" s="4">
        <v>46057.852177870373</v>
      </c>
    </row>
    <row r="1290" spans="1:11" x14ac:dyDescent="0.55000000000000004">
      <c r="A1290" t="s">
        <v>2595</v>
      </c>
      <c r="B1290">
        <v>101378</v>
      </c>
      <c r="C1290" t="s">
        <v>19</v>
      </c>
      <c r="D1290" s="3">
        <v>46151</v>
      </c>
      <c r="E1290" t="s">
        <v>155</v>
      </c>
      <c r="F1290" t="s">
        <v>2596</v>
      </c>
      <c r="G1290" t="s">
        <v>15</v>
      </c>
      <c r="H1290" t="s">
        <v>2597</v>
      </c>
      <c r="I1290" t="s">
        <v>2598</v>
      </c>
      <c r="J1290" s="4">
        <v>46088.668150092592</v>
      </c>
    </row>
    <row r="1291" spans="1:11" x14ac:dyDescent="0.55000000000000004">
      <c r="A1291" t="s">
        <v>2599</v>
      </c>
      <c r="B1291">
        <v>100289</v>
      </c>
      <c r="C1291" t="s">
        <v>68</v>
      </c>
      <c r="D1291" s="3">
        <v>45750</v>
      </c>
      <c r="E1291" t="s">
        <v>155</v>
      </c>
      <c r="F1291" t="s">
        <v>2600</v>
      </c>
      <c r="G1291" t="s">
        <v>22</v>
      </c>
      <c r="H1291" t="s">
        <v>2601</v>
      </c>
      <c r="I1291" t="s">
        <v>2602</v>
      </c>
      <c r="J1291" s="4">
        <v>46076.621622326391</v>
      </c>
    </row>
    <row r="1292" spans="1:11" x14ac:dyDescent="0.55000000000000004">
      <c r="A1292" t="s">
        <v>2603</v>
      </c>
      <c r="B1292">
        <v>101335</v>
      </c>
      <c r="C1292" t="s">
        <v>37</v>
      </c>
      <c r="D1292" s="3">
        <v>45787</v>
      </c>
      <c r="E1292" t="s">
        <v>317</v>
      </c>
      <c r="F1292" t="s">
        <v>2604</v>
      </c>
      <c r="G1292" t="s">
        <v>22</v>
      </c>
      <c r="H1292" t="s">
        <v>2605</v>
      </c>
      <c r="I1292" t="s">
        <v>2606</v>
      </c>
      <c r="J1292" s="4">
        <v>46057.806344548611</v>
      </c>
    </row>
    <row r="1293" spans="1:11" x14ac:dyDescent="0.55000000000000004">
      <c r="A1293" t="s">
        <v>2603</v>
      </c>
      <c r="B1293">
        <v>101335</v>
      </c>
      <c r="C1293" t="s">
        <v>37</v>
      </c>
      <c r="D1293" s="3">
        <v>45787</v>
      </c>
      <c r="E1293" t="s">
        <v>115</v>
      </c>
      <c r="F1293" t="s">
        <v>2604</v>
      </c>
      <c r="G1293" t="s">
        <v>22</v>
      </c>
      <c r="H1293" t="s">
        <v>2605</v>
      </c>
      <c r="I1293" t="s">
        <v>2606</v>
      </c>
      <c r="J1293" s="4">
        <v>46057.806344548611</v>
      </c>
    </row>
    <row r="1294" spans="1:11" x14ac:dyDescent="0.55000000000000004">
      <c r="A1294" t="s">
        <v>2607</v>
      </c>
      <c r="B1294">
        <v>100537</v>
      </c>
      <c r="C1294" t="s">
        <v>19</v>
      </c>
      <c r="D1294" s="3">
        <v>46025</v>
      </c>
      <c r="E1294" t="s">
        <v>20</v>
      </c>
      <c r="F1294" t="s">
        <v>2608</v>
      </c>
      <c r="G1294" t="s">
        <v>15</v>
      </c>
      <c r="H1294" t="s">
        <v>2609</v>
      </c>
      <c r="I1294" t="s">
        <v>2610</v>
      </c>
      <c r="J1294" s="4">
        <v>46092.320927881941</v>
      </c>
    </row>
    <row r="1295" spans="1:11" x14ac:dyDescent="0.55000000000000004">
      <c r="A1295" t="s">
        <v>2607</v>
      </c>
      <c r="B1295">
        <v>100537</v>
      </c>
      <c r="C1295" t="s">
        <v>19</v>
      </c>
      <c r="D1295" s="3">
        <v>46025</v>
      </c>
      <c r="E1295" t="s">
        <v>115</v>
      </c>
      <c r="F1295" t="s">
        <v>2608</v>
      </c>
      <c r="G1295" t="s">
        <v>15</v>
      </c>
      <c r="H1295" t="s">
        <v>2609</v>
      </c>
      <c r="I1295" t="s">
        <v>2610</v>
      </c>
      <c r="J1295" s="4">
        <v>46092.320927881941</v>
      </c>
    </row>
    <row r="1296" spans="1:11" x14ac:dyDescent="0.55000000000000004">
      <c r="A1296" t="s">
        <v>2607</v>
      </c>
      <c r="B1296">
        <v>100537</v>
      </c>
      <c r="C1296" t="s">
        <v>19</v>
      </c>
      <c r="D1296" s="3">
        <v>46025</v>
      </c>
      <c r="E1296" t="s">
        <v>69</v>
      </c>
      <c r="F1296" t="s">
        <v>2608</v>
      </c>
      <c r="G1296" t="s">
        <v>15</v>
      </c>
      <c r="H1296" t="s">
        <v>2609</v>
      </c>
      <c r="I1296" t="s">
        <v>2610</v>
      </c>
      <c r="J1296" s="4">
        <v>46092.320927881941</v>
      </c>
    </row>
    <row r="1297" spans="1:11" x14ac:dyDescent="0.55000000000000004">
      <c r="A1297" t="s">
        <v>6034</v>
      </c>
      <c r="B1297">
        <v>100603</v>
      </c>
      <c r="C1297" t="s">
        <v>68</v>
      </c>
      <c r="D1297" s="3">
        <v>45920</v>
      </c>
      <c r="E1297" t="s">
        <v>155</v>
      </c>
      <c r="F1297" t="s">
        <v>1128</v>
      </c>
      <c r="G1297" t="s">
        <v>15</v>
      </c>
      <c r="H1297" t="s">
        <v>2612</v>
      </c>
      <c r="I1297" t="s">
        <v>2613</v>
      </c>
      <c r="J1297" s="4">
        <v>46079.076483449076</v>
      </c>
      <c r="K1297" t="s">
        <v>119</v>
      </c>
    </row>
    <row r="1298" spans="1:11" x14ac:dyDescent="0.55000000000000004">
      <c r="A1298" t="s">
        <v>6034</v>
      </c>
      <c r="B1298">
        <v>100603</v>
      </c>
      <c r="C1298" t="s">
        <v>68</v>
      </c>
      <c r="D1298" s="3">
        <v>45920</v>
      </c>
      <c r="E1298" t="s">
        <v>69</v>
      </c>
      <c r="F1298" t="s">
        <v>1128</v>
      </c>
      <c r="G1298" t="s">
        <v>15</v>
      </c>
      <c r="H1298" t="s">
        <v>2612</v>
      </c>
      <c r="I1298" t="s">
        <v>2613</v>
      </c>
      <c r="J1298" s="4">
        <v>46079.076483449076</v>
      </c>
      <c r="K1298" t="s">
        <v>119</v>
      </c>
    </row>
    <row r="1299" spans="1:11" x14ac:dyDescent="0.55000000000000004">
      <c r="A1299" t="s">
        <v>2614</v>
      </c>
      <c r="B1299">
        <v>100900</v>
      </c>
      <c r="C1299" t="s">
        <v>533</v>
      </c>
      <c r="D1299" s="3">
        <v>45794</v>
      </c>
      <c r="E1299" t="s">
        <v>317</v>
      </c>
      <c r="F1299" t="s">
        <v>2615</v>
      </c>
      <c r="G1299" t="s">
        <v>15</v>
      </c>
      <c r="H1299" t="s">
        <v>2616</v>
      </c>
      <c r="I1299" t="s">
        <v>2617</v>
      </c>
      <c r="J1299" s="4">
        <v>46053.448705671297</v>
      </c>
    </row>
    <row r="1300" spans="1:11" x14ac:dyDescent="0.55000000000000004">
      <c r="A1300" t="s">
        <v>2614</v>
      </c>
      <c r="B1300">
        <v>100900</v>
      </c>
      <c r="C1300" t="s">
        <v>533</v>
      </c>
      <c r="D1300" s="3">
        <v>45794</v>
      </c>
      <c r="E1300" t="s">
        <v>20</v>
      </c>
      <c r="F1300" t="s">
        <v>2615</v>
      </c>
      <c r="G1300" t="s">
        <v>15</v>
      </c>
      <c r="H1300" t="s">
        <v>2616</v>
      </c>
      <c r="I1300" t="s">
        <v>2617</v>
      </c>
      <c r="J1300" s="4">
        <v>46053.448705671297</v>
      </c>
    </row>
    <row r="1301" spans="1:11" x14ac:dyDescent="0.55000000000000004">
      <c r="A1301" t="s">
        <v>2614</v>
      </c>
      <c r="B1301">
        <v>100900</v>
      </c>
      <c r="C1301" t="s">
        <v>533</v>
      </c>
      <c r="D1301" s="3">
        <v>45794</v>
      </c>
      <c r="E1301" t="s">
        <v>69</v>
      </c>
      <c r="F1301" t="s">
        <v>2615</v>
      </c>
      <c r="G1301" t="s">
        <v>15</v>
      </c>
      <c r="H1301" t="s">
        <v>2616</v>
      </c>
      <c r="I1301" t="s">
        <v>2617</v>
      </c>
      <c r="J1301" s="4">
        <v>46053.448705671297</v>
      </c>
    </row>
    <row r="1302" spans="1:11" x14ac:dyDescent="0.55000000000000004">
      <c r="A1302" t="s">
        <v>2618</v>
      </c>
      <c r="B1302">
        <v>100902</v>
      </c>
      <c r="C1302" t="s">
        <v>19</v>
      </c>
      <c r="D1302" s="3">
        <v>45761</v>
      </c>
      <c r="E1302" t="s">
        <v>38</v>
      </c>
      <c r="F1302" t="s">
        <v>2619</v>
      </c>
      <c r="G1302" t="s">
        <v>15</v>
      </c>
      <c r="H1302" t="s">
        <v>2620</v>
      </c>
      <c r="I1302" t="s">
        <v>2621</v>
      </c>
      <c r="J1302" s="4">
        <v>46066.766761226849</v>
      </c>
    </row>
    <row r="1303" spans="1:11" x14ac:dyDescent="0.55000000000000004">
      <c r="A1303" t="s">
        <v>2622</v>
      </c>
      <c r="B1303">
        <v>101081</v>
      </c>
      <c r="C1303" t="s">
        <v>19</v>
      </c>
      <c r="D1303" s="3">
        <v>46135</v>
      </c>
      <c r="E1303" t="s">
        <v>317</v>
      </c>
      <c r="F1303" t="s">
        <v>2623</v>
      </c>
      <c r="G1303" t="s">
        <v>22</v>
      </c>
      <c r="H1303" t="s">
        <v>2624</v>
      </c>
      <c r="I1303" t="s">
        <v>2625</v>
      </c>
      <c r="J1303" s="4">
        <v>46063.928566793984</v>
      </c>
    </row>
    <row r="1304" spans="1:11" x14ac:dyDescent="0.55000000000000004">
      <c r="A1304" t="s">
        <v>2622</v>
      </c>
      <c r="B1304">
        <v>101081</v>
      </c>
      <c r="C1304" t="s">
        <v>19</v>
      </c>
      <c r="D1304" s="3">
        <v>46135</v>
      </c>
      <c r="E1304" t="s">
        <v>20</v>
      </c>
      <c r="F1304" t="s">
        <v>2623</v>
      </c>
      <c r="G1304" t="s">
        <v>22</v>
      </c>
      <c r="H1304" t="s">
        <v>2624</v>
      </c>
      <c r="I1304" t="s">
        <v>2625</v>
      </c>
      <c r="J1304" s="4">
        <v>46063.928566793984</v>
      </c>
    </row>
    <row r="1305" spans="1:11" x14ac:dyDescent="0.55000000000000004">
      <c r="A1305" t="s">
        <v>2622</v>
      </c>
      <c r="B1305">
        <v>101081</v>
      </c>
      <c r="C1305" t="s">
        <v>19</v>
      </c>
      <c r="D1305" s="3">
        <v>46135</v>
      </c>
      <c r="E1305" t="s">
        <v>69</v>
      </c>
      <c r="F1305" t="s">
        <v>2623</v>
      </c>
      <c r="G1305" t="s">
        <v>22</v>
      </c>
      <c r="H1305" t="s">
        <v>2624</v>
      </c>
      <c r="I1305" t="s">
        <v>2625</v>
      </c>
      <c r="J1305" s="4">
        <v>46063.928566793984</v>
      </c>
    </row>
    <row r="1306" spans="1:11" x14ac:dyDescent="0.55000000000000004">
      <c r="A1306" t="s">
        <v>2626</v>
      </c>
      <c r="B1306">
        <v>100196</v>
      </c>
      <c r="C1306" t="s">
        <v>19</v>
      </c>
      <c r="D1306" s="3">
        <v>45913</v>
      </c>
      <c r="E1306" t="s">
        <v>38</v>
      </c>
      <c r="F1306" t="s">
        <v>2627</v>
      </c>
      <c r="G1306" t="s">
        <v>22</v>
      </c>
      <c r="H1306" t="s">
        <v>2628</v>
      </c>
      <c r="I1306" t="s">
        <v>2629</v>
      </c>
      <c r="J1306" s="4">
        <v>46063.847316793981</v>
      </c>
    </row>
    <row r="1307" spans="1:11" x14ac:dyDescent="0.55000000000000004">
      <c r="A1307" t="s">
        <v>2630</v>
      </c>
      <c r="B1307">
        <v>101123</v>
      </c>
      <c r="C1307" t="s">
        <v>19</v>
      </c>
      <c r="D1307" s="3">
        <v>45984</v>
      </c>
      <c r="E1307" t="s">
        <v>38</v>
      </c>
      <c r="F1307" t="s">
        <v>2631</v>
      </c>
      <c r="G1307" t="s">
        <v>15</v>
      </c>
      <c r="H1307" t="s">
        <v>2632</v>
      </c>
      <c r="I1307" t="s">
        <v>2633</v>
      </c>
      <c r="J1307" s="4">
        <v>46052.333427916667</v>
      </c>
    </row>
    <row r="1308" spans="1:11" x14ac:dyDescent="0.55000000000000004">
      <c r="A1308" t="s">
        <v>2634</v>
      </c>
      <c r="B1308">
        <v>101396</v>
      </c>
      <c r="C1308" t="s">
        <v>248</v>
      </c>
      <c r="D1308" s="3">
        <v>45732</v>
      </c>
      <c r="E1308" t="s">
        <v>155</v>
      </c>
      <c r="F1308" t="s">
        <v>2635</v>
      </c>
      <c r="G1308" t="s">
        <v>22</v>
      </c>
      <c r="H1308" t="s">
        <v>2636</v>
      </c>
      <c r="I1308" t="s">
        <v>2637</v>
      </c>
      <c r="J1308" s="4">
        <v>46057.578566805554</v>
      </c>
    </row>
    <row r="1309" spans="1:11" x14ac:dyDescent="0.55000000000000004">
      <c r="A1309" t="s">
        <v>2638</v>
      </c>
      <c r="B1309">
        <v>100122</v>
      </c>
      <c r="C1309" t="s">
        <v>248</v>
      </c>
      <c r="D1309" s="3">
        <v>46141</v>
      </c>
      <c r="E1309" t="s">
        <v>317</v>
      </c>
      <c r="F1309" t="s">
        <v>2639</v>
      </c>
      <c r="G1309" t="s">
        <v>22</v>
      </c>
      <c r="H1309" t="s">
        <v>2640</v>
      </c>
      <c r="I1309" t="s">
        <v>2641</v>
      </c>
      <c r="J1309" s="4">
        <v>46074.949400138888</v>
      </c>
    </row>
    <row r="1310" spans="1:11" x14ac:dyDescent="0.55000000000000004">
      <c r="A1310" t="s">
        <v>2638</v>
      </c>
      <c r="B1310">
        <v>100122</v>
      </c>
      <c r="C1310" t="s">
        <v>248</v>
      </c>
      <c r="D1310" s="3">
        <v>46141</v>
      </c>
      <c r="E1310" t="s">
        <v>155</v>
      </c>
      <c r="F1310" t="s">
        <v>2639</v>
      </c>
      <c r="G1310" t="s">
        <v>22</v>
      </c>
      <c r="H1310" t="s">
        <v>2640</v>
      </c>
      <c r="I1310" t="s">
        <v>2641</v>
      </c>
      <c r="J1310" s="4">
        <v>46074.949400138888</v>
      </c>
    </row>
    <row r="1311" spans="1:11" x14ac:dyDescent="0.55000000000000004">
      <c r="A1311" t="s">
        <v>2638</v>
      </c>
      <c r="B1311">
        <v>100122</v>
      </c>
      <c r="C1311" t="s">
        <v>248</v>
      </c>
      <c r="D1311" s="3">
        <v>46141</v>
      </c>
      <c r="E1311" t="s">
        <v>69</v>
      </c>
      <c r="F1311" t="s">
        <v>2639</v>
      </c>
      <c r="G1311" t="s">
        <v>22</v>
      </c>
      <c r="H1311" t="s">
        <v>2640</v>
      </c>
      <c r="I1311" t="s">
        <v>2641</v>
      </c>
      <c r="J1311" s="4">
        <v>46074.949400138888</v>
      </c>
    </row>
    <row r="1312" spans="1:11" x14ac:dyDescent="0.55000000000000004">
      <c r="A1312" t="s">
        <v>2642</v>
      </c>
      <c r="B1312">
        <v>101148</v>
      </c>
      <c r="C1312" t="s">
        <v>248</v>
      </c>
      <c r="D1312" s="3">
        <v>45737</v>
      </c>
      <c r="E1312" t="s">
        <v>38</v>
      </c>
      <c r="F1312" t="s">
        <v>2643</v>
      </c>
      <c r="G1312" t="s">
        <v>15</v>
      </c>
      <c r="H1312" t="s">
        <v>2644</v>
      </c>
      <c r="I1312" t="s">
        <v>2645</v>
      </c>
      <c r="J1312" s="4">
        <v>46078.319539039352</v>
      </c>
    </row>
    <row r="1313" spans="1:11" x14ac:dyDescent="0.55000000000000004">
      <c r="A1313" t="s">
        <v>2642</v>
      </c>
      <c r="B1313">
        <v>101148</v>
      </c>
      <c r="C1313" t="s">
        <v>248</v>
      </c>
      <c r="D1313" s="3">
        <v>45737</v>
      </c>
      <c r="E1313" t="s">
        <v>20</v>
      </c>
      <c r="F1313" t="s">
        <v>2643</v>
      </c>
      <c r="G1313" t="s">
        <v>15</v>
      </c>
      <c r="H1313" t="s">
        <v>2644</v>
      </c>
      <c r="I1313" t="s">
        <v>2645</v>
      </c>
      <c r="J1313" s="4">
        <v>46078.319539039352</v>
      </c>
    </row>
    <row r="1314" spans="1:11" x14ac:dyDescent="0.55000000000000004">
      <c r="A1314" t="s">
        <v>2642</v>
      </c>
      <c r="B1314">
        <v>101148</v>
      </c>
      <c r="C1314" t="s">
        <v>248</v>
      </c>
      <c r="D1314" s="3">
        <v>45737</v>
      </c>
      <c r="E1314" t="s">
        <v>115</v>
      </c>
      <c r="F1314" t="s">
        <v>2643</v>
      </c>
      <c r="G1314" t="s">
        <v>15</v>
      </c>
      <c r="H1314" t="s">
        <v>2644</v>
      </c>
      <c r="I1314" t="s">
        <v>2645</v>
      </c>
      <c r="J1314" s="4">
        <v>46078.319539039352</v>
      </c>
    </row>
    <row r="1315" spans="1:11" x14ac:dyDescent="0.55000000000000004">
      <c r="A1315" t="s">
        <v>2646</v>
      </c>
      <c r="B1315">
        <v>100197</v>
      </c>
      <c r="C1315" t="s">
        <v>19</v>
      </c>
      <c r="D1315" s="3">
        <v>46013</v>
      </c>
      <c r="E1315" t="s">
        <v>317</v>
      </c>
      <c r="F1315" t="s">
        <v>2647</v>
      </c>
      <c r="G1315" t="s">
        <v>22</v>
      </c>
      <c r="H1315" t="s">
        <v>2648</v>
      </c>
      <c r="I1315" t="s">
        <v>2649</v>
      </c>
      <c r="J1315" s="4">
        <v>46076.182733483794</v>
      </c>
    </row>
    <row r="1316" spans="1:11" x14ac:dyDescent="0.55000000000000004">
      <c r="A1316" t="s">
        <v>2646</v>
      </c>
      <c r="B1316">
        <v>100197</v>
      </c>
      <c r="C1316" t="s">
        <v>19</v>
      </c>
      <c r="D1316" s="3">
        <v>46013</v>
      </c>
      <c r="E1316" t="s">
        <v>155</v>
      </c>
      <c r="F1316" t="s">
        <v>2647</v>
      </c>
      <c r="G1316" t="s">
        <v>22</v>
      </c>
      <c r="H1316" t="s">
        <v>2648</v>
      </c>
      <c r="I1316" t="s">
        <v>2649</v>
      </c>
      <c r="J1316" s="4">
        <v>46076.182733483794</v>
      </c>
    </row>
    <row r="1317" spans="1:11" x14ac:dyDescent="0.55000000000000004">
      <c r="A1317" t="s">
        <v>2650</v>
      </c>
      <c r="B1317">
        <v>100573</v>
      </c>
      <c r="C1317" t="s">
        <v>19</v>
      </c>
      <c r="D1317" s="3">
        <v>46047</v>
      </c>
      <c r="E1317" t="s">
        <v>115</v>
      </c>
      <c r="F1317" t="s">
        <v>2651</v>
      </c>
      <c r="G1317" t="s">
        <v>15</v>
      </c>
      <c r="H1317" t="s">
        <v>2652</v>
      </c>
      <c r="I1317" t="s">
        <v>2653</v>
      </c>
      <c r="J1317" s="4">
        <v>46076.26537238426</v>
      </c>
      <c r="K1317" t="s">
        <v>139</v>
      </c>
    </row>
    <row r="1318" spans="1:11" x14ac:dyDescent="0.55000000000000004">
      <c r="A1318" t="s">
        <v>2654</v>
      </c>
      <c r="B1318">
        <v>101105</v>
      </c>
      <c r="C1318" t="s">
        <v>19</v>
      </c>
      <c r="D1318" s="3">
        <v>45974</v>
      </c>
      <c r="E1318" t="s">
        <v>317</v>
      </c>
      <c r="F1318" t="s">
        <v>2655</v>
      </c>
      <c r="G1318" t="s">
        <v>15</v>
      </c>
      <c r="H1318" t="s">
        <v>2656</v>
      </c>
      <c r="I1318" t="s">
        <v>2657</v>
      </c>
      <c r="J1318" s="4">
        <v>46067.525094606484</v>
      </c>
    </row>
    <row r="1319" spans="1:11" x14ac:dyDescent="0.55000000000000004">
      <c r="A1319" t="s">
        <v>2658</v>
      </c>
      <c r="B1319">
        <v>101334</v>
      </c>
      <c r="C1319" t="s">
        <v>179</v>
      </c>
      <c r="D1319" s="3">
        <v>46006</v>
      </c>
      <c r="E1319" t="s">
        <v>317</v>
      </c>
      <c r="F1319" t="s">
        <v>2659</v>
      </c>
      <c r="G1319" t="s">
        <v>15</v>
      </c>
      <c r="H1319" t="s">
        <v>2660</v>
      </c>
      <c r="I1319" t="s">
        <v>2661</v>
      </c>
      <c r="J1319" s="4">
        <v>46064.320233495368</v>
      </c>
    </row>
    <row r="1320" spans="1:11" x14ac:dyDescent="0.55000000000000004">
      <c r="A1320" t="s">
        <v>2658</v>
      </c>
      <c r="B1320">
        <v>101334</v>
      </c>
      <c r="C1320" t="s">
        <v>179</v>
      </c>
      <c r="D1320" s="3">
        <v>46006</v>
      </c>
      <c r="E1320" t="s">
        <v>69</v>
      </c>
      <c r="F1320" t="s">
        <v>2659</v>
      </c>
      <c r="G1320" t="s">
        <v>15</v>
      </c>
      <c r="H1320" t="s">
        <v>2660</v>
      </c>
      <c r="I1320" t="s">
        <v>2661</v>
      </c>
      <c r="J1320" s="4">
        <v>46064.320233495368</v>
      </c>
    </row>
    <row r="1321" spans="1:11" x14ac:dyDescent="0.55000000000000004">
      <c r="A1321" t="s">
        <v>2662</v>
      </c>
      <c r="B1321">
        <v>101345</v>
      </c>
      <c r="C1321" t="s">
        <v>19</v>
      </c>
      <c r="D1321" s="3">
        <v>46103</v>
      </c>
      <c r="E1321" t="s">
        <v>38</v>
      </c>
      <c r="F1321" t="s">
        <v>2663</v>
      </c>
      <c r="G1321" t="s">
        <v>15</v>
      </c>
      <c r="H1321" t="s">
        <v>2664</v>
      </c>
      <c r="I1321" t="s">
        <v>2665</v>
      </c>
      <c r="J1321" s="4">
        <v>46060.771622395834</v>
      </c>
    </row>
    <row r="1322" spans="1:11" x14ac:dyDescent="0.55000000000000004">
      <c r="A1322" t="s">
        <v>2662</v>
      </c>
      <c r="B1322">
        <v>101345</v>
      </c>
      <c r="C1322" t="s">
        <v>19</v>
      </c>
      <c r="D1322" s="3">
        <v>46103</v>
      </c>
      <c r="E1322" t="s">
        <v>20</v>
      </c>
      <c r="F1322" t="s">
        <v>2663</v>
      </c>
      <c r="G1322" t="s">
        <v>15</v>
      </c>
      <c r="H1322" t="s">
        <v>2664</v>
      </c>
      <c r="I1322" t="s">
        <v>2665</v>
      </c>
      <c r="J1322" s="4">
        <v>46060.771622395834</v>
      </c>
    </row>
    <row r="1323" spans="1:11" x14ac:dyDescent="0.55000000000000004">
      <c r="A1323" t="s">
        <v>2662</v>
      </c>
      <c r="B1323">
        <v>101345</v>
      </c>
      <c r="C1323" t="s">
        <v>19</v>
      </c>
      <c r="D1323" s="3">
        <v>46103</v>
      </c>
      <c r="E1323" t="s">
        <v>155</v>
      </c>
      <c r="F1323" t="s">
        <v>2663</v>
      </c>
      <c r="G1323" t="s">
        <v>15</v>
      </c>
      <c r="H1323" t="s">
        <v>2664</v>
      </c>
      <c r="I1323" t="s">
        <v>2665</v>
      </c>
      <c r="J1323" s="4">
        <v>46060.771622395834</v>
      </c>
    </row>
    <row r="1324" spans="1:11" x14ac:dyDescent="0.55000000000000004">
      <c r="A1324" t="s">
        <v>2666</v>
      </c>
      <c r="B1324">
        <v>100277</v>
      </c>
      <c r="C1324" t="s">
        <v>68</v>
      </c>
      <c r="D1324" s="3">
        <v>46141</v>
      </c>
      <c r="E1324" t="s">
        <v>155</v>
      </c>
      <c r="F1324" t="s">
        <v>2667</v>
      </c>
      <c r="G1324" t="s">
        <v>22</v>
      </c>
      <c r="H1324" t="s">
        <v>2668</v>
      </c>
      <c r="I1324" t="s">
        <v>2669</v>
      </c>
      <c r="J1324" s="4">
        <v>46096.263983506942</v>
      </c>
    </row>
    <row r="1325" spans="1:11" x14ac:dyDescent="0.55000000000000004">
      <c r="A1325" t="s">
        <v>2666</v>
      </c>
      <c r="B1325">
        <v>100277</v>
      </c>
      <c r="C1325" t="s">
        <v>68</v>
      </c>
      <c r="D1325" s="3">
        <v>46141</v>
      </c>
      <c r="E1325" t="s">
        <v>115</v>
      </c>
      <c r="F1325" t="s">
        <v>2667</v>
      </c>
      <c r="G1325" t="s">
        <v>22</v>
      </c>
      <c r="H1325" t="s">
        <v>2668</v>
      </c>
      <c r="I1325" t="s">
        <v>2669</v>
      </c>
      <c r="J1325" s="4">
        <v>46096.263983506942</v>
      </c>
    </row>
    <row r="1326" spans="1:11" x14ac:dyDescent="0.55000000000000004">
      <c r="A1326" t="s">
        <v>2670</v>
      </c>
      <c r="B1326">
        <v>100464</v>
      </c>
      <c r="C1326" t="s">
        <v>179</v>
      </c>
      <c r="D1326" s="3">
        <v>46052</v>
      </c>
      <c r="E1326" t="s">
        <v>38</v>
      </c>
      <c r="F1326" t="s">
        <v>2671</v>
      </c>
      <c r="G1326" t="s">
        <v>15</v>
      </c>
      <c r="H1326" t="s">
        <v>2672</v>
      </c>
      <c r="I1326" t="s">
        <v>2673</v>
      </c>
      <c r="J1326" s="4">
        <v>46059.579955729168</v>
      </c>
    </row>
    <row r="1327" spans="1:11" x14ac:dyDescent="0.55000000000000004">
      <c r="A1327" t="s">
        <v>2670</v>
      </c>
      <c r="B1327">
        <v>100464</v>
      </c>
      <c r="C1327" t="s">
        <v>179</v>
      </c>
      <c r="D1327" s="3">
        <v>46052</v>
      </c>
      <c r="E1327" t="s">
        <v>115</v>
      </c>
      <c r="F1327" t="s">
        <v>2671</v>
      </c>
      <c r="G1327" t="s">
        <v>15</v>
      </c>
      <c r="H1327" t="s">
        <v>2672</v>
      </c>
      <c r="I1327" t="s">
        <v>2673</v>
      </c>
      <c r="J1327" s="4">
        <v>46059.579955729168</v>
      </c>
    </row>
    <row r="1328" spans="1:11" x14ac:dyDescent="0.55000000000000004">
      <c r="A1328" t="s">
        <v>2670</v>
      </c>
      <c r="B1328">
        <v>100464</v>
      </c>
      <c r="C1328" t="s">
        <v>179</v>
      </c>
      <c r="D1328" s="3">
        <v>46052</v>
      </c>
      <c r="E1328" t="s">
        <v>69</v>
      </c>
      <c r="F1328" t="s">
        <v>2671</v>
      </c>
      <c r="G1328" t="s">
        <v>15</v>
      </c>
      <c r="H1328" t="s">
        <v>2672</v>
      </c>
      <c r="I1328" t="s">
        <v>2673</v>
      </c>
      <c r="J1328" s="4">
        <v>46059.579955729168</v>
      </c>
    </row>
    <row r="1329" spans="1:10" x14ac:dyDescent="0.55000000000000004">
      <c r="A1329" t="s">
        <v>2674</v>
      </c>
      <c r="B1329">
        <v>101017</v>
      </c>
      <c r="C1329" t="s">
        <v>68</v>
      </c>
      <c r="D1329" s="3">
        <v>46093</v>
      </c>
      <c r="E1329" t="s">
        <v>317</v>
      </c>
      <c r="F1329" t="s">
        <v>2675</v>
      </c>
      <c r="G1329" t="s">
        <v>22</v>
      </c>
      <c r="H1329" t="s">
        <v>2676</v>
      </c>
      <c r="I1329" t="s">
        <v>2677</v>
      </c>
      <c r="J1329" s="4">
        <v>46071.623011296295</v>
      </c>
    </row>
    <row r="1330" spans="1:10" x14ac:dyDescent="0.55000000000000004">
      <c r="A1330" t="s">
        <v>2674</v>
      </c>
      <c r="B1330">
        <v>101017</v>
      </c>
      <c r="C1330" t="s">
        <v>68</v>
      </c>
      <c r="D1330" s="3">
        <v>46093</v>
      </c>
      <c r="E1330" t="s">
        <v>155</v>
      </c>
      <c r="F1330" t="s">
        <v>2675</v>
      </c>
      <c r="G1330" t="s">
        <v>22</v>
      </c>
      <c r="H1330" t="s">
        <v>2676</v>
      </c>
      <c r="I1330" t="s">
        <v>2677</v>
      </c>
      <c r="J1330" s="4">
        <v>46071.623011296295</v>
      </c>
    </row>
    <row r="1331" spans="1:10" x14ac:dyDescent="0.55000000000000004">
      <c r="A1331" t="s">
        <v>2678</v>
      </c>
      <c r="B1331">
        <v>100871</v>
      </c>
      <c r="C1331" t="s">
        <v>19</v>
      </c>
      <c r="D1331" s="3">
        <v>45853</v>
      </c>
      <c r="E1331" t="s">
        <v>20</v>
      </c>
      <c r="F1331" t="s">
        <v>2679</v>
      </c>
      <c r="G1331" t="s">
        <v>15</v>
      </c>
      <c r="H1331" t="s">
        <v>2680</v>
      </c>
      <c r="I1331" t="s">
        <v>2681</v>
      </c>
      <c r="J1331" s="4">
        <v>46064.316066851854</v>
      </c>
    </row>
    <row r="1332" spans="1:10" x14ac:dyDescent="0.55000000000000004">
      <c r="A1332" t="s">
        <v>2678</v>
      </c>
      <c r="B1332">
        <v>100871</v>
      </c>
      <c r="C1332" t="s">
        <v>19</v>
      </c>
      <c r="D1332" s="3">
        <v>45853</v>
      </c>
      <c r="E1332" t="s">
        <v>69</v>
      </c>
      <c r="F1332" t="s">
        <v>2679</v>
      </c>
      <c r="G1332" t="s">
        <v>15</v>
      </c>
      <c r="H1332" t="s">
        <v>2680</v>
      </c>
      <c r="I1332" t="s">
        <v>2681</v>
      </c>
      <c r="J1332" s="4">
        <v>46064.316066851854</v>
      </c>
    </row>
    <row r="1333" spans="1:10" x14ac:dyDescent="0.55000000000000004">
      <c r="A1333" t="s">
        <v>2682</v>
      </c>
      <c r="B1333">
        <v>101496</v>
      </c>
      <c r="C1333" t="s">
        <v>533</v>
      </c>
      <c r="D1333" s="3">
        <v>45789</v>
      </c>
      <c r="E1333" t="s">
        <v>155</v>
      </c>
      <c r="F1333" t="s">
        <v>2683</v>
      </c>
      <c r="G1333" t="s">
        <v>15</v>
      </c>
      <c r="H1333" t="s">
        <v>2684</v>
      </c>
      <c r="I1333" t="s">
        <v>2685</v>
      </c>
      <c r="J1333" s="4">
        <v>46069.026483530091</v>
      </c>
    </row>
    <row r="1334" spans="1:10" x14ac:dyDescent="0.55000000000000004">
      <c r="A1334" t="s">
        <v>2682</v>
      </c>
      <c r="B1334">
        <v>101496</v>
      </c>
      <c r="C1334" t="s">
        <v>533</v>
      </c>
      <c r="D1334" s="3">
        <v>45789</v>
      </c>
      <c r="E1334" t="s">
        <v>115</v>
      </c>
      <c r="F1334" t="s">
        <v>2683</v>
      </c>
      <c r="G1334" t="s">
        <v>15</v>
      </c>
      <c r="H1334" t="s">
        <v>2684</v>
      </c>
      <c r="I1334" t="s">
        <v>2685</v>
      </c>
      <c r="J1334" s="4">
        <v>46069.026483530091</v>
      </c>
    </row>
    <row r="1335" spans="1:10" x14ac:dyDescent="0.55000000000000004">
      <c r="A1335" t="s">
        <v>2686</v>
      </c>
      <c r="B1335">
        <v>100943</v>
      </c>
      <c r="C1335" t="s">
        <v>37</v>
      </c>
      <c r="D1335" s="3">
        <v>46141</v>
      </c>
      <c r="E1335" t="s">
        <v>38</v>
      </c>
      <c r="F1335" t="s">
        <v>2687</v>
      </c>
      <c r="G1335" t="s">
        <v>15</v>
      </c>
      <c r="H1335" t="s">
        <v>2688</v>
      </c>
      <c r="I1335" t="s">
        <v>2689</v>
      </c>
      <c r="J1335" s="4">
        <v>46076.058427974538</v>
      </c>
    </row>
    <row r="1336" spans="1:10" x14ac:dyDescent="0.55000000000000004">
      <c r="A1336" t="s">
        <v>2686</v>
      </c>
      <c r="B1336">
        <v>100943</v>
      </c>
      <c r="C1336" t="s">
        <v>37</v>
      </c>
      <c r="D1336" s="3">
        <v>46141</v>
      </c>
      <c r="E1336" t="s">
        <v>115</v>
      </c>
      <c r="F1336" t="s">
        <v>2687</v>
      </c>
      <c r="G1336" t="s">
        <v>15</v>
      </c>
      <c r="H1336" t="s">
        <v>2688</v>
      </c>
      <c r="I1336" t="s">
        <v>2689</v>
      </c>
      <c r="J1336" s="4">
        <v>46076.058427974538</v>
      </c>
    </row>
    <row r="1337" spans="1:10" x14ac:dyDescent="0.55000000000000004">
      <c r="A1337" t="s">
        <v>2690</v>
      </c>
      <c r="B1337">
        <v>100352</v>
      </c>
      <c r="C1337" t="s">
        <v>19</v>
      </c>
      <c r="D1337" s="3">
        <v>45890</v>
      </c>
      <c r="E1337" t="s">
        <v>155</v>
      </c>
      <c r="F1337" t="s">
        <v>2691</v>
      </c>
      <c r="G1337" t="s">
        <v>15</v>
      </c>
      <c r="H1337" t="s">
        <v>2692</v>
      </c>
      <c r="I1337" t="s">
        <v>2693</v>
      </c>
      <c r="J1337" s="4">
        <v>46084.694539097225</v>
      </c>
    </row>
    <row r="1338" spans="1:10" x14ac:dyDescent="0.55000000000000004">
      <c r="A1338" t="s">
        <v>2690</v>
      </c>
      <c r="B1338">
        <v>100352</v>
      </c>
      <c r="C1338" t="s">
        <v>19</v>
      </c>
      <c r="D1338" s="3">
        <v>45890</v>
      </c>
      <c r="E1338" t="s">
        <v>115</v>
      </c>
      <c r="F1338" t="s">
        <v>2691</v>
      </c>
      <c r="G1338" t="s">
        <v>15</v>
      </c>
      <c r="H1338" t="s">
        <v>2692</v>
      </c>
      <c r="I1338" t="s">
        <v>2693</v>
      </c>
      <c r="J1338" s="4">
        <v>46084.694539097225</v>
      </c>
    </row>
    <row r="1339" spans="1:10" x14ac:dyDescent="0.55000000000000004">
      <c r="A1339" t="s">
        <v>2694</v>
      </c>
      <c r="B1339">
        <v>100926</v>
      </c>
      <c r="C1339" t="s">
        <v>179</v>
      </c>
      <c r="D1339" s="3">
        <v>45930</v>
      </c>
      <c r="E1339" t="s">
        <v>317</v>
      </c>
      <c r="F1339" t="s">
        <v>2695</v>
      </c>
      <c r="G1339" t="s">
        <v>22</v>
      </c>
      <c r="H1339" t="s">
        <v>2696</v>
      </c>
      <c r="I1339" t="s">
        <v>2697</v>
      </c>
      <c r="J1339" s="4">
        <v>46094.768844652775</v>
      </c>
    </row>
    <row r="1340" spans="1:10" x14ac:dyDescent="0.55000000000000004">
      <c r="A1340" t="s">
        <v>2694</v>
      </c>
      <c r="B1340">
        <v>100926</v>
      </c>
      <c r="C1340" t="s">
        <v>179</v>
      </c>
      <c r="D1340" s="3">
        <v>45930</v>
      </c>
      <c r="E1340" t="s">
        <v>38</v>
      </c>
      <c r="F1340" t="s">
        <v>2695</v>
      </c>
      <c r="G1340" t="s">
        <v>22</v>
      </c>
      <c r="H1340" t="s">
        <v>2696</v>
      </c>
      <c r="I1340" t="s">
        <v>2697</v>
      </c>
      <c r="J1340" s="4">
        <v>46094.768844652775</v>
      </c>
    </row>
    <row r="1341" spans="1:10" x14ac:dyDescent="0.55000000000000004">
      <c r="A1341" t="s">
        <v>2694</v>
      </c>
      <c r="B1341">
        <v>100926</v>
      </c>
      <c r="C1341" t="s">
        <v>179</v>
      </c>
      <c r="D1341" s="3">
        <v>45930</v>
      </c>
      <c r="E1341" t="s">
        <v>155</v>
      </c>
      <c r="F1341" t="s">
        <v>2695</v>
      </c>
      <c r="G1341" t="s">
        <v>22</v>
      </c>
      <c r="H1341" t="s">
        <v>2696</v>
      </c>
      <c r="I1341" t="s">
        <v>2697</v>
      </c>
      <c r="J1341" s="4">
        <v>46094.768844652775</v>
      </c>
    </row>
    <row r="1342" spans="1:10" x14ac:dyDescent="0.55000000000000004">
      <c r="A1342" t="s">
        <v>2698</v>
      </c>
      <c r="B1342">
        <v>101121</v>
      </c>
      <c r="C1342" t="s">
        <v>19</v>
      </c>
      <c r="D1342" s="3">
        <v>45776</v>
      </c>
      <c r="E1342" t="s">
        <v>155</v>
      </c>
      <c r="F1342" t="s">
        <v>2699</v>
      </c>
      <c r="G1342" t="s">
        <v>15</v>
      </c>
      <c r="H1342" t="s">
        <v>2700</v>
      </c>
      <c r="I1342" t="s">
        <v>2701</v>
      </c>
      <c r="J1342" s="4">
        <v>46063.80912244213</v>
      </c>
    </row>
    <row r="1343" spans="1:10" x14ac:dyDescent="0.55000000000000004">
      <c r="A1343" t="s">
        <v>2698</v>
      </c>
      <c r="B1343">
        <v>101121</v>
      </c>
      <c r="C1343" t="s">
        <v>19</v>
      </c>
      <c r="D1343" s="3">
        <v>45776</v>
      </c>
      <c r="E1343" t="s">
        <v>69</v>
      </c>
      <c r="F1343" t="s">
        <v>2699</v>
      </c>
      <c r="G1343" t="s">
        <v>15</v>
      </c>
      <c r="H1343" t="s">
        <v>2700</v>
      </c>
      <c r="I1343" t="s">
        <v>2701</v>
      </c>
      <c r="J1343" s="4">
        <v>46063.80912244213</v>
      </c>
    </row>
    <row r="1344" spans="1:10" x14ac:dyDescent="0.55000000000000004">
      <c r="A1344" t="s">
        <v>2702</v>
      </c>
      <c r="B1344">
        <v>101024</v>
      </c>
      <c r="C1344" t="s">
        <v>68</v>
      </c>
      <c r="D1344" s="3">
        <v>45743</v>
      </c>
      <c r="E1344" t="s">
        <v>317</v>
      </c>
      <c r="F1344" t="s">
        <v>2703</v>
      </c>
      <c r="G1344" t="s">
        <v>15</v>
      </c>
      <c r="H1344" t="s">
        <v>2704</v>
      </c>
      <c r="I1344" t="s">
        <v>2705</v>
      </c>
      <c r="J1344" s="4">
        <v>46085.338983553243</v>
      </c>
    </row>
    <row r="1345" spans="1:10" x14ac:dyDescent="0.55000000000000004">
      <c r="A1345" t="s">
        <v>2702</v>
      </c>
      <c r="B1345">
        <v>101024</v>
      </c>
      <c r="C1345" t="s">
        <v>68</v>
      </c>
      <c r="D1345" s="3">
        <v>45743</v>
      </c>
      <c r="E1345" t="s">
        <v>20</v>
      </c>
      <c r="F1345" t="s">
        <v>2703</v>
      </c>
      <c r="G1345" t="s">
        <v>15</v>
      </c>
      <c r="H1345" t="s">
        <v>2704</v>
      </c>
      <c r="I1345" t="s">
        <v>2705</v>
      </c>
      <c r="J1345" s="4">
        <v>46085.338983553243</v>
      </c>
    </row>
    <row r="1346" spans="1:10" x14ac:dyDescent="0.55000000000000004">
      <c r="A1346" t="s">
        <v>2702</v>
      </c>
      <c r="B1346">
        <v>101024</v>
      </c>
      <c r="C1346" t="s">
        <v>68</v>
      </c>
      <c r="D1346" s="3">
        <v>45743</v>
      </c>
      <c r="E1346" t="s">
        <v>115</v>
      </c>
      <c r="F1346" t="s">
        <v>2703</v>
      </c>
      <c r="G1346" t="s">
        <v>15</v>
      </c>
      <c r="H1346" t="s">
        <v>2704</v>
      </c>
      <c r="I1346" t="s">
        <v>2705</v>
      </c>
      <c r="J1346" s="4">
        <v>46085.338983553243</v>
      </c>
    </row>
    <row r="1347" spans="1:10" x14ac:dyDescent="0.55000000000000004">
      <c r="A1347" t="s">
        <v>2706</v>
      </c>
      <c r="B1347">
        <v>100949</v>
      </c>
      <c r="C1347" t="s">
        <v>248</v>
      </c>
      <c r="D1347" s="3">
        <v>46004</v>
      </c>
      <c r="E1347" t="s">
        <v>155</v>
      </c>
      <c r="F1347" t="s">
        <v>2707</v>
      </c>
      <c r="G1347" t="s">
        <v>22</v>
      </c>
      <c r="H1347" t="s">
        <v>2708</v>
      </c>
      <c r="I1347" t="s">
        <v>2709</v>
      </c>
      <c r="J1347" s="4">
        <v>46088.522316898147</v>
      </c>
    </row>
    <row r="1348" spans="1:10" x14ac:dyDescent="0.55000000000000004">
      <c r="A1348" t="s">
        <v>2706</v>
      </c>
      <c r="B1348">
        <v>100949</v>
      </c>
      <c r="C1348" t="s">
        <v>248</v>
      </c>
      <c r="D1348" s="3">
        <v>46004</v>
      </c>
      <c r="E1348" t="s">
        <v>69</v>
      </c>
      <c r="F1348" t="s">
        <v>2707</v>
      </c>
      <c r="G1348" t="s">
        <v>22</v>
      </c>
      <c r="H1348" t="s">
        <v>2708</v>
      </c>
      <c r="I1348" t="s">
        <v>2709</v>
      </c>
      <c r="J1348" s="4">
        <v>46088.522316898147</v>
      </c>
    </row>
    <row r="1349" spans="1:10" x14ac:dyDescent="0.55000000000000004">
      <c r="A1349" t="s">
        <v>2710</v>
      </c>
      <c r="B1349">
        <v>100595</v>
      </c>
      <c r="C1349" t="s">
        <v>248</v>
      </c>
      <c r="D1349" s="3">
        <v>45790</v>
      </c>
      <c r="E1349" t="s">
        <v>38</v>
      </c>
      <c r="F1349" t="s">
        <v>2711</v>
      </c>
      <c r="G1349" t="s">
        <v>15</v>
      </c>
      <c r="H1349" t="s">
        <v>2712</v>
      </c>
      <c r="I1349" t="s">
        <v>2713</v>
      </c>
      <c r="J1349" s="4">
        <v>46083.974400231484</v>
      </c>
    </row>
    <row r="1350" spans="1:10" x14ac:dyDescent="0.55000000000000004">
      <c r="A1350" t="s">
        <v>287</v>
      </c>
      <c r="B1350">
        <v>101475</v>
      </c>
      <c r="C1350" t="s">
        <v>68</v>
      </c>
      <c r="D1350" s="3">
        <v>46013</v>
      </c>
      <c r="E1350" t="s">
        <v>20</v>
      </c>
      <c r="F1350" t="s">
        <v>2714</v>
      </c>
      <c r="G1350" t="s">
        <v>22</v>
      </c>
      <c r="H1350" t="s">
        <v>2715</v>
      </c>
      <c r="I1350" t="s">
        <v>2716</v>
      </c>
      <c r="J1350" s="4">
        <v>46061.398011354169</v>
      </c>
    </row>
    <row r="1351" spans="1:10" x14ac:dyDescent="0.55000000000000004">
      <c r="A1351" t="s">
        <v>287</v>
      </c>
      <c r="B1351">
        <v>101475</v>
      </c>
      <c r="C1351" t="s">
        <v>68</v>
      </c>
      <c r="D1351" s="3">
        <v>46013</v>
      </c>
      <c r="E1351" t="s">
        <v>115</v>
      </c>
      <c r="F1351" t="s">
        <v>2714</v>
      </c>
      <c r="G1351" t="s">
        <v>22</v>
      </c>
      <c r="H1351" t="s">
        <v>2715</v>
      </c>
      <c r="I1351" t="s">
        <v>2716</v>
      </c>
      <c r="J1351" s="4">
        <v>46061.398011354169</v>
      </c>
    </row>
    <row r="1352" spans="1:10" x14ac:dyDescent="0.55000000000000004">
      <c r="A1352" t="s">
        <v>2717</v>
      </c>
      <c r="B1352">
        <v>101444</v>
      </c>
      <c r="C1352" t="s">
        <v>533</v>
      </c>
      <c r="D1352" s="3">
        <v>45768</v>
      </c>
      <c r="E1352" t="s">
        <v>38</v>
      </c>
      <c r="F1352" t="s">
        <v>2718</v>
      </c>
      <c r="G1352" t="s">
        <v>22</v>
      </c>
      <c r="H1352" t="s">
        <v>2719</v>
      </c>
      <c r="I1352" t="s">
        <v>2720</v>
      </c>
      <c r="J1352" s="4">
        <v>46094.561205798615</v>
      </c>
    </row>
    <row r="1353" spans="1:10" x14ac:dyDescent="0.55000000000000004">
      <c r="A1353" t="s">
        <v>2717</v>
      </c>
      <c r="B1353">
        <v>101444</v>
      </c>
      <c r="C1353" t="s">
        <v>533</v>
      </c>
      <c r="D1353" s="3">
        <v>45768</v>
      </c>
      <c r="E1353" t="s">
        <v>20</v>
      </c>
      <c r="F1353" t="s">
        <v>2718</v>
      </c>
      <c r="G1353" t="s">
        <v>22</v>
      </c>
      <c r="H1353" t="s">
        <v>2719</v>
      </c>
      <c r="I1353" t="s">
        <v>2720</v>
      </c>
      <c r="J1353" s="4">
        <v>46094.561205798615</v>
      </c>
    </row>
    <row r="1354" spans="1:10" x14ac:dyDescent="0.55000000000000004">
      <c r="A1354" t="s">
        <v>2721</v>
      </c>
      <c r="B1354">
        <v>100830</v>
      </c>
      <c r="C1354" t="s">
        <v>37</v>
      </c>
      <c r="D1354" s="3">
        <v>45973</v>
      </c>
      <c r="E1354" t="s">
        <v>317</v>
      </c>
      <c r="F1354" t="s">
        <v>2722</v>
      </c>
      <c r="G1354" t="s">
        <v>15</v>
      </c>
      <c r="H1354" t="s">
        <v>2723</v>
      </c>
      <c r="I1354" t="s">
        <v>2724</v>
      </c>
      <c r="J1354" s="4">
        <v>46092.139678032407</v>
      </c>
    </row>
    <row r="1355" spans="1:10" x14ac:dyDescent="0.55000000000000004">
      <c r="A1355" t="s">
        <v>2721</v>
      </c>
      <c r="B1355">
        <v>100830</v>
      </c>
      <c r="C1355" t="s">
        <v>37</v>
      </c>
      <c r="D1355" s="3">
        <v>45973</v>
      </c>
      <c r="E1355" t="s">
        <v>155</v>
      </c>
      <c r="F1355" t="s">
        <v>2722</v>
      </c>
      <c r="G1355" t="s">
        <v>15</v>
      </c>
      <c r="H1355" t="s">
        <v>2723</v>
      </c>
      <c r="I1355" t="s">
        <v>2724</v>
      </c>
      <c r="J1355" s="4">
        <v>46092.139678032407</v>
      </c>
    </row>
    <row r="1356" spans="1:10" x14ac:dyDescent="0.55000000000000004">
      <c r="A1356" t="s">
        <v>2721</v>
      </c>
      <c r="B1356">
        <v>100830</v>
      </c>
      <c r="C1356" t="s">
        <v>37</v>
      </c>
      <c r="D1356" s="3">
        <v>45973</v>
      </c>
      <c r="E1356" t="s">
        <v>69</v>
      </c>
      <c r="F1356" t="s">
        <v>2722</v>
      </c>
      <c r="G1356" t="s">
        <v>15</v>
      </c>
      <c r="H1356" t="s">
        <v>2723</v>
      </c>
      <c r="I1356" t="s">
        <v>2724</v>
      </c>
      <c r="J1356" s="4">
        <v>46092.139678032407</v>
      </c>
    </row>
    <row r="1357" spans="1:10" x14ac:dyDescent="0.55000000000000004">
      <c r="A1357" t="s">
        <v>2725</v>
      </c>
      <c r="B1357">
        <v>100226</v>
      </c>
      <c r="C1357" t="s">
        <v>179</v>
      </c>
      <c r="D1357" s="3">
        <v>45823</v>
      </c>
      <c r="E1357" t="s">
        <v>317</v>
      </c>
      <c r="F1357" t="s">
        <v>2726</v>
      </c>
      <c r="G1357" t="s">
        <v>22</v>
      </c>
      <c r="H1357" t="s">
        <v>2727</v>
      </c>
      <c r="I1357" t="s">
        <v>2728</v>
      </c>
      <c r="J1357" s="4">
        <v>46078.273705810185</v>
      </c>
    </row>
    <row r="1358" spans="1:10" x14ac:dyDescent="0.55000000000000004">
      <c r="A1358" t="s">
        <v>2725</v>
      </c>
      <c r="B1358">
        <v>100226</v>
      </c>
      <c r="C1358" t="s">
        <v>179</v>
      </c>
      <c r="D1358" s="3">
        <v>45823</v>
      </c>
      <c r="E1358" t="s">
        <v>38</v>
      </c>
      <c r="F1358" t="s">
        <v>2726</v>
      </c>
      <c r="G1358" t="s">
        <v>22</v>
      </c>
      <c r="H1358" t="s">
        <v>2727</v>
      </c>
      <c r="I1358" t="s">
        <v>2728</v>
      </c>
      <c r="J1358" s="4">
        <v>46078.273705810185</v>
      </c>
    </row>
    <row r="1359" spans="1:10" x14ac:dyDescent="0.55000000000000004">
      <c r="A1359" t="s">
        <v>2725</v>
      </c>
      <c r="B1359">
        <v>100226</v>
      </c>
      <c r="C1359" t="s">
        <v>179</v>
      </c>
      <c r="D1359" s="3">
        <v>45823</v>
      </c>
      <c r="E1359" t="s">
        <v>69</v>
      </c>
      <c r="F1359" t="s">
        <v>2726</v>
      </c>
      <c r="G1359" t="s">
        <v>22</v>
      </c>
      <c r="H1359" t="s">
        <v>2727</v>
      </c>
      <c r="I1359" t="s">
        <v>2728</v>
      </c>
      <c r="J1359" s="4">
        <v>46078.273705810185</v>
      </c>
    </row>
    <row r="1360" spans="1:10" x14ac:dyDescent="0.55000000000000004">
      <c r="A1360" t="s">
        <v>2729</v>
      </c>
      <c r="B1360">
        <v>100301</v>
      </c>
      <c r="C1360" t="s">
        <v>248</v>
      </c>
      <c r="D1360" s="3">
        <v>46097</v>
      </c>
      <c r="E1360" t="s">
        <v>38</v>
      </c>
      <c r="F1360" t="s">
        <v>2730</v>
      </c>
      <c r="G1360" t="s">
        <v>15</v>
      </c>
      <c r="H1360" t="s">
        <v>2731</v>
      </c>
      <c r="I1360" t="s">
        <v>2732</v>
      </c>
      <c r="J1360" s="4">
        <v>46091.752872476849</v>
      </c>
    </row>
    <row r="1361" spans="1:10" x14ac:dyDescent="0.55000000000000004">
      <c r="A1361" t="s">
        <v>2729</v>
      </c>
      <c r="B1361">
        <v>100301</v>
      </c>
      <c r="C1361" t="s">
        <v>248</v>
      </c>
      <c r="D1361" s="3">
        <v>46097</v>
      </c>
      <c r="E1361" t="s">
        <v>155</v>
      </c>
      <c r="F1361" t="s">
        <v>2730</v>
      </c>
      <c r="G1361" t="s">
        <v>15</v>
      </c>
      <c r="H1361" t="s">
        <v>2731</v>
      </c>
      <c r="I1361" t="s">
        <v>2732</v>
      </c>
      <c r="J1361" s="4">
        <v>46091.752872476849</v>
      </c>
    </row>
    <row r="1362" spans="1:10" x14ac:dyDescent="0.55000000000000004">
      <c r="A1362" t="s">
        <v>2729</v>
      </c>
      <c r="B1362">
        <v>100301</v>
      </c>
      <c r="C1362" t="s">
        <v>248</v>
      </c>
      <c r="D1362" s="3">
        <v>46097</v>
      </c>
      <c r="E1362" t="s">
        <v>69</v>
      </c>
      <c r="F1362" t="s">
        <v>2730</v>
      </c>
      <c r="G1362" t="s">
        <v>15</v>
      </c>
      <c r="H1362" t="s">
        <v>2731</v>
      </c>
      <c r="I1362" t="s">
        <v>2732</v>
      </c>
      <c r="J1362" s="4">
        <v>46091.752872476849</v>
      </c>
    </row>
    <row r="1363" spans="1:10" x14ac:dyDescent="0.55000000000000004">
      <c r="A1363" t="s">
        <v>2733</v>
      </c>
      <c r="B1363">
        <v>101362</v>
      </c>
      <c r="C1363" t="s">
        <v>179</v>
      </c>
      <c r="D1363" s="3">
        <v>45781</v>
      </c>
      <c r="E1363" t="s">
        <v>20</v>
      </c>
      <c r="F1363" t="s">
        <v>2734</v>
      </c>
      <c r="G1363" t="s">
        <v>22</v>
      </c>
      <c r="H1363" t="s">
        <v>2735</v>
      </c>
      <c r="I1363" t="s">
        <v>2736</v>
      </c>
      <c r="J1363" s="4">
        <v>46083.427872488428</v>
      </c>
    </row>
    <row r="1364" spans="1:10" x14ac:dyDescent="0.55000000000000004">
      <c r="A1364" t="s">
        <v>2733</v>
      </c>
      <c r="B1364">
        <v>101362</v>
      </c>
      <c r="C1364" t="s">
        <v>179</v>
      </c>
      <c r="D1364" s="3">
        <v>45781</v>
      </c>
      <c r="E1364" t="s">
        <v>69</v>
      </c>
      <c r="F1364" t="s">
        <v>2734</v>
      </c>
      <c r="G1364" t="s">
        <v>22</v>
      </c>
      <c r="H1364" t="s">
        <v>2735</v>
      </c>
      <c r="I1364" t="s">
        <v>2736</v>
      </c>
      <c r="J1364" s="4">
        <v>46083.427872488428</v>
      </c>
    </row>
    <row r="1365" spans="1:10" x14ac:dyDescent="0.55000000000000004">
      <c r="A1365" t="s">
        <v>2737</v>
      </c>
      <c r="B1365">
        <v>100017</v>
      </c>
      <c r="C1365" t="s">
        <v>533</v>
      </c>
      <c r="D1365" s="3">
        <v>46047</v>
      </c>
      <c r="E1365" t="s">
        <v>20</v>
      </c>
      <c r="F1365" t="s">
        <v>2738</v>
      </c>
      <c r="G1365" t="s">
        <v>15</v>
      </c>
      <c r="H1365" t="s">
        <v>2739</v>
      </c>
      <c r="I1365" t="s">
        <v>2740</v>
      </c>
      <c r="J1365" s="4">
        <v>46052.800094710648</v>
      </c>
    </row>
    <row r="1366" spans="1:10" x14ac:dyDescent="0.55000000000000004">
      <c r="A1366" t="s">
        <v>2737</v>
      </c>
      <c r="B1366">
        <v>100017</v>
      </c>
      <c r="C1366" t="s">
        <v>533</v>
      </c>
      <c r="D1366" s="3">
        <v>46047</v>
      </c>
      <c r="E1366" t="s">
        <v>69</v>
      </c>
      <c r="F1366" t="s">
        <v>2738</v>
      </c>
      <c r="G1366" t="s">
        <v>15</v>
      </c>
      <c r="H1366" t="s">
        <v>2739</v>
      </c>
      <c r="I1366" t="s">
        <v>2740</v>
      </c>
      <c r="J1366" s="4">
        <v>46052.800094710648</v>
      </c>
    </row>
    <row r="1367" spans="1:10" x14ac:dyDescent="0.55000000000000004">
      <c r="A1367" t="s">
        <v>2741</v>
      </c>
      <c r="B1367">
        <v>100458</v>
      </c>
      <c r="C1367" t="s">
        <v>68</v>
      </c>
      <c r="D1367" s="3">
        <v>46135</v>
      </c>
      <c r="E1367" t="s">
        <v>317</v>
      </c>
      <c r="F1367" t="s">
        <v>2742</v>
      </c>
      <c r="G1367" t="s">
        <v>15</v>
      </c>
      <c r="H1367" t="s">
        <v>2743</v>
      </c>
      <c r="I1367" t="s">
        <v>2744</v>
      </c>
      <c r="J1367" s="4">
        <v>46093.070233611114</v>
      </c>
    </row>
    <row r="1368" spans="1:10" x14ac:dyDescent="0.55000000000000004">
      <c r="A1368" t="s">
        <v>2741</v>
      </c>
      <c r="B1368">
        <v>100458</v>
      </c>
      <c r="C1368" t="s">
        <v>68</v>
      </c>
      <c r="D1368" s="3">
        <v>46135</v>
      </c>
      <c r="E1368" t="s">
        <v>69</v>
      </c>
      <c r="F1368" t="s">
        <v>2742</v>
      </c>
      <c r="G1368" t="s">
        <v>15</v>
      </c>
      <c r="H1368" t="s">
        <v>2743</v>
      </c>
      <c r="I1368" t="s">
        <v>2744</v>
      </c>
      <c r="J1368" s="4">
        <v>46093.070233611114</v>
      </c>
    </row>
    <row r="1369" spans="1:10" x14ac:dyDescent="0.55000000000000004">
      <c r="A1369" t="s">
        <v>2745</v>
      </c>
      <c r="B1369">
        <v>100502</v>
      </c>
      <c r="C1369" t="s">
        <v>533</v>
      </c>
      <c r="D1369" s="3">
        <v>45911</v>
      </c>
      <c r="E1369" t="s">
        <v>115</v>
      </c>
      <c r="F1369" t="s">
        <v>2746</v>
      </c>
      <c r="G1369" t="s">
        <v>22</v>
      </c>
      <c r="H1369" t="s">
        <v>2747</v>
      </c>
      <c r="I1369" t="s">
        <v>2748</v>
      </c>
      <c r="J1369" s="4">
        <v>46074.886900277779</v>
      </c>
    </row>
    <row r="1370" spans="1:10" x14ac:dyDescent="0.55000000000000004">
      <c r="A1370" t="s">
        <v>2745</v>
      </c>
      <c r="B1370">
        <v>100502</v>
      </c>
      <c r="C1370" t="s">
        <v>533</v>
      </c>
      <c r="D1370" s="3">
        <v>45911</v>
      </c>
      <c r="E1370" t="s">
        <v>69</v>
      </c>
      <c r="F1370" t="s">
        <v>2746</v>
      </c>
      <c r="G1370" t="s">
        <v>22</v>
      </c>
      <c r="H1370" t="s">
        <v>2747</v>
      </c>
      <c r="I1370" t="s">
        <v>2748</v>
      </c>
      <c r="J1370" s="4">
        <v>46074.886900277779</v>
      </c>
    </row>
    <row r="1371" spans="1:10" x14ac:dyDescent="0.55000000000000004">
      <c r="A1371" t="s">
        <v>2749</v>
      </c>
      <c r="B1371">
        <v>100661</v>
      </c>
      <c r="C1371" t="s">
        <v>19</v>
      </c>
      <c r="D1371" s="3">
        <v>45797</v>
      </c>
      <c r="E1371" t="s">
        <v>317</v>
      </c>
      <c r="F1371" t="s">
        <v>2750</v>
      </c>
      <c r="G1371" t="s">
        <v>22</v>
      </c>
      <c r="H1371" t="s">
        <v>2751</v>
      </c>
      <c r="I1371" t="s">
        <v>2752</v>
      </c>
      <c r="J1371" s="4">
        <v>46061.822316956015</v>
      </c>
    </row>
    <row r="1372" spans="1:10" x14ac:dyDescent="0.55000000000000004">
      <c r="A1372" t="s">
        <v>2749</v>
      </c>
      <c r="B1372">
        <v>100661</v>
      </c>
      <c r="C1372" t="s">
        <v>19</v>
      </c>
      <c r="D1372" s="3">
        <v>45797</v>
      </c>
      <c r="E1372" t="s">
        <v>155</v>
      </c>
      <c r="F1372" t="s">
        <v>2750</v>
      </c>
      <c r="G1372" t="s">
        <v>22</v>
      </c>
      <c r="H1372" t="s">
        <v>2751</v>
      </c>
      <c r="I1372" t="s">
        <v>2752</v>
      </c>
      <c r="J1372" s="4">
        <v>46061.822316956015</v>
      </c>
    </row>
    <row r="1373" spans="1:10" x14ac:dyDescent="0.55000000000000004">
      <c r="A1373" t="s">
        <v>2749</v>
      </c>
      <c r="B1373">
        <v>100661</v>
      </c>
      <c r="C1373" t="s">
        <v>19</v>
      </c>
      <c r="D1373" s="3">
        <v>45797</v>
      </c>
      <c r="E1373" t="s">
        <v>69</v>
      </c>
      <c r="F1373" t="s">
        <v>2750</v>
      </c>
      <c r="G1373" t="s">
        <v>22</v>
      </c>
      <c r="H1373" t="s">
        <v>2751</v>
      </c>
      <c r="I1373" t="s">
        <v>2752</v>
      </c>
      <c r="J1373" s="4">
        <v>46061.822316956015</v>
      </c>
    </row>
    <row r="1374" spans="1:10" x14ac:dyDescent="0.55000000000000004">
      <c r="A1374" t="s">
        <v>2753</v>
      </c>
      <c r="B1374">
        <v>101270</v>
      </c>
      <c r="C1374" t="s">
        <v>37</v>
      </c>
      <c r="D1374" s="3">
        <v>46137</v>
      </c>
      <c r="E1374" t="s">
        <v>38</v>
      </c>
      <c r="F1374" t="s">
        <v>2754</v>
      </c>
      <c r="G1374" t="s">
        <v>22</v>
      </c>
      <c r="H1374" t="s">
        <v>2755</v>
      </c>
      <c r="I1374" t="s">
        <v>2756</v>
      </c>
      <c r="J1374" s="4">
        <v>46060.15842806713</v>
      </c>
    </row>
    <row r="1375" spans="1:10" x14ac:dyDescent="0.55000000000000004">
      <c r="A1375" t="s">
        <v>2753</v>
      </c>
      <c r="B1375">
        <v>101270</v>
      </c>
      <c r="C1375" t="s">
        <v>37</v>
      </c>
      <c r="D1375" s="3">
        <v>46137</v>
      </c>
      <c r="E1375" t="s">
        <v>69</v>
      </c>
      <c r="F1375" t="s">
        <v>2754</v>
      </c>
      <c r="G1375" t="s">
        <v>22</v>
      </c>
      <c r="H1375" t="s">
        <v>2755</v>
      </c>
      <c r="I1375" t="s">
        <v>2756</v>
      </c>
      <c r="J1375" s="4">
        <v>46060.15842806713</v>
      </c>
    </row>
    <row r="1376" spans="1:10" x14ac:dyDescent="0.55000000000000004">
      <c r="A1376" t="s">
        <v>2757</v>
      </c>
      <c r="B1376">
        <v>100246</v>
      </c>
      <c r="C1376" t="s">
        <v>248</v>
      </c>
      <c r="D1376" s="3">
        <v>46049</v>
      </c>
      <c r="E1376" t="s">
        <v>38</v>
      </c>
      <c r="F1376" t="s">
        <v>2758</v>
      </c>
      <c r="G1376" t="s">
        <v>15</v>
      </c>
      <c r="H1376" t="s">
        <v>2759</v>
      </c>
      <c r="I1376" t="s">
        <v>2760</v>
      </c>
      <c r="J1376" s="4">
        <v>46067.200094733795</v>
      </c>
    </row>
    <row r="1377" spans="1:10" x14ac:dyDescent="0.55000000000000004">
      <c r="A1377" t="s">
        <v>2761</v>
      </c>
      <c r="B1377">
        <v>100568</v>
      </c>
      <c r="C1377" t="s">
        <v>37</v>
      </c>
      <c r="D1377" s="3">
        <v>45906</v>
      </c>
      <c r="E1377" t="s">
        <v>317</v>
      </c>
      <c r="F1377" t="s">
        <v>2762</v>
      </c>
      <c r="G1377" t="s">
        <v>22</v>
      </c>
      <c r="H1377" t="s">
        <v>2763</v>
      </c>
      <c r="I1377" t="s">
        <v>2764</v>
      </c>
      <c r="J1377" s="4">
        <v>46069.939678078706</v>
      </c>
    </row>
    <row r="1378" spans="1:10" x14ac:dyDescent="0.55000000000000004">
      <c r="A1378" t="s">
        <v>2765</v>
      </c>
      <c r="B1378">
        <v>101151</v>
      </c>
      <c r="C1378" t="s">
        <v>68</v>
      </c>
      <c r="D1378" s="3">
        <v>46010</v>
      </c>
      <c r="E1378" t="s">
        <v>317</v>
      </c>
      <c r="F1378" t="s">
        <v>2766</v>
      </c>
      <c r="G1378" t="s">
        <v>22</v>
      </c>
      <c r="H1378" t="s">
        <v>2767</v>
      </c>
      <c r="I1378" t="s">
        <v>2768</v>
      </c>
      <c r="J1378" s="4">
        <v>46089.904261412034</v>
      </c>
    </row>
    <row r="1379" spans="1:10" x14ac:dyDescent="0.55000000000000004">
      <c r="A1379" t="s">
        <v>2765</v>
      </c>
      <c r="B1379">
        <v>101151</v>
      </c>
      <c r="C1379" t="s">
        <v>68</v>
      </c>
      <c r="D1379" s="3">
        <v>46010</v>
      </c>
      <c r="E1379" t="s">
        <v>155</v>
      </c>
      <c r="F1379" t="s">
        <v>2766</v>
      </c>
      <c r="G1379" t="s">
        <v>22</v>
      </c>
      <c r="H1379" t="s">
        <v>2767</v>
      </c>
      <c r="I1379" t="s">
        <v>2768</v>
      </c>
      <c r="J1379" s="4">
        <v>46089.904261412034</v>
      </c>
    </row>
    <row r="1380" spans="1:10" x14ac:dyDescent="0.55000000000000004">
      <c r="A1380" t="s">
        <v>2765</v>
      </c>
      <c r="B1380">
        <v>101151</v>
      </c>
      <c r="C1380" t="s">
        <v>68</v>
      </c>
      <c r="D1380" s="3">
        <v>46010</v>
      </c>
      <c r="E1380" t="s">
        <v>115</v>
      </c>
      <c r="F1380" t="s">
        <v>2766</v>
      </c>
      <c r="G1380" t="s">
        <v>22</v>
      </c>
      <c r="H1380" t="s">
        <v>2767</v>
      </c>
      <c r="I1380" t="s">
        <v>2768</v>
      </c>
      <c r="J1380" s="4">
        <v>46089.904261412034</v>
      </c>
    </row>
    <row r="1381" spans="1:10" x14ac:dyDescent="0.55000000000000004">
      <c r="A1381" t="s">
        <v>2769</v>
      </c>
      <c r="B1381">
        <v>101129</v>
      </c>
      <c r="C1381" t="s">
        <v>19</v>
      </c>
      <c r="D1381" s="3">
        <v>45969</v>
      </c>
      <c r="E1381" t="s">
        <v>38</v>
      </c>
      <c r="F1381" t="s">
        <v>2770</v>
      </c>
      <c r="G1381" t="s">
        <v>22</v>
      </c>
      <c r="H1381" t="s">
        <v>2771</v>
      </c>
      <c r="I1381" t="s">
        <v>2772</v>
      </c>
      <c r="J1381" s="4">
        <v>46086.308428078701</v>
      </c>
    </row>
    <row r="1382" spans="1:10" x14ac:dyDescent="0.55000000000000004">
      <c r="A1382" t="s">
        <v>2769</v>
      </c>
      <c r="B1382">
        <v>101129</v>
      </c>
      <c r="C1382" t="s">
        <v>19</v>
      </c>
      <c r="D1382" s="3">
        <v>45969</v>
      </c>
      <c r="E1382" t="s">
        <v>155</v>
      </c>
      <c r="F1382" t="s">
        <v>2770</v>
      </c>
      <c r="G1382" t="s">
        <v>22</v>
      </c>
      <c r="H1382" t="s">
        <v>2771</v>
      </c>
      <c r="I1382" t="s">
        <v>2772</v>
      </c>
      <c r="J1382" s="4">
        <v>46086.308428078701</v>
      </c>
    </row>
    <row r="1383" spans="1:10" x14ac:dyDescent="0.55000000000000004">
      <c r="A1383" t="s">
        <v>2773</v>
      </c>
      <c r="B1383">
        <v>101290</v>
      </c>
      <c r="C1383" t="s">
        <v>179</v>
      </c>
      <c r="D1383" s="3">
        <v>45767</v>
      </c>
      <c r="E1383" t="s">
        <v>38</v>
      </c>
      <c r="F1383" t="s">
        <v>2774</v>
      </c>
      <c r="G1383" t="s">
        <v>22</v>
      </c>
      <c r="H1383" t="s">
        <v>2775</v>
      </c>
      <c r="I1383" t="s">
        <v>2776</v>
      </c>
      <c r="J1383" s="4">
        <v>46065.829261423612</v>
      </c>
    </row>
    <row r="1384" spans="1:10" x14ac:dyDescent="0.55000000000000004">
      <c r="A1384" t="s">
        <v>2773</v>
      </c>
      <c r="B1384">
        <v>101290</v>
      </c>
      <c r="C1384" t="s">
        <v>179</v>
      </c>
      <c r="D1384" s="3">
        <v>45767</v>
      </c>
      <c r="E1384" t="s">
        <v>155</v>
      </c>
      <c r="F1384" t="s">
        <v>2774</v>
      </c>
      <c r="G1384" t="s">
        <v>22</v>
      </c>
      <c r="H1384" t="s">
        <v>2775</v>
      </c>
      <c r="I1384" t="s">
        <v>2776</v>
      </c>
      <c r="J1384" s="4">
        <v>46065.829261423612</v>
      </c>
    </row>
    <row r="1385" spans="1:10" x14ac:dyDescent="0.55000000000000004">
      <c r="A1385" t="s">
        <v>2773</v>
      </c>
      <c r="B1385">
        <v>101290</v>
      </c>
      <c r="C1385" t="s">
        <v>179</v>
      </c>
      <c r="D1385" s="3">
        <v>45767</v>
      </c>
      <c r="E1385" t="s">
        <v>69</v>
      </c>
      <c r="F1385" t="s">
        <v>2774</v>
      </c>
      <c r="G1385" t="s">
        <v>22</v>
      </c>
      <c r="H1385" t="s">
        <v>2775</v>
      </c>
      <c r="I1385" t="s">
        <v>2776</v>
      </c>
      <c r="J1385" s="4">
        <v>46065.829261423612</v>
      </c>
    </row>
    <row r="1386" spans="1:10" x14ac:dyDescent="0.55000000000000004">
      <c r="A1386" t="s">
        <v>2777</v>
      </c>
      <c r="B1386">
        <v>100087</v>
      </c>
      <c r="C1386" t="s">
        <v>37</v>
      </c>
      <c r="D1386" s="3">
        <v>45778</v>
      </c>
      <c r="E1386" t="s">
        <v>115</v>
      </c>
      <c r="F1386" t="s">
        <v>2778</v>
      </c>
      <c r="G1386" t="s">
        <v>15</v>
      </c>
      <c r="H1386" t="s">
        <v>2779</v>
      </c>
      <c r="I1386" t="s">
        <v>2780</v>
      </c>
      <c r="J1386" s="4">
        <v>46087.806344756944</v>
      </c>
    </row>
    <row r="1387" spans="1:10" x14ac:dyDescent="0.55000000000000004">
      <c r="A1387" t="s">
        <v>2781</v>
      </c>
      <c r="B1387">
        <v>100195</v>
      </c>
      <c r="C1387" t="s">
        <v>533</v>
      </c>
      <c r="D1387" s="3">
        <v>45963</v>
      </c>
      <c r="E1387" t="s">
        <v>38</v>
      </c>
      <c r="F1387" t="s">
        <v>2782</v>
      </c>
      <c r="G1387" t="s">
        <v>15</v>
      </c>
      <c r="H1387" t="s">
        <v>2783</v>
      </c>
      <c r="I1387" t="s">
        <v>2784</v>
      </c>
      <c r="J1387" s="4">
        <v>46083.777178090277</v>
      </c>
    </row>
    <row r="1388" spans="1:10" x14ac:dyDescent="0.55000000000000004">
      <c r="A1388" t="s">
        <v>2781</v>
      </c>
      <c r="B1388">
        <v>100195</v>
      </c>
      <c r="C1388" t="s">
        <v>533</v>
      </c>
      <c r="D1388" s="3">
        <v>45963</v>
      </c>
      <c r="E1388" t="s">
        <v>20</v>
      </c>
      <c r="F1388" t="s">
        <v>2782</v>
      </c>
      <c r="G1388" t="s">
        <v>15</v>
      </c>
      <c r="H1388" t="s">
        <v>2783</v>
      </c>
      <c r="I1388" t="s">
        <v>2784</v>
      </c>
      <c r="J1388" s="4">
        <v>46083.777178090277</v>
      </c>
    </row>
    <row r="1389" spans="1:10" x14ac:dyDescent="0.55000000000000004">
      <c r="A1389" t="s">
        <v>2781</v>
      </c>
      <c r="B1389">
        <v>100195</v>
      </c>
      <c r="C1389" t="s">
        <v>533</v>
      </c>
      <c r="D1389" s="3">
        <v>45963</v>
      </c>
      <c r="E1389" t="s">
        <v>69</v>
      </c>
      <c r="F1389" t="s">
        <v>2782</v>
      </c>
      <c r="G1389" t="s">
        <v>15</v>
      </c>
      <c r="H1389" t="s">
        <v>2783</v>
      </c>
      <c r="I1389" t="s">
        <v>2784</v>
      </c>
      <c r="J1389" s="4">
        <v>46083.777178090277</v>
      </c>
    </row>
    <row r="1390" spans="1:10" x14ac:dyDescent="0.55000000000000004">
      <c r="A1390" t="s">
        <v>2785</v>
      </c>
      <c r="B1390">
        <v>100529</v>
      </c>
      <c r="C1390" t="s">
        <v>68</v>
      </c>
      <c r="D1390" s="3">
        <v>45885</v>
      </c>
      <c r="E1390" t="s">
        <v>317</v>
      </c>
      <c r="F1390" t="s">
        <v>2786</v>
      </c>
      <c r="G1390" t="s">
        <v>22</v>
      </c>
      <c r="H1390" t="s">
        <v>2787</v>
      </c>
      <c r="I1390" t="s">
        <v>2788</v>
      </c>
      <c r="J1390" s="4">
        <v>46091.917455879629</v>
      </c>
    </row>
    <row r="1391" spans="1:10" x14ac:dyDescent="0.55000000000000004">
      <c r="A1391" t="s">
        <v>2785</v>
      </c>
      <c r="B1391">
        <v>100529</v>
      </c>
      <c r="C1391" t="s">
        <v>68</v>
      </c>
      <c r="D1391" s="3">
        <v>45885</v>
      </c>
      <c r="E1391" t="s">
        <v>20</v>
      </c>
      <c r="F1391" t="s">
        <v>2786</v>
      </c>
      <c r="G1391" t="s">
        <v>22</v>
      </c>
      <c r="H1391" t="s">
        <v>2787</v>
      </c>
      <c r="I1391" t="s">
        <v>2788</v>
      </c>
      <c r="J1391" s="4">
        <v>46091.917455879629</v>
      </c>
    </row>
    <row r="1392" spans="1:10" x14ac:dyDescent="0.55000000000000004">
      <c r="A1392" t="s">
        <v>2785</v>
      </c>
      <c r="B1392">
        <v>100529</v>
      </c>
      <c r="C1392" t="s">
        <v>68</v>
      </c>
      <c r="D1392" s="3">
        <v>45885</v>
      </c>
      <c r="E1392" t="s">
        <v>69</v>
      </c>
      <c r="F1392" t="s">
        <v>2786</v>
      </c>
      <c r="G1392" t="s">
        <v>22</v>
      </c>
      <c r="H1392" t="s">
        <v>2787</v>
      </c>
      <c r="I1392" t="s">
        <v>2788</v>
      </c>
      <c r="J1392" s="4">
        <v>46091.917455879629</v>
      </c>
    </row>
    <row r="1393" spans="1:11" x14ac:dyDescent="0.55000000000000004">
      <c r="A1393" t="s">
        <v>2789</v>
      </c>
      <c r="B1393">
        <v>100010</v>
      </c>
      <c r="C1393" t="s">
        <v>37</v>
      </c>
      <c r="D1393" s="3">
        <v>46045</v>
      </c>
      <c r="E1393" t="s">
        <v>20</v>
      </c>
      <c r="F1393" t="s">
        <v>2790</v>
      </c>
      <c r="G1393" t="s">
        <v>15</v>
      </c>
      <c r="H1393" t="s">
        <v>2791</v>
      </c>
      <c r="I1393" t="s">
        <v>2792</v>
      </c>
      <c r="J1393" s="4">
        <v>46073.965372546299</v>
      </c>
    </row>
    <row r="1394" spans="1:11" x14ac:dyDescent="0.55000000000000004">
      <c r="A1394" t="s">
        <v>2789</v>
      </c>
      <c r="B1394">
        <v>100010</v>
      </c>
      <c r="C1394" t="s">
        <v>37</v>
      </c>
      <c r="D1394" s="3">
        <v>46045</v>
      </c>
      <c r="E1394" t="s">
        <v>115</v>
      </c>
      <c r="F1394" t="s">
        <v>2790</v>
      </c>
      <c r="G1394" t="s">
        <v>15</v>
      </c>
      <c r="H1394" t="s">
        <v>2791</v>
      </c>
      <c r="I1394" t="s">
        <v>2792</v>
      </c>
      <c r="J1394" s="4">
        <v>46073.965372546299</v>
      </c>
    </row>
    <row r="1395" spans="1:11" x14ac:dyDescent="0.55000000000000004">
      <c r="A1395" t="s">
        <v>2789</v>
      </c>
      <c r="B1395">
        <v>100010</v>
      </c>
      <c r="C1395" t="s">
        <v>37</v>
      </c>
      <c r="D1395" s="3">
        <v>46045</v>
      </c>
      <c r="E1395" t="s">
        <v>69</v>
      </c>
      <c r="F1395" t="s">
        <v>2790</v>
      </c>
      <c r="G1395" t="s">
        <v>15</v>
      </c>
      <c r="H1395" t="s">
        <v>2791</v>
      </c>
      <c r="I1395" t="s">
        <v>2792</v>
      </c>
      <c r="J1395" s="4">
        <v>46073.965372546299</v>
      </c>
    </row>
    <row r="1396" spans="1:11" x14ac:dyDescent="0.55000000000000004">
      <c r="A1396" t="s">
        <v>2793</v>
      </c>
      <c r="B1396">
        <v>101428</v>
      </c>
      <c r="C1396" t="s">
        <v>37</v>
      </c>
      <c r="D1396" s="3">
        <v>45732</v>
      </c>
      <c r="E1396" t="s">
        <v>38</v>
      </c>
      <c r="F1396" t="s">
        <v>2794</v>
      </c>
      <c r="G1396" t="s">
        <v>22</v>
      </c>
      <c r="H1396" t="s">
        <v>2795</v>
      </c>
      <c r="I1396" t="s">
        <v>2796</v>
      </c>
      <c r="J1396" s="4">
        <v>46096.411900335646</v>
      </c>
    </row>
    <row r="1397" spans="1:11" x14ac:dyDescent="0.55000000000000004">
      <c r="A1397" t="s">
        <v>2793</v>
      </c>
      <c r="B1397">
        <v>101428</v>
      </c>
      <c r="C1397" t="s">
        <v>37</v>
      </c>
      <c r="D1397" s="3">
        <v>45732</v>
      </c>
      <c r="E1397" t="s">
        <v>20</v>
      </c>
      <c r="F1397" t="s">
        <v>2794</v>
      </c>
      <c r="G1397" t="s">
        <v>22</v>
      </c>
      <c r="H1397" t="s">
        <v>2795</v>
      </c>
      <c r="I1397" t="s">
        <v>2796</v>
      </c>
      <c r="J1397" s="4">
        <v>46096.411900335646</v>
      </c>
    </row>
    <row r="1398" spans="1:11" x14ac:dyDescent="0.55000000000000004">
      <c r="A1398" t="s">
        <v>2793</v>
      </c>
      <c r="B1398">
        <v>101428</v>
      </c>
      <c r="C1398" t="s">
        <v>37</v>
      </c>
      <c r="D1398" s="3">
        <v>45732</v>
      </c>
      <c r="E1398" t="s">
        <v>155</v>
      </c>
      <c r="F1398" t="s">
        <v>2794</v>
      </c>
      <c r="G1398" t="s">
        <v>22</v>
      </c>
      <c r="H1398" t="s">
        <v>2795</v>
      </c>
      <c r="I1398" t="s">
        <v>2796</v>
      </c>
      <c r="J1398" s="4">
        <v>46096.411900335646</v>
      </c>
    </row>
    <row r="1399" spans="1:11" x14ac:dyDescent="0.55000000000000004">
      <c r="A1399" t="s">
        <v>6035</v>
      </c>
      <c r="B1399">
        <v>100282</v>
      </c>
      <c r="C1399" t="s">
        <v>179</v>
      </c>
      <c r="D1399" s="3">
        <v>46091</v>
      </c>
      <c r="E1399" t="s">
        <v>317</v>
      </c>
      <c r="F1399" t="s">
        <v>2798</v>
      </c>
      <c r="G1399" t="s">
        <v>22</v>
      </c>
      <c r="H1399" t="s">
        <v>2799</v>
      </c>
      <c r="I1399" t="s">
        <v>2800</v>
      </c>
      <c r="J1399" s="4">
        <v>46073.127178113427</v>
      </c>
      <c r="K1399" t="s">
        <v>119</v>
      </c>
    </row>
    <row r="1400" spans="1:11" x14ac:dyDescent="0.55000000000000004">
      <c r="A1400" t="s">
        <v>6035</v>
      </c>
      <c r="B1400">
        <v>100282</v>
      </c>
      <c r="C1400" t="s">
        <v>179</v>
      </c>
      <c r="D1400" s="3">
        <v>46091</v>
      </c>
      <c r="E1400" t="s">
        <v>20</v>
      </c>
      <c r="F1400" t="s">
        <v>2798</v>
      </c>
      <c r="G1400" t="s">
        <v>22</v>
      </c>
      <c r="H1400" t="s">
        <v>2799</v>
      </c>
      <c r="I1400" t="s">
        <v>2800</v>
      </c>
      <c r="J1400" s="4">
        <v>46073.127178113427</v>
      </c>
      <c r="K1400" t="s">
        <v>119</v>
      </c>
    </row>
    <row r="1401" spans="1:11" x14ac:dyDescent="0.55000000000000004">
      <c r="A1401" t="s">
        <v>6035</v>
      </c>
      <c r="B1401">
        <v>100282</v>
      </c>
      <c r="C1401" t="s">
        <v>179</v>
      </c>
      <c r="D1401" s="3">
        <v>46091</v>
      </c>
      <c r="E1401" t="s">
        <v>69</v>
      </c>
      <c r="F1401" t="s">
        <v>2798</v>
      </c>
      <c r="G1401" t="s">
        <v>22</v>
      </c>
      <c r="H1401" t="s">
        <v>2799</v>
      </c>
      <c r="I1401" t="s">
        <v>2800</v>
      </c>
      <c r="J1401" s="4">
        <v>46073.127178113427</v>
      </c>
      <c r="K1401" t="s">
        <v>119</v>
      </c>
    </row>
    <row r="1402" spans="1:11" x14ac:dyDescent="0.55000000000000004">
      <c r="A1402" t="s">
        <v>2801</v>
      </c>
      <c r="B1402">
        <v>100610</v>
      </c>
      <c r="C1402" t="s">
        <v>19</v>
      </c>
      <c r="D1402" s="3">
        <v>45840</v>
      </c>
      <c r="E1402" t="s">
        <v>317</v>
      </c>
      <c r="F1402" t="s">
        <v>2802</v>
      </c>
      <c r="G1402" t="s">
        <v>15</v>
      </c>
      <c r="H1402" t="s">
        <v>2803</v>
      </c>
      <c r="I1402" t="s">
        <v>2804</v>
      </c>
      <c r="J1402" s="4">
        <v>46062.199400335645</v>
      </c>
    </row>
    <row r="1403" spans="1:11" x14ac:dyDescent="0.55000000000000004">
      <c r="A1403" t="s">
        <v>2801</v>
      </c>
      <c r="B1403">
        <v>100610</v>
      </c>
      <c r="C1403" t="s">
        <v>19</v>
      </c>
      <c r="D1403" s="3">
        <v>45840</v>
      </c>
      <c r="E1403" t="s">
        <v>115</v>
      </c>
      <c r="F1403" t="s">
        <v>2802</v>
      </c>
      <c r="G1403" t="s">
        <v>15</v>
      </c>
      <c r="H1403" t="s">
        <v>2803</v>
      </c>
      <c r="I1403" t="s">
        <v>2804</v>
      </c>
      <c r="J1403" s="4">
        <v>46062.199400335645</v>
      </c>
    </row>
    <row r="1404" spans="1:11" x14ac:dyDescent="0.55000000000000004">
      <c r="A1404" t="s">
        <v>2801</v>
      </c>
      <c r="B1404">
        <v>100610</v>
      </c>
      <c r="C1404" t="s">
        <v>19</v>
      </c>
      <c r="D1404" s="3">
        <v>45840</v>
      </c>
      <c r="E1404" t="s">
        <v>69</v>
      </c>
      <c r="F1404" t="s">
        <v>2802</v>
      </c>
      <c r="G1404" t="s">
        <v>15</v>
      </c>
      <c r="H1404" t="s">
        <v>2803</v>
      </c>
      <c r="I1404" t="s">
        <v>2804</v>
      </c>
      <c r="J1404" s="4">
        <v>46062.199400335645</v>
      </c>
    </row>
    <row r="1405" spans="1:11" x14ac:dyDescent="0.55000000000000004">
      <c r="A1405" t="s">
        <v>2805</v>
      </c>
      <c r="B1405">
        <v>100286</v>
      </c>
      <c r="C1405" t="s">
        <v>68</v>
      </c>
      <c r="D1405" s="3">
        <v>45945</v>
      </c>
      <c r="E1405" t="s">
        <v>20</v>
      </c>
      <c r="F1405" t="s">
        <v>2806</v>
      </c>
      <c r="G1405" t="s">
        <v>15</v>
      </c>
      <c r="H1405" t="s">
        <v>2807</v>
      </c>
      <c r="I1405" t="s">
        <v>2808</v>
      </c>
      <c r="J1405" s="4">
        <v>46089.729955902774</v>
      </c>
    </row>
    <row r="1406" spans="1:11" x14ac:dyDescent="0.55000000000000004">
      <c r="A1406" t="s">
        <v>2809</v>
      </c>
      <c r="B1406">
        <v>100348</v>
      </c>
      <c r="C1406" t="s">
        <v>37</v>
      </c>
      <c r="D1406" s="3">
        <v>46063</v>
      </c>
      <c r="E1406" t="s">
        <v>115</v>
      </c>
      <c r="F1406" t="s">
        <v>2810</v>
      </c>
      <c r="G1406" t="s">
        <v>22</v>
      </c>
      <c r="H1406" t="s">
        <v>2811</v>
      </c>
      <c r="I1406" t="s">
        <v>2812</v>
      </c>
      <c r="J1406" s="4">
        <v>46055.125094791663</v>
      </c>
    </row>
    <row r="1407" spans="1:11" x14ac:dyDescent="0.55000000000000004">
      <c r="A1407" t="s">
        <v>2813</v>
      </c>
      <c r="B1407">
        <v>100264</v>
      </c>
      <c r="C1407" t="s">
        <v>533</v>
      </c>
      <c r="D1407" s="3">
        <v>45775</v>
      </c>
      <c r="E1407" t="s">
        <v>317</v>
      </c>
      <c r="F1407" t="s">
        <v>2814</v>
      </c>
      <c r="G1407" t="s">
        <v>22</v>
      </c>
      <c r="H1407" t="s">
        <v>2815</v>
      </c>
      <c r="I1407" t="s">
        <v>2816</v>
      </c>
      <c r="J1407" s="4">
        <v>46067.757039247685</v>
      </c>
    </row>
    <row r="1408" spans="1:11" x14ac:dyDescent="0.55000000000000004">
      <c r="A1408" t="s">
        <v>2817</v>
      </c>
      <c r="B1408">
        <v>100363</v>
      </c>
      <c r="C1408" t="s">
        <v>19</v>
      </c>
      <c r="D1408" s="3">
        <v>45949</v>
      </c>
      <c r="E1408" t="s">
        <v>38</v>
      </c>
      <c r="F1408" t="s">
        <v>2818</v>
      </c>
      <c r="G1408" t="s">
        <v>22</v>
      </c>
      <c r="H1408" t="s">
        <v>2819</v>
      </c>
      <c r="I1408" t="s">
        <v>2820</v>
      </c>
      <c r="J1408" s="4">
        <v>46073.241067025461</v>
      </c>
    </row>
    <row r="1409" spans="1:10" x14ac:dyDescent="0.55000000000000004">
      <c r="A1409" t="s">
        <v>2817</v>
      </c>
      <c r="B1409">
        <v>100363</v>
      </c>
      <c r="C1409" t="s">
        <v>19</v>
      </c>
      <c r="D1409" s="3">
        <v>45949</v>
      </c>
      <c r="E1409" t="s">
        <v>115</v>
      </c>
      <c r="F1409" t="s">
        <v>2818</v>
      </c>
      <c r="G1409" t="s">
        <v>22</v>
      </c>
      <c r="H1409" t="s">
        <v>2819</v>
      </c>
      <c r="I1409" t="s">
        <v>2820</v>
      </c>
      <c r="J1409" s="4">
        <v>46073.241067025461</v>
      </c>
    </row>
    <row r="1410" spans="1:10" x14ac:dyDescent="0.55000000000000004">
      <c r="A1410" t="s">
        <v>2817</v>
      </c>
      <c r="B1410">
        <v>100363</v>
      </c>
      <c r="C1410" t="s">
        <v>19</v>
      </c>
      <c r="D1410" s="3">
        <v>45949</v>
      </c>
      <c r="E1410" t="s">
        <v>69</v>
      </c>
      <c r="F1410" t="s">
        <v>2818</v>
      </c>
      <c r="G1410" t="s">
        <v>22</v>
      </c>
      <c r="H1410" t="s">
        <v>2819</v>
      </c>
      <c r="I1410" t="s">
        <v>2820</v>
      </c>
      <c r="J1410" s="4">
        <v>46073.241067025461</v>
      </c>
    </row>
    <row r="1411" spans="1:10" x14ac:dyDescent="0.55000000000000004">
      <c r="A1411" t="s">
        <v>2821</v>
      </c>
      <c r="B1411">
        <v>101337</v>
      </c>
      <c r="C1411" t="s">
        <v>248</v>
      </c>
      <c r="D1411" s="3">
        <v>45827</v>
      </c>
      <c r="E1411" t="s">
        <v>38</v>
      </c>
      <c r="F1411" t="s">
        <v>2822</v>
      </c>
      <c r="G1411" t="s">
        <v>22</v>
      </c>
      <c r="H1411" t="s">
        <v>2823</v>
      </c>
      <c r="I1411" t="s">
        <v>2824</v>
      </c>
      <c r="J1411" s="4">
        <v>46082.032733703702</v>
      </c>
    </row>
    <row r="1412" spans="1:10" x14ac:dyDescent="0.55000000000000004">
      <c r="A1412" t="s">
        <v>2821</v>
      </c>
      <c r="B1412">
        <v>101337</v>
      </c>
      <c r="C1412" t="s">
        <v>248</v>
      </c>
      <c r="D1412" s="3">
        <v>45827</v>
      </c>
      <c r="E1412" t="s">
        <v>155</v>
      </c>
      <c r="F1412" t="s">
        <v>2822</v>
      </c>
      <c r="G1412" t="s">
        <v>22</v>
      </c>
      <c r="H1412" t="s">
        <v>2823</v>
      </c>
      <c r="I1412" t="s">
        <v>2824</v>
      </c>
      <c r="J1412" s="4">
        <v>46082.032733703702</v>
      </c>
    </row>
    <row r="1413" spans="1:10" x14ac:dyDescent="0.55000000000000004">
      <c r="A1413" t="s">
        <v>2825</v>
      </c>
      <c r="B1413">
        <v>101252</v>
      </c>
      <c r="C1413" t="s">
        <v>248</v>
      </c>
      <c r="D1413" s="3">
        <v>45942</v>
      </c>
      <c r="E1413" t="s">
        <v>38</v>
      </c>
      <c r="F1413" t="s">
        <v>2826</v>
      </c>
      <c r="G1413" t="s">
        <v>15</v>
      </c>
      <c r="H1413" t="s">
        <v>2827</v>
      </c>
      <c r="I1413" t="s">
        <v>2828</v>
      </c>
      <c r="J1413" s="4">
        <v>46061.059122592589</v>
      </c>
    </row>
    <row r="1414" spans="1:10" x14ac:dyDescent="0.55000000000000004">
      <c r="A1414" t="s">
        <v>2825</v>
      </c>
      <c r="B1414">
        <v>101252</v>
      </c>
      <c r="C1414" t="s">
        <v>248</v>
      </c>
      <c r="D1414" s="3">
        <v>45942</v>
      </c>
      <c r="E1414" t="s">
        <v>20</v>
      </c>
      <c r="F1414" t="s">
        <v>2826</v>
      </c>
      <c r="G1414" t="s">
        <v>15</v>
      </c>
      <c r="H1414" t="s">
        <v>2827</v>
      </c>
      <c r="I1414" t="s">
        <v>2828</v>
      </c>
      <c r="J1414" s="4">
        <v>46061.059122592589</v>
      </c>
    </row>
    <row r="1415" spans="1:10" x14ac:dyDescent="0.55000000000000004">
      <c r="A1415" t="s">
        <v>2825</v>
      </c>
      <c r="B1415">
        <v>101252</v>
      </c>
      <c r="C1415" t="s">
        <v>248</v>
      </c>
      <c r="D1415" s="3">
        <v>45942</v>
      </c>
      <c r="E1415" t="s">
        <v>155</v>
      </c>
      <c r="F1415" t="s">
        <v>2826</v>
      </c>
      <c r="G1415" t="s">
        <v>15</v>
      </c>
      <c r="H1415" t="s">
        <v>2827</v>
      </c>
      <c r="I1415" t="s">
        <v>2828</v>
      </c>
      <c r="J1415" s="4">
        <v>46061.059122592589</v>
      </c>
    </row>
    <row r="1416" spans="1:10" x14ac:dyDescent="0.55000000000000004">
      <c r="A1416" t="s">
        <v>2829</v>
      </c>
      <c r="B1416">
        <v>100999</v>
      </c>
      <c r="C1416" t="s">
        <v>68</v>
      </c>
      <c r="D1416" s="3">
        <v>45789</v>
      </c>
      <c r="E1416" t="s">
        <v>155</v>
      </c>
      <c r="F1416" t="s">
        <v>2830</v>
      </c>
      <c r="G1416" t="s">
        <v>22</v>
      </c>
      <c r="H1416" t="s">
        <v>2831</v>
      </c>
      <c r="I1416" t="s">
        <v>2832</v>
      </c>
      <c r="J1416" s="4">
        <v>46068.011205925926</v>
      </c>
    </row>
    <row r="1417" spans="1:10" x14ac:dyDescent="0.55000000000000004">
      <c r="A1417" t="s">
        <v>2829</v>
      </c>
      <c r="B1417">
        <v>100999</v>
      </c>
      <c r="C1417" t="s">
        <v>68</v>
      </c>
      <c r="D1417" s="3">
        <v>45789</v>
      </c>
      <c r="E1417" t="s">
        <v>115</v>
      </c>
      <c r="F1417" t="s">
        <v>2830</v>
      </c>
      <c r="G1417" t="s">
        <v>22</v>
      </c>
      <c r="H1417" t="s">
        <v>2831</v>
      </c>
      <c r="I1417" t="s">
        <v>2832</v>
      </c>
      <c r="J1417" s="4">
        <v>46068.011205925926</v>
      </c>
    </row>
    <row r="1418" spans="1:10" x14ac:dyDescent="0.55000000000000004">
      <c r="A1418" t="s">
        <v>2829</v>
      </c>
      <c r="B1418">
        <v>100999</v>
      </c>
      <c r="C1418" t="s">
        <v>68</v>
      </c>
      <c r="D1418" s="3">
        <v>45789</v>
      </c>
      <c r="E1418" t="s">
        <v>69</v>
      </c>
      <c r="F1418" t="s">
        <v>2830</v>
      </c>
      <c r="G1418" t="s">
        <v>22</v>
      </c>
      <c r="H1418" t="s">
        <v>2831</v>
      </c>
      <c r="I1418" t="s">
        <v>2832</v>
      </c>
      <c r="J1418" s="4">
        <v>46068.011205925926</v>
      </c>
    </row>
    <row r="1419" spans="1:10" x14ac:dyDescent="0.55000000000000004">
      <c r="A1419" t="s">
        <v>2833</v>
      </c>
      <c r="B1419">
        <v>101091</v>
      </c>
      <c r="C1419" t="s">
        <v>37</v>
      </c>
      <c r="D1419" s="3">
        <v>45999</v>
      </c>
      <c r="E1419" t="s">
        <v>155</v>
      </c>
      <c r="F1419" t="s">
        <v>2834</v>
      </c>
      <c r="G1419" t="s">
        <v>15</v>
      </c>
      <c r="H1419" t="s">
        <v>2835</v>
      </c>
      <c r="I1419" t="s">
        <v>2836</v>
      </c>
      <c r="J1419" s="4">
        <v>46053.845233715278</v>
      </c>
    </row>
    <row r="1420" spans="1:10" x14ac:dyDescent="0.55000000000000004">
      <c r="A1420" t="s">
        <v>2833</v>
      </c>
      <c r="B1420">
        <v>101091</v>
      </c>
      <c r="C1420" t="s">
        <v>37</v>
      </c>
      <c r="D1420" s="3">
        <v>45999</v>
      </c>
      <c r="E1420" t="s">
        <v>115</v>
      </c>
      <c r="F1420" t="s">
        <v>2834</v>
      </c>
      <c r="G1420" t="s">
        <v>15</v>
      </c>
      <c r="H1420" t="s">
        <v>2835</v>
      </c>
      <c r="I1420" t="s">
        <v>2836</v>
      </c>
      <c r="J1420" s="4">
        <v>46053.845233715278</v>
      </c>
    </row>
    <row r="1421" spans="1:10" x14ac:dyDescent="0.55000000000000004">
      <c r="A1421" t="s">
        <v>2833</v>
      </c>
      <c r="B1421">
        <v>101091</v>
      </c>
      <c r="C1421" t="s">
        <v>37</v>
      </c>
      <c r="D1421" s="3">
        <v>45999</v>
      </c>
      <c r="E1421" t="s">
        <v>69</v>
      </c>
      <c r="F1421" t="s">
        <v>2834</v>
      </c>
      <c r="G1421" t="s">
        <v>15</v>
      </c>
      <c r="H1421" t="s">
        <v>2835</v>
      </c>
      <c r="I1421" t="s">
        <v>2836</v>
      </c>
      <c r="J1421" s="4">
        <v>46053.845233715278</v>
      </c>
    </row>
    <row r="1422" spans="1:10" x14ac:dyDescent="0.55000000000000004">
      <c r="A1422" t="s">
        <v>2837</v>
      </c>
      <c r="B1422">
        <v>100957</v>
      </c>
      <c r="C1422" t="s">
        <v>19</v>
      </c>
      <c r="D1422" s="3">
        <v>46140</v>
      </c>
      <c r="E1422" t="s">
        <v>38</v>
      </c>
      <c r="F1422" t="s">
        <v>2838</v>
      </c>
      <c r="G1422" t="s">
        <v>22</v>
      </c>
      <c r="H1422" t="s">
        <v>2839</v>
      </c>
      <c r="I1422" t="s">
        <v>2840</v>
      </c>
      <c r="J1422" s="4">
        <v>46063.730650381942</v>
      </c>
    </row>
    <row r="1423" spans="1:10" x14ac:dyDescent="0.55000000000000004">
      <c r="A1423" t="s">
        <v>2837</v>
      </c>
      <c r="B1423">
        <v>100957</v>
      </c>
      <c r="C1423" t="s">
        <v>19</v>
      </c>
      <c r="D1423" s="3">
        <v>46140</v>
      </c>
      <c r="E1423" t="s">
        <v>20</v>
      </c>
      <c r="F1423" t="s">
        <v>2838</v>
      </c>
      <c r="G1423" t="s">
        <v>22</v>
      </c>
      <c r="H1423" t="s">
        <v>2839</v>
      </c>
      <c r="I1423" t="s">
        <v>2840</v>
      </c>
      <c r="J1423" s="4">
        <v>46063.730650381942</v>
      </c>
    </row>
    <row r="1424" spans="1:10" x14ac:dyDescent="0.55000000000000004">
      <c r="A1424" t="s">
        <v>2837</v>
      </c>
      <c r="B1424">
        <v>100957</v>
      </c>
      <c r="C1424" t="s">
        <v>19</v>
      </c>
      <c r="D1424" s="3">
        <v>46140</v>
      </c>
      <c r="E1424" t="s">
        <v>155</v>
      </c>
      <c r="F1424" t="s">
        <v>2838</v>
      </c>
      <c r="G1424" t="s">
        <v>22</v>
      </c>
      <c r="H1424" t="s">
        <v>2839</v>
      </c>
      <c r="I1424" t="s">
        <v>2840</v>
      </c>
      <c r="J1424" s="4">
        <v>46063.730650381942</v>
      </c>
    </row>
    <row r="1425" spans="1:11" x14ac:dyDescent="0.55000000000000004">
      <c r="A1425" t="s">
        <v>2841</v>
      </c>
      <c r="B1425">
        <v>101031</v>
      </c>
      <c r="C1425" t="s">
        <v>19</v>
      </c>
      <c r="D1425" s="3">
        <v>45964</v>
      </c>
      <c r="E1425" t="s">
        <v>38</v>
      </c>
      <c r="F1425" t="s">
        <v>2842</v>
      </c>
      <c r="G1425" t="s">
        <v>22</v>
      </c>
      <c r="H1425" t="s">
        <v>2843</v>
      </c>
      <c r="I1425" t="s">
        <v>2844</v>
      </c>
      <c r="J1425" s="4">
        <v>46075.327178171297</v>
      </c>
    </row>
    <row r="1426" spans="1:11" x14ac:dyDescent="0.55000000000000004">
      <c r="A1426" t="s">
        <v>2841</v>
      </c>
      <c r="B1426">
        <v>101031</v>
      </c>
      <c r="C1426" t="s">
        <v>19</v>
      </c>
      <c r="D1426" s="3">
        <v>45964</v>
      </c>
      <c r="E1426" t="s">
        <v>20</v>
      </c>
      <c r="F1426" t="s">
        <v>2842</v>
      </c>
      <c r="G1426" t="s">
        <v>22</v>
      </c>
      <c r="H1426" t="s">
        <v>2843</v>
      </c>
      <c r="I1426" t="s">
        <v>2844</v>
      </c>
      <c r="J1426" s="4">
        <v>46075.327178171297</v>
      </c>
    </row>
    <row r="1427" spans="1:11" x14ac:dyDescent="0.55000000000000004">
      <c r="A1427" t="s">
        <v>2841</v>
      </c>
      <c r="B1427">
        <v>101031</v>
      </c>
      <c r="C1427" t="s">
        <v>19</v>
      </c>
      <c r="D1427" s="3">
        <v>45964</v>
      </c>
      <c r="E1427" t="s">
        <v>69</v>
      </c>
      <c r="F1427" t="s">
        <v>2842</v>
      </c>
      <c r="G1427" t="s">
        <v>22</v>
      </c>
      <c r="H1427" t="s">
        <v>2843</v>
      </c>
      <c r="I1427" t="s">
        <v>2844</v>
      </c>
      <c r="J1427" s="4">
        <v>46075.327178171297</v>
      </c>
    </row>
    <row r="1428" spans="1:11" x14ac:dyDescent="0.55000000000000004">
      <c r="A1428" t="s">
        <v>2845</v>
      </c>
      <c r="B1428">
        <v>101240</v>
      </c>
      <c r="C1428" t="s">
        <v>68</v>
      </c>
      <c r="D1428" s="3">
        <v>45817</v>
      </c>
      <c r="E1428" t="s">
        <v>317</v>
      </c>
      <c r="F1428" t="s">
        <v>2846</v>
      </c>
      <c r="G1428" t="s">
        <v>22</v>
      </c>
      <c r="H1428" t="s">
        <v>2847</v>
      </c>
      <c r="I1428" t="s">
        <v>2848</v>
      </c>
      <c r="J1428" s="4">
        <v>46061.375789282407</v>
      </c>
    </row>
    <row r="1429" spans="1:11" x14ac:dyDescent="0.55000000000000004">
      <c r="A1429" t="s">
        <v>2849</v>
      </c>
      <c r="B1429">
        <v>100802</v>
      </c>
      <c r="C1429" t="s">
        <v>37</v>
      </c>
      <c r="D1429" s="3">
        <v>46054</v>
      </c>
      <c r="E1429" t="s">
        <v>38</v>
      </c>
      <c r="F1429" t="s">
        <v>2850</v>
      </c>
      <c r="G1429" t="s">
        <v>15</v>
      </c>
      <c r="H1429" t="s">
        <v>2851</v>
      </c>
      <c r="I1429" t="s">
        <v>2852</v>
      </c>
      <c r="J1429" s="4">
        <v>46055.331344837963</v>
      </c>
    </row>
    <row r="1430" spans="1:11" x14ac:dyDescent="0.55000000000000004">
      <c r="A1430" t="s">
        <v>2849</v>
      </c>
      <c r="B1430">
        <v>100802</v>
      </c>
      <c r="C1430" t="s">
        <v>37</v>
      </c>
      <c r="D1430" s="3">
        <v>46054</v>
      </c>
      <c r="E1430" t="s">
        <v>115</v>
      </c>
      <c r="F1430" t="s">
        <v>2850</v>
      </c>
      <c r="G1430" t="s">
        <v>15</v>
      </c>
      <c r="H1430" t="s">
        <v>2851</v>
      </c>
      <c r="I1430" t="s">
        <v>2852</v>
      </c>
      <c r="J1430" s="4">
        <v>46055.331344837963</v>
      </c>
    </row>
    <row r="1431" spans="1:11" x14ac:dyDescent="0.55000000000000004">
      <c r="A1431" t="s">
        <v>2853</v>
      </c>
      <c r="B1431">
        <v>101259</v>
      </c>
      <c r="C1431" t="s">
        <v>19</v>
      </c>
      <c r="D1431" s="3">
        <v>45745</v>
      </c>
      <c r="E1431" t="s">
        <v>155</v>
      </c>
      <c r="F1431" t="s">
        <v>2854</v>
      </c>
      <c r="G1431" t="s">
        <v>15</v>
      </c>
      <c r="H1431" t="s">
        <v>2855</v>
      </c>
      <c r="I1431" t="s">
        <v>2856</v>
      </c>
      <c r="J1431" s="4">
        <v>46065.636900405094</v>
      </c>
    </row>
    <row r="1432" spans="1:11" x14ac:dyDescent="0.55000000000000004">
      <c r="A1432" t="s">
        <v>2853</v>
      </c>
      <c r="B1432">
        <v>101259</v>
      </c>
      <c r="C1432" t="s">
        <v>19</v>
      </c>
      <c r="D1432" s="3">
        <v>45745</v>
      </c>
      <c r="E1432" t="s">
        <v>69</v>
      </c>
      <c r="F1432" t="s">
        <v>2854</v>
      </c>
      <c r="G1432" t="s">
        <v>15</v>
      </c>
      <c r="H1432" t="s">
        <v>2855</v>
      </c>
      <c r="I1432" t="s">
        <v>2856</v>
      </c>
      <c r="J1432" s="4">
        <v>46065.636900405094</v>
      </c>
    </row>
    <row r="1433" spans="1:11" x14ac:dyDescent="0.55000000000000004">
      <c r="A1433" t="s">
        <v>2857</v>
      </c>
      <c r="B1433">
        <v>100624</v>
      </c>
      <c r="C1433" t="s">
        <v>248</v>
      </c>
      <c r="D1433" s="3">
        <v>45861</v>
      </c>
      <c r="E1433" t="s">
        <v>38</v>
      </c>
      <c r="F1433" t="s">
        <v>2858</v>
      </c>
      <c r="G1433" t="s">
        <v>22</v>
      </c>
      <c r="H1433" t="s">
        <v>2859</v>
      </c>
      <c r="I1433" t="s">
        <v>2860</v>
      </c>
      <c r="J1433" s="4">
        <v>46080.380650405095</v>
      </c>
    </row>
    <row r="1434" spans="1:11" x14ac:dyDescent="0.55000000000000004">
      <c r="A1434" t="s">
        <v>2861</v>
      </c>
      <c r="B1434">
        <v>101381</v>
      </c>
      <c r="C1434" t="s">
        <v>37</v>
      </c>
      <c r="D1434" s="3">
        <v>46111</v>
      </c>
      <c r="E1434" t="s">
        <v>38</v>
      </c>
      <c r="F1434" t="s">
        <v>2862</v>
      </c>
      <c r="G1434" t="s">
        <v>15</v>
      </c>
      <c r="H1434" t="s">
        <v>2863</v>
      </c>
      <c r="I1434" t="s">
        <v>2864</v>
      </c>
      <c r="J1434" s="4">
        <v>46060.531344861112</v>
      </c>
    </row>
    <row r="1435" spans="1:11" x14ac:dyDescent="0.55000000000000004">
      <c r="A1435" t="s">
        <v>2865</v>
      </c>
      <c r="B1435">
        <v>101427</v>
      </c>
      <c r="C1435" t="s">
        <v>179</v>
      </c>
      <c r="D1435" s="3">
        <v>45921</v>
      </c>
      <c r="E1435" t="s">
        <v>20</v>
      </c>
      <c r="F1435" t="s">
        <v>2866</v>
      </c>
      <c r="G1435" t="s">
        <v>15</v>
      </c>
      <c r="H1435" t="s">
        <v>2867</v>
      </c>
      <c r="I1435" t="s">
        <v>2868</v>
      </c>
      <c r="J1435" s="4">
        <v>46066.488983750001</v>
      </c>
    </row>
    <row r="1436" spans="1:11" x14ac:dyDescent="0.55000000000000004">
      <c r="A1436" t="s">
        <v>2869</v>
      </c>
      <c r="B1436">
        <v>100955</v>
      </c>
      <c r="C1436" t="s">
        <v>19</v>
      </c>
      <c r="D1436" s="3">
        <v>45748</v>
      </c>
      <c r="E1436" t="s">
        <v>155</v>
      </c>
      <c r="F1436" t="s">
        <v>2870</v>
      </c>
      <c r="G1436" t="s">
        <v>15</v>
      </c>
      <c r="H1436" t="s">
        <v>2871</v>
      </c>
      <c r="I1436" t="s">
        <v>2872</v>
      </c>
      <c r="J1436" s="4">
        <v>46066.159122638892</v>
      </c>
    </row>
    <row r="1437" spans="1:11" x14ac:dyDescent="0.55000000000000004">
      <c r="A1437" t="s">
        <v>2869</v>
      </c>
      <c r="B1437">
        <v>100955</v>
      </c>
      <c r="C1437" t="s">
        <v>19</v>
      </c>
      <c r="D1437" s="3">
        <v>45748</v>
      </c>
      <c r="E1437" t="s">
        <v>115</v>
      </c>
      <c r="F1437" t="s">
        <v>2870</v>
      </c>
      <c r="G1437" t="s">
        <v>15</v>
      </c>
      <c r="H1437" t="s">
        <v>2871</v>
      </c>
      <c r="I1437" t="s">
        <v>2872</v>
      </c>
      <c r="J1437" s="4">
        <v>46066.159122638892</v>
      </c>
    </row>
    <row r="1438" spans="1:11" x14ac:dyDescent="0.55000000000000004">
      <c r="A1438" t="s">
        <v>2873</v>
      </c>
      <c r="B1438">
        <v>100778</v>
      </c>
      <c r="C1438" t="s">
        <v>179</v>
      </c>
      <c r="D1438" s="3">
        <v>45853</v>
      </c>
      <c r="E1438" t="s">
        <v>38</v>
      </c>
      <c r="F1438" t="s">
        <v>2874</v>
      </c>
      <c r="G1438" t="s">
        <v>22</v>
      </c>
      <c r="H1438" t="s">
        <v>2875</v>
      </c>
      <c r="I1438" t="s">
        <v>2876</v>
      </c>
      <c r="J1438" s="4">
        <v>46093.832733761577</v>
      </c>
      <c r="K1438" t="s">
        <v>139</v>
      </c>
    </row>
    <row r="1439" spans="1:11" x14ac:dyDescent="0.55000000000000004">
      <c r="A1439" t="s">
        <v>2873</v>
      </c>
      <c r="B1439">
        <v>100778</v>
      </c>
      <c r="C1439" t="s">
        <v>179</v>
      </c>
      <c r="D1439" s="3">
        <v>45853</v>
      </c>
      <c r="E1439" t="s">
        <v>115</v>
      </c>
      <c r="F1439" t="s">
        <v>2874</v>
      </c>
      <c r="G1439" t="s">
        <v>22</v>
      </c>
      <c r="H1439" t="s">
        <v>2875</v>
      </c>
      <c r="I1439" t="s">
        <v>2876</v>
      </c>
      <c r="J1439" s="4">
        <v>46093.832733761577</v>
      </c>
      <c r="K1439" t="s">
        <v>139</v>
      </c>
    </row>
    <row r="1440" spans="1:11" x14ac:dyDescent="0.55000000000000004">
      <c r="A1440" t="s">
        <v>2873</v>
      </c>
      <c r="B1440">
        <v>100778</v>
      </c>
      <c r="C1440" t="s">
        <v>179</v>
      </c>
      <c r="D1440" s="3">
        <v>45853</v>
      </c>
      <c r="E1440" t="s">
        <v>69</v>
      </c>
      <c r="F1440" t="s">
        <v>2874</v>
      </c>
      <c r="G1440" t="s">
        <v>22</v>
      </c>
      <c r="H1440" t="s">
        <v>2875</v>
      </c>
      <c r="I1440" t="s">
        <v>2876</v>
      </c>
      <c r="J1440" s="4">
        <v>46093.832733761577</v>
      </c>
      <c r="K1440" t="s">
        <v>139</v>
      </c>
    </row>
    <row r="1441" spans="1:10" x14ac:dyDescent="0.55000000000000004">
      <c r="A1441" t="s">
        <v>2877</v>
      </c>
      <c r="B1441">
        <v>101383</v>
      </c>
      <c r="C1441" t="s">
        <v>248</v>
      </c>
      <c r="D1441" s="3">
        <v>46118</v>
      </c>
      <c r="E1441" t="s">
        <v>155</v>
      </c>
      <c r="F1441" t="s">
        <v>2878</v>
      </c>
      <c r="G1441" t="s">
        <v>15</v>
      </c>
      <c r="H1441" t="s">
        <v>2879</v>
      </c>
      <c r="I1441" t="s">
        <v>2880</v>
      </c>
      <c r="J1441" s="4">
        <v>46068.17926153935</v>
      </c>
    </row>
    <row r="1442" spans="1:10" x14ac:dyDescent="0.55000000000000004">
      <c r="A1442" t="s">
        <v>2881</v>
      </c>
      <c r="B1442">
        <v>101450</v>
      </c>
      <c r="C1442" t="s">
        <v>19</v>
      </c>
      <c r="D1442" s="3">
        <v>45886</v>
      </c>
      <c r="E1442" t="s">
        <v>317</v>
      </c>
      <c r="F1442" t="s">
        <v>2882</v>
      </c>
      <c r="G1442" t="s">
        <v>15</v>
      </c>
      <c r="H1442" t="s">
        <v>2883</v>
      </c>
      <c r="I1442" t="s">
        <v>2884</v>
      </c>
      <c r="J1442" s="4">
        <v>46072.774400439812</v>
      </c>
    </row>
    <row r="1443" spans="1:10" x14ac:dyDescent="0.55000000000000004">
      <c r="A1443" t="s">
        <v>2881</v>
      </c>
      <c r="B1443">
        <v>101450</v>
      </c>
      <c r="C1443" t="s">
        <v>19</v>
      </c>
      <c r="D1443" s="3">
        <v>45886</v>
      </c>
      <c r="E1443" t="s">
        <v>38</v>
      </c>
      <c r="F1443" t="s">
        <v>2882</v>
      </c>
      <c r="G1443" t="s">
        <v>15</v>
      </c>
      <c r="H1443" t="s">
        <v>2883</v>
      </c>
      <c r="I1443" t="s">
        <v>2884</v>
      </c>
      <c r="J1443" s="4">
        <v>46072.774400439812</v>
      </c>
    </row>
    <row r="1444" spans="1:10" x14ac:dyDescent="0.55000000000000004">
      <c r="A1444" t="s">
        <v>2885</v>
      </c>
      <c r="B1444">
        <v>100251</v>
      </c>
      <c r="C1444" t="s">
        <v>179</v>
      </c>
      <c r="D1444" s="3">
        <v>45974</v>
      </c>
      <c r="E1444" t="s">
        <v>38</v>
      </c>
      <c r="F1444" t="s">
        <v>2886</v>
      </c>
      <c r="G1444" t="s">
        <v>22</v>
      </c>
      <c r="H1444" t="s">
        <v>2887</v>
      </c>
      <c r="I1444" t="s">
        <v>2888</v>
      </c>
      <c r="J1444" s="4">
        <v>46097.335511550926</v>
      </c>
    </row>
    <row r="1445" spans="1:10" x14ac:dyDescent="0.55000000000000004">
      <c r="A1445" t="s">
        <v>2885</v>
      </c>
      <c r="B1445">
        <v>100251</v>
      </c>
      <c r="C1445" t="s">
        <v>179</v>
      </c>
      <c r="D1445" s="3">
        <v>45974</v>
      </c>
      <c r="E1445" t="s">
        <v>115</v>
      </c>
      <c r="F1445" t="s">
        <v>2886</v>
      </c>
      <c r="G1445" t="s">
        <v>22</v>
      </c>
      <c r="H1445" t="s">
        <v>2887</v>
      </c>
      <c r="I1445" t="s">
        <v>2888</v>
      </c>
      <c r="J1445" s="4">
        <v>46097.335511550926</v>
      </c>
    </row>
    <row r="1446" spans="1:10" x14ac:dyDescent="0.55000000000000004">
      <c r="A1446" t="s">
        <v>2889</v>
      </c>
      <c r="B1446">
        <v>101115</v>
      </c>
      <c r="C1446" t="s">
        <v>179</v>
      </c>
      <c r="D1446" s="3">
        <v>45927</v>
      </c>
      <c r="E1446" t="s">
        <v>38</v>
      </c>
      <c r="F1446" t="s">
        <v>2890</v>
      </c>
      <c r="G1446" t="s">
        <v>15</v>
      </c>
      <c r="H1446" t="s">
        <v>2891</v>
      </c>
      <c r="I1446" t="s">
        <v>2892</v>
      </c>
      <c r="J1446" s="4">
        <v>46062.839678217591</v>
      </c>
    </row>
    <row r="1447" spans="1:10" x14ac:dyDescent="0.55000000000000004">
      <c r="A1447" t="s">
        <v>2889</v>
      </c>
      <c r="B1447">
        <v>101115</v>
      </c>
      <c r="C1447" t="s">
        <v>179</v>
      </c>
      <c r="D1447" s="3">
        <v>45927</v>
      </c>
      <c r="E1447" t="s">
        <v>20</v>
      </c>
      <c r="F1447" t="s">
        <v>2890</v>
      </c>
      <c r="G1447" t="s">
        <v>15</v>
      </c>
      <c r="H1447" t="s">
        <v>2891</v>
      </c>
      <c r="I1447" t="s">
        <v>2892</v>
      </c>
      <c r="J1447" s="4">
        <v>46062.839678217591</v>
      </c>
    </row>
    <row r="1448" spans="1:10" x14ac:dyDescent="0.55000000000000004">
      <c r="A1448" t="s">
        <v>2889</v>
      </c>
      <c r="B1448">
        <v>101115</v>
      </c>
      <c r="C1448" t="s">
        <v>179</v>
      </c>
      <c r="D1448" s="3">
        <v>45927</v>
      </c>
      <c r="E1448" t="s">
        <v>155</v>
      </c>
      <c r="F1448" t="s">
        <v>2890</v>
      </c>
      <c r="G1448" t="s">
        <v>15</v>
      </c>
      <c r="H1448" t="s">
        <v>2891</v>
      </c>
      <c r="I1448" t="s">
        <v>2892</v>
      </c>
      <c r="J1448" s="4">
        <v>46062.839678217591</v>
      </c>
    </row>
    <row r="1449" spans="1:10" x14ac:dyDescent="0.55000000000000004">
      <c r="A1449" t="s">
        <v>2893</v>
      </c>
      <c r="B1449">
        <v>100274</v>
      </c>
      <c r="C1449" t="s">
        <v>68</v>
      </c>
      <c r="D1449" s="3">
        <v>45953</v>
      </c>
      <c r="E1449" t="s">
        <v>317</v>
      </c>
      <c r="F1449" t="s">
        <v>2894</v>
      </c>
      <c r="G1449" t="s">
        <v>22</v>
      </c>
      <c r="H1449" t="s">
        <v>2895</v>
      </c>
      <c r="I1449" t="s">
        <v>2896</v>
      </c>
      <c r="J1449" s="4">
        <v>46080.60634489583</v>
      </c>
    </row>
    <row r="1450" spans="1:10" x14ac:dyDescent="0.55000000000000004">
      <c r="A1450" t="s">
        <v>2893</v>
      </c>
      <c r="B1450">
        <v>100274</v>
      </c>
      <c r="C1450" t="s">
        <v>68</v>
      </c>
      <c r="D1450" s="3">
        <v>45953</v>
      </c>
      <c r="E1450" t="s">
        <v>38</v>
      </c>
      <c r="F1450" t="s">
        <v>2894</v>
      </c>
      <c r="G1450" t="s">
        <v>22</v>
      </c>
      <c r="H1450" t="s">
        <v>2895</v>
      </c>
      <c r="I1450" t="s">
        <v>2896</v>
      </c>
      <c r="J1450" s="4">
        <v>46080.60634489583</v>
      </c>
    </row>
    <row r="1451" spans="1:10" x14ac:dyDescent="0.55000000000000004">
      <c r="A1451" t="s">
        <v>2893</v>
      </c>
      <c r="B1451">
        <v>100274</v>
      </c>
      <c r="C1451" t="s">
        <v>68</v>
      </c>
      <c r="D1451" s="3">
        <v>45953</v>
      </c>
      <c r="E1451" t="s">
        <v>20</v>
      </c>
      <c r="F1451" t="s">
        <v>2894</v>
      </c>
      <c r="G1451" t="s">
        <v>22</v>
      </c>
      <c r="H1451" t="s">
        <v>2895</v>
      </c>
      <c r="I1451" t="s">
        <v>2896</v>
      </c>
      <c r="J1451" s="4">
        <v>46080.60634489583</v>
      </c>
    </row>
    <row r="1452" spans="1:10" x14ac:dyDescent="0.55000000000000004">
      <c r="A1452" t="s">
        <v>2897</v>
      </c>
      <c r="B1452">
        <v>100749</v>
      </c>
      <c r="C1452" t="s">
        <v>248</v>
      </c>
      <c r="D1452" s="3">
        <v>46067</v>
      </c>
      <c r="E1452" t="s">
        <v>317</v>
      </c>
      <c r="F1452" t="s">
        <v>2898</v>
      </c>
      <c r="G1452" t="s">
        <v>15</v>
      </c>
      <c r="H1452" t="s">
        <v>2899</v>
      </c>
      <c r="I1452" t="s">
        <v>2900</v>
      </c>
      <c r="J1452" s="4">
        <v>46064.266067129633</v>
      </c>
    </row>
    <row r="1453" spans="1:10" x14ac:dyDescent="0.55000000000000004">
      <c r="A1453" t="s">
        <v>2897</v>
      </c>
      <c r="B1453">
        <v>100749</v>
      </c>
      <c r="C1453" t="s">
        <v>248</v>
      </c>
      <c r="D1453" s="3">
        <v>46067</v>
      </c>
      <c r="E1453" t="s">
        <v>115</v>
      </c>
      <c r="F1453" t="s">
        <v>2898</v>
      </c>
      <c r="G1453" t="s">
        <v>15</v>
      </c>
      <c r="H1453" t="s">
        <v>2899</v>
      </c>
      <c r="I1453" t="s">
        <v>2900</v>
      </c>
      <c r="J1453" s="4">
        <v>46064.266067129633</v>
      </c>
    </row>
    <row r="1454" spans="1:10" x14ac:dyDescent="0.55000000000000004">
      <c r="A1454" t="s">
        <v>2897</v>
      </c>
      <c r="B1454">
        <v>100749</v>
      </c>
      <c r="C1454" t="s">
        <v>248</v>
      </c>
      <c r="D1454" s="3">
        <v>46067</v>
      </c>
      <c r="E1454" t="s">
        <v>69</v>
      </c>
      <c r="F1454" t="s">
        <v>2898</v>
      </c>
      <c r="G1454" t="s">
        <v>15</v>
      </c>
      <c r="H1454" t="s">
        <v>2899</v>
      </c>
      <c r="I1454" t="s">
        <v>2900</v>
      </c>
      <c r="J1454" s="4">
        <v>46064.266067129633</v>
      </c>
    </row>
    <row r="1455" spans="1:10" x14ac:dyDescent="0.55000000000000004">
      <c r="A1455" t="s">
        <v>2901</v>
      </c>
      <c r="B1455">
        <v>100984</v>
      </c>
      <c r="C1455" t="s">
        <v>533</v>
      </c>
      <c r="D1455" s="3">
        <v>45892</v>
      </c>
      <c r="E1455" t="s">
        <v>317</v>
      </c>
      <c r="F1455" t="s">
        <v>2902</v>
      </c>
      <c r="G1455" t="s">
        <v>15</v>
      </c>
      <c r="H1455" t="s">
        <v>2903</v>
      </c>
      <c r="I1455" t="s">
        <v>2904</v>
      </c>
      <c r="J1455" s="4">
        <v>46071.607039351853</v>
      </c>
    </row>
    <row r="1456" spans="1:10" x14ac:dyDescent="0.55000000000000004">
      <c r="A1456" t="s">
        <v>2901</v>
      </c>
      <c r="B1456">
        <v>100984</v>
      </c>
      <c r="C1456" t="s">
        <v>533</v>
      </c>
      <c r="D1456" s="3">
        <v>45892</v>
      </c>
      <c r="E1456" t="s">
        <v>38</v>
      </c>
      <c r="F1456" t="s">
        <v>2902</v>
      </c>
      <c r="G1456" t="s">
        <v>15</v>
      </c>
      <c r="H1456" t="s">
        <v>2903</v>
      </c>
      <c r="I1456" t="s">
        <v>2904</v>
      </c>
      <c r="J1456" s="4">
        <v>46071.607039351853</v>
      </c>
    </row>
    <row r="1457" spans="1:10" x14ac:dyDescent="0.55000000000000004">
      <c r="A1457" t="s">
        <v>2901</v>
      </c>
      <c r="B1457">
        <v>100984</v>
      </c>
      <c r="C1457" t="s">
        <v>533</v>
      </c>
      <c r="D1457" s="3">
        <v>45892</v>
      </c>
      <c r="E1457" t="s">
        <v>155</v>
      </c>
      <c r="F1457" t="s">
        <v>2902</v>
      </c>
      <c r="G1457" t="s">
        <v>15</v>
      </c>
      <c r="H1457" t="s">
        <v>2903</v>
      </c>
      <c r="I1457" t="s">
        <v>2904</v>
      </c>
      <c r="J1457" s="4">
        <v>46071.607039351853</v>
      </c>
    </row>
    <row r="1458" spans="1:10" x14ac:dyDescent="0.55000000000000004">
      <c r="A1458" t="s">
        <v>2905</v>
      </c>
      <c r="B1458">
        <v>100851</v>
      </c>
      <c r="C1458" t="s">
        <v>19</v>
      </c>
      <c r="D1458" s="3">
        <v>45785</v>
      </c>
      <c r="E1458" t="s">
        <v>20</v>
      </c>
      <c r="F1458" t="s">
        <v>2906</v>
      </c>
      <c r="G1458" t="s">
        <v>22</v>
      </c>
      <c r="H1458" t="s">
        <v>2907</v>
      </c>
      <c r="I1458" t="s">
        <v>2908</v>
      </c>
      <c r="J1458" s="4">
        <v>46081.471622696758</v>
      </c>
    </row>
    <row r="1459" spans="1:10" x14ac:dyDescent="0.55000000000000004">
      <c r="A1459" t="s">
        <v>2905</v>
      </c>
      <c r="B1459">
        <v>100851</v>
      </c>
      <c r="C1459" t="s">
        <v>19</v>
      </c>
      <c r="D1459" s="3">
        <v>45785</v>
      </c>
      <c r="E1459" t="s">
        <v>115</v>
      </c>
      <c r="F1459" t="s">
        <v>2906</v>
      </c>
      <c r="G1459" t="s">
        <v>22</v>
      </c>
      <c r="H1459" t="s">
        <v>2907</v>
      </c>
      <c r="I1459" t="s">
        <v>2908</v>
      </c>
      <c r="J1459" s="4">
        <v>46081.471622696758</v>
      </c>
    </row>
    <row r="1460" spans="1:10" x14ac:dyDescent="0.55000000000000004">
      <c r="A1460" t="s">
        <v>2905</v>
      </c>
      <c r="B1460">
        <v>100851</v>
      </c>
      <c r="C1460" t="s">
        <v>19</v>
      </c>
      <c r="D1460" s="3">
        <v>45785</v>
      </c>
      <c r="E1460" t="s">
        <v>69</v>
      </c>
      <c r="F1460" t="s">
        <v>2906</v>
      </c>
      <c r="G1460" t="s">
        <v>22</v>
      </c>
      <c r="H1460" t="s">
        <v>2907</v>
      </c>
      <c r="I1460" t="s">
        <v>2908</v>
      </c>
      <c r="J1460" s="4">
        <v>46081.471622696758</v>
      </c>
    </row>
    <row r="1461" spans="1:10" x14ac:dyDescent="0.55000000000000004">
      <c r="A1461" t="s">
        <v>2909</v>
      </c>
      <c r="B1461">
        <v>100495</v>
      </c>
      <c r="C1461" t="s">
        <v>37</v>
      </c>
      <c r="D1461" s="3">
        <v>45744</v>
      </c>
      <c r="E1461" t="s">
        <v>317</v>
      </c>
      <c r="F1461" t="s">
        <v>2910</v>
      </c>
      <c r="G1461" t="s">
        <v>15</v>
      </c>
      <c r="H1461" t="s">
        <v>2911</v>
      </c>
      <c r="I1461" t="s">
        <v>2912</v>
      </c>
      <c r="J1461" s="4">
        <v>46052.575789363429</v>
      </c>
    </row>
    <row r="1462" spans="1:10" x14ac:dyDescent="0.55000000000000004">
      <c r="A1462" t="s">
        <v>2909</v>
      </c>
      <c r="B1462">
        <v>100495</v>
      </c>
      <c r="C1462" t="s">
        <v>37</v>
      </c>
      <c r="D1462" s="3">
        <v>45744</v>
      </c>
      <c r="E1462" t="s">
        <v>155</v>
      </c>
      <c r="F1462" t="s">
        <v>2910</v>
      </c>
      <c r="G1462" t="s">
        <v>15</v>
      </c>
      <c r="H1462" t="s">
        <v>2911</v>
      </c>
      <c r="I1462" t="s">
        <v>2912</v>
      </c>
      <c r="J1462" s="4">
        <v>46052.575789363429</v>
      </c>
    </row>
    <row r="1463" spans="1:10" x14ac:dyDescent="0.55000000000000004">
      <c r="A1463" t="s">
        <v>2909</v>
      </c>
      <c r="B1463">
        <v>100495</v>
      </c>
      <c r="C1463" t="s">
        <v>37</v>
      </c>
      <c r="D1463" s="3">
        <v>45744</v>
      </c>
      <c r="E1463" t="s">
        <v>115</v>
      </c>
      <c r="F1463" t="s">
        <v>2910</v>
      </c>
      <c r="G1463" t="s">
        <v>15</v>
      </c>
      <c r="H1463" t="s">
        <v>2911</v>
      </c>
      <c r="I1463" t="s">
        <v>2912</v>
      </c>
      <c r="J1463" s="4">
        <v>46052.575789363429</v>
      </c>
    </row>
    <row r="1464" spans="1:10" x14ac:dyDescent="0.55000000000000004">
      <c r="A1464" t="s">
        <v>2913</v>
      </c>
      <c r="B1464">
        <v>100848</v>
      </c>
      <c r="C1464" t="s">
        <v>37</v>
      </c>
      <c r="D1464" s="3">
        <v>46041</v>
      </c>
      <c r="E1464" t="s">
        <v>69</v>
      </c>
      <c r="F1464" t="s">
        <v>2914</v>
      </c>
      <c r="G1464" t="s">
        <v>15</v>
      </c>
      <c r="H1464" t="s">
        <v>2915</v>
      </c>
      <c r="I1464" t="s">
        <v>2916</v>
      </c>
      <c r="J1464" s="4">
        <v>46089.757039374999</v>
      </c>
    </row>
    <row r="1465" spans="1:10" x14ac:dyDescent="0.55000000000000004">
      <c r="A1465" t="s">
        <v>2917</v>
      </c>
      <c r="B1465">
        <v>101389</v>
      </c>
      <c r="C1465" t="s">
        <v>533</v>
      </c>
      <c r="D1465" s="3">
        <v>45861</v>
      </c>
      <c r="E1465" t="s">
        <v>155</v>
      </c>
      <c r="F1465" t="s">
        <v>2918</v>
      </c>
      <c r="G1465" t="s">
        <v>22</v>
      </c>
      <c r="H1465" t="s">
        <v>2919</v>
      </c>
      <c r="I1465" t="s">
        <v>2920</v>
      </c>
      <c r="J1465" s="4">
        <v>46080.138983819445</v>
      </c>
    </row>
    <row r="1466" spans="1:10" x14ac:dyDescent="0.55000000000000004">
      <c r="A1466" t="s">
        <v>2917</v>
      </c>
      <c r="B1466">
        <v>101389</v>
      </c>
      <c r="C1466" t="s">
        <v>533</v>
      </c>
      <c r="D1466" s="3">
        <v>45861</v>
      </c>
      <c r="E1466" t="s">
        <v>69</v>
      </c>
      <c r="F1466" t="s">
        <v>2918</v>
      </c>
      <c r="G1466" t="s">
        <v>22</v>
      </c>
      <c r="H1466" t="s">
        <v>2919</v>
      </c>
      <c r="I1466" t="s">
        <v>2920</v>
      </c>
      <c r="J1466" s="4">
        <v>46080.138983819445</v>
      </c>
    </row>
    <row r="1467" spans="1:10" x14ac:dyDescent="0.55000000000000004">
      <c r="A1467" t="s">
        <v>499</v>
      </c>
      <c r="B1467">
        <v>100276</v>
      </c>
      <c r="C1467" t="s">
        <v>68</v>
      </c>
      <c r="D1467" s="3">
        <v>45863</v>
      </c>
      <c r="E1467" t="s">
        <v>155</v>
      </c>
      <c r="F1467" t="s">
        <v>2921</v>
      </c>
      <c r="G1467" t="s">
        <v>22</v>
      </c>
      <c r="H1467" t="s">
        <v>2922</v>
      </c>
      <c r="I1467" t="s">
        <v>2923</v>
      </c>
      <c r="J1467" s="4">
        <v>46094.20217827546</v>
      </c>
    </row>
    <row r="1468" spans="1:10" x14ac:dyDescent="0.55000000000000004">
      <c r="A1468" t="s">
        <v>2924</v>
      </c>
      <c r="B1468">
        <v>100666</v>
      </c>
      <c r="C1468" t="s">
        <v>179</v>
      </c>
      <c r="D1468" s="3">
        <v>45902</v>
      </c>
      <c r="E1468" t="s">
        <v>20</v>
      </c>
      <c r="F1468" t="s">
        <v>2925</v>
      </c>
      <c r="G1468" t="s">
        <v>22</v>
      </c>
      <c r="H1468" t="s">
        <v>2926</v>
      </c>
      <c r="I1468" t="s">
        <v>2927</v>
      </c>
      <c r="J1468" s="4">
        <v>46086.119539386571</v>
      </c>
    </row>
    <row r="1469" spans="1:10" x14ac:dyDescent="0.55000000000000004">
      <c r="A1469" t="s">
        <v>2928</v>
      </c>
      <c r="B1469">
        <v>101057</v>
      </c>
      <c r="C1469" t="s">
        <v>37</v>
      </c>
      <c r="D1469" s="3">
        <v>45983</v>
      </c>
      <c r="E1469" t="s">
        <v>38</v>
      </c>
      <c r="F1469" t="s">
        <v>2929</v>
      </c>
      <c r="G1469" t="s">
        <v>22</v>
      </c>
      <c r="H1469" t="s">
        <v>2930</v>
      </c>
      <c r="I1469" t="s">
        <v>2931</v>
      </c>
      <c r="J1469" s="4">
        <v>46085.828567164353</v>
      </c>
    </row>
    <row r="1470" spans="1:10" x14ac:dyDescent="0.55000000000000004">
      <c r="A1470" t="s">
        <v>2932</v>
      </c>
      <c r="B1470">
        <v>100941</v>
      </c>
      <c r="C1470" t="s">
        <v>19</v>
      </c>
      <c r="D1470" s="3">
        <v>45787</v>
      </c>
      <c r="E1470" t="s">
        <v>38</v>
      </c>
      <c r="F1470" t="s">
        <v>2933</v>
      </c>
      <c r="G1470" t="s">
        <v>22</v>
      </c>
      <c r="H1470" t="s">
        <v>2934</v>
      </c>
      <c r="I1470" t="s">
        <v>2935</v>
      </c>
      <c r="J1470" s="4">
        <v>46083.873011620373</v>
      </c>
    </row>
    <row r="1471" spans="1:10" x14ac:dyDescent="0.55000000000000004">
      <c r="A1471" t="s">
        <v>2936</v>
      </c>
      <c r="B1471">
        <v>101284</v>
      </c>
      <c r="C1471" t="s">
        <v>533</v>
      </c>
      <c r="D1471" s="3">
        <v>45958</v>
      </c>
      <c r="E1471" t="s">
        <v>38</v>
      </c>
      <c r="F1471" t="s">
        <v>2937</v>
      </c>
      <c r="G1471" t="s">
        <v>15</v>
      </c>
      <c r="H1471" t="s">
        <v>452</v>
      </c>
      <c r="I1471" t="s">
        <v>2938</v>
      </c>
      <c r="J1471" s="4">
        <v>46092.93342828704</v>
      </c>
    </row>
    <row r="1472" spans="1:10" x14ac:dyDescent="0.55000000000000004">
      <c r="A1472" t="s">
        <v>2936</v>
      </c>
      <c r="B1472">
        <v>101284</v>
      </c>
      <c r="C1472" t="s">
        <v>533</v>
      </c>
      <c r="D1472" s="3">
        <v>45958</v>
      </c>
      <c r="E1472" t="s">
        <v>20</v>
      </c>
      <c r="F1472" t="s">
        <v>2937</v>
      </c>
      <c r="G1472" t="s">
        <v>15</v>
      </c>
      <c r="H1472" t="s">
        <v>452</v>
      </c>
      <c r="I1472" t="s">
        <v>2938</v>
      </c>
      <c r="J1472" s="4">
        <v>46092.93342828704</v>
      </c>
    </row>
    <row r="1473" spans="1:10" x14ac:dyDescent="0.55000000000000004">
      <c r="A1473" t="s">
        <v>2936</v>
      </c>
      <c r="B1473">
        <v>101284</v>
      </c>
      <c r="C1473" t="s">
        <v>533</v>
      </c>
      <c r="D1473" s="3">
        <v>45958</v>
      </c>
      <c r="E1473" t="s">
        <v>155</v>
      </c>
      <c r="F1473" t="s">
        <v>2937</v>
      </c>
      <c r="G1473" t="s">
        <v>15</v>
      </c>
      <c r="H1473" t="s">
        <v>452</v>
      </c>
      <c r="I1473" t="s">
        <v>2938</v>
      </c>
      <c r="J1473" s="4">
        <v>46092.93342828704</v>
      </c>
    </row>
    <row r="1474" spans="1:10" x14ac:dyDescent="0.55000000000000004">
      <c r="A1474" t="s">
        <v>2939</v>
      </c>
      <c r="B1474">
        <v>100803</v>
      </c>
      <c r="C1474" t="s">
        <v>248</v>
      </c>
      <c r="D1474" s="3">
        <v>46129</v>
      </c>
      <c r="E1474" t="s">
        <v>155</v>
      </c>
      <c r="F1474" t="s">
        <v>2940</v>
      </c>
      <c r="G1474" t="s">
        <v>15</v>
      </c>
      <c r="H1474" t="s">
        <v>2941</v>
      </c>
      <c r="I1474" t="s">
        <v>2942</v>
      </c>
      <c r="J1474" s="4">
        <v>46055.835511631944</v>
      </c>
    </row>
    <row r="1475" spans="1:10" x14ac:dyDescent="0.55000000000000004">
      <c r="A1475" t="s">
        <v>2939</v>
      </c>
      <c r="B1475">
        <v>100803</v>
      </c>
      <c r="C1475" t="s">
        <v>248</v>
      </c>
      <c r="D1475" s="3">
        <v>46129</v>
      </c>
      <c r="E1475" t="s">
        <v>69</v>
      </c>
      <c r="F1475" t="s">
        <v>2940</v>
      </c>
      <c r="G1475" t="s">
        <v>15</v>
      </c>
      <c r="H1475" t="s">
        <v>2941</v>
      </c>
      <c r="I1475" t="s">
        <v>2942</v>
      </c>
      <c r="J1475" s="4">
        <v>46055.835511631944</v>
      </c>
    </row>
    <row r="1476" spans="1:10" x14ac:dyDescent="0.55000000000000004">
      <c r="A1476" t="s">
        <v>2943</v>
      </c>
      <c r="B1476">
        <v>100470</v>
      </c>
      <c r="C1476" t="s">
        <v>37</v>
      </c>
      <c r="D1476" s="3">
        <v>45751</v>
      </c>
      <c r="E1476" t="s">
        <v>20</v>
      </c>
      <c r="F1476" t="s">
        <v>2944</v>
      </c>
      <c r="G1476" t="s">
        <v>22</v>
      </c>
      <c r="H1476" t="s">
        <v>2945</v>
      </c>
      <c r="I1476" t="s">
        <v>2946</v>
      </c>
      <c r="J1476" s="4">
        <v>46071.929261631944</v>
      </c>
    </row>
    <row r="1477" spans="1:10" x14ac:dyDescent="0.55000000000000004">
      <c r="A1477" t="s">
        <v>2943</v>
      </c>
      <c r="B1477">
        <v>100470</v>
      </c>
      <c r="C1477" t="s">
        <v>37</v>
      </c>
      <c r="D1477" s="3">
        <v>45751</v>
      </c>
      <c r="E1477" t="s">
        <v>115</v>
      </c>
      <c r="F1477" t="s">
        <v>2944</v>
      </c>
      <c r="G1477" t="s">
        <v>22</v>
      </c>
      <c r="H1477" t="s">
        <v>2945</v>
      </c>
      <c r="I1477" t="s">
        <v>2946</v>
      </c>
      <c r="J1477" s="4">
        <v>46071.929261631944</v>
      </c>
    </row>
    <row r="1478" spans="1:10" x14ac:dyDescent="0.55000000000000004">
      <c r="A1478" t="s">
        <v>2943</v>
      </c>
      <c r="B1478">
        <v>100470</v>
      </c>
      <c r="C1478" t="s">
        <v>37</v>
      </c>
      <c r="D1478" s="3">
        <v>45751</v>
      </c>
      <c r="E1478" t="s">
        <v>69</v>
      </c>
      <c r="F1478" t="s">
        <v>2944</v>
      </c>
      <c r="G1478" t="s">
        <v>22</v>
      </c>
      <c r="H1478" t="s">
        <v>2945</v>
      </c>
      <c r="I1478" t="s">
        <v>2946</v>
      </c>
      <c r="J1478" s="4">
        <v>46071.929261631944</v>
      </c>
    </row>
    <row r="1479" spans="1:10" x14ac:dyDescent="0.55000000000000004">
      <c r="A1479" t="s">
        <v>2947</v>
      </c>
      <c r="B1479">
        <v>100650</v>
      </c>
      <c r="C1479" t="s">
        <v>37</v>
      </c>
      <c r="D1479" s="3">
        <v>45995</v>
      </c>
      <c r="E1479" t="s">
        <v>317</v>
      </c>
      <c r="F1479" t="s">
        <v>2948</v>
      </c>
      <c r="G1479" t="s">
        <v>22</v>
      </c>
      <c r="H1479" t="s">
        <v>2949</v>
      </c>
      <c r="I1479" t="s">
        <v>2950</v>
      </c>
      <c r="J1479" s="4">
        <v>46092.977872754629</v>
      </c>
    </row>
    <row r="1480" spans="1:10" x14ac:dyDescent="0.55000000000000004">
      <c r="A1480" t="s">
        <v>2947</v>
      </c>
      <c r="B1480">
        <v>100650</v>
      </c>
      <c r="C1480" t="s">
        <v>37</v>
      </c>
      <c r="D1480" s="3">
        <v>45995</v>
      </c>
      <c r="E1480" t="s">
        <v>38</v>
      </c>
      <c r="F1480" t="s">
        <v>2948</v>
      </c>
      <c r="G1480" t="s">
        <v>22</v>
      </c>
      <c r="H1480" t="s">
        <v>2949</v>
      </c>
      <c r="I1480" t="s">
        <v>2950</v>
      </c>
      <c r="J1480" s="4">
        <v>46092.977872754629</v>
      </c>
    </row>
    <row r="1481" spans="1:10" x14ac:dyDescent="0.55000000000000004">
      <c r="A1481" t="s">
        <v>2947</v>
      </c>
      <c r="B1481">
        <v>100650</v>
      </c>
      <c r="C1481" t="s">
        <v>37</v>
      </c>
      <c r="D1481" s="3">
        <v>45995</v>
      </c>
      <c r="E1481" t="s">
        <v>69</v>
      </c>
      <c r="F1481" t="s">
        <v>2948</v>
      </c>
      <c r="G1481" t="s">
        <v>22</v>
      </c>
      <c r="H1481" t="s">
        <v>2949</v>
      </c>
      <c r="I1481" t="s">
        <v>2950</v>
      </c>
      <c r="J1481" s="4">
        <v>46092.977872754629</v>
      </c>
    </row>
    <row r="1482" spans="1:10" x14ac:dyDescent="0.55000000000000004">
      <c r="A1482" t="s">
        <v>2951</v>
      </c>
      <c r="B1482">
        <v>100370</v>
      </c>
      <c r="C1482" t="s">
        <v>248</v>
      </c>
      <c r="D1482" s="3">
        <v>45733</v>
      </c>
      <c r="E1482" t="s">
        <v>317</v>
      </c>
      <c r="F1482" t="s">
        <v>2952</v>
      </c>
      <c r="G1482" t="s">
        <v>15</v>
      </c>
      <c r="H1482" t="s">
        <v>2953</v>
      </c>
      <c r="I1482" t="s">
        <v>2954</v>
      </c>
      <c r="J1482" s="4">
        <v>46060.984817199074</v>
      </c>
    </row>
    <row r="1483" spans="1:10" x14ac:dyDescent="0.55000000000000004">
      <c r="A1483" t="s">
        <v>2951</v>
      </c>
      <c r="B1483">
        <v>100370</v>
      </c>
      <c r="C1483" t="s">
        <v>248</v>
      </c>
      <c r="D1483" s="3">
        <v>45733</v>
      </c>
      <c r="E1483" t="s">
        <v>69</v>
      </c>
      <c r="F1483" t="s">
        <v>2952</v>
      </c>
      <c r="G1483" t="s">
        <v>15</v>
      </c>
      <c r="H1483" t="s">
        <v>2953</v>
      </c>
      <c r="I1483" t="s">
        <v>2954</v>
      </c>
      <c r="J1483" s="4">
        <v>46060.984817199074</v>
      </c>
    </row>
    <row r="1484" spans="1:10" x14ac:dyDescent="0.55000000000000004">
      <c r="A1484" t="s">
        <v>2955</v>
      </c>
      <c r="B1484">
        <v>100443</v>
      </c>
      <c r="C1484" t="s">
        <v>68</v>
      </c>
      <c r="D1484" s="3">
        <v>45902</v>
      </c>
      <c r="E1484" t="s">
        <v>20</v>
      </c>
      <c r="F1484" t="s">
        <v>2956</v>
      </c>
      <c r="G1484" t="s">
        <v>15</v>
      </c>
      <c r="H1484" t="s">
        <v>2957</v>
      </c>
      <c r="I1484" t="s">
        <v>2958</v>
      </c>
      <c r="J1484" s="4">
        <v>46073.986206099537</v>
      </c>
    </row>
    <row r="1485" spans="1:10" x14ac:dyDescent="0.55000000000000004">
      <c r="A1485" t="s">
        <v>2955</v>
      </c>
      <c r="B1485">
        <v>100443</v>
      </c>
      <c r="C1485" t="s">
        <v>68</v>
      </c>
      <c r="D1485" s="3">
        <v>45902</v>
      </c>
      <c r="E1485" t="s">
        <v>155</v>
      </c>
      <c r="F1485" t="s">
        <v>2956</v>
      </c>
      <c r="G1485" t="s">
        <v>15</v>
      </c>
      <c r="H1485" t="s">
        <v>2957</v>
      </c>
      <c r="I1485" t="s">
        <v>2958</v>
      </c>
      <c r="J1485" s="4">
        <v>46073.986206099537</v>
      </c>
    </row>
    <row r="1486" spans="1:10" x14ac:dyDescent="0.55000000000000004">
      <c r="A1486" t="s">
        <v>2955</v>
      </c>
      <c r="B1486">
        <v>100443</v>
      </c>
      <c r="C1486" t="s">
        <v>68</v>
      </c>
      <c r="D1486" s="3">
        <v>45902</v>
      </c>
      <c r="E1486" t="s">
        <v>69</v>
      </c>
      <c r="F1486" t="s">
        <v>2956</v>
      </c>
      <c r="G1486" t="s">
        <v>15</v>
      </c>
      <c r="H1486" t="s">
        <v>2957</v>
      </c>
      <c r="I1486" t="s">
        <v>2958</v>
      </c>
      <c r="J1486" s="4">
        <v>46073.986206099537</v>
      </c>
    </row>
    <row r="1487" spans="1:10" x14ac:dyDescent="0.55000000000000004">
      <c r="A1487" t="s">
        <v>2959</v>
      </c>
      <c r="B1487">
        <v>100108</v>
      </c>
      <c r="C1487" t="s">
        <v>68</v>
      </c>
      <c r="D1487" s="3">
        <v>45773</v>
      </c>
      <c r="E1487" t="s">
        <v>20</v>
      </c>
      <c r="F1487" t="s">
        <v>2960</v>
      </c>
      <c r="G1487" t="s">
        <v>15</v>
      </c>
      <c r="H1487" t="s">
        <v>2961</v>
      </c>
      <c r="I1487" t="s">
        <v>2962</v>
      </c>
      <c r="J1487" s="4">
        <v>46062.690372766207</v>
      </c>
    </row>
    <row r="1488" spans="1:10" x14ac:dyDescent="0.55000000000000004">
      <c r="A1488" t="s">
        <v>2959</v>
      </c>
      <c r="B1488">
        <v>100108</v>
      </c>
      <c r="C1488" t="s">
        <v>68</v>
      </c>
      <c r="D1488" s="3">
        <v>45773</v>
      </c>
      <c r="E1488" t="s">
        <v>115</v>
      </c>
      <c r="F1488" t="s">
        <v>2960</v>
      </c>
      <c r="G1488" t="s">
        <v>15</v>
      </c>
      <c r="H1488" t="s">
        <v>2961</v>
      </c>
      <c r="I1488" t="s">
        <v>2962</v>
      </c>
      <c r="J1488" s="4">
        <v>46062.690372766207</v>
      </c>
    </row>
    <row r="1489" spans="1:10" x14ac:dyDescent="0.55000000000000004">
      <c r="A1489" t="s">
        <v>2963</v>
      </c>
      <c r="B1489">
        <v>101411</v>
      </c>
      <c r="C1489" t="s">
        <v>179</v>
      </c>
      <c r="D1489" s="3">
        <v>46070</v>
      </c>
      <c r="E1489" t="s">
        <v>20</v>
      </c>
      <c r="F1489" t="s">
        <v>2964</v>
      </c>
      <c r="G1489" t="s">
        <v>22</v>
      </c>
      <c r="H1489" t="s">
        <v>2965</v>
      </c>
      <c r="I1489" t="s">
        <v>2966</v>
      </c>
      <c r="J1489" s="4">
        <v>46090.849400555555</v>
      </c>
    </row>
    <row r="1490" spans="1:10" x14ac:dyDescent="0.55000000000000004">
      <c r="A1490" t="s">
        <v>2967</v>
      </c>
      <c r="B1490">
        <v>101238</v>
      </c>
      <c r="C1490" t="s">
        <v>68</v>
      </c>
      <c r="D1490" s="3">
        <v>45981</v>
      </c>
      <c r="E1490" t="s">
        <v>317</v>
      </c>
      <c r="F1490" t="s">
        <v>2968</v>
      </c>
      <c r="G1490" t="s">
        <v>22</v>
      </c>
      <c r="H1490" t="s">
        <v>2969</v>
      </c>
      <c r="I1490" t="s">
        <v>2970</v>
      </c>
      <c r="J1490" s="4">
        <v>46085.547317222219</v>
      </c>
    </row>
    <row r="1491" spans="1:10" x14ac:dyDescent="0.55000000000000004">
      <c r="A1491" t="s">
        <v>2971</v>
      </c>
      <c r="B1491">
        <v>100012</v>
      </c>
      <c r="C1491" t="s">
        <v>37</v>
      </c>
      <c r="D1491" s="3">
        <v>45830</v>
      </c>
      <c r="E1491" t="s">
        <v>317</v>
      </c>
      <c r="F1491" t="s">
        <v>2972</v>
      </c>
      <c r="G1491" t="s">
        <v>15</v>
      </c>
      <c r="H1491" t="s">
        <v>2973</v>
      </c>
      <c r="I1491" t="s">
        <v>2974</v>
      </c>
      <c r="J1491" s="4">
        <v>46066.193150567131</v>
      </c>
    </row>
    <row r="1492" spans="1:10" x14ac:dyDescent="0.55000000000000004">
      <c r="A1492" t="s">
        <v>2975</v>
      </c>
      <c r="B1492">
        <v>100349</v>
      </c>
      <c r="C1492" t="s">
        <v>37</v>
      </c>
      <c r="D1492" s="3">
        <v>46137</v>
      </c>
      <c r="E1492" t="s">
        <v>317</v>
      </c>
      <c r="F1492" t="s">
        <v>2976</v>
      </c>
      <c r="G1492" t="s">
        <v>22</v>
      </c>
      <c r="H1492" t="s">
        <v>2977</v>
      </c>
      <c r="I1492" t="s">
        <v>2978</v>
      </c>
      <c r="J1492" s="4">
        <v>46096.693845011578</v>
      </c>
    </row>
    <row r="1493" spans="1:10" x14ac:dyDescent="0.55000000000000004">
      <c r="A1493" t="s">
        <v>2975</v>
      </c>
      <c r="B1493">
        <v>100349</v>
      </c>
      <c r="C1493" t="s">
        <v>37</v>
      </c>
      <c r="D1493" s="3">
        <v>46137</v>
      </c>
      <c r="E1493" t="s">
        <v>20</v>
      </c>
      <c r="F1493" t="s">
        <v>2976</v>
      </c>
      <c r="G1493" t="s">
        <v>22</v>
      </c>
      <c r="H1493" t="s">
        <v>2977</v>
      </c>
      <c r="I1493" t="s">
        <v>2978</v>
      </c>
      <c r="J1493" s="4">
        <v>46096.693845011578</v>
      </c>
    </row>
    <row r="1494" spans="1:10" x14ac:dyDescent="0.55000000000000004">
      <c r="A1494" t="s">
        <v>2975</v>
      </c>
      <c r="B1494">
        <v>100349</v>
      </c>
      <c r="C1494" t="s">
        <v>37</v>
      </c>
      <c r="D1494" s="3">
        <v>46137</v>
      </c>
      <c r="E1494" t="s">
        <v>69</v>
      </c>
      <c r="F1494" t="s">
        <v>2976</v>
      </c>
      <c r="G1494" t="s">
        <v>22</v>
      </c>
      <c r="H1494" t="s">
        <v>2977</v>
      </c>
      <c r="I1494" t="s">
        <v>2978</v>
      </c>
      <c r="J1494" s="4">
        <v>46096.693845011578</v>
      </c>
    </row>
    <row r="1495" spans="1:10" x14ac:dyDescent="0.55000000000000004">
      <c r="A1495" t="s">
        <v>2979</v>
      </c>
      <c r="B1495">
        <v>101323</v>
      </c>
      <c r="C1495" t="s">
        <v>68</v>
      </c>
      <c r="D1495" s="3">
        <v>45760</v>
      </c>
      <c r="E1495" t="s">
        <v>317</v>
      </c>
      <c r="F1495" t="s">
        <v>2980</v>
      </c>
      <c r="G1495" t="s">
        <v>22</v>
      </c>
      <c r="H1495" t="s">
        <v>2981</v>
      </c>
      <c r="I1495" t="s">
        <v>2982</v>
      </c>
      <c r="J1495" s="4">
        <v>46090.445233900464</v>
      </c>
    </row>
    <row r="1496" spans="1:10" x14ac:dyDescent="0.55000000000000004">
      <c r="A1496" t="s">
        <v>2979</v>
      </c>
      <c r="B1496">
        <v>101323</v>
      </c>
      <c r="C1496" t="s">
        <v>68</v>
      </c>
      <c r="D1496" s="3">
        <v>45760</v>
      </c>
      <c r="E1496" t="s">
        <v>155</v>
      </c>
      <c r="F1496" t="s">
        <v>2980</v>
      </c>
      <c r="G1496" t="s">
        <v>22</v>
      </c>
      <c r="H1496" t="s">
        <v>2981</v>
      </c>
      <c r="I1496" t="s">
        <v>2982</v>
      </c>
      <c r="J1496" s="4">
        <v>46090.445233900464</v>
      </c>
    </row>
    <row r="1497" spans="1:10" x14ac:dyDescent="0.55000000000000004">
      <c r="A1497" t="s">
        <v>2983</v>
      </c>
      <c r="B1497">
        <v>100518</v>
      </c>
      <c r="C1497" t="s">
        <v>19</v>
      </c>
      <c r="D1497" s="3">
        <v>45966</v>
      </c>
      <c r="E1497" t="s">
        <v>317</v>
      </c>
      <c r="F1497" t="s">
        <v>2984</v>
      </c>
      <c r="G1497" t="s">
        <v>15</v>
      </c>
      <c r="H1497" t="s">
        <v>2985</v>
      </c>
      <c r="I1497" t="s">
        <v>2986</v>
      </c>
      <c r="J1497" s="4">
        <v>46095.545233912038</v>
      </c>
    </row>
    <row r="1498" spans="1:10" x14ac:dyDescent="0.55000000000000004">
      <c r="A1498" t="s">
        <v>2983</v>
      </c>
      <c r="B1498">
        <v>100518</v>
      </c>
      <c r="C1498" t="s">
        <v>19</v>
      </c>
      <c r="D1498" s="3">
        <v>45966</v>
      </c>
      <c r="E1498" t="s">
        <v>38</v>
      </c>
      <c r="F1498" t="s">
        <v>2984</v>
      </c>
      <c r="G1498" t="s">
        <v>15</v>
      </c>
      <c r="H1498" t="s">
        <v>2985</v>
      </c>
      <c r="I1498" t="s">
        <v>2986</v>
      </c>
      <c r="J1498" s="4">
        <v>46095.545233912038</v>
      </c>
    </row>
    <row r="1499" spans="1:10" x14ac:dyDescent="0.55000000000000004">
      <c r="A1499" t="s">
        <v>2983</v>
      </c>
      <c r="B1499">
        <v>100518</v>
      </c>
      <c r="C1499" t="s">
        <v>19</v>
      </c>
      <c r="D1499" s="3">
        <v>45966</v>
      </c>
      <c r="E1499" t="s">
        <v>115</v>
      </c>
      <c r="F1499" t="s">
        <v>2984</v>
      </c>
      <c r="G1499" t="s">
        <v>15</v>
      </c>
      <c r="H1499" t="s">
        <v>2985</v>
      </c>
      <c r="I1499" t="s">
        <v>2986</v>
      </c>
      <c r="J1499" s="4">
        <v>46095.545233912038</v>
      </c>
    </row>
    <row r="1500" spans="1:10" x14ac:dyDescent="0.55000000000000004">
      <c r="A1500" t="s">
        <v>2987</v>
      </c>
      <c r="B1500">
        <v>100862</v>
      </c>
      <c r="C1500" t="s">
        <v>19</v>
      </c>
      <c r="D1500" s="3">
        <v>46066</v>
      </c>
      <c r="E1500" t="s">
        <v>69</v>
      </c>
      <c r="F1500" t="s">
        <v>2988</v>
      </c>
      <c r="G1500" t="s">
        <v>15</v>
      </c>
      <c r="H1500" t="s">
        <v>2989</v>
      </c>
      <c r="I1500" t="s">
        <v>2990</v>
      </c>
      <c r="J1500" s="4">
        <v>46081.748706134262</v>
      </c>
    </row>
    <row r="1501" spans="1:10" x14ac:dyDescent="0.55000000000000004">
      <c r="A1501" t="s">
        <v>2991</v>
      </c>
      <c r="B1501">
        <v>100379</v>
      </c>
      <c r="C1501" t="s">
        <v>533</v>
      </c>
      <c r="D1501" s="3">
        <v>45739</v>
      </c>
      <c r="E1501" t="s">
        <v>317</v>
      </c>
      <c r="F1501" t="s">
        <v>2992</v>
      </c>
      <c r="G1501" t="s">
        <v>15</v>
      </c>
      <c r="H1501" t="s">
        <v>2993</v>
      </c>
      <c r="I1501" t="s">
        <v>2994</v>
      </c>
      <c r="J1501" s="4">
        <v>46078.607733923614</v>
      </c>
    </row>
    <row r="1502" spans="1:10" x14ac:dyDescent="0.55000000000000004">
      <c r="A1502" t="s">
        <v>2995</v>
      </c>
      <c r="B1502">
        <v>100677</v>
      </c>
      <c r="C1502" t="s">
        <v>179</v>
      </c>
      <c r="D1502" s="3">
        <v>46044</v>
      </c>
      <c r="E1502" t="s">
        <v>38</v>
      </c>
      <c r="F1502" t="s">
        <v>2996</v>
      </c>
      <c r="G1502" t="s">
        <v>15</v>
      </c>
      <c r="H1502" t="s">
        <v>2997</v>
      </c>
      <c r="I1502" t="s">
        <v>2998</v>
      </c>
      <c r="J1502" s="4">
        <v>46091.584122812499</v>
      </c>
    </row>
    <row r="1503" spans="1:10" x14ac:dyDescent="0.55000000000000004">
      <c r="A1503" t="s">
        <v>2999</v>
      </c>
      <c r="B1503">
        <v>101208</v>
      </c>
      <c r="C1503" t="s">
        <v>19</v>
      </c>
      <c r="D1503" s="3">
        <v>46036</v>
      </c>
      <c r="E1503" t="s">
        <v>317</v>
      </c>
      <c r="F1503" t="s">
        <v>3000</v>
      </c>
      <c r="G1503" t="s">
        <v>22</v>
      </c>
      <c r="H1503" t="s">
        <v>3001</v>
      </c>
      <c r="I1503" t="s">
        <v>3002</v>
      </c>
      <c r="J1503" s="4">
        <v>46075.781345034724</v>
      </c>
    </row>
    <row r="1504" spans="1:10" x14ac:dyDescent="0.55000000000000004">
      <c r="A1504" t="s">
        <v>2999</v>
      </c>
      <c r="B1504">
        <v>101208</v>
      </c>
      <c r="C1504" t="s">
        <v>19</v>
      </c>
      <c r="D1504" s="3">
        <v>46036</v>
      </c>
      <c r="E1504" t="s">
        <v>155</v>
      </c>
      <c r="F1504" t="s">
        <v>3000</v>
      </c>
      <c r="G1504" t="s">
        <v>22</v>
      </c>
      <c r="H1504" t="s">
        <v>3001</v>
      </c>
      <c r="I1504" t="s">
        <v>3002</v>
      </c>
      <c r="J1504" s="4">
        <v>46075.781345034724</v>
      </c>
    </row>
    <row r="1505" spans="1:10" x14ac:dyDescent="0.55000000000000004">
      <c r="A1505" t="s">
        <v>2999</v>
      </c>
      <c r="B1505">
        <v>101208</v>
      </c>
      <c r="C1505" t="s">
        <v>19</v>
      </c>
      <c r="D1505" s="3">
        <v>46036</v>
      </c>
      <c r="E1505" t="s">
        <v>115</v>
      </c>
      <c r="F1505" t="s">
        <v>3000</v>
      </c>
      <c r="G1505" t="s">
        <v>22</v>
      </c>
      <c r="H1505" t="s">
        <v>3001</v>
      </c>
      <c r="I1505" t="s">
        <v>3002</v>
      </c>
      <c r="J1505" s="4">
        <v>46075.781345034724</v>
      </c>
    </row>
    <row r="1506" spans="1:10" x14ac:dyDescent="0.55000000000000004">
      <c r="A1506" t="s">
        <v>3003</v>
      </c>
      <c r="B1506">
        <v>100545</v>
      </c>
      <c r="C1506" t="s">
        <v>179</v>
      </c>
      <c r="D1506" s="3">
        <v>45898</v>
      </c>
      <c r="E1506" t="s">
        <v>317</v>
      </c>
      <c r="F1506" t="s">
        <v>3004</v>
      </c>
      <c r="G1506" t="s">
        <v>15</v>
      </c>
      <c r="H1506" t="s">
        <v>3005</v>
      </c>
      <c r="I1506" t="s">
        <v>3006</v>
      </c>
      <c r="J1506" s="4">
        <v>46077.443150601852</v>
      </c>
    </row>
    <row r="1507" spans="1:10" x14ac:dyDescent="0.55000000000000004">
      <c r="A1507" t="s">
        <v>3007</v>
      </c>
      <c r="B1507">
        <v>100355</v>
      </c>
      <c r="C1507" t="s">
        <v>37</v>
      </c>
      <c r="D1507" s="3">
        <v>46035</v>
      </c>
      <c r="E1507" t="s">
        <v>20</v>
      </c>
      <c r="F1507" t="s">
        <v>3008</v>
      </c>
      <c r="G1507" t="s">
        <v>15</v>
      </c>
      <c r="H1507" t="s">
        <v>3009</v>
      </c>
      <c r="I1507" t="s">
        <v>3010</v>
      </c>
      <c r="J1507" s="4">
        <v>46090.357039490744</v>
      </c>
    </row>
    <row r="1508" spans="1:10" x14ac:dyDescent="0.55000000000000004">
      <c r="A1508" t="s">
        <v>3011</v>
      </c>
      <c r="B1508">
        <v>100042</v>
      </c>
      <c r="C1508" t="s">
        <v>533</v>
      </c>
      <c r="D1508" s="3">
        <v>46119</v>
      </c>
      <c r="E1508" t="s">
        <v>20</v>
      </c>
      <c r="F1508" t="s">
        <v>3012</v>
      </c>
      <c r="G1508" t="s">
        <v>15</v>
      </c>
      <c r="H1508" t="s">
        <v>3013</v>
      </c>
      <c r="I1508" t="s">
        <v>3014</v>
      </c>
      <c r="J1508" s="4">
        <v>46069.40009505787</v>
      </c>
    </row>
    <row r="1509" spans="1:10" x14ac:dyDescent="0.55000000000000004">
      <c r="A1509" t="s">
        <v>3011</v>
      </c>
      <c r="B1509">
        <v>100042</v>
      </c>
      <c r="C1509" t="s">
        <v>533</v>
      </c>
      <c r="D1509" s="3">
        <v>46119</v>
      </c>
      <c r="E1509" t="s">
        <v>115</v>
      </c>
      <c r="F1509" t="s">
        <v>3012</v>
      </c>
      <c r="G1509" t="s">
        <v>15</v>
      </c>
      <c r="H1509" t="s">
        <v>3013</v>
      </c>
      <c r="I1509" t="s">
        <v>3014</v>
      </c>
      <c r="J1509" s="4">
        <v>46069.40009505787</v>
      </c>
    </row>
    <row r="1510" spans="1:10" x14ac:dyDescent="0.55000000000000004">
      <c r="A1510" t="s">
        <v>3015</v>
      </c>
      <c r="B1510">
        <v>100579</v>
      </c>
      <c r="C1510" t="s">
        <v>19</v>
      </c>
      <c r="D1510" s="3">
        <v>45752</v>
      </c>
      <c r="E1510" t="s">
        <v>155</v>
      </c>
      <c r="F1510" t="s">
        <v>3016</v>
      </c>
      <c r="G1510" t="s">
        <v>22</v>
      </c>
      <c r="H1510" t="s">
        <v>3017</v>
      </c>
      <c r="I1510" t="s">
        <v>3018</v>
      </c>
      <c r="J1510" s="4">
        <v>46087.723706168981</v>
      </c>
    </row>
    <row r="1511" spans="1:10" x14ac:dyDescent="0.55000000000000004">
      <c r="A1511" t="s">
        <v>3019</v>
      </c>
      <c r="B1511">
        <v>100123</v>
      </c>
      <c r="C1511" t="s">
        <v>19</v>
      </c>
      <c r="D1511" s="3">
        <v>45773</v>
      </c>
      <c r="E1511" t="s">
        <v>155</v>
      </c>
      <c r="F1511" t="s">
        <v>3020</v>
      </c>
      <c r="G1511" t="s">
        <v>15</v>
      </c>
      <c r="H1511" t="s">
        <v>3021</v>
      </c>
      <c r="I1511" t="s">
        <v>3022</v>
      </c>
      <c r="J1511" s="4">
        <v>46091.81953951389</v>
      </c>
    </row>
    <row r="1512" spans="1:10" x14ac:dyDescent="0.55000000000000004">
      <c r="A1512" t="s">
        <v>3023</v>
      </c>
      <c r="B1512">
        <v>101167</v>
      </c>
      <c r="C1512" t="s">
        <v>19</v>
      </c>
      <c r="D1512" s="3">
        <v>45877</v>
      </c>
      <c r="E1512" t="s">
        <v>317</v>
      </c>
      <c r="F1512" t="s">
        <v>3024</v>
      </c>
      <c r="G1512" t="s">
        <v>15</v>
      </c>
      <c r="H1512" t="s">
        <v>3025</v>
      </c>
      <c r="I1512" t="s">
        <v>3026</v>
      </c>
      <c r="J1512" s="4">
        <v>46084.542456180556</v>
      </c>
    </row>
    <row r="1513" spans="1:10" x14ac:dyDescent="0.55000000000000004">
      <c r="A1513" t="s">
        <v>3023</v>
      </c>
      <c r="B1513">
        <v>101167</v>
      </c>
      <c r="C1513" t="s">
        <v>19</v>
      </c>
      <c r="D1513" s="3">
        <v>45877</v>
      </c>
      <c r="E1513" t="s">
        <v>69</v>
      </c>
      <c r="F1513" t="s">
        <v>3024</v>
      </c>
      <c r="G1513" t="s">
        <v>15</v>
      </c>
      <c r="H1513" t="s">
        <v>3025</v>
      </c>
      <c r="I1513" t="s">
        <v>3026</v>
      </c>
      <c r="J1513" s="4">
        <v>46084.542456180556</v>
      </c>
    </row>
    <row r="1514" spans="1:10" x14ac:dyDescent="0.55000000000000004">
      <c r="A1514" t="s">
        <v>3027</v>
      </c>
      <c r="B1514">
        <v>100700</v>
      </c>
      <c r="C1514" t="s">
        <v>248</v>
      </c>
      <c r="D1514" s="3">
        <v>45999</v>
      </c>
      <c r="E1514" t="s">
        <v>115</v>
      </c>
      <c r="F1514" t="s">
        <v>3028</v>
      </c>
      <c r="G1514" t="s">
        <v>15</v>
      </c>
      <c r="H1514" t="s">
        <v>3029</v>
      </c>
      <c r="I1514" t="s">
        <v>3030</v>
      </c>
      <c r="J1514" s="4">
        <v>46057.762595069442</v>
      </c>
    </row>
    <row r="1515" spans="1:10" x14ac:dyDescent="0.55000000000000004">
      <c r="A1515" t="s">
        <v>3027</v>
      </c>
      <c r="B1515">
        <v>100700</v>
      </c>
      <c r="C1515" t="s">
        <v>248</v>
      </c>
      <c r="D1515" s="3">
        <v>45999</v>
      </c>
      <c r="E1515" t="s">
        <v>69</v>
      </c>
      <c r="F1515" t="s">
        <v>3028</v>
      </c>
      <c r="G1515" t="s">
        <v>15</v>
      </c>
      <c r="H1515" t="s">
        <v>3029</v>
      </c>
      <c r="I1515" t="s">
        <v>3030</v>
      </c>
      <c r="J1515" s="4">
        <v>46057.762595069442</v>
      </c>
    </row>
    <row r="1516" spans="1:10" x14ac:dyDescent="0.55000000000000004">
      <c r="A1516" t="s">
        <v>3031</v>
      </c>
      <c r="B1516">
        <v>101020</v>
      </c>
      <c r="C1516" t="s">
        <v>37</v>
      </c>
      <c r="D1516" s="3">
        <v>46037</v>
      </c>
      <c r="E1516" t="s">
        <v>317</v>
      </c>
      <c r="F1516" t="s">
        <v>3032</v>
      </c>
      <c r="G1516" t="s">
        <v>22</v>
      </c>
      <c r="H1516" t="s">
        <v>3033</v>
      </c>
      <c r="I1516" t="s">
        <v>3034</v>
      </c>
      <c r="J1516" s="4">
        <v>46058.620928414355</v>
      </c>
    </row>
    <row r="1517" spans="1:10" x14ac:dyDescent="0.55000000000000004">
      <c r="A1517" t="s">
        <v>3035</v>
      </c>
      <c r="B1517">
        <v>100959</v>
      </c>
      <c r="C1517" t="s">
        <v>68</v>
      </c>
      <c r="D1517" s="3">
        <v>45910</v>
      </c>
      <c r="E1517" t="s">
        <v>38</v>
      </c>
      <c r="F1517" t="s">
        <v>3036</v>
      </c>
      <c r="G1517" t="s">
        <v>15</v>
      </c>
      <c r="H1517" t="s">
        <v>3037</v>
      </c>
      <c r="I1517" t="s">
        <v>3038</v>
      </c>
      <c r="J1517" s="4">
        <v>46085.579261747684</v>
      </c>
    </row>
    <row r="1518" spans="1:10" x14ac:dyDescent="0.55000000000000004">
      <c r="A1518" t="s">
        <v>3035</v>
      </c>
      <c r="B1518">
        <v>100959</v>
      </c>
      <c r="C1518" t="s">
        <v>68</v>
      </c>
      <c r="D1518" s="3">
        <v>45910</v>
      </c>
      <c r="E1518" t="s">
        <v>155</v>
      </c>
      <c r="F1518" t="s">
        <v>3036</v>
      </c>
      <c r="G1518" t="s">
        <v>15</v>
      </c>
      <c r="H1518" t="s">
        <v>3037</v>
      </c>
      <c r="I1518" t="s">
        <v>3038</v>
      </c>
      <c r="J1518" s="4">
        <v>46085.579261747684</v>
      </c>
    </row>
    <row r="1519" spans="1:10" x14ac:dyDescent="0.55000000000000004">
      <c r="A1519" t="s">
        <v>3039</v>
      </c>
      <c r="B1519">
        <v>101124</v>
      </c>
      <c r="C1519" t="s">
        <v>19</v>
      </c>
      <c r="D1519" s="3">
        <v>45780</v>
      </c>
      <c r="E1519" t="s">
        <v>38</v>
      </c>
      <c r="F1519" t="s">
        <v>3040</v>
      </c>
      <c r="G1519" t="s">
        <v>22</v>
      </c>
      <c r="H1519" t="s">
        <v>3041</v>
      </c>
      <c r="I1519" t="s">
        <v>3042</v>
      </c>
      <c r="J1519" s="4">
        <v>46056.808428425924</v>
      </c>
    </row>
    <row r="1520" spans="1:10" x14ac:dyDescent="0.55000000000000004">
      <c r="A1520" t="s">
        <v>3039</v>
      </c>
      <c r="B1520">
        <v>101124</v>
      </c>
      <c r="C1520" t="s">
        <v>19</v>
      </c>
      <c r="D1520" s="3">
        <v>45780</v>
      </c>
      <c r="E1520" t="s">
        <v>20</v>
      </c>
      <c r="F1520" t="s">
        <v>3040</v>
      </c>
      <c r="G1520" t="s">
        <v>22</v>
      </c>
      <c r="H1520" t="s">
        <v>3041</v>
      </c>
      <c r="I1520" t="s">
        <v>3042</v>
      </c>
      <c r="J1520" s="4">
        <v>46056.808428425924</v>
      </c>
    </row>
    <row r="1521" spans="1:10" x14ac:dyDescent="0.55000000000000004">
      <c r="A1521" t="s">
        <v>3039</v>
      </c>
      <c r="B1521">
        <v>101124</v>
      </c>
      <c r="C1521" t="s">
        <v>19</v>
      </c>
      <c r="D1521" s="3">
        <v>45780</v>
      </c>
      <c r="E1521" t="s">
        <v>115</v>
      </c>
      <c r="F1521" t="s">
        <v>3040</v>
      </c>
      <c r="G1521" t="s">
        <v>22</v>
      </c>
      <c r="H1521" t="s">
        <v>3041</v>
      </c>
      <c r="I1521" t="s">
        <v>3042</v>
      </c>
      <c r="J1521" s="4">
        <v>46056.808428425924</v>
      </c>
    </row>
    <row r="1522" spans="1:10" x14ac:dyDescent="0.55000000000000004">
      <c r="A1522" t="s">
        <v>3043</v>
      </c>
      <c r="B1522">
        <v>100248</v>
      </c>
      <c r="C1522" t="s">
        <v>248</v>
      </c>
      <c r="D1522" s="3">
        <v>45873</v>
      </c>
      <c r="E1522" t="s">
        <v>115</v>
      </c>
      <c r="F1522" t="s">
        <v>3044</v>
      </c>
      <c r="G1522" t="s">
        <v>15</v>
      </c>
      <c r="H1522" t="s">
        <v>3045</v>
      </c>
      <c r="I1522" t="s">
        <v>3046</v>
      </c>
      <c r="J1522" s="4">
        <v>46087.771622870372</v>
      </c>
    </row>
    <row r="1523" spans="1:10" x14ac:dyDescent="0.55000000000000004">
      <c r="A1523" t="s">
        <v>3047</v>
      </c>
      <c r="B1523">
        <v>101231</v>
      </c>
      <c r="C1523" t="s">
        <v>19</v>
      </c>
      <c r="D1523" s="3">
        <v>45986</v>
      </c>
      <c r="E1523" t="s">
        <v>115</v>
      </c>
      <c r="F1523" t="s">
        <v>3048</v>
      </c>
      <c r="G1523" t="s">
        <v>15</v>
      </c>
      <c r="H1523" t="s">
        <v>3049</v>
      </c>
      <c r="I1523" t="s">
        <v>3050</v>
      </c>
      <c r="J1523" s="4">
        <v>46093.82926175926</v>
      </c>
    </row>
    <row r="1524" spans="1:10" x14ac:dyDescent="0.55000000000000004">
      <c r="A1524" t="s">
        <v>3051</v>
      </c>
      <c r="B1524">
        <v>101051</v>
      </c>
      <c r="C1524" t="s">
        <v>68</v>
      </c>
      <c r="D1524" s="3">
        <v>45877</v>
      </c>
      <c r="E1524" t="s">
        <v>69</v>
      </c>
      <c r="F1524" t="s">
        <v>3052</v>
      </c>
      <c r="G1524" t="s">
        <v>22</v>
      </c>
      <c r="H1524" t="s">
        <v>3053</v>
      </c>
      <c r="I1524" t="s">
        <v>3054</v>
      </c>
      <c r="J1524" s="4">
        <v>46075.868845104167</v>
      </c>
    </row>
    <row r="1525" spans="1:10" x14ac:dyDescent="0.55000000000000004">
      <c r="A1525" t="s">
        <v>3055</v>
      </c>
      <c r="B1525">
        <v>101219</v>
      </c>
      <c r="C1525" t="s">
        <v>179</v>
      </c>
      <c r="D1525" s="3">
        <v>45754</v>
      </c>
      <c r="E1525" t="s">
        <v>317</v>
      </c>
      <c r="F1525" t="s">
        <v>3056</v>
      </c>
      <c r="G1525" t="s">
        <v>15</v>
      </c>
      <c r="H1525" t="s">
        <v>3057</v>
      </c>
      <c r="I1525" t="s">
        <v>3058</v>
      </c>
      <c r="J1525" s="4">
        <v>46063.4959284375</v>
      </c>
    </row>
    <row r="1526" spans="1:10" x14ac:dyDescent="0.55000000000000004">
      <c r="A1526" t="s">
        <v>3059</v>
      </c>
      <c r="B1526">
        <v>100077</v>
      </c>
      <c r="C1526" t="s">
        <v>533</v>
      </c>
      <c r="D1526" s="3">
        <v>46134</v>
      </c>
      <c r="E1526" t="s">
        <v>69</v>
      </c>
      <c r="F1526" t="s">
        <v>3060</v>
      </c>
      <c r="G1526" t="s">
        <v>15</v>
      </c>
      <c r="H1526" t="s">
        <v>3061</v>
      </c>
      <c r="I1526" t="s">
        <v>3062</v>
      </c>
      <c r="J1526" s="4">
        <v>46093.411900671294</v>
      </c>
    </row>
    <row r="1527" spans="1:10" x14ac:dyDescent="0.55000000000000004">
      <c r="A1527" t="s">
        <v>3063</v>
      </c>
      <c r="B1527">
        <v>101376</v>
      </c>
      <c r="C1527" t="s">
        <v>179</v>
      </c>
      <c r="D1527" s="3">
        <v>46035</v>
      </c>
      <c r="E1527" t="s">
        <v>20</v>
      </c>
      <c r="F1527" t="s">
        <v>3064</v>
      </c>
      <c r="G1527" t="s">
        <v>22</v>
      </c>
      <c r="H1527" t="s">
        <v>3065</v>
      </c>
      <c r="I1527" t="s">
        <v>3066</v>
      </c>
      <c r="J1527" s="4">
        <v>46083.589678449076</v>
      </c>
    </row>
    <row r="1528" spans="1:10" x14ac:dyDescent="0.55000000000000004">
      <c r="A1528" t="s">
        <v>3063</v>
      </c>
      <c r="B1528">
        <v>101376</v>
      </c>
      <c r="C1528" t="s">
        <v>179</v>
      </c>
      <c r="D1528" s="3">
        <v>46035</v>
      </c>
      <c r="E1528" t="s">
        <v>115</v>
      </c>
      <c r="F1528" t="s">
        <v>3064</v>
      </c>
      <c r="G1528" t="s">
        <v>22</v>
      </c>
      <c r="H1528" t="s">
        <v>3065</v>
      </c>
      <c r="I1528" t="s">
        <v>3066</v>
      </c>
      <c r="J1528" s="4">
        <v>46083.589678449076</v>
      </c>
    </row>
    <row r="1529" spans="1:10" x14ac:dyDescent="0.55000000000000004">
      <c r="A1529" t="s">
        <v>3063</v>
      </c>
      <c r="B1529">
        <v>101376</v>
      </c>
      <c r="C1529" t="s">
        <v>179</v>
      </c>
      <c r="D1529" s="3">
        <v>46035</v>
      </c>
      <c r="E1529" t="s">
        <v>69</v>
      </c>
      <c r="F1529" t="s">
        <v>3064</v>
      </c>
      <c r="G1529" t="s">
        <v>22</v>
      </c>
      <c r="H1529" t="s">
        <v>3065</v>
      </c>
      <c r="I1529" t="s">
        <v>3066</v>
      </c>
      <c r="J1529" s="4">
        <v>46083.589678449076</v>
      </c>
    </row>
    <row r="1530" spans="1:10" x14ac:dyDescent="0.55000000000000004">
      <c r="A1530" t="s">
        <v>3067</v>
      </c>
      <c r="B1530">
        <v>101351</v>
      </c>
      <c r="C1530" t="s">
        <v>68</v>
      </c>
      <c r="D1530" s="3">
        <v>45848</v>
      </c>
      <c r="E1530" t="s">
        <v>115</v>
      </c>
      <c r="F1530" t="s">
        <v>2563</v>
      </c>
      <c r="G1530" t="s">
        <v>22</v>
      </c>
      <c r="H1530" t="s">
        <v>3068</v>
      </c>
      <c r="I1530" t="s">
        <v>3069</v>
      </c>
      <c r="J1530" s="4">
        <v>46085.211900682873</v>
      </c>
    </row>
    <row r="1531" spans="1:10" x14ac:dyDescent="0.55000000000000004">
      <c r="A1531" t="s">
        <v>3070</v>
      </c>
      <c r="B1531">
        <v>100406</v>
      </c>
      <c r="C1531" t="s">
        <v>248</v>
      </c>
      <c r="D1531" s="3">
        <v>45769</v>
      </c>
      <c r="E1531" t="s">
        <v>38</v>
      </c>
      <c r="F1531" t="s">
        <v>3071</v>
      </c>
      <c r="G1531" t="s">
        <v>15</v>
      </c>
      <c r="H1531" t="s">
        <v>3072</v>
      </c>
      <c r="I1531" t="s">
        <v>3073</v>
      </c>
      <c r="J1531" s="4">
        <v>46070.540372905096</v>
      </c>
    </row>
    <row r="1532" spans="1:10" x14ac:dyDescent="0.55000000000000004">
      <c r="A1532" t="s">
        <v>3070</v>
      </c>
      <c r="B1532">
        <v>100406</v>
      </c>
      <c r="C1532" t="s">
        <v>248</v>
      </c>
      <c r="D1532" s="3">
        <v>45769</v>
      </c>
      <c r="E1532" t="s">
        <v>69</v>
      </c>
      <c r="F1532" t="s">
        <v>3071</v>
      </c>
      <c r="G1532" t="s">
        <v>15</v>
      </c>
      <c r="H1532" t="s">
        <v>3072</v>
      </c>
      <c r="I1532" t="s">
        <v>3073</v>
      </c>
      <c r="J1532" s="4">
        <v>46070.540372905096</v>
      </c>
    </row>
    <row r="1533" spans="1:10" x14ac:dyDescent="0.55000000000000004">
      <c r="A1533" t="s">
        <v>3074</v>
      </c>
      <c r="B1533">
        <v>100384</v>
      </c>
      <c r="C1533" t="s">
        <v>248</v>
      </c>
      <c r="D1533" s="3">
        <v>46044</v>
      </c>
      <c r="E1533" t="s">
        <v>115</v>
      </c>
      <c r="F1533" t="s">
        <v>3075</v>
      </c>
      <c r="G1533" t="s">
        <v>22</v>
      </c>
      <c r="H1533" t="s">
        <v>3076</v>
      </c>
      <c r="I1533" t="s">
        <v>3077</v>
      </c>
      <c r="J1533" s="4">
        <v>46089.095234016204</v>
      </c>
    </row>
    <row r="1534" spans="1:10" x14ac:dyDescent="0.55000000000000004">
      <c r="A1534" t="s">
        <v>3074</v>
      </c>
      <c r="B1534">
        <v>100384</v>
      </c>
      <c r="C1534" t="s">
        <v>248</v>
      </c>
      <c r="D1534" s="3">
        <v>46044</v>
      </c>
      <c r="E1534" t="s">
        <v>69</v>
      </c>
      <c r="F1534" t="s">
        <v>3075</v>
      </c>
      <c r="G1534" t="s">
        <v>22</v>
      </c>
      <c r="H1534" t="s">
        <v>3076</v>
      </c>
      <c r="I1534" t="s">
        <v>3077</v>
      </c>
      <c r="J1534" s="4">
        <v>46089.095234016204</v>
      </c>
    </row>
    <row r="1535" spans="1:10" x14ac:dyDescent="0.55000000000000004">
      <c r="A1535" t="s">
        <v>3078</v>
      </c>
      <c r="B1535">
        <v>100693</v>
      </c>
      <c r="C1535" t="s">
        <v>248</v>
      </c>
      <c r="D1535" s="3">
        <v>46055</v>
      </c>
      <c r="E1535" t="s">
        <v>20</v>
      </c>
      <c r="F1535" t="s">
        <v>3079</v>
      </c>
      <c r="G1535" t="s">
        <v>22</v>
      </c>
      <c r="H1535" t="s">
        <v>3080</v>
      </c>
      <c r="I1535" t="s">
        <v>3081</v>
      </c>
      <c r="J1535" s="4">
        <v>46089.70078958333</v>
      </c>
    </row>
    <row r="1536" spans="1:10" x14ac:dyDescent="0.55000000000000004">
      <c r="A1536" t="s">
        <v>3078</v>
      </c>
      <c r="B1536">
        <v>100693</v>
      </c>
      <c r="C1536" t="s">
        <v>248</v>
      </c>
      <c r="D1536" s="3">
        <v>46055</v>
      </c>
      <c r="E1536" t="s">
        <v>115</v>
      </c>
      <c r="F1536" t="s">
        <v>3079</v>
      </c>
      <c r="G1536" t="s">
        <v>22</v>
      </c>
      <c r="H1536" t="s">
        <v>3080</v>
      </c>
      <c r="I1536" t="s">
        <v>3081</v>
      </c>
      <c r="J1536" s="4">
        <v>46089.70078958333</v>
      </c>
    </row>
    <row r="1537" spans="1:11" x14ac:dyDescent="0.55000000000000004">
      <c r="A1537" t="s">
        <v>3082</v>
      </c>
      <c r="B1537">
        <v>100857</v>
      </c>
      <c r="C1537" t="s">
        <v>19</v>
      </c>
      <c r="D1537" s="3">
        <v>45762</v>
      </c>
      <c r="E1537" t="s">
        <v>155</v>
      </c>
      <c r="F1537" t="s">
        <v>3083</v>
      </c>
      <c r="G1537" t="s">
        <v>22</v>
      </c>
      <c r="H1537" t="s">
        <v>3084</v>
      </c>
      <c r="I1537" t="s">
        <v>3085</v>
      </c>
      <c r="J1537" s="4">
        <v>46068.151484027781</v>
      </c>
    </row>
    <row r="1538" spans="1:11" x14ac:dyDescent="0.55000000000000004">
      <c r="A1538" t="s">
        <v>3082</v>
      </c>
      <c r="B1538">
        <v>100857</v>
      </c>
      <c r="C1538" t="s">
        <v>19</v>
      </c>
      <c r="D1538" s="3">
        <v>45762</v>
      </c>
      <c r="E1538" t="s">
        <v>115</v>
      </c>
      <c r="F1538" t="s">
        <v>3083</v>
      </c>
      <c r="G1538" t="s">
        <v>22</v>
      </c>
      <c r="H1538" t="s">
        <v>3084</v>
      </c>
      <c r="I1538" t="s">
        <v>3085</v>
      </c>
      <c r="J1538" s="4">
        <v>46068.151484027781</v>
      </c>
    </row>
    <row r="1539" spans="1:11" x14ac:dyDescent="0.55000000000000004">
      <c r="A1539" t="s">
        <v>3086</v>
      </c>
      <c r="B1539">
        <v>100319</v>
      </c>
      <c r="D1539" s="3">
        <v>46121</v>
      </c>
      <c r="E1539" t="s">
        <v>20</v>
      </c>
      <c r="F1539" t="s">
        <v>3087</v>
      </c>
      <c r="G1539" t="s">
        <v>15</v>
      </c>
      <c r="H1539" t="s">
        <v>3088</v>
      </c>
      <c r="I1539" t="s">
        <v>3089</v>
      </c>
      <c r="J1539" s="4">
        <v>46056.876484039349</v>
      </c>
      <c r="K1539" t="s">
        <v>217</v>
      </c>
    </row>
    <row r="1540" spans="1:11" x14ac:dyDescent="0.55000000000000004">
      <c r="A1540" t="s">
        <v>3086</v>
      </c>
      <c r="B1540">
        <v>100319</v>
      </c>
      <c r="D1540" s="3">
        <v>46121</v>
      </c>
      <c r="E1540" t="s">
        <v>115</v>
      </c>
      <c r="F1540" t="s">
        <v>3087</v>
      </c>
      <c r="G1540" t="s">
        <v>15</v>
      </c>
      <c r="H1540" t="s">
        <v>3088</v>
      </c>
      <c r="I1540" t="s">
        <v>3089</v>
      </c>
      <c r="J1540" s="4">
        <v>46056.876484039349</v>
      </c>
      <c r="K1540" t="s">
        <v>217</v>
      </c>
    </row>
    <row r="1541" spans="1:11" x14ac:dyDescent="0.55000000000000004">
      <c r="A1541" t="s">
        <v>3090</v>
      </c>
      <c r="B1541">
        <v>100026</v>
      </c>
      <c r="C1541" t="s">
        <v>533</v>
      </c>
      <c r="D1541" s="3">
        <v>46027</v>
      </c>
      <c r="E1541" t="s">
        <v>155</v>
      </c>
      <c r="F1541" t="s">
        <v>3091</v>
      </c>
      <c r="G1541" t="s">
        <v>22</v>
      </c>
      <c r="H1541" t="s">
        <v>3092</v>
      </c>
      <c r="I1541" t="s">
        <v>3093</v>
      </c>
      <c r="J1541" s="4">
        <v>46083.904956261576</v>
      </c>
    </row>
    <row r="1542" spans="1:11" x14ac:dyDescent="0.55000000000000004">
      <c r="A1542" t="s">
        <v>3090</v>
      </c>
      <c r="B1542">
        <v>100026</v>
      </c>
      <c r="C1542" t="s">
        <v>533</v>
      </c>
      <c r="D1542" s="3">
        <v>46027</v>
      </c>
      <c r="E1542" t="s">
        <v>115</v>
      </c>
      <c r="F1542" t="s">
        <v>3091</v>
      </c>
      <c r="G1542" t="s">
        <v>22</v>
      </c>
      <c r="H1542" t="s">
        <v>3092</v>
      </c>
      <c r="I1542" t="s">
        <v>3093</v>
      </c>
      <c r="J1542" s="4">
        <v>46083.904956261576</v>
      </c>
    </row>
    <row r="1543" spans="1:11" x14ac:dyDescent="0.55000000000000004">
      <c r="A1543" t="s">
        <v>3090</v>
      </c>
      <c r="B1543">
        <v>100026</v>
      </c>
      <c r="C1543" t="s">
        <v>533</v>
      </c>
      <c r="D1543" s="3">
        <v>46027</v>
      </c>
      <c r="E1543" t="s">
        <v>69</v>
      </c>
      <c r="F1543" t="s">
        <v>3091</v>
      </c>
      <c r="G1543" t="s">
        <v>22</v>
      </c>
      <c r="H1543" t="s">
        <v>3092</v>
      </c>
      <c r="I1543" t="s">
        <v>3093</v>
      </c>
      <c r="J1543" s="4">
        <v>46083.904956261576</v>
      </c>
    </row>
    <row r="1544" spans="1:11" x14ac:dyDescent="0.55000000000000004">
      <c r="A1544" t="s">
        <v>3094</v>
      </c>
      <c r="B1544">
        <v>101433</v>
      </c>
      <c r="C1544" t="s">
        <v>19</v>
      </c>
      <c r="D1544" s="3">
        <v>45968</v>
      </c>
      <c r="E1544" t="s">
        <v>155</v>
      </c>
      <c r="F1544" t="s">
        <v>3095</v>
      </c>
      <c r="G1544" t="s">
        <v>15</v>
      </c>
      <c r="H1544" t="s">
        <v>3096</v>
      </c>
      <c r="I1544" t="s">
        <v>3097</v>
      </c>
      <c r="J1544" s="4">
        <v>46082.280650706016</v>
      </c>
    </row>
    <row r="1545" spans="1:11" x14ac:dyDescent="0.55000000000000004">
      <c r="A1545" t="s">
        <v>3094</v>
      </c>
      <c r="B1545">
        <v>101433</v>
      </c>
      <c r="C1545" t="s">
        <v>19</v>
      </c>
      <c r="D1545" s="3">
        <v>45968</v>
      </c>
      <c r="E1545" t="s">
        <v>69</v>
      </c>
      <c r="F1545" t="s">
        <v>3095</v>
      </c>
      <c r="G1545" t="s">
        <v>15</v>
      </c>
      <c r="H1545" t="s">
        <v>3096</v>
      </c>
      <c r="I1545" t="s">
        <v>3097</v>
      </c>
      <c r="J1545" s="4">
        <v>46082.280650706016</v>
      </c>
    </row>
    <row r="1546" spans="1:11" x14ac:dyDescent="0.55000000000000004">
      <c r="A1546" t="s">
        <v>3098</v>
      </c>
      <c r="B1546">
        <v>101250</v>
      </c>
      <c r="C1546" t="s">
        <v>179</v>
      </c>
      <c r="D1546" s="3">
        <v>46028</v>
      </c>
      <c r="E1546" t="s">
        <v>38</v>
      </c>
      <c r="F1546" t="s">
        <v>3099</v>
      </c>
      <c r="G1546" t="s">
        <v>15</v>
      </c>
      <c r="H1546" t="s">
        <v>3100</v>
      </c>
      <c r="I1546" t="s">
        <v>3101</v>
      </c>
      <c r="J1546" s="4">
        <v>46061.738984050928</v>
      </c>
    </row>
    <row r="1547" spans="1:11" x14ac:dyDescent="0.55000000000000004">
      <c r="A1547" t="s">
        <v>3102</v>
      </c>
      <c r="B1547">
        <v>101283</v>
      </c>
      <c r="C1547" t="s">
        <v>179</v>
      </c>
      <c r="D1547" s="3">
        <v>45754</v>
      </c>
      <c r="E1547" t="s">
        <v>69</v>
      </c>
      <c r="F1547" t="s">
        <v>3103</v>
      </c>
      <c r="G1547" t="s">
        <v>15</v>
      </c>
      <c r="H1547" t="s">
        <v>3104</v>
      </c>
      <c r="I1547" t="s">
        <v>3105</v>
      </c>
      <c r="J1547" s="4">
        <v>46069.991067384261</v>
      </c>
    </row>
    <row r="1548" spans="1:11" x14ac:dyDescent="0.55000000000000004">
      <c r="A1548" t="s">
        <v>2113</v>
      </c>
      <c r="B1548">
        <v>101179</v>
      </c>
      <c r="D1548" s="3">
        <v>45977</v>
      </c>
      <c r="E1548" t="s">
        <v>38</v>
      </c>
      <c r="F1548" t="s">
        <v>3106</v>
      </c>
      <c r="G1548" t="s">
        <v>15</v>
      </c>
      <c r="H1548" t="s">
        <v>3107</v>
      </c>
      <c r="I1548" t="s">
        <v>3108</v>
      </c>
      <c r="J1548" s="4">
        <v>46091.952178506945</v>
      </c>
      <c r="K1548" t="s">
        <v>217</v>
      </c>
    </row>
    <row r="1549" spans="1:11" x14ac:dyDescent="0.55000000000000004">
      <c r="A1549" t="s">
        <v>2113</v>
      </c>
      <c r="B1549">
        <v>101179</v>
      </c>
      <c r="D1549" s="3">
        <v>45977</v>
      </c>
      <c r="E1549" t="s">
        <v>155</v>
      </c>
      <c r="F1549" t="s">
        <v>3106</v>
      </c>
      <c r="G1549" t="s">
        <v>15</v>
      </c>
      <c r="H1549" t="s">
        <v>3107</v>
      </c>
      <c r="I1549" t="s">
        <v>3108</v>
      </c>
      <c r="J1549" s="4">
        <v>46091.952178506945</v>
      </c>
      <c r="K1549" t="s">
        <v>217</v>
      </c>
    </row>
    <row r="1550" spans="1:11" x14ac:dyDescent="0.55000000000000004">
      <c r="A1550" t="s">
        <v>2113</v>
      </c>
      <c r="B1550">
        <v>101179</v>
      </c>
      <c r="D1550" s="3">
        <v>45977</v>
      </c>
      <c r="E1550" t="s">
        <v>69</v>
      </c>
      <c r="F1550" t="s">
        <v>3106</v>
      </c>
      <c r="G1550" t="s">
        <v>15</v>
      </c>
      <c r="H1550" t="s">
        <v>3107</v>
      </c>
      <c r="I1550" t="s">
        <v>3108</v>
      </c>
      <c r="J1550" s="4">
        <v>46091.952178506945</v>
      </c>
      <c r="K1550" t="s">
        <v>217</v>
      </c>
    </row>
    <row r="1551" spans="1:11" x14ac:dyDescent="0.55000000000000004">
      <c r="A1551" t="s">
        <v>3109</v>
      </c>
      <c r="B1551">
        <v>100774</v>
      </c>
      <c r="C1551" t="s">
        <v>37</v>
      </c>
      <c r="D1551" s="3">
        <v>46086</v>
      </c>
      <c r="E1551" t="s">
        <v>38</v>
      </c>
      <c r="F1551" t="s">
        <v>3110</v>
      </c>
      <c r="G1551" t="s">
        <v>22</v>
      </c>
      <c r="H1551" t="s">
        <v>3111</v>
      </c>
      <c r="I1551" t="s">
        <v>3112</v>
      </c>
      <c r="J1551" s="4">
        <v>46079.406345173615</v>
      </c>
    </row>
    <row r="1552" spans="1:11" x14ac:dyDescent="0.55000000000000004">
      <c r="A1552" t="s">
        <v>3109</v>
      </c>
      <c r="B1552">
        <v>100774</v>
      </c>
      <c r="C1552" t="s">
        <v>37</v>
      </c>
      <c r="D1552" s="3">
        <v>46086</v>
      </c>
      <c r="E1552" t="s">
        <v>115</v>
      </c>
      <c r="F1552" t="s">
        <v>3110</v>
      </c>
      <c r="G1552" t="s">
        <v>22</v>
      </c>
      <c r="H1552" t="s">
        <v>3111</v>
      </c>
      <c r="I1552" t="s">
        <v>3112</v>
      </c>
      <c r="J1552" s="4">
        <v>46079.406345173615</v>
      </c>
    </row>
    <row r="1553" spans="1:10" x14ac:dyDescent="0.55000000000000004">
      <c r="A1553" t="s">
        <v>3109</v>
      </c>
      <c r="B1553">
        <v>100774</v>
      </c>
      <c r="C1553" t="s">
        <v>37</v>
      </c>
      <c r="D1553" s="3">
        <v>46086</v>
      </c>
      <c r="E1553" t="s">
        <v>69</v>
      </c>
      <c r="F1553" t="s">
        <v>3110</v>
      </c>
      <c r="G1553" t="s">
        <v>22</v>
      </c>
      <c r="H1553" t="s">
        <v>3111</v>
      </c>
      <c r="I1553" t="s">
        <v>3112</v>
      </c>
      <c r="J1553" s="4">
        <v>46079.406345173615</v>
      </c>
    </row>
    <row r="1554" spans="1:10" x14ac:dyDescent="0.55000000000000004">
      <c r="A1554" t="s">
        <v>3113</v>
      </c>
      <c r="B1554">
        <v>100960</v>
      </c>
      <c r="C1554" t="s">
        <v>37</v>
      </c>
      <c r="D1554" s="3">
        <v>45740</v>
      </c>
      <c r="E1554" t="s">
        <v>317</v>
      </c>
      <c r="F1554" t="s">
        <v>3114</v>
      </c>
      <c r="G1554" t="s">
        <v>15</v>
      </c>
      <c r="H1554" t="s">
        <v>3115</v>
      </c>
      <c r="I1554" t="s">
        <v>3116</v>
      </c>
      <c r="J1554" s="4">
        <v>46052.093150729168</v>
      </c>
    </row>
    <row r="1555" spans="1:10" x14ac:dyDescent="0.55000000000000004">
      <c r="A1555" t="s">
        <v>3113</v>
      </c>
      <c r="B1555">
        <v>100960</v>
      </c>
      <c r="C1555" t="s">
        <v>37</v>
      </c>
      <c r="D1555" s="3">
        <v>45740</v>
      </c>
      <c r="E1555" t="s">
        <v>20</v>
      </c>
      <c r="F1555" t="s">
        <v>3114</v>
      </c>
      <c r="G1555" t="s">
        <v>15</v>
      </c>
      <c r="H1555" t="s">
        <v>3115</v>
      </c>
      <c r="I1555" t="s">
        <v>3116</v>
      </c>
      <c r="J1555" s="4">
        <v>46052.093150729168</v>
      </c>
    </row>
    <row r="1556" spans="1:10" x14ac:dyDescent="0.55000000000000004">
      <c r="A1556" t="s">
        <v>3117</v>
      </c>
      <c r="B1556">
        <v>101009</v>
      </c>
      <c r="C1556" t="s">
        <v>19</v>
      </c>
      <c r="D1556" s="3">
        <v>46114</v>
      </c>
      <c r="E1556" t="s">
        <v>38</v>
      </c>
      <c r="F1556" t="s">
        <v>3118</v>
      </c>
      <c r="G1556" t="s">
        <v>15</v>
      </c>
      <c r="H1556" t="s">
        <v>3119</v>
      </c>
      <c r="I1556" t="s">
        <v>3120</v>
      </c>
      <c r="J1556" s="4">
        <v>46052.169539629627</v>
      </c>
    </row>
    <row r="1557" spans="1:10" x14ac:dyDescent="0.55000000000000004">
      <c r="A1557" t="s">
        <v>3117</v>
      </c>
      <c r="B1557">
        <v>101009</v>
      </c>
      <c r="C1557" t="s">
        <v>19</v>
      </c>
      <c r="D1557" s="3">
        <v>46114</v>
      </c>
      <c r="E1557" t="s">
        <v>155</v>
      </c>
      <c r="F1557" t="s">
        <v>3118</v>
      </c>
      <c r="G1557" t="s">
        <v>15</v>
      </c>
      <c r="H1557" t="s">
        <v>3119</v>
      </c>
      <c r="I1557" t="s">
        <v>3120</v>
      </c>
      <c r="J1557" s="4">
        <v>46052.169539629627</v>
      </c>
    </row>
    <row r="1558" spans="1:10" x14ac:dyDescent="0.55000000000000004">
      <c r="A1558" t="s">
        <v>3117</v>
      </c>
      <c r="B1558">
        <v>101009</v>
      </c>
      <c r="C1558" t="s">
        <v>19</v>
      </c>
      <c r="D1558" s="3">
        <v>46114</v>
      </c>
      <c r="E1558" t="s">
        <v>69</v>
      </c>
      <c r="F1558" t="s">
        <v>3118</v>
      </c>
      <c r="G1558" t="s">
        <v>15</v>
      </c>
      <c r="H1558" t="s">
        <v>3119</v>
      </c>
      <c r="I1558" t="s">
        <v>3120</v>
      </c>
      <c r="J1558" s="4">
        <v>46052.169539629627</v>
      </c>
    </row>
    <row r="1559" spans="1:10" x14ac:dyDescent="0.55000000000000004">
      <c r="A1559" t="s">
        <v>3121</v>
      </c>
      <c r="B1559">
        <v>100620</v>
      </c>
      <c r="C1559" t="s">
        <v>533</v>
      </c>
      <c r="D1559" s="3">
        <v>46136</v>
      </c>
      <c r="E1559" t="s">
        <v>317</v>
      </c>
      <c r="F1559" t="s">
        <v>3122</v>
      </c>
      <c r="G1559" t="s">
        <v>15</v>
      </c>
      <c r="H1559" t="s">
        <v>3123</v>
      </c>
      <c r="I1559" t="s">
        <v>3124</v>
      </c>
      <c r="J1559" s="4">
        <v>46057.645928518519</v>
      </c>
    </row>
    <row r="1560" spans="1:10" x14ac:dyDescent="0.55000000000000004">
      <c r="A1560" t="s">
        <v>3121</v>
      </c>
      <c r="B1560">
        <v>100620</v>
      </c>
      <c r="C1560" t="s">
        <v>533</v>
      </c>
      <c r="D1560" s="3">
        <v>46136</v>
      </c>
      <c r="E1560" t="s">
        <v>69</v>
      </c>
      <c r="F1560" t="s">
        <v>3122</v>
      </c>
      <c r="G1560" t="s">
        <v>15</v>
      </c>
      <c r="H1560" t="s">
        <v>3123</v>
      </c>
      <c r="I1560" t="s">
        <v>3124</v>
      </c>
      <c r="J1560" s="4">
        <v>46057.645928518519</v>
      </c>
    </row>
    <row r="1561" spans="1:10" x14ac:dyDescent="0.55000000000000004">
      <c r="A1561" t="s">
        <v>3125</v>
      </c>
      <c r="B1561">
        <v>100171</v>
      </c>
      <c r="C1561" t="s">
        <v>179</v>
      </c>
      <c r="D1561" s="3">
        <v>46085</v>
      </c>
      <c r="E1561" t="s">
        <v>38</v>
      </c>
      <c r="F1561" t="s">
        <v>3126</v>
      </c>
      <c r="G1561" t="s">
        <v>22</v>
      </c>
      <c r="H1561" t="s">
        <v>3127</v>
      </c>
      <c r="I1561" t="s">
        <v>3128</v>
      </c>
      <c r="J1561" s="4">
        <v>46070.362595196762</v>
      </c>
    </row>
    <row r="1562" spans="1:10" x14ac:dyDescent="0.55000000000000004">
      <c r="A1562" t="s">
        <v>3125</v>
      </c>
      <c r="B1562">
        <v>100171</v>
      </c>
      <c r="C1562" t="s">
        <v>179</v>
      </c>
      <c r="D1562" s="3">
        <v>46085</v>
      </c>
      <c r="E1562" t="s">
        <v>155</v>
      </c>
      <c r="F1562" t="s">
        <v>3126</v>
      </c>
      <c r="G1562" t="s">
        <v>22</v>
      </c>
      <c r="H1562" t="s">
        <v>3127</v>
      </c>
      <c r="I1562" t="s">
        <v>3128</v>
      </c>
      <c r="J1562" s="4">
        <v>46070.362595196762</v>
      </c>
    </row>
    <row r="1563" spans="1:10" x14ac:dyDescent="0.55000000000000004">
      <c r="A1563" t="s">
        <v>3129</v>
      </c>
      <c r="B1563">
        <v>100377</v>
      </c>
      <c r="C1563" t="s">
        <v>19</v>
      </c>
      <c r="D1563" s="3">
        <v>46009</v>
      </c>
      <c r="E1563" t="s">
        <v>20</v>
      </c>
      <c r="F1563" t="s">
        <v>3130</v>
      </c>
      <c r="G1563" t="s">
        <v>15</v>
      </c>
      <c r="H1563" t="s">
        <v>3131</v>
      </c>
      <c r="I1563" t="s">
        <v>3132</v>
      </c>
      <c r="J1563" s="4">
        <v>46064.786900752311</v>
      </c>
    </row>
    <row r="1564" spans="1:10" x14ac:dyDescent="0.55000000000000004">
      <c r="A1564" t="s">
        <v>3129</v>
      </c>
      <c r="B1564">
        <v>100377</v>
      </c>
      <c r="C1564" t="s">
        <v>19</v>
      </c>
      <c r="D1564" s="3">
        <v>46009</v>
      </c>
      <c r="E1564" t="s">
        <v>155</v>
      </c>
      <c r="F1564" t="s">
        <v>3130</v>
      </c>
      <c r="G1564" t="s">
        <v>15</v>
      </c>
      <c r="H1564" t="s">
        <v>3131</v>
      </c>
      <c r="I1564" t="s">
        <v>3132</v>
      </c>
      <c r="J1564" s="4">
        <v>46064.786900752311</v>
      </c>
    </row>
    <row r="1565" spans="1:10" x14ac:dyDescent="0.55000000000000004">
      <c r="A1565" t="s">
        <v>3129</v>
      </c>
      <c r="B1565">
        <v>100377</v>
      </c>
      <c r="C1565" t="s">
        <v>19</v>
      </c>
      <c r="D1565" s="3">
        <v>46009</v>
      </c>
      <c r="E1565" t="s">
        <v>115</v>
      </c>
      <c r="F1565" t="s">
        <v>3130</v>
      </c>
      <c r="G1565" t="s">
        <v>15</v>
      </c>
      <c r="H1565" t="s">
        <v>3131</v>
      </c>
      <c r="I1565" t="s">
        <v>3132</v>
      </c>
      <c r="J1565" s="4">
        <v>46064.786900752311</v>
      </c>
    </row>
    <row r="1566" spans="1:10" x14ac:dyDescent="0.55000000000000004">
      <c r="A1566" t="s">
        <v>3133</v>
      </c>
      <c r="B1566">
        <v>101307</v>
      </c>
      <c r="C1566" t="s">
        <v>68</v>
      </c>
      <c r="D1566" s="3">
        <v>45758</v>
      </c>
      <c r="E1566" t="s">
        <v>69</v>
      </c>
      <c r="F1566" t="s">
        <v>3134</v>
      </c>
      <c r="G1566" t="s">
        <v>22</v>
      </c>
      <c r="H1566" t="s">
        <v>3135</v>
      </c>
      <c r="I1566" t="s">
        <v>3136</v>
      </c>
      <c r="J1566" s="4">
        <v>46067.866067430557</v>
      </c>
    </row>
    <row r="1567" spans="1:10" x14ac:dyDescent="0.55000000000000004">
      <c r="A1567" t="s">
        <v>3137</v>
      </c>
      <c r="B1567">
        <v>101074</v>
      </c>
      <c r="C1567" t="s">
        <v>37</v>
      </c>
      <c r="D1567" s="3">
        <v>45919</v>
      </c>
      <c r="E1567" t="s">
        <v>38</v>
      </c>
      <c r="F1567" t="s">
        <v>3138</v>
      </c>
      <c r="G1567" t="s">
        <v>15</v>
      </c>
      <c r="H1567" t="s">
        <v>3139</v>
      </c>
      <c r="I1567" t="s">
        <v>3140</v>
      </c>
      <c r="J1567" s="4">
        <v>46062.454956319445</v>
      </c>
    </row>
    <row r="1568" spans="1:10" x14ac:dyDescent="0.55000000000000004">
      <c r="A1568" t="s">
        <v>3137</v>
      </c>
      <c r="B1568">
        <v>101074</v>
      </c>
      <c r="C1568" t="s">
        <v>37</v>
      </c>
      <c r="D1568" s="3">
        <v>45919</v>
      </c>
      <c r="E1568" t="s">
        <v>115</v>
      </c>
      <c r="F1568" t="s">
        <v>3138</v>
      </c>
      <c r="G1568" t="s">
        <v>15</v>
      </c>
      <c r="H1568" t="s">
        <v>3139</v>
      </c>
      <c r="I1568" t="s">
        <v>3140</v>
      </c>
      <c r="J1568" s="4">
        <v>46062.454956319445</v>
      </c>
    </row>
    <row r="1569" spans="1:11" x14ac:dyDescent="0.55000000000000004">
      <c r="A1569" t="s">
        <v>3141</v>
      </c>
      <c r="B1569">
        <v>101006</v>
      </c>
      <c r="C1569" t="s">
        <v>533</v>
      </c>
      <c r="D1569" s="3">
        <v>45903</v>
      </c>
      <c r="E1569" t="s">
        <v>38</v>
      </c>
      <c r="F1569" t="s">
        <v>3142</v>
      </c>
      <c r="G1569" t="s">
        <v>15</v>
      </c>
      <c r="H1569" t="s">
        <v>3143</v>
      </c>
      <c r="I1569" t="s">
        <v>3144</v>
      </c>
      <c r="J1569" s="4">
        <v>46056.066067430555</v>
      </c>
    </row>
    <row r="1570" spans="1:11" x14ac:dyDescent="0.55000000000000004">
      <c r="A1570" t="s">
        <v>3145</v>
      </c>
      <c r="B1570">
        <v>101245</v>
      </c>
      <c r="C1570" t="s">
        <v>19</v>
      </c>
      <c r="D1570" s="3">
        <v>46091</v>
      </c>
      <c r="E1570" t="s">
        <v>317</v>
      </c>
      <c r="F1570" t="s">
        <v>3146</v>
      </c>
      <c r="G1570" t="s">
        <v>15</v>
      </c>
      <c r="H1570" t="s">
        <v>3147</v>
      </c>
      <c r="I1570" t="s">
        <v>3148</v>
      </c>
      <c r="J1570" s="4">
        <v>46077.244539664352</v>
      </c>
    </row>
    <row r="1571" spans="1:11" x14ac:dyDescent="0.55000000000000004">
      <c r="A1571" t="s">
        <v>3149</v>
      </c>
      <c r="B1571">
        <v>101343</v>
      </c>
      <c r="C1571" t="s">
        <v>248</v>
      </c>
      <c r="D1571" s="3">
        <v>45989</v>
      </c>
      <c r="E1571" t="s">
        <v>20</v>
      </c>
      <c r="F1571" t="s">
        <v>3150</v>
      </c>
      <c r="G1571" t="s">
        <v>15</v>
      </c>
      <c r="H1571" t="s">
        <v>3151</v>
      </c>
      <c r="I1571" t="s">
        <v>3152</v>
      </c>
      <c r="J1571" s="4">
        <v>46074.254956331017</v>
      </c>
    </row>
    <row r="1572" spans="1:11" x14ac:dyDescent="0.55000000000000004">
      <c r="A1572" t="s">
        <v>3149</v>
      </c>
      <c r="B1572">
        <v>101343</v>
      </c>
      <c r="C1572" t="s">
        <v>248</v>
      </c>
      <c r="D1572" s="3">
        <v>45989</v>
      </c>
      <c r="E1572" t="s">
        <v>155</v>
      </c>
      <c r="F1572" t="s">
        <v>3150</v>
      </c>
      <c r="G1572" t="s">
        <v>15</v>
      </c>
      <c r="H1572" t="s">
        <v>3151</v>
      </c>
      <c r="I1572" t="s">
        <v>3152</v>
      </c>
      <c r="J1572" s="4">
        <v>46074.254956331017</v>
      </c>
    </row>
    <row r="1573" spans="1:11" x14ac:dyDescent="0.55000000000000004">
      <c r="A1573" t="s">
        <v>3149</v>
      </c>
      <c r="B1573">
        <v>101343</v>
      </c>
      <c r="C1573" t="s">
        <v>248</v>
      </c>
      <c r="D1573" s="3">
        <v>45989</v>
      </c>
      <c r="E1573" t="s">
        <v>69</v>
      </c>
      <c r="F1573" t="s">
        <v>3150</v>
      </c>
      <c r="G1573" t="s">
        <v>15</v>
      </c>
      <c r="H1573" t="s">
        <v>3151</v>
      </c>
      <c r="I1573" t="s">
        <v>3152</v>
      </c>
      <c r="J1573" s="4">
        <v>46074.254956331017</v>
      </c>
    </row>
    <row r="1574" spans="1:11" x14ac:dyDescent="0.55000000000000004">
      <c r="A1574" t="s">
        <v>3153</v>
      </c>
      <c r="B1574">
        <v>101198</v>
      </c>
      <c r="C1574" t="s">
        <v>179</v>
      </c>
      <c r="D1574" s="3">
        <v>45980</v>
      </c>
      <c r="E1574" t="s">
        <v>38</v>
      </c>
      <c r="F1574" t="s">
        <v>3154</v>
      </c>
      <c r="G1574" t="s">
        <v>22</v>
      </c>
      <c r="H1574" t="s">
        <v>3155</v>
      </c>
      <c r="I1574" t="s">
        <v>3156</v>
      </c>
      <c r="J1574" s="4">
        <v>46068.863289675923</v>
      </c>
    </row>
    <row r="1575" spans="1:11" x14ac:dyDescent="0.55000000000000004">
      <c r="A1575" t="s">
        <v>3153</v>
      </c>
      <c r="B1575">
        <v>101198</v>
      </c>
      <c r="C1575" t="s">
        <v>179</v>
      </c>
      <c r="D1575" s="3">
        <v>45980</v>
      </c>
      <c r="E1575" t="s">
        <v>155</v>
      </c>
      <c r="F1575" t="s">
        <v>3154</v>
      </c>
      <c r="G1575" t="s">
        <v>22</v>
      </c>
      <c r="H1575" t="s">
        <v>3155</v>
      </c>
      <c r="I1575" t="s">
        <v>3156</v>
      </c>
      <c r="J1575" s="4">
        <v>46068.863289675923</v>
      </c>
    </row>
    <row r="1576" spans="1:11" x14ac:dyDescent="0.55000000000000004">
      <c r="A1576" t="s">
        <v>3153</v>
      </c>
      <c r="B1576">
        <v>101198</v>
      </c>
      <c r="C1576" t="s">
        <v>179</v>
      </c>
      <c r="D1576" s="3">
        <v>45980</v>
      </c>
      <c r="E1576" t="s">
        <v>69</v>
      </c>
      <c r="F1576" t="s">
        <v>3154</v>
      </c>
      <c r="G1576" t="s">
        <v>22</v>
      </c>
      <c r="H1576" t="s">
        <v>3155</v>
      </c>
      <c r="I1576" t="s">
        <v>3156</v>
      </c>
      <c r="J1576" s="4">
        <v>46068.863289675923</v>
      </c>
    </row>
    <row r="1577" spans="1:11" x14ac:dyDescent="0.55000000000000004">
      <c r="A1577" t="s">
        <v>3157</v>
      </c>
      <c r="C1577" t="s">
        <v>68</v>
      </c>
      <c r="D1577" s="3">
        <v>46141</v>
      </c>
      <c r="E1577" t="s">
        <v>317</v>
      </c>
      <c r="F1577" t="s">
        <v>3158</v>
      </c>
      <c r="G1577" t="s">
        <v>22</v>
      </c>
      <c r="H1577" t="s">
        <v>3159</v>
      </c>
      <c r="I1577" t="s">
        <v>3160</v>
      </c>
      <c r="J1577" s="4">
        <v>46092.632039675926</v>
      </c>
      <c r="K1577" t="s">
        <v>112</v>
      </c>
    </row>
    <row r="1578" spans="1:11" x14ac:dyDescent="0.55000000000000004">
      <c r="A1578" t="s">
        <v>3157</v>
      </c>
      <c r="C1578" t="s">
        <v>68</v>
      </c>
      <c r="D1578" s="3">
        <v>46141</v>
      </c>
      <c r="E1578" t="s">
        <v>155</v>
      </c>
      <c r="F1578" t="s">
        <v>3158</v>
      </c>
      <c r="G1578" t="s">
        <v>22</v>
      </c>
      <c r="H1578" t="s">
        <v>3159</v>
      </c>
      <c r="I1578" t="s">
        <v>3160</v>
      </c>
      <c r="J1578" s="4">
        <v>46092.632039675926</v>
      </c>
      <c r="K1578" t="s">
        <v>112</v>
      </c>
    </row>
    <row r="1579" spans="1:11" x14ac:dyDescent="0.55000000000000004">
      <c r="A1579" t="s">
        <v>3157</v>
      </c>
      <c r="C1579" t="s">
        <v>68</v>
      </c>
      <c r="D1579" s="3">
        <v>46141</v>
      </c>
      <c r="E1579" t="s">
        <v>115</v>
      </c>
      <c r="F1579" t="s">
        <v>3158</v>
      </c>
      <c r="G1579" t="s">
        <v>22</v>
      </c>
      <c r="H1579" t="s">
        <v>3159</v>
      </c>
      <c r="I1579" t="s">
        <v>3160</v>
      </c>
      <c r="J1579" s="4">
        <v>46092.632039675926</v>
      </c>
      <c r="K1579" t="s">
        <v>112</v>
      </c>
    </row>
    <row r="1580" spans="1:11" x14ac:dyDescent="0.55000000000000004">
      <c r="A1580" t="s">
        <v>3161</v>
      </c>
      <c r="B1580">
        <v>101126</v>
      </c>
      <c r="C1580" t="s">
        <v>179</v>
      </c>
      <c r="D1580" s="3">
        <v>45823</v>
      </c>
      <c r="E1580" t="s">
        <v>317</v>
      </c>
      <c r="F1580" t="s">
        <v>3162</v>
      </c>
      <c r="G1580" t="s">
        <v>15</v>
      </c>
      <c r="H1580" t="s">
        <v>3163</v>
      </c>
      <c r="I1580" t="s">
        <v>3164</v>
      </c>
      <c r="J1580" s="4">
        <v>46080.586900798611</v>
      </c>
    </row>
    <row r="1581" spans="1:11" x14ac:dyDescent="0.55000000000000004">
      <c r="A1581" t="s">
        <v>3161</v>
      </c>
      <c r="B1581">
        <v>101126</v>
      </c>
      <c r="C1581" t="s">
        <v>179</v>
      </c>
      <c r="D1581" s="3">
        <v>45823</v>
      </c>
      <c r="E1581" t="s">
        <v>155</v>
      </c>
      <c r="F1581" t="s">
        <v>3162</v>
      </c>
      <c r="G1581" t="s">
        <v>15</v>
      </c>
      <c r="H1581" t="s">
        <v>3163</v>
      </c>
      <c r="I1581" t="s">
        <v>3164</v>
      </c>
      <c r="J1581" s="4">
        <v>46080.586900798611</v>
      </c>
    </row>
    <row r="1582" spans="1:11" x14ac:dyDescent="0.55000000000000004">
      <c r="A1582" t="s">
        <v>3165</v>
      </c>
      <c r="C1582" t="s">
        <v>533</v>
      </c>
      <c r="D1582" s="3">
        <v>45986</v>
      </c>
      <c r="E1582" t="s">
        <v>115</v>
      </c>
      <c r="F1582" t="s">
        <v>3166</v>
      </c>
      <c r="G1582" t="s">
        <v>15</v>
      </c>
      <c r="H1582" t="s">
        <v>3167</v>
      </c>
      <c r="I1582" t="s">
        <v>3168</v>
      </c>
      <c r="J1582" s="4">
        <v>46079.153567465277</v>
      </c>
      <c r="K1582" t="s">
        <v>112</v>
      </c>
    </row>
    <row r="1583" spans="1:11" x14ac:dyDescent="0.55000000000000004">
      <c r="A1583" t="s">
        <v>3169</v>
      </c>
      <c r="B1583">
        <v>100894</v>
      </c>
      <c r="C1583" t="s">
        <v>19</v>
      </c>
      <c r="D1583" s="3">
        <v>45799</v>
      </c>
      <c r="E1583" t="s">
        <v>20</v>
      </c>
      <c r="F1583" t="s">
        <v>3170</v>
      </c>
      <c r="G1583" t="s">
        <v>22</v>
      </c>
      <c r="H1583" t="s">
        <v>3171</v>
      </c>
      <c r="I1583" t="s">
        <v>3172</v>
      </c>
      <c r="J1583" s="4">
        <v>46056.716067465277</v>
      </c>
    </row>
    <row r="1584" spans="1:11" x14ac:dyDescent="0.55000000000000004">
      <c r="A1584" t="s">
        <v>3169</v>
      </c>
      <c r="B1584">
        <v>100894</v>
      </c>
      <c r="C1584" t="s">
        <v>19</v>
      </c>
      <c r="D1584" s="3">
        <v>45799</v>
      </c>
      <c r="E1584" t="s">
        <v>69</v>
      </c>
      <c r="F1584" t="s">
        <v>3170</v>
      </c>
      <c r="G1584" t="s">
        <v>22</v>
      </c>
      <c r="H1584" t="s">
        <v>3171</v>
      </c>
      <c r="I1584" t="s">
        <v>3172</v>
      </c>
      <c r="J1584" s="4">
        <v>46056.716067465277</v>
      </c>
    </row>
    <row r="1585" spans="1:10" x14ac:dyDescent="0.55000000000000004">
      <c r="A1585" t="s">
        <v>3173</v>
      </c>
      <c r="B1585">
        <v>101377</v>
      </c>
      <c r="C1585" t="s">
        <v>68</v>
      </c>
      <c r="D1585" s="3">
        <v>45828</v>
      </c>
      <c r="E1585" t="s">
        <v>155</v>
      </c>
      <c r="F1585" t="s">
        <v>3174</v>
      </c>
      <c r="G1585" t="s">
        <v>15</v>
      </c>
      <c r="H1585" t="s">
        <v>3175</v>
      </c>
      <c r="I1585" t="s">
        <v>3176</v>
      </c>
      <c r="J1585" s="4">
        <v>46063.829261921295</v>
      </c>
    </row>
    <row r="1586" spans="1:10" x14ac:dyDescent="0.55000000000000004">
      <c r="A1586" t="s">
        <v>3177</v>
      </c>
      <c r="B1586">
        <v>100636</v>
      </c>
      <c r="C1586" t="s">
        <v>68</v>
      </c>
      <c r="D1586" s="3">
        <v>45942</v>
      </c>
      <c r="E1586" t="s">
        <v>317</v>
      </c>
      <c r="F1586" t="s">
        <v>3178</v>
      </c>
      <c r="G1586" t="s">
        <v>22</v>
      </c>
      <c r="H1586" t="s">
        <v>3179</v>
      </c>
      <c r="I1586" t="s">
        <v>3180</v>
      </c>
      <c r="J1586" s="4">
        <v>46068.313984143519</v>
      </c>
    </row>
    <row r="1587" spans="1:10" x14ac:dyDescent="0.55000000000000004">
      <c r="A1587" t="s">
        <v>3177</v>
      </c>
      <c r="B1587">
        <v>100636</v>
      </c>
      <c r="C1587" t="s">
        <v>68</v>
      </c>
      <c r="D1587" s="3">
        <v>45942</v>
      </c>
      <c r="E1587" t="s">
        <v>20</v>
      </c>
      <c r="F1587" t="s">
        <v>3178</v>
      </c>
      <c r="G1587" t="s">
        <v>22</v>
      </c>
      <c r="H1587" t="s">
        <v>3179</v>
      </c>
      <c r="I1587" t="s">
        <v>3180</v>
      </c>
      <c r="J1587" s="4">
        <v>46068.313984143519</v>
      </c>
    </row>
    <row r="1588" spans="1:10" x14ac:dyDescent="0.55000000000000004">
      <c r="A1588" t="s">
        <v>3177</v>
      </c>
      <c r="B1588">
        <v>100636</v>
      </c>
      <c r="C1588" t="s">
        <v>68</v>
      </c>
      <c r="D1588" s="3">
        <v>45942</v>
      </c>
      <c r="E1588" t="s">
        <v>69</v>
      </c>
      <c r="F1588" t="s">
        <v>3178</v>
      </c>
      <c r="G1588" t="s">
        <v>22</v>
      </c>
      <c r="H1588" t="s">
        <v>3179</v>
      </c>
      <c r="I1588" t="s">
        <v>3180</v>
      </c>
      <c r="J1588" s="4">
        <v>46068.313984143519</v>
      </c>
    </row>
    <row r="1589" spans="1:10" x14ac:dyDescent="0.55000000000000004">
      <c r="A1589" t="s">
        <v>3181</v>
      </c>
      <c r="B1589">
        <v>101472</v>
      </c>
      <c r="C1589" t="s">
        <v>19</v>
      </c>
      <c r="D1589" s="3">
        <v>45799</v>
      </c>
      <c r="E1589" t="s">
        <v>20</v>
      </c>
      <c r="F1589" t="s">
        <v>3182</v>
      </c>
      <c r="G1589" t="s">
        <v>15</v>
      </c>
      <c r="H1589" t="s">
        <v>3183</v>
      </c>
      <c r="I1589" t="s">
        <v>3184</v>
      </c>
      <c r="J1589" s="4">
        <v>46067.217456377315</v>
      </c>
    </row>
    <row r="1590" spans="1:10" x14ac:dyDescent="0.55000000000000004">
      <c r="A1590" t="s">
        <v>3181</v>
      </c>
      <c r="B1590">
        <v>101472</v>
      </c>
      <c r="C1590" t="s">
        <v>19</v>
      </c>
      <c r="D1590" s="3">
        <v>45799</v>
      </c>
      <c r="E1590" t="s">
        <v>115</v>
      </c>
      <c r="F1590" t="s">
        <v>3182</v>
      </c>
      <c r="G1590" t="s">
        <v>15</v>
      </c>
      <c r="H1590" t="s">
        <v>3183</v>
      </c>
      <c r="I1590" t="s">
        <v>3184</v>
      </c>
      <c r="J1590" s="4">
        <v>46067.217456377315</v>
      </c>
    </row>
    <row r="1591" spans="1:10" x14ac:dyDescent="0.55000000000000004">
      <c r="A1591" t="s">
        <v>3185</v>
      </c>
      <c r="B1591">
        <v>101160</v>
      </c>
      <c r="C1591" t="s">
        <v>68</v>
      </c>
      <c r="D1591" s="3">
        <v>46126</v>
      </c>
      <c r="E1591" t="s">
        <v>115</v>
      </c>
      <c r="F1591" t="s">
        <v>3186</v>
      </c>
      <c r="G1591" t="s">
        <v>22</v>
      </c>
      <c r="H1591" t="s">
        <v>3187</v>
      </c>
      <c r="I1591" t="s">
        <v>3188</v>
      </c>
      <c r="J1591" s="4">
        <v>46079.098011932867</v>
      </c>
    </row>
    <row r="1592" spans="1:10" x14ac:dyDescent="0.55000000000000004">
      <c r="A1592" t="s">
        <v>3189</v>
      </c>
      <c r="B1592">
        <v>100903</v>
      </c>
      <c r="C1592" t="s">
        <v>533</v>
      </c>
      <c r="D1592" s="3">
        <v>46048</v>
      </c>
      <c r="E1592" t="s">
        <v>317</v>
      </c>
      <c r="F1592" t="s">
        <v>3190</v>
      </c>
      <c r="G1592" t="s">
        <v>22</v>
      </c>
      <c r="H1592" t="s">
        <v>3191</v>
      </c>
      <c r="I1592" t="s">
        <v>3192</v>
      </c>
      <c r="J1592" s="4">
        <v>46086.496623043982</v>
      </c>
    </row>
    <row r="1593" spans="1:10" x14ac:dyDescent="0.55000000000000004">
      <c r="A1593" t="s">
        <v>3193</v>
      </c>
      <c r="B1593">
        <v>100031</v>
      </c>
      <c r="C1593" t="s">
        <v>533</v>
      </c>
      <c r="D1593" s="3">
        <v>45814</v>
      </c>
      <c r="E1593" t="s">
        <v>155</v>
      </c>
      <c r="F1593" t="s">
        <v>3194</v>
      </c>
      <c r="G1593" t="s">
        <v>15</v>
      </c>
      <c r="H1593" t="s">
        <v>3195</v>
      </c>
      <c r="I1593" t="s">
        <v>3196</v>
      </c>
      <c r="J1593" s="4">
        <v>46076.929261944446</v>
      </c>
    </row>
    <row r="1594" spans="1:10" x14ac:dyDescent="0.55000000000000004">
      <c r="A1594" t="s">
        <v>3197</v>
      </c>
      <c r="B1594">
        <v>100772</v>
      </c>
      <c r="C1594" t="s">
        <v>533</v>
      </c>
      <c r="D1594" s="3">
        <v>45957</v>
      </c>
      <c r="E1594" t="s">
        <v>20</v>
      </c>
      <c r="F1594" t="s">
        <v>3198</v>
      </c>
      <c r="G1594" t="s">
        <v>15</v>
      </c>
      <c r="H1594" t="s">
        <v>3199</v>
      </c>
      <c r="I1594" t="s">
        <v>3200</v>
      </c>
      <c r="J1594" s="4">
        <v>46062.696623055555</v>
      </c>
    </row>
    <row r="1595" spans="1:10" x14ac:dyDescent="0.55000000000000004">
      <c r="A1595" t="s">
        <v>3197</v>
      </c>
      <c r="B1595">
        <v>100772</v>
      </c>
      <c r="C1595" t="s">
        <v>533</v>
      </c>
      <c r="D1595" s="3">
        <v>45957</v>
      </c>
      <c r="E1595" t="s">
        <v>115</v>
      </c>
      <c r="F1595" t="s">
        <v>3198</v>
      </c>
      <c r="G1595" t="s">
        <v>15</v>
      </c>
      <c r="H1595" t="s">
        <v>3199</v>
      </c>
      <c r="I1595" t="s">
        <v>3200</v>
      </c>
      <c r="J1595" s="4">
        <v>46062.696623055555</v>
      </c>
    </row>
    <row r="1596" spans="1:10" x14ac:dyDescent="0.55000000000000004">
      <c r="A1596" t="s">
        <v>3201</v>
      </c>
      <c r="B1596">
        <v>100041</v>
      </c>
      <c r="C1596" t="s">
        <v>68</v>
      </c>
      <c r="D1596" s="3">
        <v>45908</v>
      </c>
      <c r="E1596" t="s">
        <v>20</v>
      </c>
      <c r="F1596" t="s">
        <v>3202</v>
      </c>
      <c r="G1596" t="s">
        <v>22</v>
      </c>
      <c r="H1596" t="s">
        <v>3203</v>
      </c>
      <c r="I1596" t="s">
        <v>3204</v>
      </c>
      <c r="J1596" s="4">
        <v>46063.51537306713</v>
      </c>
    </row>
    <row r="1597" spans="1:10" x14ac:dyDescent="0.55000000000000004">
      <c r="A1597" t="s">
        <v>3205</v>
      </c>
      <c r="B1597">
        <v>100667</v>
      </c>
      <c r="C1597" t="s">
        <v>19</v>
      </c>
      <c r="D1597" s="3">
        <v>45886</v>
      </c>
      <c r="E1597" t="s">
        <v>155</v>
      </c>
      <c r="F1597" t="s">
        <v>3206</v>
      </c>
      <c r="G1597" t="s">
        <v>22</v>
      </c>
      <c r="H1597" t="s">
        <v>3207</v>
      </c>
      <c r="I1597" t="s">
        <v>3208</v>
      </c>
      <c r="J1597" s="4">
        <v>46066.539678622685</v>
      </c>
    </row>
    <row r="1598" spans="1:10" x14ac:dyDescent="0.55000000000000004">
      <c r="A1598" t="s">
        <v>3209</v>
      </c>
      <c r="B1598">
        <v>100070</v>
      </c>
      <c r="C1598" t="s">
        <v>179</v>
      </c>
      <c r="D1598" s="3">
        <v>45895</v>
      </c>
      <c r="E1598" t="s">
        <v>155</v>
      </c>
      <c r="F1598" t="s">
        <v>3210</v>
      </c>
      <c r="G1598" t="s">
        <v>22</v>
      </c>
      <c r="H1598" t="s">
        <v>3211</v>
      </c>
      <c r="I1598" t="s">
        <v>3212</v>
      </c>
      <c r="J1598" s="4">
        <v>46056.325789733797</v>
      </c>
    </row>
    <row r="1599" spans="1:10" x14ac:dyDescent="0.55000000000000004">
      <c r="A1599" t="s">
        <v>3213</v>
      </c>
      <c r="B1599">
        <v>100665</v>
      </c>
      <c r="C1599" t="s">
        <v>19</v>
      </c>
      <c r="D1599" s="3">
        <v>45880</v>
      </c>
      <c r="E1599" t="s">
        <v>317</v>
      </c>
      <c r="F1599" t="s">
        <v>3214</v>
      </c>
      <c r="G1599" t="s">
        <v>22</v>
      </c>
      <c r="H1599" t="s">
        <v>3215</v>
      </c>
      <c r="I1599" t="s">
        <v>3216</v>
      </c>
      <c r="J1599" s="4">
        <v>46053.586206412037</v>
      </c>
    </row>
    <row r="1600" spans="1:10" x14ac:dyDescent="0.55000000000000004">
      <c r="A1600" t="s">
        <v>3213</v>
      </c>
      <c r="B1600">
        <v>100665</v>
      </c>
      <c r="C1600" t="s">
        <v>19</v>
      </c>
      <c r="D1600" s="3">
        <v>45880</v>
      </c>
      <c r="E1600" t="s">
        <v>115</v>
      </c>
      <c r="F1600" t="s">
        <v>3214</v>
      </c>
      <c r="G1600" t="s">
        <v>22</v>
      </c>
      <c r="H1600" t="s">
        <v>3215</v>
      </c>
      <c r="I1600" t="s">
        <v>3216</v>
      </c>
      <c r="J1600" s="4">
        <v>46053.586206412037</v>
      </c>
    </row>
    <row r="1601" spans="1:10" x14ac:dyDescent="0.55000000000000004">
      <c r="A1601" t="s">
        <v>3213</v>
      </c>
      <c r="B1601">
        <v>100665</v>
      </c>
      <c r="C1601" t="s">
        <v>19</v>
      </c>
      <c r="D1601" s="3">
        <v>45880</v>
      </c>
      <c r="E1601" t="s">
        <v>69</v>
      </c>
      <c r="F1601" t="s">
        <v>3214</v>
      </c>
      <c r="G1601" t="s">
        <v>22</v>
      </c>
      <c r="H1601" t="s">
        <v>3215</v>
      </c>
      <c r="I1601" t="s">
        <v>3216</v>
      </c>
      <c r="J1601" s="4">
        <v>46053.586206412037</v>
      </c>
    </row>
    <row r="1602" spans="1:10" x14ac:dyDescent="0.55000000000000004">
      <c r="A1602" t="s">
        <v>3217</v>
      </c>
      <c r="B1602">
        <v>101111</v>
      </c>
      <c r="C1602" t="s">
        <v>19</v>
      </c>
      <c r="D1602" s="3">
        <v>45752</v>
      </c>
      <c r="E1602" t="s">
        <v>317</v>
      </c>
      <c r="F1602" t="s">
        <v>3218</v>
      </c>
      <c r="G1602" t="s">
        <v>15</v>
      </c>
      <c r="H1602" t="s">
        <v>3219</v>
      </c>
      <c r="I1602" t="s">
        <v>3220</v>
      </c>
      <c r="J1602" s="4">
        <v>46078.711206412037</v>
      </c>
    </row>
    <row r="1603" spans="1:10" x14ac:dyDescent="0.55000000000000004">
      <c r="A1603" t="s">
        <v>3221</v>
      </c>
      <c r="B1603">
        <v>100358</v>
      </c>
      <c r="C1603" t="s">
        <v>179</v>
      </c>
      <c r="D1603" s="3">
        <v>46048</v>
      </c>
      <c r="E1603" t="s">
        <v>69</v>
      </c>
      <c r="F1603" t="s">
        <v>3222</v>
      </c>
      <c r="G1603" t="s">
        <v>22</v>
      </c>
      <c r="H1603" t="s">
        <v>3223</v>
      </c>
      <c r="I1603" t="s">
        <v>3224</v>
      </c>
      <c r="J1603" s="4">
        <v>46092.282039756945</v>
      </c>
    </row>
    <row r="1604" spans="1:10" x14ac:dyDescent="0.55000000000000004">
      <c r="A1604" t="s">
        <v>3225</v>
      </c>
      <c r="B1604">
        <v>100053</v>
      </c>
      <c r="C1604" t="s">
        <v>37</v>
      </c>
      <c r="D1604" s="3">
        <v>46043</v>
      </c>
      <c r="E1604" t="s">
        <v>317</v>
      </c>
      <c r="F1604" t="s">
        <v>3226</v>
      </c>
      <c r="G1604" t="s">
        <v>22</v>
      </c>
      <c r="H1604" t="s">
        <v>3227</v>
      </c>
      <c r="I1604" t="s">
        <v>3228</v>
      </c>
      <c r="J1604" s="4">
        <v>46085.713984201386</v>
      </c>
    </row>
    <row r="1605" spans="1:10" x14ac:dyDescent="0.55000000000000004">
      <c r="A1605" t="s">
        <v>3225</v>
      </c>
      <c r="B1605">
        <v>100053</v>
      </c>
      <c r="C1605" t="s">
        <v>37</v>
      </c>
      <c r="D1605" s="3">
        <v>46043</v>
      </c>
      <c r="E1605" t="s">
        <v>38</v>
      </c>
      <c r="F1605" t="s">
        <v>3226</v>
      </c>
      <c r="G1605" t="s">
        <v>22</v>
      </c>
      <c r="H1605" t="s">
        <v>3227</v>
      </c>
      <c r="I1605" t="s">
        <v>3228</v>
      </c>
      <c r="J1605" s="4">
        <v>46085.713984201386</v>
      </c>
    </row>
    <row r="1606" spans="1:10" x14ac:dyDescent="0.55000000000000004">
      <c r="A1606" t="s">
        <v>3225</v>
      </c>
      <c r="B1606">
        <v>100053</v>
      </c>
      <c r="C1606" t="s">
        <v>37</v>
      </c>
      <c r="D1606" s="3">
        <v>46043</v>
      </c>
      <c r="E1606" t="s">
        <v>115</v>
      </c>
      <c r="F1606" t="s">
        <v>3226</v>
      </c>
      <c r="G1606" t="s">
        <v>22</v>
      </c>
      <c r="H1606" t="s">
        <v>3227</v>
      </c>
      <c r="I1606" t="s">
        <v>3228</v>
      </c>
      <c r="J1606" s="4">
        <v>46085.713984201386</v>
      </c>
    </row>
    <row r="1607" spans="1:10" x14ac:dyDescent="0.55000000000000004">
      <c r="A1607" t="s">
        <v>3229</v>
      </c>
      <c r="B1607">
        <v>101407</v>
      </c>
      <c r="C1607" t="s">
        <v>37</v>
      </c>
      <c r="D1607" s="3">
        <v>46007</v>
      </c>
      <c r="E1607" t="s">
        <v>317</v>
      </c>
      <c r="F1607" t="s">
        <v>3230</v>
      </c>
      <c r="G1607" t="s">
        <v>22</v>
      </c>
      <c r="H1607" t="s">
        <v>3231</v>
      </c>
      <c r="I1607" t="s">
        <v>3232</v>
      </c>
      <c r="J1607" s="4">
        <v>46085.048706423608</v>
      </c>
    </row>
    <row r="1608" spans="1:10" x14ac:dyDescent="0.55000000000000004">
      <c r="A1608" t="s">
        <v>3229</v>
      </c>
      <c r="B1608">
        <v>101407</v>
      </c>
      <c r="C1608" t="s">
        <v>37</v>
      </c>
      <c r="D1608" s="3">
        <v>46007</v>
      </c>
      <c r="E1608" t="s">
        <v>155</v>
      </c>
      <c r="F1608" t="s">
        <v>3230</v>
      </c>
      <c r="G1608" t="s">
        <v>22</v>
      </c>
      <c r="H1608" t="s">
        <v>3231</v>
      </c>
      <c r="I1608" t="s">
        <v>3232</v>
      </c>
      <c r="J1608" s="4">
        <v>46085.048706423608</v>
      </c>
    </row>
    <row r="1609" spans="1:10" x14ac:dyDescent="0.55000000000000004">
      <c r="A1609" t="s">
        <v>3233</v>
      </c>
      <c r="B1609">
        <v>100767</v>
      </c>
      <c r="C1609" t="s">
        <v>68</v>
      </c>
      <c r="D1609" s="3">
        <v>46040</v>
      </c>
      <c r="E1609" t="s">
        <v>38</v>
      </c>
      <c r="F1609" t="s">
        <v>3234</v>
      </c>
      <c r="G1609" t="s">
        <v>22</v>
      </c>
      <c r="H1609" t="s">
        <v>3235</v>
      </c>
      <c r="I1609" t="s">
        <v>3236</v>
      </c>
      <c r="J1609" s="4">
        <v>46088.138289768518</v>
      </c>
    </row>
    <row r="1610" spans="1:10" x14ac:dyDescent="0.55000000000000004">
      <c r="A1610" t="s">
        <v>3233</v>
      </c>
      <c r="B1610">
        <v>100767</v>
      </c>
      <c r="C1610" t="s">
        <v>68</v>
      </c>
      <c r="D1610" s="3">
        <v>46040</v>
      </c>
      <c r="E1610" t="s">
        <v>20</v>
      </c>
      <c r="F1610" t="s">
        <v>3234</v>
      </c>
      <c r="G1610" t="s">
        <v>22</v>
      </c>
      <c r="H1610" t="s">
        <v>3235</v>
      </c>
      <c r="I1610" t="s">
        <v>3236</v>
      </c>
      <c r="J1610" s="4">
        <v>46088.138289768518</v>
      </c>
    </row>
    <row r="1611" spans="1:10" x14ac:dyDescent="0.55000000000000004">
      <c r="A1611" t="s">
        <v>3233</v>
      </c>
      <c r="B1611">
        <v>100767</v>
      </c>
      <c r="C1611" t="s">
        <v>68</v>
      </c>
      <c r="D1611" s="3">
        <v>46040</v>
      </c>
      <c r="E1611" t="s">
        <v>155</v>
      </c>
      <c r="F1611" t="s">
        <v>3234</v>
      </c>
      <c r="G1611" t="s">
        <v>22</v>
      </c>
      <c r="H1611" t="s">
        <v>3235</v>
      </c>
      <c r="I1611" t="s">
        <v>3236</v>
      </c>
      <c r="J1611" s="4">
        <v>46088.138289768518</v>
      </c>
    </row>
    <row r="1612" spans="1:10" x14ac:dyDescent="0.55000000000000004">
      <c r="A1612" t="s">
        <v>3237</v>
      </c>
      <c r="B1612">
        <v>101146</v>
      </c>
      <c r="C1612" t="s">
        <v>68</v>
      </c>
      <c r="D1612" s="3">
        <v>45929</v>
      </c>
      <c r="E1612" t="s">
        <v>20</v>
      </c>
      <c r="F1612" t="s">
        <v>3238</v>
      </c>
      <c r="G1612" t="s">
        <v>22</v>
      </c>
      <c r="H1612" t="s">
        <v>3239</v>
      </c>
      <c r="I1612" t="s">
        <v>3240</v>
      </c>
      <c r="J1612" s="4">
        <v>46075.308428657409</v>
      </c>
    </row>
    <row r="1613" spans="1:10" x14ac:dyDescent="0.55000000000000004">
      <c r="A1613" t="s">
        <v>3237</v>
      </c>
      <c r="B1613">
        <v>101146</v>
      </c>
      <c r="C1613" t="s">
        <v>68</v>
      </c>
      <c r="D1613" s="3">
        <v>45929</v>
      </c>
      <c r="E1613" t="s">
        <v>155</v>
      </c>
      <c r="F1613" t="s">
        <v>3238</v>
      </c>
      <c r="G1613" t="s">
        <v>22</v>
      </c>
      <c r="H1613" t="s">
        <v>3239</v>
      </c>
      <c r="I1613" t="s">
        <v>3240</v>
      </c>
      <c r="J1613" s="4">
        <v>46075.308428657409</v>
      </c>
    </row>
    <row r="1614" spans="1:10" x14ac:dyDescent="0.55000000000000004">
      <c r="A1614" t="s">
        <v>3241</v>
      </c>
      <c r="B1614">
        <v>101185</v>
      </c>
      <c r="C1614" t="s">
        <v>179</v>
      </c>
      <c r="D1614" s="3">
        <v>46019</v>
      </c>
      <c r="E1614" t="s">
        <v>115</v>
      </c>
      <c r="F1614" t="s">
        <v>3242</v>
      </c>
      <c r="G1614" t="s">
        <v>22</v>
      </c>
      <c r="H1614" t="s">
        <v>3243</v>
      </c>
      <c r="I1614" t="s">
        <v>3244</v>
      </c>
      <c r="J1614" s="4">
        <v>46071.116762002312</v>
      </c>
    </row>
    <row r="1615" spans="1:10" x14ac:dyDescent="0.55000000000000004">
      <c r="A1615" t="s">
        <v>3245</v>
      </c>
      <c r="B1615">
        <v>100083</v>
      </c>
      <c r="C1615" t="s">
        <v>68</v>
      </c>
      <c r="D1615" s="3">
        <v>45815</v>
      </c>
      <c r="E1615" t="s">
        <v>317</v>
      </c>
      <c r="F1615" t="s">
        <v>3246</v>
      </c>
      <c r="G1615" t="s">
        <v>15</v>
      </c>
      <c r="H1615" t="s">
        <v>3247</v>
      </c>
      <c r="I1615" t="s">
        <v>3248</v>
      </c>
      <c r="J1615" s="4">
        <v>46088.450789780094</v>
      </c>
    </row>
    <row r="1616" spans="1:10" x14ac:dyDescent="0.55000000000000004">
      <c r="A1616" t="s">
        <v>3245</v>
      </c>
      <c r="B1616">
        <v>100083</v>
      </c>
      <c r="C1616" t="s">
        <v>68</v>
      </c>
      <c r="D1616" s="3">
        <v>45815</v>
      </c>
      <c r="E1616" t="s">
        <v>115</v>
      </c>
      <c r="F1616" t="s">
        <v>3246</v>
      </c>
      <c r="G1616" t="s">
        <v>15</v>
      </c>
      <c r="H1616" t="s">
        <v>3247</v>
      </c>
      <c r="I1616" t="s">
        <v>3248</v>
      </c>
      <c r="J1616" s="4">
        <v>46088.450789780094</v>
      </c>
    </row>
    <row r="1617" spans="1:11" x14ac:dyDescent="0.55000000000000004">
      <c r="A1617" t="s">
        <v>3245</v>
      </c>
      <c r="B1617">
        <v>100083</v>
      </c>
      <c r="C1617" t="s">
        <v>68</v>
      </c>
      <c r="D1617" s="3">
        <v>45815</v>
      </c>
      <c r="E1617" t="s">
        <v>69</v>
      </c>
      <c r="F1617" t="s">
        <v>3246</v>
      </c>
      <c r="G1617" t="s">
        <v>15</v>
      </c>
      <c r="H1617" t="s">
        <v>3247</v>
      </c>
      <c r="I1617" t="s">
        <v>3248</v>
      </c>
      <c r="J1617" s="4">
        <v>46088.450789780094</v>
      </c>
    </row>
    <row r="1618" spans="1:11" x14ac:dyDescent="0.55000000000000004">
      <c r="A1618" t="s">
        <v>3249</v>
      </c>
      <c r="B1618">
        <v>100258</v>
      </c>
      <c r="C1618" t="s">
        <v>68</v>
      </c>
      <c r="D1618" s="3">
        <v>45975</v>
      </c>
      <c r="E1618" t="s">
        <v>20</v>
      </c>
      <c r="F1618" t="s">
        <v>3250</v>
      </c>
      <c r="G1618" t="s">
        <v>15</v>
      </c>
      <c r="H1618" t="s">
        <v>3251</v>
      </c>
      <c r="I1618" t="s">
        <v>3252</v>
      </c>
      <c r="J1618" s="4">
        <v>46097.163984236111</v>
      </c>
    </row>
    <row r="1619" spans="1:11" x14ac:dyDescent="0.55000000000000004">
      <c r="A1619" t="s">
        <v>3249</v>
      </c>
      <c r="B1619">
        <v>100258</v>
      </c>
      <c r="C1619" t="s">
        <v>68</v>
      </c>
      <c r="D1619" s="3">
        <v>45975</v>
      </c>
      <c r="E1619" t="s">
        <v>155</v>
      </c>
      <c r="F1619" t="s">
        <v>3250</v>
      </c>
      <c r="G1619" t="s">
        <v>15</v>
      </c>
      <c r="H1619" t="s">
        <v>3251</v>
      </c>
      <c r="I1619" t="s">
        <v>3252</v>
      </c>
      <c r="J1619" s="4">
        <v>46097.163984236111</v>
      </c>
    </row>
    <row r="1620" spans="1:11" x14ac:dyDescent="0.55000000000000004">
      <c r="A1620" t="s">
        <v>3249</v>
      </c>
      <c r="B1620">
        <v>100258</v>
      </c>
      <c r="C1620" t="s">
        <v>68</v>
      </c>
      <c r="D1620" s="3">
        <v>45975</v>
      </c>
      <c r="E1620" t="s">
        <v>69</v>
      </c>
      <c r="F1620" t="s">
        <v>3250</v>
      </c>
      <c r="G1620" t="s">
        <v>15</v>
      </c>
      <c r="H1620" t="s">
        <v>3251</v>
      </c>
      <c r="I1620" t="s">
        <v>3252</v>
      </c>
      <c r="J1620" s="4">
        <v>46097.163984236111</v>
      </c>
    </row>
    <row r="1621" spans="1:11" x14ac:dyDescent="0.55000000000000004">
      <c r="A1621" t="s">
        <v>3253</v>
      </c>
      <c r="B1621">
        <v>101131</v>
      </c>
      <c r="C1621" t="s">
        <v>248</v>
      </c>
      <c r="D1621" s="3">
        <v>45944</v>
      </c>
      <c r="E1621" t="s">
        <v>38</v>
      </c>
      <c r="F1621" t="s">
        <v>3254</v>
      </c>
      <c r="G1621" t="s">
        <v>22</v>
      </c>
      <c r="H1621" t="s">
        <v>3255</v>
      </c>
      <c r="I1621" t="s">
        <v>3256</v>
      </c>
      <c r="J1621" s="4">
        <v>46051.938289791666</v>
      </c>
    </row>
    <row r="1622" spans="1:11" x14ac:dyDescent="0.55000000000000004">
      <c r="A1622" t="s">
        <v>3257</v>
      </c>
      <c r="B1622">
        <v>100770</v>
      </c>
      <c r="C1622" t="s">
        <v>533</v>
      </c>
      <c r="D1622" s="3">
        <v>45834</v>
      </c>
      <c r="E1622" t="s">
        <v>69</v>
      </c>
      <c r="F1622" t="s">
        <v>3258</v>
      </c>
      <c r="G1622" t="s">
        <v>22</v>
      </c>
      <c r="H1622" t="s">
        <v>3259</v>
      </c>
      <c r="I1622" t="s">
        <v>3260</v>
      </c>
      <c r="J1622" s="4">
        <v>46062.048706458336</v>
      </c>
    </row>
    <row r="1623" spans="1:11" x14ac:dyDescent="0.55000000000000004">
      <c r="A1623" t="s">
        <v>3261</v>
      </c>
      <c r="B1623">
        <v>100284</v>
      </c>
      <c r="C1623" t="s">
        <v>37</v>
      </c>
      <c r="D1623" s="3">
        <v>46153</v>
      </c>
      <c r="E1623" t="s">
        <v>38</v>
      </c>
      <c r="F1623" t="s">
        <v>3262</v>
      </c>
      <c r="G1623" t="s">
        <v>22</v>
      </c>
      <c r="H1623" t="s">
        <v>3263</v>
      </c>
      <c r="I1623" t="s">
        <v>3264</v>
      </c>
      <c r="J1623" s="4">
        <v>46062.08690091435</v>
      </c>
    </row>
    <row r="1624" spans="1:11" x14ac:dyDescent="0.55000000000000004">
      <c r="A1624" t="s">
        <v>3261</v>
      </c>
      <c r="B1624">
        <v>100284</v>
      </c>
      <c r="C1624" t="s">
        <v>37</v>
      </c>
      <c r="D1624" s="3">
        <v>46153</v>
      </c>
      <c r="E1624" t="s">
        <v>20</v>
      </c>
      <c r="F1624" t="s">
        <v>3262</v>
      </c>
      <c r="G1624" t="s">
        <v>22</v>
      </c>
      <c r="H1624" t="s">
        <v>3263</v>
      </c>
      <c r="I1624" t="s">
        <v>3264</v>
      </c>
      <c r="J1624" s="4">
        <v>46062.08690091435</v>
      </c>
    </row>
    <row r="1625" spans="1:11" x14ac:dyDescent="0.55000000000000004">
      <c r="A1625" t="s">
        <v>3265</v>
      </c>
      <c r="B1625">
        <v>100809</v>
      </c>
      <c r="C1625" t="s">
        <v>248</v>
      </c>
      <c r="D1625" s="3">
        <v>45745</v>
      </c>
      <c r="E1625" t="s">
        <v>115</v>
      </c>
      <c r="F1625" t="s">
        <v>3266</v>
      </c>
      <c r="G1625" t="s">
        <v>22</v>
      </c>
      <c r="H1625" t="s">
        <v>3267</v>
      </c>
      <c r="I1625" t="s">
        <v>3268</v>
      </c>
      <c r="J1625" s="4">
        <v>46077.83551203704</v>
      </c>
    </row>
    <row r="1626" spans="1:11" x14ac:dyDescent="0.55000000000000004">
      <c r="A1626" t="s">
        <v>3269</v>
      </c>
      <c r="B1626">
        <v>100779</v>
      </c>
      <c r="C1626" t="s">
        <v>19</v>
      </c>
      <c r="D1626" s="3">
        <v>45795</v>
      </c>
      <c r="E1626" t="s">
        <v>317</v>
      </c>
      <c r="F1626" t="s">
        <v>3270</v>
      </c>
      <c r="G1626" t="s">
        <v>15</v>
      </c>
      <c r="H1626" t="s">
        <v>3271</v>
      </c>
      <c r="I1626" t="s">
        <v>3272</v>
      </c>
      <c r="J1626" s="4">
        <v>46065.768150925927</v>
      </c>
    </row>
    <row r="1627" spans="1:11" x14ac:dyDescent="0.55000000000000004">
      <c r="A1627" t="s">
        <v>3269</v>
      </c>
      <c r="B1627">
        <v>100779</v>
      </c>
      <c r="C1627" t="s">
        <v>19</v>
      </c>
      <c r="D1627" s="3">
        <v>45795</v>
      </c>
      <c r="E1627" t="s">
        <v>20</v>
      </c>
      <c r="F1627" t="s">
        <v>3270</v>
      </c>
      <c r="G1627" t="s">
        <v>15</v>
      </c>
      <c r="H1627" t="s">
        <v>3271</v>
      </c>
      <c r="I1627" t="s">
        <v>3272</v>
      </c>
      <c r="J1627" s="4">
        <v>46065.768150925927</v>
      </c>
    </row>
    <row r="1628" spans="1:11" x14ac:dyDescent="0.55000000000000004">
      <c r="A1628" t="s">
        <v>3269</v>
      </c>
      <c r="B1628">
        <v>100779</v>
      </c>
      <c r="C1628" t="s">
        <v>19</v>
      </c>
      <c r="D1628" s="3">
        <v>45795</v>
      </c>
      <c r="E1628" t="s">
        <v>69</v>
      </c>
      <c r="F1628" t="s">
        <v>3270</v>
      </c>
      <c r="G1628" t="s">
        <v>15</v>
      </c>
      <c r="H1628" t="s">
        <v>3271</v>
      </c>
      <c r="I1628" t="s">
        <v>3272</v>
      </c>
      <c r="J1628" s="4">
        <v>46065.768150925927</v>
      </c>
    </row>
    <row r="1629" spans="1:11" x14ac:dyDescent="0.55000000000000004">
      <c r="A1629" t="s">
        <v>3273</v>
      </c>
      <c r="B1629">
        <v>100345</v>
      </c>
      <c r="C1629" t="s">
        <v>248</v>
      </c>
      <c r="D1629" s="3">
        <v>45746</v>
      </c>
      <c r="E1629" t="s">
        <v>20</v>
      </c>
      <c r="F1629" t="s">
        <v>3274</v>
      </c>
      <c r="G1629" t="s">
        <v>22</v>
      </c>
      <c r="H1629" t="s">
        <v>3275</v>
      </c>
      <c r="I1629" t="s">
        <v>3276</v>
      </c>
      <c r="J1629" s="4">
        <v>46092.894539814813</v>
      </c>
    </row>
    <row r="1630" spans="1:11" x14ac:dyDescent="0.55000000000000004">
      <c r="A1630" t="s">
        <v>3277</v>
      </c>
      <c r="B1630">
        <v>101410</v>
      </c>
      <c r="C1630" t="s">
        <v>68</v>
      </c>
      <c r="D1630" s="3">
        <v>46029</v>
      </c>
      <c r="E1630" t="s">
        <v>38</v>
      </c>
      <c r="F1630" t="s">
        <v>3278</v>
      </c>
      <c r="G1630" t="s">
        <v>22</v>
      </c>
      <c r="H1630" t="s">
        <v>3279</v>
      </c>
      <c r="I1630" t="s">
        <v>3280</v>
      </c>
      <c r="J1630" s="4">
        <v>46056.770928715276</v>
      </c>
    </row>
    <row r="1631" spans="1:11" x14ac:dyDescent="0.55000000000000004">
      <c r="A1631" t="s">
        <v>3277</v>
      </c>
      <c r="B1631">
        <v>101410</v>
      </c>
      <c r="C1631" t="s">
        <v>68</v>
      </c>
      <c r="D1631" s="3">
        <v>46029</v>
      </c>
      <c r="E1631" t="s">
        <v>69</v>
      </c>
      <c r="F1631" t="s">
        <v>3278</v>
      </c>
      <c r="G1631" t="s">
        <v>22</v>
      </c>
      <c r="H1631" t="s">
        <v>3279</v>
      </c>
      <c r="I1631" t="s">
        <v>3280</v>
      </c>
      <c r="J1631" s="4">
        <v>46056.770928715276</v>
      </c>
    </row>
    <row r="1632" spans="1:11" x14ac:dyDescent="0.55000000000000004">
      <c r="A1632" t="s">
        <v>3281</v>
      </c>
      <c r="B1632">
        <v>100465</v>
      </c>
      <c r="D1632" s="3">
        <v>46087</v>
      </c>
      <c r="E1632" t="s">
        <v>20</v>
      </c>
      <c r="F1632" t="s">
        <v>3282</v>
      </c>
      <c r="G1632" t="s">
        <v>15</v>
      </c>
      <c r="H1632" t="s">
        <v>3283</v>
      </c>
      <c r="I1632" t="s">
        <v>3284</v>
      </c>
      <c r="J1632" s="4">
        <v>46081.514678715277</v>
      </c>
      <c r="K1632" t="s">
        <v>217</v>
      </c>
    </row>
    <row r="1633" spans="1:10" x14ac:dyDescent="0.55000000000000004">
      <c r="A1633" t="s">
        <v>3285</v>
      </c>
      <c r="B1633">
        <v>100216</v>
      </c>
      <c r="C1633" t="s">
        <v>19</v>
      </c>
      <c r="D1633" s="3">
        <v>45761</v>
      </c>
      <c r="E1633" t="s">
        <v>20</v>
      </c>
      <c r="F1633" t="s">
        <v>3286</v>
      </c>
      <c r="G1633" t="s">
        <v>22</v>
      </c>
      <c r="H1633" t="s">
        <v>3287</v>
      </c>
      <c r="I1633" t="s">
        <v>3288</v>
      </c>
      <c r="J1633" s="4">
        <v>46053.553567615738</v>
      </c>
    </row>
    <row r="1634" spans="1:10" x14ac:dyDescent="0.55000000000000004">
      <c r="A1634" t="s">
        <v>3289</v>
      </c>
      <c r="B1634">
        <v>100335</v>
      </c>
      <c r="C1634" t="s">
        <v>68</v>
      </c>
      <c r="D1634" s="3">
        <v>45815</v>
      </c>
      <c r="E1634" t="s">
        <v>20</v>
      </c>
      <c r="F1634" t="s">
        <v>3290</v>
      </c>
      <c r="G1634" t="s">
        <v>22</v>
      </c>
      <c r="H1634" t="s">
        <v>1680</v>
      </c>
      <c r="I1634" t="s">
        <v>3291</v>
      </c>
      <c r="J1634" s="4">
        <v>46070.841067615744</v>
      </c>
    </row>
    <row r="1635" spans="1:10" x14ac:dyDescent="0.55000000000000004">
      <c r="A1635" t="s">
        <v>3292</v>
      </c>
      <c r="B1635">
        <v>101469</v>
      </c>
      <c r="C1635" t="s">
        <v>68</v>
      </c>
      <c r="D1635" s="3">
        <v>45756</v>
      </c>
      <c r="E1635" t="s">
        <v>38</v>
      </c>
      <c r="F1635" t="s">
        <v>3293</v>
      </c>
      <c r="G1635" t="s">
        <v>15</v>
      </c>
      <c r="H1635" t="s">
        <v>3294</v>
      </c>
      <c r="I1635" t="s">
        <v>3295</v>
      </c>
      <c r="J1635" s="4">
        <v>46065.470928738425</v>
      </c>
    </row>
    <row r="1636" spans="1:10" x14ac:dyDescent="0.55000000000000004">
      <c r="A1636" t="s">
        <v>3292</v>
      </c>
      <c r="B1636">
        <v>101469</v>
      </c>
      <c r="C1636" t="s">
        <v>68</v>
      </c>
      <c r="D1636" s="3">
        <v>45756</v>
      </c>
      <c r="E1636" t="s">
        <v>20</v>
      </c>
      <c r="F1636" t="s">
        <v>3293</v>
      </c>
      <c r="G1636" t="s">
        <v>15</v>
      </c>
      <c r="H1636" t="s">
        <v>3294</v>
      </c>
      <c r="I1636" t="s">
        <v>3295</v>
      </c>
      <c r="J1636" s="4">
        <v>46065.470928738425</v>
      </c>
    </row>
    <row r="1637" spans="1:10" x14ac:dyDescent="0.55000000000000004">
      <c r="A1637" t="s">
        <v>3296</v>
      </c>
      <c r="B1637">
        <v>100266</v>
      </c>
      <c r="C1637" t="s">
        <v>533</v>
      </c>
      <c r="D1637" s="3">
        <v>46123</v>
      </c>
      <c r="E1637" t="s">
        <v>38</v>
      </c>
      <c r="F1637" t="s">
        <v>3297</v>
      </c>
      <c r="G1637" t="s">
        <v>15</v>
      </c>
      <c r="H1637" t="s">
        <v>3298</v>
      </c>
      <c r="I1637" t="s">
        <v>3299</v>
      </c>
      <c r="J1637" s="4">
        <v>46063.287595405091</v>
      </c>
    </row>
    <row r="1638" spans="1:10" x14ac:dyDescent="0.55000000000000004">
      <c r="A1638" t="s">
        <v>3300</v>
      </c>
      <c r="B1638">
        <v>101439</v>
      </c>
      <c r="C1638" t="s">
        <v>68</v>
      </c>
      <c r="D1638" s="3">
        <v>46155</v>
      </c>
      <c r="E1638" t="s">
        <v>317</v>
      </c>
      <c r="F1638" t="s">
        <v>3301</v>
      </c>
      <c r="G1638" t="s">
        <v>15</v>
      </c>
      <c r="H1638" t="s">
        <v>3302</v>
      </c>
      <c r="I1638" t="s">
        <v>3303</v>
      </c>
      <c r="J1638" s="4">
        <v>46062.921623182869</v>
      </c>
    </row>
    <row r="1639" spans="1:10" x14ac:dyDescent="0.55000000000000004">
      <c r="A1639" t="s">
        <v>3300</v>
      </c>
      <c r="B1639">
        <v>101439</v>
      </c>
      <c r="C1639" t="s">
        <v>68</v>
      </c>
      <c r="D1639" s="3">
        <v>46155</v>
      </c>
      <c r="E1639" t="s">
        <v>38</v>
      </c>
      <c r="F1639" t="s">
        <v>3301</v>
      </c>
      <c r="G1639" t="s">
        <v>15</v>
      </c>
      <c r="H1639" t="s">
        <v>3302</v>
      </c>
      <c r="I1639" t="s">
        <v>3303</v>
      </c>
      <c r="J1639" s="4">
        <v>46062.921623182869</v>
      </c>
    </row>
    <row r="1640" spans="1:10" x14ac:dyDescent="0.55000000000000004">
      <c r="A1640" t="s">
        <v>3300</v>
      </c>
      <c r="B1640">
        <v>101439</v>
      </c>
      <c r="C1640" t="s">
        <v>68</v>
      </c>
      <c r="D1640" s="3">
        <v>46155</v>
      </c>
      <c r="E1640" t="s">
        <v>20</v>
      </c>
      <c r="F1640" t="s">
        <v>3301</v>
      </c>
      <c r="G1640" t="s">
        <v>15</v>
      </c>
      <c r="H1640" t="s">
        <v>3302</v>
      </c>
      <c r="I1640" t="s">
        <v>3303</v>
      </c>
      <c r="J1640" s="4">
        <v>46062.921623182869</v>
      </c>
    </row>
    <row r="1641" spans="1:10" x14ac:dyDescent="0.55000000000000004">
      <c r="A1641" t="s">
        <v>3304</v>
      </c>
      <c r="B1641">
        <v>101369</v>
      </c>
      <c r="C1641" t="s">
        <v>68</v>
      </c>
      <c r="D1641" s="3">
        <v>46153</v>
      </c>
      <c r="E1641" t="s">
        <v>155</v>
      </c>
      <c r="F1641" t="s">
        <v>3305</v>
      </c>
      <c r="G1641" t="s">
        <v>15</v>
      </c>
      <c r="H1641" t="s">
        <v>3306</v>
      </c>
      <c r="I1641" t="s">
        <v>3307</v>
      </c>
      <c r="J1641" s="4">
        <v>46064.345928750001</v>
      </c>
    </row>
    <row r="1642" spans="1:10" x14ac:dyDescent="0.55000000000000004">
      <c r="A1642" t="s">
        <v>3308</v>
      </c>
      <c r="B1642">
        <v>100472</v>
      </c>
      <c r="C1642" t="s">
        <v>68</v>
      </c>
      <c r="D1642" s="3">
        <v>46130</v>
      </c>
      <c r="E1642" t="s">
        <v>20</v>
      </c>
      <c r="F1642" t="s">
        <v>3309</v>
      </c>
      <c r="G1642" t="s">
        <v>15</v>
      </c>
      <c r="H1642" t="s">
        <v>3310</v>
      </c>
      <c r="I1642" t="s">
        <v>3311</v>
      </c>
      <c r="J1642" s="4">
        <v>46091.436206527775</v>
      </c>
    </row>
    <row r="1643" spans="1:10" x14ac:dyDescent="0.55000000000000004">
      <c r="A1643" t="s">
        <v>3308</v>
      </c>
      <c r="B1643">
        <v>100472</v>
      </c>
      <c r="C1643" t="s">
        <v>68</v>
      </c>
      <c r="D1643" s="3">
        <v>46130</v>
      </c>
      <c r="E1643" t="s">
        <v>69</v>
      </c>
      <c r="F1643" t="s">
        <v>3309</v>
      </c>
      <c r="G1643" t="s">
        <v>15</v>
      </c>
      <c r="H1643" t="s">
        <v>3310</v>
      </c>
      <c r="I1643" t="s">
        <v>3311</v>
      </c>
      <c r="J1643" s="4">
        <v>46091.436206527775</v>
      </c>
    </row>
    <row r="1644" spans="1:10" x14ac:dyDescent="0.55000000000000004">
      <c r="A1644" t="s">
        <v>3312</v>
      </c>
      <c r="B1644">
        <v>101275</v>
      </c>
      <c r="C1644" t="s">
        <v>533</v>
      </c>
      <c r="D1644" s="3">
        <v>45989</v>
      </c>
      <c r="E1644" t="s">
        <v>115</v>
      </c>
      <c r="F1644" t="s">
        <v>3313</v>
      </c>
      <c r="G1644" t="s">
        <v>15</v>
      </c>
      <c r="H1644" t="s">
        <v>3314</v>
      </c>
      <c r="I1644" t="s">
        <v>3315</v>
      </c>
      <c r="J1644" s="4">
        <v>46071.091067650465</v>
      </c>
    </row>
    <row r="1645" spans="1:10" x14ac:dyDescent="0.55000000000000004">
      <c r="A1645" t="s">
        <v>3316</v>
      </c>
      <c r="B1645">
        <v>101267</v>
      </c>
      <c r="C1645" t="s">
        <v>37</v>
      </c>
      <c r="D1645" s="3">
        <v>45791</v>
      </c>
      <c r="E1645" t="s">
        <v>155</v>
      </c>
      <c r="F1645" t="s">
        <v>3317</v>
      </c>
      <c r="G1645" t="s">
        <v>22</v>
      </c>
      <c r="H1645" t="s">
        <v>3318</v>
      </c>
      <c r="I1645" t="s">
        <v>3319</v>
      </c>
      <c r="J1645" s="4">
        <v>46075.302873206019</v>
      </c>
    </row>
    <row r="1646" spans="1:10" x14ac:dyDescent="0.55000000000000004">
      <c r="A1646" t="s">
        <v>3320</v>
      </c>
      <c r="B1646">
        <v>100658</v>
      </c>
      <c r="C1646" t="s">
        <v>68</v>
      </c>
      <c r="D1646" s="3">
        <v>45803</v>
      </c>
      <c r="E1646" t="s">
        <v>317</v>
      </c>
      <c r="F1646" t="s">
        <v>3321</v>
      </c>
      <c r="G1646" t="s">
        <v>22</v>
      </c>
      <c r="H1646" t="s">
        <v>3322</v>
      </c>
      <c r="I1646" t="s">
        <v>3323</v>
      </c>
      <c r="J1646" s="4">
        <v>46086.31328988426</v>
      </c>
    </row>
    <row r="1647" spans="1:10" x14ac:dyDescent="0.55000000000000004">
      <c r="A1647" t="s">
        <v>3320</v>
      </c>
      <c r="B1647">
        <v>100658</v>
      </c>
      <c r="C1647" t="s">
        <v>68</v>
      </c>
      <c r="D1647" s="3">
        <v>45803</v>
      </c>
      <c r="E1647" t="s">
        <v>38</v>
      </c>
      <c r="F1647" t="s">
        <v>3321</v>
      </c>
      <c r="G1647" t="s">
        <v>22</v>
      </c>
      <c r="H1647" t="s">
        <v>3322</v>
      </c>
      <c r="I1647" t="s">
        <v>3323</v>
      </c>
      <c r="J1647" s="4">
        <v>46086.31328988426</v>
      </c>
    </row>
    <row r="1648" spans="1:10" x14ac:dyDescent="0.55000000000000004">
      <c r="A1648" t="s">
        <v>3324</v>
      </c>
      <c r="B1648">
        <v>101380</v>
      </c>
      <c r="C1648" t="s">
        <v>37</v>
      </c>
      <c r="D1648" s="3">
        <v>46113</v>
      </c>
      <c r="E1648" t="s">
        <v>115</v>
      </c>
      <c r="F1648" t="s">
        <v>3325</v>
      </c>
      <c r="G1648" t="s">
        <v>15</v>
      </c>
      <c r="H1648" t="s">
        <v>3326</v>
      </c>
      <c r="I1648" t="s">
        <v>3327</v>
      </c>
      <c r="J1648" s="4">
        <v>46053.543845439817</v>
      </c>
    </row>
    <row r="1649" spans="1:10" x14ac:dyDescent="0.55000000000000004">
      <c r="A1649" t="s">
        <v>3328</v>
      </c>
      <c r="B1649">
        <v>101449</v>
      </c>
      <c r="C1649" t="s">
        <v>248</v>
      </c>
      <c r="D1649" s="3">
        <v>45889</v>
      </c>
      <c r="E1649" t="s">
        <v>115</v>
      </c>
      <c r="F1649" t="s">
        <v>3329</v>
      </c>
      <c r="G1649" t="s">
        <v>15</v>
      </c>
      <c r="H1649" t="s">
        <v>3330</v>
      </c>
      <c r="I1649" t="s">
        <v>3331</v>
      </c>
      <c r="J1649" s="4">
        <v>46092.141762118059</v>
      </c>
    </row>
    <row r="1650" spans="1:10" x14ac:dyDescent="0.55000000000000004">
      <c r="A1650" t="s">
        <v>3332</v>
      </c>
      <c r="B1650">
        <v>101060</v>
      </c>
      <c r="C1650" t="s">
        <v>533</v>
      </c>
      <c r="D1650" s="3">
        <v>45771</v>
      </c>
      <c r="E1650" t="s">
        <v>69</v>
      </c>
      <c r="F1650" t="s">
        <v>3333</v>
      </c>
      <c r="G1650" t="s">
        <v>22</v>
      </c>
      <c r="H1650" t="s">
        <v>3334</v>
      </c>
      <c r="I1650" t="s">
        <v>3335</v>
      </c>
      <c r="J1650" s="4">
        <v>46095.466762118056</v>
      </c>
    </row>
    <row r="1651" spans="1:10" x14ac:dyDescent="0.55000000000000004">
      <c r="A1651" t="s">
        <v>3336</v>
      </c>
      <c r="B1651">
        <v>101132</v>
      </c>
      <c r="C1651" t="s">
        <v>533</v>
      </c>
      <c r="D1651" s="3">
        <v>45748</v>
      </c>
      <c r="E1651" t="s">
        <v>317</v>
      </c>
      <c r="F1651" t="s">
        <v>3337</v>
      </c>
      <c r="G1651" t="s">
        <v>22</v>
      </c>
      <c r="H1651" t="s">
        <v>3338</v>
      </c>
      <c r="I1651" t="s">
        <v>3339</v>
      </c>
      <c r="J1651" s="4">
        <v>46090.386206574076</v>
      </c>
    </row>
    <row r="1652" spans="1:10" x14ac:dyDescent="0.55000000000000004">
      <c r="A1652" t="s">
        <v>3336</v>
      </c>
      <c r="B1652">
        <v>101132</v>
      </c>
      <c r="C1652" t="s">
        <v>533</v>
      </c>
      <c r="D1652" s="3">
        <v>45748</v>
      </c>
      <c r="E1652" t="s">
        <v>38</v>
      </c>
      <c r="F1652" t="s">
        <v>3337</v>
      </c>
      <c r="G1652" t="s">
        <v>22</v>
      </c>
      <c r="H1652" t="s">
        <v>3338</v>
      </c>
      <c r="I1652" t="s">
        <v>3339</v>
      </c>
      <c r="J1652" s="4">
        <v>46090.386206574076</v>
      </c>
    </row>
    <row r="1653" spans="1:10" x14ac:dyDescent="0.55000000000000004">
      <c r="A1653" t="s">
        <v>3336</v>
      </c>
      <c r="B1653">
        <v>101132</v>
      </c>
      <c r="C1653" t="s">
        <v>533</v>
      </c>
      <c r="D1653" s="3">
        <v>45748</v>
      </c>
      <c r="E1653" t="s">
        <v>155</v>
      </c>
      <c r="F1653" t="s">
        <v>3337</v>
      </c>
      <c r="G1653" t="s">
        <v>22</v>
      </c>
      <c r="H1653" t="s">
        <v>3338</v>
      </c>
      <c r="I1653" t="s">
        <v>3339</v>
      </c>
      <c r="J1653" s="4">
        <v>46090.386206574076</v>
      </c>
    </row>
    <row r="1654" spans="1:10" x14ac:dyDescent="0.55000000000000004">
      <c r="A1654" t="s">
        <v>3340</v>
      </c>
      <c r="B1654">
        <v>100606</v>
      </c>
      <c r="C1654" t="s">
        <v>37</v>
      </c>
      <c r="D1654" s="3">
        <v>45765</v>
      </c>
      <c r="E1654" t="s">
        <v>317</v>
      </c>
      <c r="F1654" t="s">
        <v>3341</v>
      </c>
      <c r="G1654" t="s">
        <v>15</v>
      </c>
      <c r="H1654" t="s">
        <v>3342</v>
      </c>
      <c r="I1654" t="s">
        <v>3343</v>
      </c>
      <c r="J1654" s="4">
        <v>46089.890373240742</v>
      </c>
    </row>
    <row r="1655" spans="1:10" x14ac:dyDescent="0.55000000000000004">
      <c r="A1655" t="s">
        <v>3340</v>
      </c>
      <c r="B1655">
        <v>100606</v>
      </c>
      <c r="C1655" t="s">
        <v>37</v>
      </c>
      <c r="D1655" s="3">
        <v>45765</v>
      </c>
      <c r="E1655" t="s">
        <v>155</v>
      </c>
      <c r="F1655" t="s">
        <v>3341</v>
      </c>
      <c r="G1655" t="s">
        <v>15</v>
      </c>
      <c r="H1655" t="s">
        <v>3342</v>
      </c>
      <c r="I1655" t="s">
        <v>3343</v>
      </c>
      <c r="J1655" s="4">
        <v>46089.890373240742</v>
      </c>
    </row>
    <row r="1656" spans="1:10" x14ac:dyDescent="0.55000000000000004">
      <c r="A1656" t="s">
        <v>3344</v>
      </c>
      <c r="B1656">
        <v>101190</v>
      </c>
      <c r="C1656" t="s">
        <v>248</v>
      </c>
      <c r="D1656" s="3">
        <v>46032</v>
      </c>
      <c r="E1656" t="s">
        <v>115</v>
      </c>
      <c r="F1656" t="s">
        <v>3345</v>
      </c>
      <c r="G1656" t="s">
        <v>22</v>
      </c>
      <c r="H1656" t="s">
        <v>3346</v>
      </c>
      <c r="I1656" t="s">
        <v>3347</v>
      </c>
      <c r="J1656" s="4">
        <v>46096.617456585649</v>
      </c>
    </row>
    <row r="1657" spans="1:10" x14ac:dyDescent="0.55000000000000004">
      <c r="A1657" t="s">
        <v>3348</v>
      </c>
      <c r="B1657">
        <v>100027</v>
      </c>
      <c r="C1657" t="s">
        <v>533</v>
      </c>
      <c r="D1657" s="3">
        <v>46114</v>
      </c>
      <c r="E1657" t="s">
        <v>38</v>
      </c>
      <c r="F1657" t="s">
        <v>3349</v>
      </c>
      <c r="G1657" t="s">
        <v>22</v>
      </c>
      <c r="H1657" t="s">
        <v>3350</v>
      </c>
      <c r="I1657" t="s">
        <v>3351</v>
      </c>
      <c r="J1657" s="4">
        <v>46087.034123252313</v>
      </c>
    </row>
    <row r="1658" spans="1:10" x14ac:dyDescent="0.55000000000000004">
      <c r="A1658" t="s">
        <v>3348</v>
      </c>
      <c r="B1658">
        <v>100027</v>
      </c>
      <c r="C1658" t="s">
        <v>533</v>
      </c>
      <c r="D1658" s="3">
        <v>46114</v>
      </c>
      <c r="E1658" t="s">
        <v>20</v>
      </c>
      <c r="F1658" t="s">
        <v>3349</v>
      </c>
      <c r="G1658" t="s">
        <v>22</v>
      </c>
      <c r="H1658" t="s">
        <v>3350</v>
      </c>
      <c r="I1658" t="s">
        <v>3351</v>
      </c>
      <c r="J1658" s="4">
        <v>46087.034123252313</v>
      </c>
    </row>
    <row r="1659" spans="1:10" x14ac:dyDescent="0.55000000000000004">
      <c r="A1659" t="s">
        <v>3352</v>
      </c>
      <c r="B1659">
        <v>101144</v>
      </c>
      <c r="C1659" t="s">
        <v>19</v>
      </c>
      <c r="D1659" s="3">
        <v>45855</v>
      </c>
      <c r="E1659" t="s">
        <v>317</v>
      </c>
      <c r="F1659" t="s">
        <v>3353</v>
      </c>
      <c r="G1659" t="s">
        <v>15</v>
      </c>
      <c r="H1659" t="s">
        <v>3354</v>
      </c>
      <c r="I1659" t="s">
        <v>3355</v>
      </c>
      <c r="J1659" s="4">
        <v>46064.43759548611</v>
      </c>
    </row>
    <row r="1660" spans="1:10" x14ac:dyDescent="0.55000000000000004">
      <c r="A1660" t="s">
        <v>3352</v>
      </c>
      <c r="B1660">
        <v>101144</v>
      </c>
      <c r="C1660" t="s">
        <v>19</v>
      </c>
      <c r="D1660" s="3">
        <v>45855</v>
      </c>
      <c r="E1660" t="s">
        <v>38</v>
      </c>
      <c r="F1660" t="s">
        <v>3353</v>
      </c>
      <c r="G1660" t="s">
        <v>15</v>
      </c>
      <c r="H1660" t="s">
        <v>3354</v>
      </c>
      <c r="I1660" t="s">
        <v>3355</v>
      </c>
      <c r="J1660" s="4">
        <v>46064.43759548611</v>
      </c>
    </row>
    <row r="1661" spans="1:10" x14ac:dyDescent="0.55000000000000004">
      <c r="A1661" t="s">
        <v>3352</v>
      </c>
      <c r="B1661">
        <v>101144</v>
      </c>
      <c r="C1661" t="s">
        <v>19</v>
      </c>
      <c r="D1661" s="3">
        <v>45855</v>
      </c>
      <c r="E1661" t="s">
        <v>155</v>
      </c>
      <c r="F1661" t="s">
        <v>3353</v>
      </c>
      <c r="G1661" t="s">
        <v>15</v>
      </c>
      <c r="H1661" t="s">
        <v>3354</v>
      </c>
      <c r="I1661" t="s">
        <v>3355</v>
      </c>
      <c r="J1661" s="4">
        <v>46064.43759548611</v>
      </c>
    </row>
    <row r="1662" spans="1:10" x14ac:dyDescent="0.55000000000000004">
      <c r="A1662" t="s">
        <v>3356</v>
      </c>
      <c r="B1662">
        <v>100637</v>
      </c>
      <c r="C1662" t="s">
        <v>248</v>
      </c>
      <c r="D1662" s="3">
        <v>45876</v>
      </c>
      <c r="E1662" t="s">
        <v>38</v>
      </c>
      <c r="F1662" t="s">
        <v>3357</v>
      </c>
      <c r="G1662" t="s">
        <v>15</v>
      </c>
      <c r="H1662" t="s">
        <v>3358</v>
      </c>
      <c r="I1662" t="s">
        <v>3359</v>
      </c>
      <c r="J1662" s="4">
        <v>46091.441762152775</v>
      </c>
    </row>
    <row r="1663" spans="1:10" x14ac:dyDescent="0.55000000000000004">
      <c r="A1663" t="s">
        <v>3360</v>
      </c>
      <c r="B1663">
        <v>101361</v>
      </c>
      <c r="C1663" t="s">
        <v>19</v>
      </c>
      <c r="D1663" s="3">
        <v>46094</v>
      </c>
      <c r="E1663" t="s">
        <v>38</v>
      </c>
      <c r="F1663" t="s">
        <v>3361</v>
      </c>
      <c r="G1663" t="s">
        <v>15</v>
      </c>
      <c r="H1663" t="s">
        <v>3362</v>
      </c>
      <c r="I1663" t="s">
        <v>3363</v>
      </c>
      <c r="J1663" s="4">
        <v>46068.788289942131</v>
      </c>
    </row>
    <row r="1664" spans="1:10" x14ac:dyDescent="0.55000000000000004">
      <c r="A1664" t="s">
        <v>3360</v>
      </c>
      <c r="B1664">
        <v>101361</v>
      </c>
      <c r="C1664" t="s">
        <v>19</v>
      </c>
      <c r="D1664" s="3">
        <v>46094</v>
      </c>
      <c r="E1664" t="s">
        <v>20</v>
      </c>
      <c r="F1664" t="s">
        <v>3361</v>
      </c>
      <c r="G1664" t="s">
        <v>15</v>
      </c>
      <c r="H1664" t="s">
        <v>3362</v>
      </c>
      <c r="I1664" t="s">
        <v>3363</v>
      </c>
      <c r="J1664" s="4">
        <v>46068.788289942131</v>
      </c>
    </row>
    <row r="1665" spans="1:10" x14ac:dyDescent="0.55000000000000004">
      <c r="A1665" t="s">
        <v>3364</v>
      </c>
      <c r="B1665">
        <v>100478</v>
      </c>
      <c r="C1665" t="s">
        <v>533</v>
      </c>
      <c r="D1665" s="3">
        <v>45824</v>
      </c>
      <c r="E1665" t="s">
        <v>317</v>
      </c>
      <c r="F1665" t="s">
        <v>3365</v>
      </c>
      <c r="G1665" t="s">
        <v>15</v>
      </c>
      <c r="H1665" t="s">
        <v>3366</v>
      </c>
      <c r="I1665" t="s">
        <v>3367</v>
      </c>
      <c r="J1665" s="4">
        <v>46065.422317719909</v>
      </c>
    </row>
    <row r="1666" spans="1:10" x14ac:dyDescent="0.55000000000000004">
      <c r="A1666" t="s">
        <v>3364</v>
      </c>
      <c r="B1666">
        <v>100478</v>
      </c>
      <c r="C1666" t="s">
        <v>533</v>
      </c>
      <c r="D1666" s="3">
        <v>45824</v>
      </c>
      <c r="E1666" t="s">
        <v>69</v>
      </c>
      <c r="F1666" t="s">
        <v>3365</v>
      </c>
      <c r="G1666" t="s">
        <v>15</v>
      </c>
      <c r="H1666" t="s">
        <v>3366</v>
      </c>
      <c r="I1666" t="s">
        <v>3367</v>
      </c>
      <c r="J1666" s="4">
        <v>46065.422317719909</v>
      </c>
    </row>
    <row r="1667" spans="1:10" x14ac:dyDescent="0.55000000000000004">
      <c r="A1667" t="s">
        <v>3368</v>
      </c>
      <c r="B1667">
        <v>100169</v>
      </c>
      <c r="C1667" t="s">
        <v>179</v>
      </c>
      <c r="D1667" s="3">
        <v>45789</v>
      </c>
      <c r="E1667" t="s">
        <v>155</v>
      </c>
      <c r="F1667" t="s">
        <v>3369</v>
      </c>
      <c r="G1667" t="s">
        <v>15</v>
      </c>
      <c r="H1667" t="s">
        <v>3370</v>
      </c>
      <c r="I1667" t="s">
        <v>3371</v>
      </c>
      <c r="J1667" s="4">
        <v>46064.552873287037</v>
      </c>
    </row>
    <row r="1668" spans="1:10" x14ac:dyDescent="0.55000000000000004">
      <c r="A1668" t="s">
        <v>3368</v>
      </c>
      <c r="B1668">
        <v>100169</v>
      </c>
      <c r="C1668" t="s">
        <v>179</v>
      </c>
      <c r="D1668" s="3">
        <v>45789</v>
      </c>
      <c r="E1668" t="s">
        <v>69</v>
      </c>
      <c r="F1668" t="s">
        <v>3369</v>
      </c>
      <c r="G1668" t="s">
        <v>15</v>
      </c>
      <c r="H1668" t="s">
        <v>3370</v>
      </c>
      <c r="I1668" t="s">
        <v>3371</v>
      </c>
      <c r="J1668" s="4">
        <v>46064.552873287037</v>
      </c>
    </row>
    <row r="1669" spans="1:10" x14ac:dyDescent="0.55000000000000004">
      <c r="A1669" t="s">
        <v>3372</v>
      </c>
      <c r="B1669">
        <v>101374</v>
      </c>
      <c r="C1669" t="s">
        <v>19</v>
      </c>
      <c r="D1669" s="3">
        <v>46122</v>
      </c>
      <c r="E1669" t="s">
        <v>317</v>
      </c>
      <c r="F1669" t="s">
        <v>3373</v>
      </c>
      <c r="G1669" t="s">
        <v>15</v>
      </c>
      <c r="H1669" t="s">
        <v>3374</v>
      </c>
      <c r="I1669" t="s">
        <v>3375</v>
      </c>
      <c r="J1669" s="4">
        <v>46092.279956620368</v>
      </c>
    </row>
    <row r="1670" spans="1:10" x14ac:dyDescent="0.55000000000000004">
      <c r="A1670" t="s">
        <v>3372</v>
      </c>
      <c r="B1670">
        <v>101374</v>
      </c>
      <c r="C1670" t="s">
        <v>19</v>
      </c>
      <c r="D1670" s="3">
        <v>46122</v>
      </c>
      <c r="E1670" t="s">
        <v>20</v>
      </c>
      <c r="F1670" t="s">
        <v>3373</v>
      </c>
      <c r="G1670" t="s">
        <v>15</v>
      </c>
      <c r="H1670" t="s">
        <v>3374</v>
      </c>
      <c r="I1670" t="s">
        <v>3375</v>
      </c>
      <c r="J1670" s="4">
        <v>46092.279956620368</v>
      </c>
    </row>
    <row r="1671" spans="1:10" x14ac:dyDescent="0.55000000000000004">
      <c r="A1671" t="s">
        <v>3376</v>
      </c>
      <c r="B1671">
        <v>100414</v>
      </c>
      <c r="C1671" t="s">
        <v>19</v>
      </c>
      <c r="D1671" s="3">
        <v>45791</v>
      </c>
      <c r="E1671" t="s">
        <v>20</v>
      </c>
      <c r="F1671" t="s">
        <v>3377</v>
      </c>
      <c r="G1671" t="s">
        <v>22</v>
      </c>
      <c r="H1671" t="s">
        <v>3378</v>
      </c>
      <c r="I1671" t="s">
        <v>3379</v>
      </c>
      <c r="J1671" s="4">
        <v>46054.11467884259</v>
      </c>
    </row>
    <row r="1672" spans="1:10" x14ac:dyDescent="0.55000000000000004">
      <c r="A1672" t="s">
        <v>3376</v>
      </c>
      <c r="B1672">
        <v>100414</v>
      </c>
      <c r="C1672" t="s">
        <v>19</v>
      </c>
      <c r="D1672" s="3">
        <v>45791</v>
      </c>
      <c r="E1672" t="s">
        <v>69</v>
      </c>
      <c r="F1672" t="s">
        <v>3377</v>
      </c>
      <c r="G1672" t="s">
        <v>22</v>
      </c>
      <c r="H1672" t="s">
        <v>3378</v>
      </c>
      <c r="I1672" t="s">
        <v>3379</v>
      </c>
      <c r="J1672" s="4">
        <v>46054.11467884259</v>
      </c>
    </row>
    <row r="1673" spans="1:10" x14ac:dyDescent="0.55000000000000004">
      <c r="A1673" t="s">
        <v>3380</v>
      </c>
      <c r="B1673">
        <v>101295</v>
      </c>
      <c r="C1673" t="s">
        <v>248</v>
      </c>
      <c r="D1673" s="3">
        <v>46015</v>
      </c>
      <c r="E1673" t="s">
        <v>20</v>
      </c>
      <c r="F1673" t="s">
        <v>3381</v>
      </c>
      <c r="G1673" t="s">
        <v>15</v>
      </c>
      <c r="H1673" t="s">
        <v>3382</v>
      </c>
      <c r="I1673" t="s">
        <v>3383</v>
      </c>
      <c r="J1673" s="4">
        <v>46093.069539965276</v>
      </c>
    </row>
    <row r="1674" spans="1:10" x14ac:dyDescent="0.55000000000000004">
      <c r="A1674" t="s">
        <v>3380</v>
      </c>
      <c r="B1674">
        <v>101295</v>
      </c>
      <c r="C1674" t="s">
        <v>248</v>
      </c>
      <c r="D1674" s="3">
        <v>46015</v>
      </c>
      <c r="E1674" t="s">
        <v>69</v>
      </c>
      <c r="F1674" t="s">
        <v>3381</v>
      </c>
      <c r="G1674" t="s">
        <v>15</v>
      </c>
      <c r="H1674" t="s">
        <v>3382</v>
      </c>
      <c r="I1674" t="s">
        <v>3383</v>
      </c>
      <c r="J1674" s="4">
        <v>46093.069539965276</v>
      </c>
    </row>
    <row r="1675" spans="1:10" x14ac:dyDescent="0.55000000000000004">
      <c r="A1675" t="s">
        <v>3384</v>
      </c>
      <c r="B1675">
        <v>100695</v>
      </c>
      <c r="C1675" t="s">
        <v>68</v>
      </c>
      <c r="D1675" s="3">
        <v>45823</v>
      </c>
      <c r="E1675" t="s">
        <v>317</v>
      </c>
      <c r="F1675" t="s">
        <v>3385</v>
      </c>
      <c r="G1675" t="s">
        <v>22</v>
      </c>
      <c r="H1675" t="s">
        <v>3386</v>
      </c>
      <c r="I1675" t="s">
        <v>3387</v>
      </c>
      <c r="J1675" s="4">
        <v>46054.59662329861</v>
      </c>
    </row>
    <row r="1676" spans="1:10" x14ac:dyDescent="0.55000000000000004">
      <c r="A1676" t="s">
        <v>3388</v>
      </c>
      <c r="B1676">
        <v>100684</v>
      </c>
      <c r="C1676" t="s">
        <v>179</v>
      </c>
      <c r="D1676" s="3">
        <v>45956</v>
      </c>
      <c r="E1676" t="s">
        <v>317</v>
      </c>
      <c r="F1676" t="s">
        <v>3389</v>
      </c>
      <c r="G1676" t="s">
        <v>15</v>
      </c>
      <c r="H1676" t="s">
        <v>3390</v>
      </c>
      <c r="I1676" t="s">
        <v>3391</v>
      </c>
      <c r="J1676" s="4">
        <v>46072.176484421296</v>
      </c>
    </row>
    <row r="1677" spans="1:10" x14ac:dyDescent="0.55000000000000004">
      <c r="A1677" t="s">
        <v>3388</v>
      </c>
      <c r="B1677">
        <v>100684</v>
      </c>
      <c r="C1677" t="s">
        <v>179</v>
      </c>
      <c r="D1677" s="3">
        <v>45956</v>
      </c>
      <c r="E1677" t="s">
        <v>38</v>
      </c>
      <c r="F1677" t="s">
        <v>3389</v>
      </c>
      <c r="G1677" t="s">
        <v>15</v>
      </c>
      <c r="H1677" t="s">
        <v>3390</v>
      </c>
      <c r="I1677" t="s">
        <v>3391</v>
      </c>
      <c r="J1677" s="4">
        <v>46072.176484421296</v>
      </c>
    </row>
    <row r="1678" spans="1:10" x14ac:dyDescent="0.55000000000000004">
      <c r="A1678" t="s">
        <v>3388</v>
      </c>
      <c r="B1678">
        <v>100684</v>
      </c>
      <c r="C1678" t="s">
        <v>179</v>
      </c>
      <c r="D1678" s="3">
        <v>45956</v>
      </c>
      <c r="E1678" t="s">
        <v>155</v>
      </c>
      <c r="F1678" t="s">
        <v>3389</v>
      </c>
      <c r="G1678" t="s">
        <v>15</v>
      </c>
      <c r="H1678" t="s">
        <v>3390</v>
      </c>
      <c r="I1678" t="s">
        <v>3391</v>
      </c>
      <c r="J1678" s="4">
        <v>46072.176484421296</v>
      </c>
    </row>
    <row r="1679" spans="1:10" x14ac:dyDescent="0.55000000000000004">
      <c r="A1679" t="s">
        <v>3392</v>
      </c>
      <c r="B1679">
        <v>100344</v>
      </c>
      <c r="C1679" t="s">
        <v>19</v>
      </c>
      <c r="D1679" s="3">
        <v>45784</v>
      </c>
      <c r="E1679" t="s">
        <v>20</v>
      </c>
      <c r="F1679" t="s">
        <v>3393</v>
      </c>
      <c r="G1679" t="s">
        <v>15</v>
      </c>
      <c r="H1679" t="s">
        <v>3394</v>
      </c>
      <c r="I1679" t="s">
        <v>3395</v>
      </c>
      <c r="J1679" s="4">
        <v>46076.461206643522</v>
      </c>
    </row>
    <row r="1680" spans="1:10" x14ac:dyDescent="0.55000000000000004">
      <c r="A1680" t="s">
        <v>3392</v>
      </c>
      <c r="B1680">
        <v>100344</v>
      </c>
      <c r="C1680" t="s">
        <v>19</v>
      </c>
      <c r="D1680" s="3">
        <v>45784</v>
      </c>
      <c r="E1680" t="s">
        <v>155</v>
      </c>
      <c r="F1680" t="s">
        <v>3393</v>
      </c>
      <c r="G1680" t="s">
        <v>15</v>
      </c>
      <c r="H1680" t="s">
        <v>3394</v>
      </c>
      <c r="I1680" t="s">
        <v>3395</v>
      </c>
      <c r="J1680" s="4">
        <v>46076.461206643522</v>
      </c>
    </row>
    <row r="1681" spans="1:11" x14ac:dyDescent="0.55000000000000004">
      <c r="A1681" t="s">
        <v>3392</v>
      </c>
      <c r="B1681">
        <v>100344</v>
      </c>
      <c r="C1681" t="s">
        <v>19</v>
      </c>
      <c r="D1681" s="3">
        <v>45784</v>
      </c>
      <c r="E1681" t="s">
        <v>115</v>
      </c>
      <c r="F1681" t="s">
        <v>3393</v>
      </c>
      <c r="G1681" t="s">
        <v>15</v>
      </c>
      <c r="H1681" t="s">
        <v>3394</v>
      </c>
      <c r="I1681" t="s">
        <v>3395</v>
      </c>
      <c r="J1681" s="4">
        <v>46076.461206643522</v>
      </c>
    </row>
    <row r="1682" spans="1:11" x14ac:dyDescent="0.55000000000000004">
      <c r="A1682" t="s">
        <v>3396</v>
      </c>
      <c r="B1682">
        <v>100863</v>
      </c>
      <c r="C1682" t="s">
        <v>19</v>
      </c>
      <c r="D1682" s="3">
        <v>45938</v>
      </c>
      <c r="E1682" t="s">
        <v>115</v>
      </c>
      <c r="F1682" t="s">
        <v>3397</v>
      </c>
      <c r="G1682" t="s">
        <v>22</v>
      </c>
      <c r="H1682" t="s">
        <v>3398</v>
      </c>
      <c r="I1682" t="s">
        <v>3399</v>
      </c>
      <c r="J1682" s="4">
        <v>46066.350095543981</v>
      </c>
    </row>
    <row r="1683" spans="1:11" x14ac:dyDescent="0.55000000000000004">
      <c r="A1683" t="s">
        <v>3400</v>
      </c>
      <c r="C1683" t="s">
        <v>19</v>
      </c>
      <c r="D1683" s="3">
        <v>46035</v>
      </c>
      <c r="E1683" t="s">
        <v>317</v>
      </c>
      <c r="F1683" t="s">
        <v>3401</v>
      </c>
      <c r="G1683" t="s">
        <v>22</v>
      </c>
      <c r="H1683" t="s">
        <v>3402</v>
      </c>
      <c r="I1683" t="s">
        <v>3403</v>
      </c>
      <c r="J1683" s="4">
        <v>46066.798012222222</v>
      </c>
      <c r="K1683" t="s">
        <v>112</v>
      </c>
    </row>
    <row r="1684" spans="1:11" x14ac:dyDescent="0.55000000000000004">
      <c r="A1684" t="s">
        <v>3400</v>
      </c>
      <c r="C1684" t="s">
        <v>19</v>
      </c>
      <c r="D1684" s="3">
        <v>46035</v>
      </c>
      <c r="E1684" t="s">
        <v>69</v>
      </c>
      <c r="F1684" t="s">
        <v>3401</v>
      </c>
      <c r="G1684" t="s">
        <v>22</v>
      </c>
      <c r="H1684" t="s">
        <v>3402</v>
      </c>
      <c r="I1684" t="s">
        <v>3403</v>
      </c>
      <c r="J1684" s="4">
        <v>46066.798012222222</v>
      </c>
      <c r="K1684" t="s">
        <v>112</v>
      </c>
    </row>
    <row r="1685" spans="1:11" x14ac:dyDescent="0.55000000000000004">
      <c r="A1685" t="s">
        <v>3404</v>
      </c>
      <c r="B1685">
        <v>101261</v>
      </c>
      <c r="C1685" t="s">
        <v>19</v>
      </c>
      <c r="D1685" s="3">
        <v>45939</v>
      </c>
      <c r="E1685" t="s">
        <v>38</v>
      </c>
      <c r="F1685" t="s">
        <v>3405</v>
      </c>
      <c r="G1685" t="s">
        <v>15</v>
      </c>
      <c r="H1685" t="s">
        <v>3406</v>
      </c>
      <c r="I1685" t="s">
        <v>3407</v>
      </c>
      <c r="J1685" s="4">
        <v>46068.592456666665</v>
      </c>
    </row>
    <row r="1686" spans="1:11" x14ac:dyDescent="0.55000000000000004">
      <c r="A1686" t="s">
        <v>3404</v>
      </c>
      <c r="B1686">
        <v>101261</v>
      </c>
      <c r="C1686" t="s">
        <v>19</v>
      </c>
      <c r="D1686" s="3">
        <v>45939</v>
      </c>
      <c r="E1686" t="s">
        <v>20</v>
      </c>
      <c r="F1686" t="s">
        <v>3405</v>
      </c>
      <c r="G1686" t="s">
        <v>15</v>
      </c>
      <c r="H1686" t="s">
        <v>3406</v>
      </c>
      <c r="I1686" t="s">
        <v>3407</v>
      </c>
      <c r="J1686" s="4">
        <v>46068.592456666665</v>
      </c>
    </row>
    <row r="1687" spans="1:11" x14ac:dyDescent="0.55000000000000004">
      <c r="A1687" t="s">
        <v>3408</v>
      </c>
      <c r="B1687">
        <v>100446</v>
      </c>
      <c r="C1687" t="s">
        <v>533</v>
      </c>
      <c r="D1687" s="3">
        <v>45860</v>
      </c>
      <c r="E1687" t="s">
        <v>115</v>
      </c>
      <c r="F1687" t="s">
        <v>3409</v>
      </c>
      <c r="G1687" t="s">
        <v>15</v>
      </c>
      <c r="H1687" t="s">
        <v>3410</v>
      </c>
      <c r="I1687" t="s">
        <v>3411</v>
      </c>
      <c r="J1687" s="4">
        <v>46096.604956678239</v>
      </c>
    </row>
    <row r="1688" spans="1:11" x14ac:dyDescent="0.55000000000000004">
      <c r="A1688" t="s">
        <v>3408</v>
      </c>
      <c r="B1688">
        <v>100446</v>
      </c>
      <c r="C1688" t="s">
        <v>533</v>
      </c>
      <c r="D1688" s="3">
        <v>45860</v>
      </c>
      <c r="E1688" t="s">
        <v>69</v>
      </c>
      <c r="F1688" t="s">
        <v>3409</v>
      </c>
      <c r="G1688" t="s">
        <v>15</v>
      </c>
      <c r="H1688" t="s">
        <v>3410</v>
      </c>
      <c r="I1688" t="s">
        <v>3411</v>
      </c>
      <c r="J1688" s="4">
        <v>46096.604956678239</v>
      </c>
    </row>
    <row r="1689" spans="1:11" x14ac:dyDescent="0.55000000000000004">
      <c r="A1689" t="s">
        <v>3412</v>
      </c>
      <c r="B1689">
        <v>100279</v>
      </c>
      <c r="C1689" t="s">
        <v>37</v>
      </c>
      <c r="D1689" s="3">
        <v>46157</v>
      </c>
      <c r="E1689" t="s">
        <v>69</v>
      </c>
      <c r="F1689" t="s">
        <v>3413</v>
      </c>
      <c r="G1689" t="s">
        <v>15</v>
      </c>
      <c r="H1689" t="s">
        <v>3414</v>
      </c>
      <c r="I1689" t="s">
        <v>3415</v>
      </c>
      <c r="J1689" s="4">
        <v>46086.202178900465</v>
      </c>
    </row>
    <row r="1690" spans="1:11" x14ac:dyDescent="0.55000000000000004">
      <c r="A1690" t="s">
        <v>3416</v>
      </c>
      <c r="B1690">
        <v>101075</v>
      </c>
      <c r="C1690" t="s">
        <v>19</v>
      </c>
      <c r="D1690" s="3">
        <v>46079</v>
      </c>
      <c r="E1690" t="s">
        <v>20</v>
      </c>
      <c r="F1690" t="s">
        <v>3417</v>
      </c>
      <c r="G1690" t="s">
        <v>15</v>
      </c>
      <c r="H1690" t="s">
        <v>3418</v>
      </c>
      <c r="I1690" t="s">
        <v>3419</v>
      </c>
      <c r="J1690" s="4">
        <v>46092.806345578705</v>
      </c>
    </row>
    <row r="1691" spans="1:11" x14ac:dyDescent="0.55000000000000004">
      <c r="A1691" t="s">
        <v>3416</v>
      </c>
      <c r="B1691">
        <v>101075</v>
      </c>
      <c r="C1691" t="s">
        <v>19</v>
      </c>
      <c r="D1691" s="3">
        <v>46079</v>
      </c>
      <c r="E1691" t="s">
        <v>115</v>
      </c>
      <c r="F1691" t="s">
        <v>3417</v>
      </c>
      <c r="G1691" t="s">
        <v>15</v>
      </c>
      <c r="H1691" t="s">
        <v>3418</v>
      </c>
      <c r="I1691" t="s">
        <v>3419</v>
      </c>
      <c r="J1691" s="4">
        <v>46092.806345578705</v>
      </c>
    </row>
    <row r="1692" spans="1:11" x14ac:dyDescent="0.55000000000000004">
      <c r="A1692" t="s">
        <v>3420</v>
      </c>
      <c r="B1692">
        <v>100499</v>
      </c>
      <c r="C1692" t="s">
        <v>19</v>
      </c>
      <c r="D1692" s="3">
        <v>46124</v>
      </c>
      <c r="E1692" t="s">
        <v>115</v>
      </c>
      <c r="F1692" t="s">
        <v>3421</v>
      </c>
      <c r="G1692" t="s">
        <v>22</v>
      </c>
      <c r="H1692" t="s">
        <v>3422</v>
      </c>
      <c r="I1692" t="s">
        <v>3423</v>
      </c>
      <c r="J1692" s="4">
        <v>46055.038290023149</v>
      </c>
    </row>
    <row r="1693" spans="1:11" x14ac:dyDescent="0.55000000000000004">
      <c r="A1693" t="s">
        <v>3420</v>
      </c>
      <c r="B1693">
        <v>100499</v>
      </c>
      <c r="C1693" t="s">
        <v>19</v>
      </c>
      <c r="D1693" s="3">
        <v>46124</v>
      </c>
      <c r="E1693" t="s">
        <v>69</v>
      </c>
      <c r="F1693" t="s">
        <v>3421</v>
      </c>
      <c r="G1693" t="s">
        <v>22</v>
      </c>
      <c r="H1693" t="s">
        <v>3422</v>
      </c>
      <c r="I1693" t="s">
        <v>3423</v>
      </c>
      <c r="J1693" s="4">
        <v>46055.038290023149</v>
      </c>
    </row>
    <row r="1694" spans="1:11" x14ac:dyDescent="0.55000000000000004">
      <c r="A1694" t="s">
        <v>3424</v>
      </c>
      <c r="B1694">
        <v>100225</v>
      </c>
      <c r="C1694" t="s">
        <v>19</v>
      </c>
      <c r="D1694" s="3">
        <v>45990</v>
      </c>
      <c r="E1694" t="s">
        <v>38</v>
      </c>
      <c r="F1694" t="s">
        <v>3425</v>
      </c>
      <c r="G1694" t="s">
        <v>15</v>
      </c>
      <c r="H1694" t="s">
        <v>3426</v>
      </c>
      <c r="I1694" t="s">
        <v>3427</v>
      </c>
      <c r="J1694" s="4">
        <v>46095.134123356482</v>
      </c>
    </row>
    <row r="1695" spans="1:11" x14ac:dyDescent="0.55000000000000004">
      <c r="A1695" t="s">
        <v>3424</v>
      </c>
      <c r="B1695">
        <v>100225</v>
      </c>
      <c r="C1695" t="s">
        <v>19</v>
      </c>
      <c r="D1695" s="3">
        <v>45990</v>
      </c>
      <c r="E1695" t="s">
        <v>20</v>
      </c>
      <c r="F1695" t="s">
        <v>3425</v>
      </c>
      <c r="G1695" t="s">
        <v>15</v>
      </c>
      <c r="H1695" t="s">
        <v>3426</v>
      </c>
      <c r="I1695" t="s">
        <v>3427</v>
      </c>
      <c r="J1695" s="4">
        <v>46095.134123356482</v>
      </c>
    </row>
    <row r="1696" spans="1:11" x14ac:dyDescent="0.55000000000000004">
      <c r="A1696" t="s">
        <v>3428</v>
      </c>
      <c r="B1696">
        <v>100617</v>
      </c>
      <c r="C1696" t="s">
        <v>533</v>
      </c>
      <c r="D1696" s="3">
        <v>45928</v>
      </c>
      <c r="E1696" t="s">
        <v>20</v>
      </c>
      <c r="F1696" t="s">
        <v>3429</v>
      </c>
      <c r="G1696" t="s">
        <v>22</v>
      </c>
      <c r="H1696" t="s">
        <v>3430</v>
      </c>
      <c r="I1696" t="s">
        <v>3431</v>
      </c>
      <c r="J1696" s="4">
        <v>46068.695234479164</v>
      </c>
    </row>
    <row r="1697" spans="1:10" x14ac:dyDescent="0.55000000000000004">
      <c r="A1697" t="s">
        <v>3428</v>
      </c>
      <c r="B1697">
        <v>100617</v>
      </c>
      <c r="C1697" t="s">
        <v>533</v>
      </c>
      <c r="D1697" s="3">
        <v>45928</v>
      </c>
      <c r="E1697" t="s">
        <v>69</v>
      </c>
      <c r="F1697" t="s">
        <v>3429</v>
      </c>
      <c r="G1697" t="s">
        <v>22</v>
      </c>
      <c r="H1697" t="s">
        <v>3430</v>
      </c>
      <c r="I1697" t="s">
        <v>3431</v>
      </c>
      <c r="J1697" s="4">
        <v>46068.695234479164</v>
      </c>
    </row>
    <row r="1698" spans="1:10" x14ac:dyDescent="0.55000000000000004">
      <c r="A1698" t="s">
        <v>3432</v>
      </c>
      <c r="B1698">
        <v>100819</v>
      </c>
      <c r="C1698" t="s">
        <v>37</v>
      </c>
      <c r="D1698" s="3">
        <v>45822</v>
      </c>
      <c r="E1698" t="s">
        <v>317</v>
      </c>
      <c r="F1698" t="s">
        <v>3433</v>
      </c>
      <c r="G1698" t="s">
        <v>22</v>
      </c>
      <c r="H1698" t="s">
        <v>3434</v>
      </c>
      <c r="I1698" t="s">
        <v>3435</v>
      </c>
      <c r="J1698" s="4">
        <v>46070.554956701388</v>
      </c>
    </row>
    <row r="1699" spans="1:10" x14ac:dyDescent="0.55000000000000004">
      <c r="A1699" t="s">
        <v>3432</v>
      </c>
      <c r="B1699">
        <v>100819</v>
      </c>
      <c r="C1699" t="s">
        <v>37</v>
      </c>
      <c r="D1699" s="3">
        <v>45822</v>
      </c>
      <c r="E1699" t="s">
        <v>20</v>
      </c>
      <c r="F1699" t="s">
        <v>3433</v>
      </c>
      <c r="G1699" t="s">
        <v>22</v>
      </c>
      <c r="H1699" t="s">
        <v>3434</v>
      </c>
      <c r="I1699" t="s">
        <v>3435</v>
      </c>
      <c r="J1699" s="4">
        <v>46070.554956701388</v>
      </c>
    </row>
    <row r="1700" spans="1:10" x14ac:dyDescent="0.55000000000000004">
      <c r="A1700" t="s">
        <v>3432</v>
      </c>
      <c r="B1700">
        <v>100819</v>
      </c>
      <c r="C1700" t="s">
        <v>37</v>
      </c>
      <c r="D1700" s="3">
        <v>45822</v>
      </c>
      <c r="E1700" t="s">
        <v>115</v>
      </c>
      <c r="F1700" t="s">
        <v>3433</v>
      </c>
      <c r="G1700" t="s">
        <v>22</v>
      </c>
      <c r="H1700" t="s">
        <v>3434</v>
      </c>
      <c r="I1700" t="s">
        <v>3435</v>
      </c>
      <c r="J1700" s="4">
        <v>46070.554956701388</v>
      </c>
    </row>
    <row r="1701" spans="1:10" x14ac:dyDescent="0.55000000000000004">
      <c r="A1701" t="s">
        <v>3436</v>
      </c>
      <c r="B1701">
        <v>100559</v>
      </c>
      <c r="C1701" t="s">
        <v>68</v>
      </c>
      <c r="D1701" s="3">
        <v>46098</v>
      </c>
      <c r="E1701" t="s">
        <v>155</v>
      </c>
      <c r="F1701" t="s">
        <v>3437</v>
      </c>
      <c r="G1701" t="s">
        <v>22</v>
      </c>
      <c r="H1701" t="s">
        <v>3438</v>
      </c>
      <c r="I1701" t="s">
        <v>3439</v>
      </c>
      <c r="J1701" s="4">
        <v>46054.958428935184</v>
      </c>
    </row>
    <row r="1702" spans="1:10" x14ac:dyDescent="0.55000000000000004">
      <c r="A1702" t="s">
        <v>3436</v>
      </c>
      <c r="B1702">
        <v>100559</v>
      </c>
      <c r="C1702" t="s">
        <v>68</v>
      </c>
      <c r="D1702" s="3">
        <v>46098</v>
      </c>
      <c r="E1702" t="s">
        <v>69</v>
      </c>
      <c r="F1702" t="s">
        <v>3437</v>
      </c>
      <c r="G1702" t="s">
        <v>22</v>
      </c>
      <c r="H1702" t="s">
        <v>3438</v>
      </c>
      <c r="I1702" t="s">
        <v>3439</v>
      </c>
      <c r="J1702" s="4">
        <v>46054.958428935184</v>
      </c>
    </row>
    <row r="1703" spans="1:10" x14ac:dyDescent="0.55000000000000004">
      <c r="A1703" t="s">
        <v>3440</v>
      </c>
      <c r="B1703">
        <v>100752</v>
      </c>
      <c r="C1703" t="s">
        <v>19</v>
      </c>
      <c r="D1703" s="3">
        <v>46024</v>
      </c>
      <c r="E1703" t="s">
        <v>38</v>
      </c>
      <c r="F1703" t="s">
        <v>3441</v>
      </c>
      <c r="G1703" t="s">
        <v>15</v>
      </c>
      <c r="H1703" t="s">
        <v>3442</v>
      </c>
      <c r="I1703" t="s">
        <v>3443</v>
      </c>
      <c r="J1703" s="4">
        <v>46065.66676226852</v>
      </c>
    </row>
    <row r="1704" spans="1:10" x14ac:dyDescent="0.55000000000000004">
      <c r="A1704" t="s">
        <v>3440</v>
      </c>
      <c r="B1704">
        <v>100752</v>
      </c>
      <c r="C1704" t="s">
        <v>19</v>
      </c>
      <c r="D1704" s="3">
        <v>46024</v>
      </c>
      <c r="E1704" t="s">
        <v>69</v>
      </c>
      <c r="F1704" t="s">
        <v>3441</v>
      </c>
      <c r="G1704" t="s">
        <v>15</v>
      </c>
      <c r="H1704" t="s">
        <v>3442</v>
      </c>
      <c r="I1704" t="s">
        <v>3443</v>
      </c>
      <c r="J1704" s="4">
        <v>46065.66676226852</v>
      </c>
    </row>
    <row r="1705" spans="1:10" x14ac:dyDescent="0.55000000000000004">
      <c r="A1705" t="s">
        <v>3444</v>
      </c>
      <c r="B1705">
        <v>101329</v>
      </c>
      <c r="C1705" t="s">
        <v>179</v>
      </c>
      <c r="D1705" s="3">
        <v>45866</v>
      </c>
      <c r="E1705" t="s">
        <v>38</v>
      </c>
      <c r="F1705" t="s">
        <v>3445</v>
      </c>
      <c r="G1705" t="s">
        <v>22</v>
      </c>
      <c r="H1705" t="s">
        <v>3446</v>
      </c>
      <c r="I1705" t="s">
        <v>3447</v>
      </c>
      <c r="J1705" s="4">
        <v>46079.290373379627</v>
      </c>
    </row>
    <row r="1706" spans="1:10" x14ac:dyDescent="0.55000000000000004">
      <c r="A1706" t="s">
        <v>3444</v>
      </c>
      <c r="B1706">
        <v>101329</v>
      </c>
      <c r="C1706" t="s">
        <v>179</v>
      </c>
      <c r="D1706" s="3">
        <v>45866</v>
      </c>
      <c r="E1706" t="s">
        <v>69</v>
      </c>
      <c r="F1706" t="s">
        <v>3445</v>
      </c>
      <c r="G1706" t="s">
        <v>22</v>
      </c>
      <c r="H1706" t="s">
        <v>3446</v>
      </c>
      <c r="I1706" t="s">
        <v>3447</v>
      </c>
      <c r="J1706" s="4">
        <v>46079.290373379627</v>
      </c>
    </row>
    <row r="1707" spans="1:10" x14ac:dyDescent="0.55000000000000004">
      <c r="A1707" t="s">
        <v>3448</v>
      </c>
      <c r="B1707">
        <v>100551</v>
      </c>
      <c r="C1707" t="s">
        <v>37</v>
      </c>
      <c r="D1707" s="3">
        <v>45746</v>
      </c>
      <c r="E1707" t="s">
        <v>20</v>
      </c>
      <c r="F1707" t="s">
        <v>3449</v>
      </c>
      <c r="G1707" t="s">
        <v>22</v>
      </c>
      <c r="H1707" t="s">
        <v>3450</v>
      </c>
      <c r="I1707" t="s">
        <v>3451</v>
      </c>
      <c r="J1707" s="4">
        <v>46060.707734502314</v>
      </c>
    </row>
    <row r="1708" spans="1:10" x14ac:dyDescent="0.55000000000000004">
      <c r="A1708" t="s">
        <v>3448</v>
      </c>
      <c r="B1708">
        <v>100551</v>
      </c>
      <c r="C1708" t="s">
        <v>37</v>
      </c>
      <c r="D1708" s="3">
        <v>45746</v>
      </c>
      <c r="E1708" t="s">
        <v>155</v>
      </c>
      <c r="F1708" t="s">
        <v>3449</v>
      </c>
      <c r="G1708" t="s">
        <v>22</v>
      </c>
      <c r="H1708" t="s">
        <v>3450</v>
      </c>
      <c r="I1708" t="s">
        <v>3451</v>
      </c>
      <c r="J1708" s="4">
        <v>46060.707734502314</v>
      </c>
    </row>
    <row r="1709" spans="1:10" x14ac:dyDescent="0.55000000000000004">
      <c r="A1709" t="s">
        <v>3448</v>
      </c>
      <c r="B1709">
        <v>100551</v>
      </c>
      <c r="C1709" t="s">
        <v>37</v>
      </c>
      <c r="D1709" s="3">
        <v>45746</v>
      </c>
      <c r="E1709" t="s">
        <v>115</v>
      </c>
      <c r="F1709" t="s">
        <v>3449</v>
      </c>
      <c r="G1709" t="s">
        <v>22</v>
      </c>
      <c r="H1709" t="s">
        <v>3450</v>
      </c>
      <c r="I1709" t="s">
        <v>3451</v>
      </c>
      <c r="J1709" s="4">
        <v>46060.707734502314</v>
      </c>
    </row>
    <row r="1710" spans="1:10" x14ac:dyDescent="0.55000000000000004">
      <c r="A1710" t="s">
        <v>3452</v>
      </c>
      <c r="B1710">
        <v>101421</v>
      </c>
      <c r="C1710" t="s">
        <v>68</v>
      </c>
      <c r="D1710" s="3">
        <v>45926</v>
      </c>
      <c r="E1710" t="s">
        <v>69</v>
      </c>
      <c r="F1710" t="s">
        <v>3453</v>
      </c>
      <c r="G1710" t="s">
        <v>22</v>
      </c>
      <c r="H1710" t="s">
        <v>3454</v>
      </c>
      <c r="I1710" t="s">
        <v>3455</v>
      </c>
      <c r="J1710" s="4">
        <v>46075.160512291666</v>
      </c>
    </row>
    <row r="1711" spans="1:10" x14ac:dyDescent="0.55000000000000004">
      <c r="A1711" t="s">
        <v>3456</v>
      </c>
      <c r="B1711">
        <v>100399</v>
      </c>
      <c r="C1711" t="s">
        <v>68</v>
      </c>
      <c r="D1711" s="3">
        <v>45760</v>
      </c>
      <c r="E1711" t="s">
        <v>317</v>
      </c>
      <c r="F1711" t="s">
        <v>3457</v>
      </c>
      <c r="G1711" t="s">
        <v>22</v>
      </c>
      <c r="H1711" t="s">
        <v>3458</v>
      </c>
      <c r="I1711" t="s">
        <v>3459</v>
      </c>
      <c r="J1711" s="4">
        <v>46060.625790069447</v>
      </c>
    </row>
    <row r="1712" spans="1:10" x14ac:dyDescent="0.55000000000000004">
      <c r="A1712" t="s">
        <v>3456</v>
      </c>
      <c r="B1712">
        <v>100399</v>
      </c>
      <c r="C1712" t="s">
        <v>68</v>
      </c>
      <c r="D1712" s="3">
        <v>45760</v>
      </c>
      <c r="E1712" t="s">
        <v>38</v>
      </c>
      <c r="F1712" t="s">
        <v>3457</v>
      </c>
      <c r="G1712" t="s">
        <v>22</v>
      </c>
      <c r="H1712" t="s">
        <v>3458</v>
      </c>
      <c r="I1712" t="s">
        <v>3459</v>
      </c>
      <c r="J1712" s="4">
        <v>46060.625790069447</v>
      </c>
    </row>
    <row r="1713" spans="1:10" x14ac:dyDescent="0.55000000000000004">
      <c r="A1713" t="s">
        <v>3456</v>
      </c>
      <c r="B1713">
        <v>100399</v>
      </c>
      <c r="C1713" t="s">
        <v>68</v>
      </c>
      <c r="D1713" s="3">
        <v>45760</v>
      </c>
      <c r="E1713" t="s">
        <v>115</v>
      </c>
      <c r="F1713" t="s">
        <v>3457</v>
      </c>
      <c r="G1713" t="s">
        <v>22</v>
      </c>
      <c r="H1713" t="s">
        <v>3458</v>
      </c>
      <c r="I1713" t="s">
        <v>3459</v>
      </c>
      <c r="J1713" s="4">
        <v>46060.625790069447</v>
      </c>
    </row>
    <row r="1714" spans="1:10" x14ac:dyDescent="0.55000000000000004">
      <c r="A1714" t="s">
        <v>3460</v>
      </c>
      <c r="B1714">
        <v>100771</v>
      </c>
      <c r="C1714" t="s">
        <v>37</v>
      </c>
      <c r="D1714" s="3">
        <v>45888</v>
      </c>
      <c r="E1714" t="s">
        <v>20</v>
      </c>
      <c r="F1714" t="s">
        <v>3461</v>
      </c>
      <c r="G1714" t="s">
        <v>15</v>
      </c>
      <c r="H1714" t="s">
        <v>3462</v>
      </c>
      <c r="I1714" t="s">
        <v>3463</v>
      </c>
      <c r="J1714" s="4">
        <v>46095.980651180558</v>
      </c>
    </row>
    <row r="1715" spans="1:10" x14ac:dyDescent="0.55000000000000004">
      <c r="A1715" t="s">
        <v>3464</v>
      </c>
      <c r="B1715">
        <v>101109</v>
      </c>
      <c r="C1715" t="s">
        <v>68</v>
      </c>
      <c r="D1715" s="3">
        <v>45751</v>
      </c>
      <c r="E1715" t="s">
        <v>317</v>
      </c>
      <c r="F1715" t="s">
        <v>3465</v>
      </c>
      <c r="G1715" t="s">
        <v>22</v>
      </c>
      <c r="H1715" t="s">
        <v>3466</v>
      </c>
      <c r="I1715" t="s">
        <v>3467</v>
      </c>
      <c r="J1715" s="4">
        <v>46080.717456747683</v>
      </c>
    </row>
    <row r="1716" spans="1:10" x14ac:dyDescent="0.55000000000000004">
      <c r="A1716" t="s">
        <v>3464</v>
      </c>
      <c r="B1716">
        <v>101109</v>
      </c>
      <c r="C1716" t="s">
        <v>68</v>
      </c>
      <c r="D1716" s="3">
        <v>45751</v>
      </c>
      <c r="E1716" t="s">
        <v>69</v>
      </c>
      <c r="F1716" t="s">
        <v>3465</v>
      </c>
      <c r="G1716" t="s">
        <v>22</v>
      </c>
      <c r="H1716" t="s">
        <v>3466</v>
      </c>
      <c r="I1716" t="s">
        <v>3467</v>
      </c>
      <c r="J1716" s="4">
        <v>46080.717456747683</v>
      </c>
    </row>
    <row r="1717" spans="1:10" x14ac:dyDescent="0.55000000000000004">
      <c r="A1717" t="s">
        <v>3468</v>
      </c>
      <c r="B1717">
        <v>100360</v>
      </c>
      <c r="C1717" t="s">
        <v>19</v>
      </c>
      <c r="D1717" s="3">
        <v>46033</v>
      </c>
      <c r="E1717" t="s">
        <v>20</v>
      </c>
      <c r="F1717" t="s">
        <v>3469</v>
      </c>
      <c r="G1717" t="s">
        <v>22</v>
      </c>
      <c r="H1717" t="s">
        <v>3470</v>
      </c>
      <c r="I1717" t="s">
        <v>3471</v>
      </c>
      <c r="J1717" s="4">
        <v>46061.191067858796</v>
      </c>
    </row>
    <row r="1718" spans="1:10" x14ac:dyDescent="0.55000000000000004">
      <c r="A1718" t="s">
        <v>3472</v>
      </c>
      <c r="B1718">
        <v>101390</v>
      </c>
      <c r="C1718" t="s">
        <v>68</v>
      </c>
      <c r="D1718" s="3">
        <v>46025</v>
      </c>
      <c r="E1718" t="s">
        <v>69</v>
      </c>
      <c r="F1718" t="s">
        <v>3473</v>
      </c>
      <c r="G1718" t="s">
        <v>15</v>
      </c>
      <c r="H1718" t="s">
        <v>3474</v>
      </c>
      <c r="I1718" t="s">
        <v>3475</v>
      </c>
      <c r="J1718" s="4">
        <v>46052.786206759258</v>
      </c>
    </row>
    <row r="1719" spans="1:10" x14ac:dyDescent="0.55000000000000004">
      <c r="A1719" t="s">
        <v>3476</v>
      </c>
      <c r="B1719">
        <v>101171</v>
      </c>
      <c r="C1719" t="s">
        <v>248</v>
      </c>
      <c r="D1719" s="3">
        <v>45904</v>
      </c>
      <c r="E1719" t="s">
        <v>38</v>
      </c>
      <c r="F1719" t="s">
        <v>3477</v>
      </c>
      <c r="G1719" t="s">
        <v>15</v>
      </c>
      <c r="H1719" t="s">
        <v>3478</v>
      </c>
      <c r="I1719" t="s">
        <v>3479</v>
      </c>
      <c r="J1719" s="4">
        <v>46058.320234537037</v>
      </c>
    </row>
    <row r="1720" spans="1:10" x14ac:dyDescent="0.55000000000000004">
      <c r="A1720" t="s">
        <v>3476</v>
      </c>
      <c r="B1720">
        <v>101171</v>
      </c>
      <c r="C1720" t="s">
        <v>248</v>
      </c>
      <c r="D1720" s="3">
        <v>45904</v>
      </c>
      <c r="E1720" t="s">
        <v>20</v>
      </c>
      <c r="F1720" t="s">
        <v>3477</v>
      </c>
      <c r="G1720" t="s">
        <v>15</v>
      </c>
      <c r="H1720" t="s">
        <v>3478</v>
      </c>
      <c r="I1720" t="s">
        <v>3479</v>
      </c>
      <c r="J1720" s="4">
        <v>46058.320234537037</v>
      </c>
    </row>
    <row r="1721" spans="1:10" x14ac:dyDescent="0.55000000000000004">
      <c r="A1721" t="s">
        <v>3480</v>
      </c>
      <c r="B1721">
        <v>101045</v>
      </c>
      <c r="C1721" t="s">
        <v>68</v>
      </c>
      <c r="D1721" s="3">
        <v>45955</v>
      </c>
      <c r="E1721" t="s">
        <v>69</v>
      </c>
      <c r="F1721" t="s">
        <v>3481</v>
      </c>
      <c r="G1721" t="s">
        <v>15</v>
      </c>
      <c r="H1721" t="s">
        <v>3482</v>
      </c>
      <c r="I1721" t="s">
        <v>3483</v>
      </c>
      <c r="J1721" s="4">
        <v>46063.441762326387</v>
      </c>
    </row>
    <row r="1722" spans="1:10" x14ac:dyDescent="0.55000000000000004">
      <c r="A1722" t="s">
        <v>2841</v>
      </c>
      <c r="B1722">
        <v>100962</v>
      </c>
      <c r="C1722" t="s">
        <v>68</v>
      </c>
      <c r="D1722" s="3">
        <v>45867</v>
      </c>
      <c r="E1722" t="s">
        <v>20</v>
      </c>
      <c r="F1722" t="s">
        <v>3484</v>
      </c>
      <c r="G1722" t="s">
        <v>22</v>
      </c>
      <c r="H1722" t="s">
        <v>3485</v>
      </c>
      <c r="I1722" t="s">
        <v>3486</v>
      </c>
      <c r="J1722" s="4">
        <v>46082.857734548612</v>
      </c>
    </row>
    <row r="1723" spans="1:10" x14ac:dyDescent="0.55000000000000004">
      <c r="A1723" t="s">
        <v>3487</v>
      </c>
      <c r="B1723">
        <v>101302</v>
      </c>
      <c r="C1723" t="s">
        <v>37</v>
      </c>
      <c r="D1723" s="3">
        <v>46099</v>
      </c>
      <c r="E1723" t="s">
        <v>38</v>
      </c>
      <c r="F1723" t="s">
        <v>3488</v>
      </c>
      <c r="G1723" t="s">
        <v>22</v>
      </c>
      <c r="H1723" t="s">
        <v>3489</v>
      </c>
      <c r="I1723" t="s">
        <v>3490</v>
      </c>
      <c r="J1723" s="4">
        <v>46092.940373437501</v>
      </c>
    </row>
    <row r="1724" spans="1:10" x14ac:dyDescent="0.55000000000000004">
      <c r="A1724" t="s">
        <v>3487</v>
      </c>
      <c r="B1724">
        <v>101302</v>
      </c>
      <c r="C1724" t="s">
        <v>37</v>
      </c>
      <c r="D1724" s="3">
        <v>46099</v>
      </c>
      <c r="E1724" t="s">
        <v>20</v>
      </c>
      <c r="F1724" t="s">
        <v>3488</v>
      </c>
      <c r="G1724" t="s">
        <v>22</v>
      </c>
      <c r="H1724" t="s">
        <v>3489</v>
      </c>
      <c r="I1724" t="s">
        <v>3490</v>
      </c>
      <c r="J1724" s="4">
        <v>46092.940373437501</v>
      </c>
    </row>
    <row r="1725" spans="1:10" x14ac:dyDescent="0.55000000000000004">
      <c r="A1725" t="s">
        <v>3487</v>
      </c>
      <c r="B1725">
        <v>101302</v>
      </c>
      <c r="C1725" t="s">
        <v>37</v>
      </c>
      <c r="D1725" s="3">
        <v>46099</v>
      </c>
      <c r="E1725" t="s">
        <v>155</v>
      </c>
      <c r="F1725" t="s">
        <v>3488</v>
      </c>
      <c r="G1725" t="s">
        <v>22</v>
      </c>
      <c r="H1725" t="s">
        <v>3489</v>
      </c>
      <c r="I1725" t="s">
        <v>3490</v>
      </c>
      <c r="J1725" s="4">
        <v>46092.940373437501</v>
      </c>
    </row>
    <row r="1726" spans="1:10" x14ac:dyDescent="0.55000000000000004">
      <c r="A1726" t="s">
        <v>3491</v>
      </c>
      <c r="B1726">
        <v>100020</v>
      </c>
      <c r="C1726" t="s">
        <v>19</v>
      </c>
      <c r="D1726" s="3">
        <v>45975</v>
      </c>
      <c r="E1726" t="s">
        <v>20</v>
      </c>
      <c r="F1726" t="s">
        <v>3492</v>
      </c>
      <c r="G1726" t="s">
        <v>15</v>
      </c>
      <c r="H1726" t="s">
        <v>3493</v>
      </c>
      <c r="I1726" t="s">
        <v>3494</v>
      </c>
      <c r="J1726" s="4">
        <v>46056.316762337963</v>
      </c>
    </row>
    <row r="1727" spans="1:10" x14ac:dyDescent="0.55000000000000004">
      <c r="A1727" t="s">
        <v>3491</v>
      </c>
      <c r="B1727">
        <v>100020</v>
      </c>
      <c r="C1727" t="s">
        <v>19</v>
      </c>
      <c r="D1727" s="3">
        <v>45975</v>
      </c>
      <c r="E1727" t="s">
        <v>115</v>
      </c>
      <c r="F1727" t="s">
        <v>3492</v>
      </c>
      <c r="G1727" t="s">
        <v>15</v>
      </c>
      <c r="H1727" t="s">
        <v>3493</v>
      </c>
      <c r="I1727" t="s">
        <v>3494</v>
      </c>
      <c r="J1727" s="4">
        <v>46056.316762337963</v>
      </c>
    </row>
    <row r="1728" spans="1:10" x14ac:dyDescent="0.55000000000000004">
      <c r="A1728" t="s">
        <v>3495</v>
      </c>
      <c r="B1728">
        <v>101386</v>
      </c>
      <c r="C1728" t="s">
        <v>19</v>
      </c>
      <c r="D1728" s="3">
        <v>46143</v>
      </c>
      <c r="E1728" t="s">
        <v>38</v>
      </c>
      <c r="F1728" t="s">
        <v>3496</v>
      </c>
      <c r="G1728" t="s">
        <v>22</v>
      </c>
      <c r="H1728" t="s">
        <v>3497</v>
      </c>
      <c r="I1728" t="s">
        <v>3498</v>
      </c>
      <c r="J1728" s="4">
        <v>46085.157040115744</v>
      </c>
    </row>
    <row r="1729" spans="1:11" x14ac:dyDescent="0.55000000000000004">
      <c r="A1729" t="s">
        <v>3495</v>
      </c>
      <c r="B1729">
        <v>101386</v>
      </c>
      <c r="C1729" t="s">
        <v>19</v>
      </c>
      <c r="D1729" s="3">
        <v>46143</v>
      </c>
      <c r="E1729" t="s">
        <v>69</v>
      </c>
      <c r="F1729" t="s">
        <v>3496</v>
      </c>
      <c r="G1729" t="s">
        <v>22</v>
      </c>
      <c r="H1729" t="s">
        <v>3497</v>
      </c>
      <c r="I1729" t="s">
        <v>3498</v>
      </c>
      <c r="J1729" s="4">
        <v>46085.157040115744</v>
      </c>
    </row>
    <row r="1730" spans="1:11" x14ac:dyDescent="0.55000000000000004">
      <c r="A1730" t="s">
        <v>3499</v>
      </c>
      <c r="B1730">
        <v>100598</v>
      </c>
      <c r="C1730" t="s">
        <v>179</v>
      </c>
      <c r="D1730" s="3">
        <v>45860</v>
      </c>
      <c r="E1730" t="s">
        <v>38</v>
      </c>
      <c r="F1730" t="s">
        <v>3500</v>
      </c>
      <c r="G1730" t="s">
        <v>15</v>
      </c>
      <c r="H1730" t="s">
        <v>3501</v>
      </c>
      <c r="I1730" t="s">
        <v>3502</v>
      </c>
      <c r="J1730" s="4">
        <v>46056.745929016201</v>
      </c>
    </row>
    <row r="1731" spans="1:11" x14ac:dyDescent="0.55000000000000004">
      <c r="A1731" t="s">
        <v>3499</v>
      </c>
      <c r="B1731">
        <v>100598</v>
      </c>
      <c r="C1731" t="s">
        <v>179</v>
      </c>
      <c r="D1731" s="3">
        <v>45860</v>
      </c>
      <c r="E1731" t="s">
        <v>115</v>
      </c>
      <c r="F1731" t="s">
        <v>3500</v>
      </c>
      <c r="G1731" t="s">
        <v>15</v>
      </c>
      <c r="H1731" t="s">
        <v>3501</v>
      </c>
      <c r="I1731" t="s">
        <v>3502</v>
      </c>
      <c r="J1731" s="4">
        <v>46056.745929016201</v>
      </c>
    </row>
    <row r="1732" spans="1:11" x14ac:dyDescent="0.55000000000000004">
      <c r="A1732" t="s">
        <v>3499</v>
      </c>
      <c r="B1732">
        <v>100598</v>
      </c>
      <c r="C1732" t="s">
        <v>179</v>
      </c>
      <c r="D1732" s="3">
        <v>45860</v>
      </c>
      <c r="E1732" t="s">
        <v>69</v>
      </c>
      <c r="F1732" t="s">
        <v>3500</v>
      </c>
      <c r="G1732" t="s">
        <v>15</v>
      </c>
      <c r="H1732" t="s">
        <v>3501</v>
      </c>
      <c r="I1732" t="s">
        <v>3502</v>
      </c>
      <c r="J1732" s="4">
        <v>46056.745929016201</v>
      </c>
    </row>
    <row r="1733" spans="1:11" x14ac:dyDescent="0.55000000000000004">
      <c r="A1733" t="s">
        <v>3503</v>
      </c>
      <c r="B1733">
        <v>101235</v>
      </c>
      <c r="C1733" t="s">
        <v>19</v>
      </c>
      <c r="D1733" s="3">
        <v>45827</v>
      </c>
      <c r="E1733" t="s">
        <v>317</v>
      </c>
      <c r="F1733" t="s">
        <v>3504</v>
      </c>
      <c r="G1733" t="s">
        <v>22</v>
      </c>
      <c r="H1733" t="s">
        <v>3505</v>
      </c>
      <c r="I1733" t="s">
        <v>3506</v>
      </c>
      <c r="J1733" s="4">
        <v>46056.988290127316</v>
      </c>
    </row>
    <row r="1734" spans="1:11" x14ac:dyDescent="0.55000000000000004">
      <c r="A1734" t="s">
        <v>3503</v>
      </c>
      <c r="B1734">
        <v>101235</v>
      </c>
      <c r="C1734" t="s">
        <v>19</v>
      </c>
      <c r="D1734" s="3">
        <v>45827</v>
      </c>
      <c r="E1734" t="s">
        <v>115</v>
      </c>
      <c r="F1734" t="s">
        <v>3504</v>
      </c>
      <c r="G1734" t="s">
        <v>22</v>
      </c>
      <c r="H1734" t="s">
        <v>3505</v>
      </c>
      <c r="I1734" t="s">
        <v>3506</v>
      </c>
      <c r="J1734" s="4">
        <v>46056.988290127316</v>
      </c>
    </row>
    <row r="1735" spans="1:11" x14ac:dyDescent="0.55000000000000004">
      <c r="A1735" t="s">
        <v>3503</v>
      </c>
      <c r="B1735">
        <v>101235</v>
      </c>
      <c r="C1735" t="s">
        <v>19</v>
      </c>
      <c r="D1735" s="3">
        <v>45827</v>
      </c>
      <c r="E1735" t="s">
        <v>69</v>
      </c>
      <c r="F1735" t="s">
        <v>3504</v>
      </c>
      <c r="G1735" t="s">
        <v>22</v>
      </c>
      <c r="H1735" t="s">
        <v>3505</v>
      </c>
      <c r="I1735" t="s">
        <v>3506</v>
      </c>
      <c r="J1735" s="4">
        <v>46056.988290127316</v>
      </c>
    </row>
    <row r="1736" spans="1:11" x14ac:dyDescent="0.55000000000000004">
      <c r="A1736" t="s">
        <v>3507</v>
      </c>
      <c r="B1736">
        <v>100398</v>
      </c>
      <c r="C1736" t="s">
        <v>19</v>
      </c>
      <c r="D1736" s="3">
        <v>46125</v>
      </c>
      <c r="E1736" t="s">
        <v>38</v>
      </c>
      <c r="F1736" t="s">
        <v>3508</v>
      </c>
      <c r="G1736" t="s">
        <v>15</v>
      </c>
      <c r="H1736" t="s">
        <v>3509</v>
      </c>
      <c r="I1736" t="s">
        <v>3510</v>
      </c>
      <c r="J1736" s="4">
        <v>46074.088290127314</v>
      </c>
    </row>
    <row r="1737" spans="1:11" x14ac:dyDescent="0.55000000000000004">
      <c r="A1737" t="s">
        <v>3507</v>
      </c>
      <c r="B1737">
        <v>100398</v>
      </c>
      <c r="C1737" t="s">
        <v>19</v>
      </c>
      <c r="D1737" s="3">
        <v>46125</v>
      </c>
      <c r="E1737" t="s">
        <v>155</v>
      </c>
      <c r="F1737" t="s">
        <v>3508</v>
      </c>
      <c r="G1737" t="s">
        <v>15</v>
      </c>
      <c r="H1737" t="s">
        <v>3509</v>
      </c>
      <c r="I1737" t="s">
        <v>3510</v>
      </c>
      <c r="J1737" s="4">
        <v>46074.088290127314</v>
      </c>
    </row>
    <row r="1738" spans="1:11" x14ac:dyDescent="0.55000000000000004">
      <c r="A1738" t="s">
        <v>3511</v>
      </c>
      <c r="B1738">
        <v>101241</v>
      </c>
      <c r="C1738" t="s">
        <v>533</v>
      </c>
      <c r="D1738" s="3">
        <v>45855</v>
      </c>
      <c r="E1738" t="s">
        <v>317</v>
      </c>
      <c r="F1738" t="s">
        <v>3512</v>
      </c>
      <c r="G1738" t="s">
        <v>22</v>
      </c>
      <c r="H1738" t="s">
        <v>3513</v>
      </c>
      <c r="I1738" t="s">
        <v>3514</v>
      </c>
      <c r="J1738" s="4">
        <v>46070.162595694441</v>
      </c>
    </row>
    <row r="1739" spans="1:11" x14ac:dyDescent="0.55000000000000004">
      <c r="A1739" t="s">
        <v>3515</v>
      </c>
      <c r="B1739">
        <v>100852</v>
      </c>
      <c r="C1739" t="s">
        <v>68</v>
      </c>
      <c r="D1739" s="3">
        <v>46157</v>
      </c>
      <c r="E1739" t="s">
        <v>317</v>
      </c>
      <c r="F1739" t="s">
        <v>3516</v>
      </c>
      <c r="G1739" t="s">
        <v>15</v>
      </c>
      <c r="H1739" t="s">
        <v>3517</v>
      </c>
      <c r="I1739" t="s">
        <v>3518</v>
      </c>
      <c r="J1739" s="4">
        <v>46071.366762361111</v>
      </c>
    </row>
    <row r="1740" spans="1:11" x14ac:dyDescent="0.55000000000000004">
      <c r="A1740" t="s">
        <v>3519</v>
      </c>
      <c r="B1740">
        <v>100211</v>
      </c>
      <c r="C1740" t="s">
        <v>68</v>
      </c>
      <c r="D1740" s="3">
        <v>46062</v>
      </c>
      <c r="E1740" t="s">
        <v>20</v>
      </c>
      <c r="F1740" t="s">
        <v>3520</v>
      </c>
      <c r="G1740" t="s">
        <v>15</v>
      </c>
      <c r="H1740" t="s">
        <v>3521</v>
      </c>
      <c r="I1740" t="s">
        <v>3522</v>
      </c>
      <c r="J1740" s="4">
        <v>46072.407040150465</v>
      </c>
    </row>
    <row r="1741" spans="1:11" x14ac:dyDescent="0.55000000000000004">
      <c r="A1741" t="s">
        <v>3523</v>
      </c>
      <c r="B1741">
        <v>100063</v>
      </c>
      <c r="C1741" t="s">
        <v>533</v>
      </c>
      <c r="D1741" s="3">
        <v>45808</v>
      </c>
      <c r="E1741" t="s">
        <v>155</v>
      </c>
      <c r="F1741" t="s">
        <v>3524</v>
      </c>
      <c r="G1741" t="s">
        <v>15</v>
      </c>
      <c r="H1741" t="s">
        <v>3525</v>
      </c>
      <c r="I1741" t="s">
        <v>3526</v>
      </c>
      <c r="J1741" s="4">
        <v>46078.086206817126</v>
      </c>
    </row>
    <row r="1742" spans="1:11" x14ac:dyDescent="0.55000000000000004">
      <c r="A1742" t="s">
        <v>3527</v>
      </c>
      <c r="B1742">
        <v>100730</v>
      </c>
      <c r="C1742" t="s">
        <v>19</v>
      </c>
      <c r="D1742" s="3">
        <v>46018</v>
      </c>
      <c r="E1742" t="s">
        <v>155</v>
      </c>
      <c r="F1742" t="s">
        <v>3528</v>
      </c>
      <c r="G1742" t="s">
        <v>15</v>
      </c>
      <c r="H1742" t="s">
        <v>3529</v>
      </c>
      <c r="I1742" t="s">
        <v>3530</v>
      </c>
      <c r="J1742" s="4">
        <v>46087.358429039348</v>
      </c>
      <c r="K1742" t="s">
        <v>139</v>
      </c>
    </row>
    <row r="1743" spans="1:11" x14ac:dyDescent="0.55000000000000004">
      <c r="A1743" t="s">
        <v>3527</v>
      </c>
      <c r="B1743">
        <v>100730</v>
      </c>
      <c r="C1743" t="s">
        <v>19</v>
      </c>
      <c r="D1743" s="3">
        <v>46018</v>
      </c>
      <c r="E1743" t="s">
        <v>69</v>
      </c>
      <c r="F1743" t="s">
        <v>3528</v>
      </c>
      <c r="G1743" t="s">
        <v>15</v>
      </c>
      <c r="H1743" t="s">
        <v>3529</v>
      </c>
      <c r="I1743" t="s">
        <v>3530</v>
      </c>
      <c r="J1743" s="4">
        <v>46087.358429039348</v>
      </c>
      <c r="K1743" t="s">
        <v>139</v>
      </c>
    </row>
    <row r="1744" spans="1:11" x14ac:dyDescent="0.55000000000000004">
      <c r="A1744" t="s">
        <v>3531</v>
      </c>
      <c r="B1744">
        <v>100477</v>
      </c>
      <c r="C1744" t="s">
        <v>533</v>
      </c>
      <c r="D1744" s="3">
        <v>45746</v>
      </c>
      <c r="E1744" t="s">
        <v>38</v>
      </c>
      <c r="F1744" t="s">
        <v>3532</v>
      </c>
      <c r="G1744" t="s">
        <v>15</v>
      </c>
      <c r="H1744" t="s">
        <v>3533</v>
      </c>
      <c r="I1744" t="s">
        <v>3534</v>
      </c>
      <c r="J1744" s="4">
        <v>46056.686206828701</v>
      </c>
    </row>
    <row r="1745" spans="1:10" x14ac:dyDescent="0.55000000000000004">
      <c r="A1745" t="s">
        <v>3531</v>
      </c>
      <c r="B1745">
        <v>100477</v>
      </c>
      <c r="C1745" t="s">
        <v>533</v>
      </c>
      <c r="D1745" s="3">
        <v>45746</v>
      </c>
      <c r="E1745" t="s">
        <v>20</v>
      </c>
      <c r="F1745" t="s">
        <v>3532</v>
      </c>
      <c r="G1745" t="s">
        <v>15</v>
      </c>
      <c r="H1745" t="s">
        <v>3533</v>
      </c>
      <c r="I1745" t="s">
        <v>3534</v>
      </c>
      <c r="J1745" s="4">
        <v>46056.686206828701</v>
      </c>
    </row>
    <row r="1746" spans="1:10" x14ac:dyDescent="0.55000000000000004">
      <c r="A1746" t="s">
        <v>3535</v>
      </c>
      <c r="B1746">
        <v>100555</v>
      </c>
      <c r="C1746" t="s">
        <v>19</v>
      </c>
      <c r="D1746" s="3">
        <v>46132</v>
      </c>
      <c r="E1746" t="s">
        <v>155</v>
      </c>
      <c r="F1746" t="s">
        <v>3536</v>
      </c>
      <c r="G1746" t="s">
        <v>15</v>
      </c>
      <c r="H1746" t="s">
        <v>3537</v>
      </c>
      <c r="I1746" t="s">
        <v>3538</v>
      </c>
      <c r="J1746" s="4">
        <v>46076.890373495371</v>
      </c>
    </row>
    <row r="1747" spans="1:10" x14ac:dyDescent="0.55000000000000004">
      <c r="A1747" t="s">
        <v>3539</v>
      </c>
      <c r="B1747">
        <v>101304</v>
      </c>
      <c r="C1747" t="s">
        <v>68</v>
      </c>
      <c r="D1747" s="3">
        <v>45764</v>
      </c>
      <c r="E1747" t="s">
        <v>20</v>
      </c>
      <c r="F1747" t="s">
        <v>3540</v>
      </c>
      <c r="G1747" t="s">
        <v>22</v>
      </c>
      <c r="H1747" t="s">
        <v>3541</v>
      </c>
      <c r="I1747" t="s">
        <v>3542</v>
      </c>
      <c r="J1747" s="4">
        <v>46089.41051238426</v>
      </c>
    </row>
    <row r="1748" spans="1:10" x14ac:dyDescent="0.55000000000000004">
      <c r="A1748" t="s">
        <v>3539</v>
      </c>
      <c r="B1748">
        <v>101304</v>
      </c>
      <c r="C1748" t="s">
        <v>68</v>
      </c>
      <c r="D1748" s="3">
        <v>45764</v>
      </c>
      <c r="E1748" t="s">
        <v>155</v>
      </c>
      <c r="F1748" t="s">
        <v>3540</v>
      </c>
      <c r="G1748" t="s">
        <v>22</v>
      </c>
      <c r="H1748" t="s">
        <v>3541</v>
      </c>
      <c r="I1748" t="s">
        <v>3542</v>
      </c>
      <c r="J1748" s="4">
        <v>46089.41051238426</v>
      </c>
    </row>
    <row r="1749" spans="1:10" x14ac:dyDescent="0.55000000000000004">
      <c r="A1749" t="s">
        <v>3543</v>
      </c>
      <c r="B1749">
        <v>100417</v>
      </c>
      <c r="C1749" t="s">
        <v>533</v>
      </c>
      <c r="D1749" s="3">
        <v>46024</v>
      </c>
      <c r="E1749" t="s">
        <v>38</v>
      </c>
      <c r="F1749" t="s">
        <v>3544</v>
      </c>
      <c r="G1749" t="s">
        <v>22</v>
      </c>
      <c r="H1749" t="s">
        <v>3545</v>
      </c>
      <c r="I1749" t="s">
        <v>3546</v>
      </c>
      <c r="J1749" s="4">
        <v>46092.407734618057</v>
      </c>
    </row>
    <row r="1750" spans="1:10" x14ac:dyDescent="0.55000000000000004">
      <c r="A1750" t="s">
        <v>3543</v>
      </c>
      <c r="B1750">
        <v>100417</v>
      </c>
      <c r="C1750" t="s">
        <v>533</v>
      </c>
      <c r="D1750" s="3">
        <v>46024</v>
      </c>
      <c r="E1750" t="s">
        <v>20</v>
      </c>
      <c r="F1750" t="s">
        <v>3544</v>
      </c>
      <c r="G1750" t="s">
        <v>22</v>
      </c>
      <c r="H1750" t="s">
        <v>3545</v>
      </c>
      <c r="I1750" t="s">
        <v>3546</v>
      </c>
      <c r="J1750" s="4">
        <v>46092.407734618057</v>
      </c>
    </row>
    <row r="1751" spans="1:10" x14ac:dyDescent="0.55000000000000004">
      <c r="A1751" t="s">
        <v>3543</v>
      </c>
      <c r="B1751">
        <v>100417</v>
      </c>
      <c r="C1751" t="s">
        <v>533</v>
      </c>
      <c r="D1751" s="3">
        <v>46024</v>
      </c>
      <c r="E1751" t="s">
        <v>155</v>
      </c>
      <c r="F1751" t="s">
        <v>3544</v>
      </c>
      <c r="G1751" t="s">
        <v>22</v>
      </c>
      <c r="H1751" t="s">
        <v>3545</v>
      </c>
      <c r="I1751" t="s">
        <v>3546</v>
      </c>
      <c r="J1751" s="4">
        <v>46092.407734618057</v>
      </c>
    </row>
    <row r="1752" spans="1:10" x14ac:dyDescent="0.55000000000000004">
      <c r="A1752" t="s">
        <v>3547</v>
      </c>
      <c r="B1752">
        <v>100965</v>
      </c>
      <c r="C1752" t="s">
        <v>19</v>
      </c>
      <c r="D1752" s="3">
        <v>45794</v>
      </c>
      <c r="E1752" t="s">
        <v>38</v>
      </c>
      <c r="F1752" t="s">
        <v>3548</v>
      </c>
      <c r="G1752" t="s">
        <v>22</v>
      </c>
      <c r="H1752" t="s">
        <v>3549</v>
      </c>
      <c r="I1752" t="s">
        <v>3550</v>
      </c>
      <c r="J1752" s="4">
        <v>46082.144540173613</v>
      </c>
    </row>
    <row r="1753" spans="1:10" x14ac:dyDescent="0.55000000000000004">
      <c r="A1753" t="s">
        <v>3547</v>
      </c>
      <c r="B1753">
        <v>100965</v>
      </c>
      <c r="C1753" t="s">
        <v>19</v>
      </c>
      <c r="D1753" s="3">
        <v>45794</v>
      </c>
      <c r="E1753" t="s">
        <v>20</v>
      </c>
      <c r="F1753" t="s">
        <v>3548</v>
      </c>
      <c r="G1753" t="s">
        <v>22</v>
      </c>
      <c r="H1753" t="s">
        <v>3549</v>
      </c>
      <c r="I1753" t="s">
        <v>3550</v>
      </c>
      <c r="J1753" s="4">
        <v>46082.144540173613</v>
      </c>
    </row>
    <row r="1754" spans="1:10" x14ac:dyDescent="0.55000000000000004">
      <c r="A1754" t="s">
        <v>3551</v>
      </c>
      <c r="B1754">
        <v>101418</v>
      </c>
      <c r="C1754" t="s">
        <v>248</v>
      </c>
      <c r="D1754" s="3">
        <v>45805</v>
      </c>
      <c r="E1754" t="s">
        <v>115</v>
      </c>
      <c r="F1754" t="s">
        <v>3552</v>
      </c>
      <c r="G1754" t="s">
        <v>15</v>
      </c>
      <c r="H1754" t="s">
        <v>3553</v>
      </c>
      <c r="I1754" t="s">
        <v>3554</v>
      </c>
      <c r="J1754" s="4">
        <v>46080.120929074074</v>
      </c>
    </row>
    <row r="1755" spans="1:10" x14ac:dyDescent="0.55000000000000004">
      <c r="A1755" t="s">
        <v>3555</v>
      </c>
      <c r="B1755">
        <v>101136</v>
      </c>
      <c r="C1755" t="s">
        <v>179</v>
      </c>
      <c r="D1755" s="3">
        <v>45862</v>
      </c>
      <c r="E1755" t="s">
        <v>20</v>
      </c>
      <c r="F1755" t="s">
        <v>3556</v>
      </c>
      <c r="G1755" t="s">
        <v>15</v>
      </c>
      <c r="H1755" t="s">
        <v>3557</v>
      </c>
      <c r="I1755" t="s">
        <v>3558</v>
      </c>
      <c r="J1755" s="4">
        <v>46076.970234629633</v>
      </c>
    </row>
    <row r="1756" spans="1:10" x14ac:dyDescent="0.55000000000000004">
      <c r="A1756" t="s">
        <v>3555</v>
      </c>
      <c r="B1756">
        <v>101136</v>
      </c>
      <c r="C1756" t="s">
        <v>179</v>
      </c>
      <c r="D1756" s="3">
        <v>45862</v>
      </c>
      <c r="E1756" t="s">
        <v>155</v>
      </c>
      <c r="F1756" t="s">
        <v>3556</v>
      </c>
      <c r="G1756" t="s">
        <v>15</v>
      </c>
      <c r="H1756" t="s">
        <v>3557</v>
      </c>
      <c r="I1756" t="s">
        <v>3558</v>
      </c>
      <c r="J1756" s="4">
        <v>46076.970234629633</v>
      </c>
    </row>
    <row r="1757" spans="1:10" x14ac:dyDescent="0.55000000000000004">
      <c r="A1757" t="s">
        <v>3555</v>
      </c>
      <c r="B1757">
        <v>101136</v>
      </c>
      <c r="C1757" t="s">
        <v>179</v>
      </c>
      <c r="D1757" s="3">
        <v>45862</v>
      </c>
      <c r="E1757" t="s">
        <v>69</v>
      </c>
      <c r="F1757" t="s">
        <v>3556</v>
      </c>
      <c r="G1757" t="s">
        <v>15</v>
      </c>
      <c r="H1757" t="s">
        <v>3557</v>
      </c>
      <c r="I1757" t="s">
        <v>3558</v>
      </c>
      <c r="J1757" s="4">
        <v>46076.970234629633</v>
      </c>
    </row>
    <row r="1758" spans="1:10" x14ac:dyDescent="0.55000000000000004">
      <c r="A1758" t="s">
        <v>3559</v>
      </c>
      <c r="B1758">
        <v>100723</v>
      </c>
      <c r="C1758" t="s">
        <v>179</v>
      </c>
      <c r="D1758" s="3">
        <v>45975</v>
      </c>
      <c r="E1758" t="s">
        <v>317</v>
      </c>
      <c r="F1758" t="s">
        <v>3560</v>
      </c>
      <c r="G1758" t="s">
        <v>22</v>
      </c>
      <c r="H1758" t="s">
        <v>3561</v>
      </c>
      <c r="I1758" t="s">
        <v>3562</v>
      </c>
      <c r="J1758" s="4">
        <v>46067.223012407405</v>
      </c>
    </row>
    <row r="1759" spans="1:10" x14ac:dyDescent="0.55000000000000004">
      <c r="A1759" t="s">
        <v>3559</v>
      </c>
      <c r="B1759">
        <v>100723</v>
      </c>
      <c r="C1759" t="s">
        <v>179</v>
      </c>
      <c r="D1759" s="3">
        <v>45975</v>
      </c>
      <c r="E1759" t="s">
        <v>20</v>
      </c>
      <c r="F1759" t="s">
        <v>3560</v>
      </c>
      <c r="G1759" t="s">
        <v>22</v>
      </c>
      <c r="H1759" t="s">
        <v>3561</v>
      </c>
      <c r="I1759" t="s">
        <v>3562</v>
      </c>
      <c r="J1759" s="4">
        <v>46067.223012407405</v>
      </c>
    </row>
    <row r="1760" spans="1:10" x14ac:dyDescent="0.55000000000000004">
      <c r="A1760" t="s">
        <v>3559</v>
      </c>
      <c r="B1760">
        <v>100723</v>
      </c>
      <c r="C1760" t="s">
        <v>179</v>
      </c>
      <c r="D1760" s="3">
        <v>45975</v>
      </c>
      <c r="E1760" t="s">
        <v>115</v>
      </c>
      <c r="F1760" t="s">
        <v>3560</v>
      </c>
      <c r="G1760" t="s">
        <v>22</v>
      </c>
      <c r="H1760" t="s">
        <v>3561</v>
      </c>
      <c r="I1760" t="s">
        <v>3562</v>
      </c>
      <c r="J1760" s="4">
        <v>46067.223012407405</v>
      </c>
    </row>
    <row r="1761" spans="1:11" x14ac:dyDescent="0.55000000000000004">
      <c r="A1761" t="s">
        <v>3563</v>
      </c>
      <c r="B1761">
        <v>100156</v>
      </c>
      <c r="C1761" t="s">
        <v>68</v>
      </c>
      <c r="D1761" s="3">
        <v>45742</v>
      </c>
      <c r="E1761" t="s">
        <v>317</v>
      </c>
      <c r="F1761" t="s">
        <v>3564</v>
      </c>
      <c r="G1761" t="s">
        <v>15</v>
      </c>
      <c r="H1761" t="s">
        <v>3565</v>
      </c>
      <c r="I1761" t="s">
        <v>3566</v>
      </c>
      <c r="J1761" s="4">
        <v>46080.960512418984</v>
      </c>
    </row>
    <row r="1762" spans="1:11" x14ac:dyDescent="0.55000000000000004">
      <c r="A1762" t="s">
        <v>3563</v>
      </c>
      <c r="B1762">
        <v>100156</v>
      </c>
      <c r="C1762" t="s">
        <v>68</v>
      </c>
      <c r="D1762" s="3">
        <v>45742</v>
      </c>
      <c r="E1762" t="s">
        <v>38</v>
      </c>
      <c r="F1762" t="s">
        <v>3564</v>
      </c>
      <c r="G1762" t="s">
        <v>15</v>
      </c>
      <c r="H1762" t="s">
        <v>3565</v>
      </c>
      <c r="I1762" t="s">
        <v>3566</v>
      </c>
      <c r="J1762" s="4">
        <v>46080.960512418984</v>
      </c>
    </row>
    <row r="1763" spans="1:11" x14ac:dyDescent="0.55000000000000004">
      <c r="A1763" t="s">
        <v>3563</v>
      </c>
      <c r="B1763">
        <v>100156</v>
      </c>
      <c r="C1763" t="s">
        <v>68</v>
      </c>
      <c r="D1763" s="3">
        <v>45742</v>
      </c>
      <c r="E1763" t="s">
        <v>155</v>
      </c>
      <c r="F1763" t="s">
        <v>3564</v>
      </c>
      <c r="G1763" t="s">
        <v>15</v>
      </c>
      <c r="H1763" t="s">
        <v>3565</v>
      </c>
      <c r="I1763" t="s">
        <v>3566</v>
      </c>
      <c r="J1763" s="4">
        <v>46080.960512418984</v>
      </c>
    </row>
    <row r="1764" spans="1:11" x14ac:dyDescent="0.55000000000000004">
      <c r="A1764" t="s">
        <v>3567</v>
      </c>
      <c r="B1764">
        <v>100710</v>
      </c>
      <c r="C1764" t="s">
        <v>179</v>
      </c>
      <c r="D1764" s="3">
        <v>45890</v>
      </c>
      <c r="E1764" t="s">
        <v>317</v>
      </c>
      <c r="F1764" t="s">
        <v>3568</v>
      </c>
      <c r="G1764" t="s">
        <v>15</v>
      </c>
      <c r="H1764" t="s">
        <v>3569</v>
      </c>
      <c r="I1764" t="s">
        <v>3570</v>
      </c>
      <c r="J1764" s="4">
        <v>46069.193845752314</v>
      </c>
    </row>
    <row r="1765" spans="1:11" x14ac:dyDescent="0.55000000000000004">
      <c r="A1765" t="s">
        <v>3567</v>
      </c>
      <c r="B1765">
        <v>100710</v>
      </c>
      <c r="C1765" t="s">
        <v>179</v>
      </c>
      <c r="D1765" s="3">
        <v>45890</v>
      </c>
      <c r="E1765" t="s">
        <v>20</v>
      </c>
      <c r="F1765" t="s">
        <v>3568</v>
      </c>
      <c r="G1765" t="s">
        <v>15</v>
      </c>
      <c r="H1765" t="s">
        <v>3569</v>
      </c>
      <c r="I1765" t="s">
        <v>3570</v>
      </c>
      <c r="J1765" s="4">
        <v>46069.193845752314</v>
      </c>
    </row>
    <row r="1766" spans="1:11" x14ac:dyDescent="0.55000000000000004">
      <c r="A1766" t="s">
        <v>3567</v>
      </c>
      <c r="B1766">
        <v>100710</v>
      </c>
      <c r="C1766" t="s">
        <v>179</v>
      </c>
      <c r="D1766" s="3">
        <v>45890</v>
      </c>
      <c r="E1766" t="s">
        <v>155</v>
      </c>
      <c r="F1766" t="s">
        <v>3568</v>
      </c>
      <c r="G1766" t="s">
        <v>15</v>
      </c>
      <c r="H1766" t="s">
        <v>3569</v>
      </c>
      <c r="I1766" t="s">
        <v>3570</v>
      </c>
      <c r="J1766" s="4">
        <v>46069.193845752314</v>
      </c>
    </row>
    <row r="1767" spans="1:11" x14ac:dyDescent="0.55000000000000004">
      <c r="A1767" t="s">
        <v>3571</v>
      </c>
      <c r="B1767">
        <v>101026</v>
      </c>
      <c r="C1767" t="s">
        <v>37</v>
      </c>
      <c r="D1767" s="3">
        <v>45933</v>
      </c>
      <c r="E1767" t="s">
        <v>20</v>
      </c>
      <c r="F1767" t="s">
        <v>3572</v>
      </c>
      <c r="G1767" t="s">
        <v>15</v>
      </c>
      <c r="H1767" t="s">
        <v>3573</v>
      </c>
      <c r="I1767" t="s">
        <v>3574</v>
      </c>
      <c r="J1767" s="4">
        <v>46078.447317986109</v>
      </c>
    </row>
    <row r="1768" spans="1:11" x14ac:dyDescent="0.55000000000000004">
      <c r="A1768" t="s">
        <v>3571</v>
      </c>
      <c r="B1768">
        <v>101026</v>
      </c>
      <c r="C1768" t="s">
        <v>37</v>
      </c>
      <c r="D1768" s="3">
        <v>45933</v>
      </c>
      <c r="E1768" t="s">
        <v>155</v>
      </c>
      <c r="F1768" t="s">
        <v>3572</v>
      </c>
      <c r="G1768" t="s">
        <v>15</v>
      </c>
      <c r="H1768" t="s">
        <v>3573</v>
      </c>
      <c r="I1768" t="s">
        <v>3574</v>
      </c>
      <c r="J1768" s="4">
        <v>46078.447317986109</v>
      </c>
    </row>
    <row r="1769" spans="1:11" x14ac:dyDescent="0.55000000000000004">
      <c r="A1769" t="s">
        <v>3575</v>
      </c>
      <c r="B1769">
        <v>101048</v>
      </c>
      <c r="C1769" t="s">
        <v>533</v>
      </c>
      <c r="D1769" s="3">
        <v>45956</v>
      </c>
      <c r="E1769" t="s">
        <v>20</v>
      </c>
      <c r="F1769" t="s">
        <v>3576</v>
      </c>
      <c r="G1769" t="s">
        <v>22</v>
      </c>
      <c r="H1769" t="s">
        <v>3577</v>
      </c>
      <c r="I1769" t="s">
        <v>3578</v>
      </c>
      <c r="J1769" s="4">
        <v>46092.047317986115</v>
      </c>
    </row>
    <row r="1770" spans="1:11" x14ac:dyDescent="0.55000000000000004">
      <c r="A1770" t="s">
        <v>3575</v>
      </c>
      <c r="B1770">
        <v>101048</v>
      </c>
      <c r="C1770" t="s">
        <v>533</v>
      </c>
      <c r="D1770" s="3">
        <v>45956</v>
      </c>
      <c r="E1770" t="s">
        <v>155</v>
      </c>
      <c r="F1770" t="s">
        <v>3576</v>
      </c>
      <c r="G1770" t="s">
        <v>22</v>
      </c>
      <c r="H1770" t="s">
        <v>3577</v>
      </c>
      <c r="I1770" t="s">
        <v>3578</v>
      </c>
      <c r="J1770" s="4">
        <v>46092.047317986115</v>
      </c>
    </row>
    <row r="1771" spans="1:11" x14ac:dyDescent="0.55000000000000004">
      <c r="A1771" t="s">
        <v>3575</v>
      </c>
      <c r="B1771">
        <v>101048</v>
      </c>
      <c r="C1771" t="s">
        <v>533</v>
      </c>
      <c r="D1771" s="3">
        <v>45956</v>
      </c>
      <c r="E1771" t="s">
        <v>69</v>
      </c>
      <c r="F1771" t="s">
        <v>3576</v>
      </c>
      <c r="G1771" t="s">
        <v>22</v>
      </c>
      <c r="H1771" t="s">
        <v>3577</v>
      </c>
      <c r="I1771" t="s">
        <v>3578</v>
      </c>
      <c r="J1771" s="4">
        <v>46092.047317986115</v>
      </c>
    </row>
    <row r="1772" spans="1:11" x14ac:dyDescent="0.55000000000000004">
      <c r="A1772" t="s">
        <v>3579</v>
      </c>
      <c r="B1772">
        <v>101201</v>
      </c>
      <c r="C1772" t="s">
        <v>19</v>
      </c>
      <c r="D1772" s="3">
        <v>46109</v>
      </c>
      <c r="E1772" t="s">
        <v>20</v>
      </c>
      <c r="F1772" t="s">
        <v>3580</v>
      </c>
      <c r="G1772" t="s">
        <v>15</v>
      </c>
      <c r="H1772" t="s">
        <v>3581</v>
      </c>
      <c r="I1772" t="s">
        <v>3582</v>
      </c>
      <c r="J1772" s="4">
        <v>46086.752873541664</v>
      </c>
    </row>
    <row r="1773" spans="1:11" x14ac:dyDescent="0.55000000000000004">
      <c r="A1773" t="s">
        <v>3579</v>
      </c>
      <c r="B1773">
        <v>101201</v>
      </c>
      <c r="C1773" t="s">
        <v>19</v>
      </c>
      <c r="D1773" s="3">
        <v>46109</v>
      </c>
      <c r="E1773" t="s">
        <v>69</v>
      </c>
      <c r="F1773" t="s">
        <v>3580</v>
      </c>
      <c r="G1773" t="s">
        <v>15</v>
      </c>
      <c r="H1773" t="s">
        <v>3581</v>
      </c>
      <c r="I1773" t="s">
        <v>3582</v>
      </c>
      <c r="J1773" s="4">
        <v>46086.752873541664</v>
      </c>
    </row>
    <row r="1774" spans="1:11" x14ac:dyDescent="0.55000000000000004">
      <c r="A1774" t="s">
        <v>6036</v>
      </c>
      <c r="B1774">
        <v>101406</v>
      </c>
      <c r="C1774" t="s">
        <v>248</v>
      </c>
      <c r="D1774" s="3">
        <v>45991</v>
      </c>
      <c r="E1774" t="s">
        <v>20</v>
      </c>
      <c r="F1774" t="s">
        <v>3584</v>
      </c>
      <c r="G1774" t="s">
        <v>22</v>
      </c>
      <c r="H1774" t="s">
        <v>3585</v>
      </c>
      <c r="I1774" t="s">
        <v>3586</v>
      </c>
      <c r="J1774" s="4">
        <v>46058.967456886574</v>
      </c>
      <c r="K1774" t="s">
        <v>119</v>
      </c>
    </row>
    <row r="1775" spans="1:11" x14ac:dyDescent="0.55000000000000004">
      <c r="A1775" t="s">
        <v>3587</v>
      </c>
      <c r="B1775">
        <v>100082</v>
      </c>
      <c r="C1775" t="s">
        <v>68</v>
      </c>
      <c r="D1775" s="3">
        <v>45964</v>
      </c>
      <c r="E1775" t="s">
        <v>317</v>
      </c>
      <c r="F1775" t="s">
        <v>3588</v>
      </c>
      <c r="G1775" t="s">
        <v>22</v>
      </c>
      <c r="H1775" t="s">
        <v>3589</v>
      </c>
      <c r="I1775" t="s">
        <v>3590</v>
      </c>
      <c r="J1775" s="4">
        <v>46056.552873553243</v>
      </c>
    </row>
    <row r="1776" spans="1:11" x14ac:dyDescent="0.55000000000000004">
      <c r="A1776" t="s">
        <v>3587</v>
      </c>
      <c r="B1776">
        <v>100082</v>
      </c>
      <c r="C1776" t="s">
        <v>68</v>
      </c>
      <c r="D1776" s="3">
        <v>45964</v>
      </c>
      <c r="E1776" t="s">
        <v>155</v>
      </c>
      <c r="F1776" t="s">
        <v>3588</v>
      </c>
      <c r="G1776" t="s">
        <v>22</v>
      </c>
      <c r="H1776" t="s">
        <v>3589</v>
      </c>
      <c r="I1776" t="s">
        <v>3590</v>
      </c>
      <c r="J1776" s="4">
        <v>46056.552873553243</v>
      </c>
    </row>
    <row r="1777" spans="1:11" x14ac:dyDescent="0.55000000000000004">
      <c r="A1777" t="s">
        <v>3587</v>
      </c>
      <c r="B1777">
        <v>100082</v>
      </c>
      <c r="C1777" t="s">
        <v>68</v>
      </c>
      <c r="D1777" s="3">
        <v>45964</v>
      </c>
      <c r="E1777" t="s">
        <v>115</v>
      </c>
      <c r="F1777" t="s">
        <v>3588</v>
      </c>
      <c r="G1777" t="s">
        <v>22</v>
      </c>
      <c r="H1777" t="s">
        <v>3589</v>
      </c>
      <c r="I1777" t="s">
        <v>3590</v>
      </c>
      <c r="J1777" s="4">
        <v>46056.552873553243</v>
      </c>
    </row>
    <row r="1778" spans="1:11" x14ac:dyDescent="0.55000000000000004">
      <c r="A1778" t="s">
        <v>3591</v>
      </c>
      <c r="B1778">
        <v>100553</v>
      </c>
      <c r="C1778" t="s">
        <v>37</v>
      </c>
      <c r="D1778" s="3">
        <v>45937</v>
      </c>
      <c r="E1778" t="s">
        <v>317</v>
      </c>
      <c r="F1778" t="s">
        <v>3592</v>
      </c>
      <c r="G1778" t="s">
        <v>22</v>
      </c>
      <c r="H1778" t="s">
        <v>3593</v>
      </c>
      <c r="I1778" t="s">
        <v>3594</v>
      </c>
      <c r="J1778" s="4">
        <v>46076.927179120372</v>
      </c>
    </row>
    <row r="1779" spans="1:11" x14ac:dyDescent="0.55000000000000004">
      <c r="A1779" t="s">
        <v>3595</v>
      </c>
      <c r="B1779">
        <v>101364</v>
      </c>
      <c r="D1779" s="3">
        <v>45788</v>
      </c>
      <c r="E1779" t="s">
        <v>115</v>
      </c>
      <c r="F1779" t="s">
        <v>3596</v>
      </c>
      <c r="G1779" t="s">
        <v>15</v>
      </c>
      <c r="H1779" t="s">
        <v>3597</v>
      </c>
      <c r="I1779" t="s">
        <v>3598</v>
      </c>
      <c r="J1779" s="4">
        <v>46058.770929120372</v>
      </c>
      <c r="K1779" t="s">
        <v>217</v>
      </c>
    </row>
    <row r="1780" spans="1:11" x14ac:dyDescent="0.55000000000000004">
      <c r="A1780" t="s">
        <v>3599</v>
      </c>
      <c r="B1780">
        <v>100986</v>
      </c>
      <c r="C1780" t="s">
        <v>179</v>
      </c>
      <c r="D1780" s="3">
        <v>46137</v>
      </c>
      <c r="E1780" t="s">
        <v>317</v>
      </c>
      <c r="F1780" t="s">
        <v>3600</v>
      </c>
      <c r="G1780" t="s">
        <v>15</v>
      </c>
      <c r="H1780" t="s">
        <v>3601</v>
      </c>
      <c r="I1780" t="s">
        <v>3602</v>
      </c>
      <c r="J1780" s="4">
        <v>46081.499401342589</v>
      </c>
    </row>
    <row r="1781" spans="1:11" x14ac:dyDescent="0.55000000000000004">
      <c r="A1781" t="s">
        <v>3599</v>
      </c>
      <c r="B1781">
        <v>100986</v>
      </c>
      <c r="C1781" t="s">
        <v>179</v>
      </c>
      <c r="D1781" s="3">
        <v>46137</v>
      </c>
      <c r="E1781" t="s">
        <v>69</v>
      </c>
      <c r="F1781" t="s">
        <v>3600</v>
      </c>
      <c r="G1781" t="s">
        <v>15</v>
      </c>
      <c r="H1781" t="s">
        <v>3601</v>
      </c>
      <c r="I1781" t="s">
        <v>3602</v>
      </c>
      <c r="J1781" s="4">
        <v>46081.499401342589</v>
      </c>
    </row>
    <row r="1782" spans="1:11" x14ac:dyDescent="0.55000000000000004">
      <c r="A1782" t="s">
        <v>3603</v>
      </c>
      <c r="B1782">
        <v>100278</v>
      </c>
      <c r="C1782" t="s">
        <v>19</v>
      </c>
      <c r="D1782" s="3">
        <v>46155</v>
      </c>
      <c r="E1782" t="s">
        <v>20</v>
      </c>
      <c r="F1782" t="s">
        <v>3604</v>
      </c>
      <c r="G1782" t="s">
        <v>15</v>
      </c>
      <c r="H1782" t="s">
        <v>3605</v>
      </c>
      <c r="I1782" t="s">
        <v>3606</v>
      </c>
      <c r="J1782" s="4">
        <v>46071.223706909725</v>
      </c>
    </row>
    <row r="1783" spans="1:11" x14ac:dyDescent="0.55000000000000004">
      <c r="A1783" t="s">
        <v>3603</v>
      </c>
      <c r="B1783">
        <v>100278</v>
      </c>
      <c r="C1783" t="s">
        <v>19</v>
      </c>
      <c r="D1783" s="3">
        <v>46155</v>
      </c>
      <c r="E1783" t="s">
        <v>115</v>
      </c>
      <c r="F1783" t="s">
        <v>3604</v>
      </c>
      <c r="G1783" t="s">
        <v>15</v>
      </c>
      <c r="H1783" t="s">
        <v>3605</v>
      </c>
      <c r="I1783" t="s">
        <v>3606</v>
      </c>
      <c r="J1783" s="4">
        <v>46071.223706909725</v>
      </c>
    </row>
    <row r="1784" spans="1:11" x14ac:dyDescent="0.55000000000000004">
      <c r="A1784" t="s">
        <v>3607</v>
      </c>
      <c r="B1784">
        <v>100981</v>
      </c>
      <c r="D1784" s="3">
        <v>45933</v>
      </c>
      <c r="E1784" t="s">
        <v>38</v>
      </c>
      <c r="F1784" t="s">
        <v>3608</v>
      </c>
      <c r="G1784" t="s">
        <v>15</v>
      </c>
      <c r="H1784" t="s">
        <v>3609</v>
      </c>
      <c r="I1784" t="s">
        <v>3610</v>
      </c>
      <c r="J1784" s="4">
        <v>46095.952179131942</v>
      </c>
      <c r="K1784" t="s">
        <v>217</v>
      </c>
    </row>
    <row r="1785" spans="1:11" x14ac:dyDescent="0.55000000000000004">
      <c r="A1785" t="s">
        <v>3607</v>
      </c>
      <c r="B1785">
        <v>100981</v>
      </c>
      <c r="D1785" s="3">
        <v>45933</v>
      </c>
      <c r="E1785" t="s">
        <v>115</v>
      </c>
      <c r="F1785" t="s">
        <v>3608</v>
      </c>
      <c r="G1785" t="s">
        <v>15</v>
      </c>
      <c r="H1785" t="s">
        <v>3609</v>
      </c>
      <c r="I1785" t="s">
        <v>3610</v>
      </c>
      <c r="J1785" s="4">
        <v>46095.952179131942</v>
      </c>
      <c r="K1785" t="s">
        <v>217</v>
      </c>
    </row>
    <row r="1786" spans="1:11" x14ac:dyDescent="0.55000000000000004">
      <c r="A1786" t="s">
        <v>3611</v>
      </c>
      <c r="B1786">
        <v>101491</v>
      </c>
      <c r="C1786" t="s">
        <v>19</v>
      </c>
      <c r="D1786" s="3">
        <v>46052</v>
      </c>
      <c r="E1786" t="s">
        <v>155</v>
      </c>
      <c r="F1786" t="s">
        <v>3612</v>
      </c>
      <c r="G1786" t="s">
        <v>22</v>
      </c>
      <c r="H1786" t="s">
        <v>3613</v>
      </c>
      <c r="I1786" t="s">
        <v>3614</v>
      </c>
      <c r="J1786" s="4">
        <v>46085.373706921295</v>
      </c>
    </row>
    <row r="1787" spans="1:11" x14ac:dyDescent="0.55000000000000004">
      <c r="A1787" t="s">
        <v>3615</v>
      </c>
      <c r="B1787">
        <v>100730</v>
      </c>
      <c r="C1787" t="s">
        <v>533</v>
      </c>
      <c r="D1787" s="3">
        <v>45757</v>
      </c>
      <c r="E1787" t="s">
        <v>38</v>
      </c>
      <c r="F1787" t="s">
        <v>3616</v>
      </c>
      <c r="G1787" t="s">
        <v>22</v>
      </c>
      <c r="H1787" t="s">
        <v>3617</v>
      </c>
      <c r="I1787" t="s">
        <v>3618</v>
      </c>
      <c r="J1787" s="4">
        <v>46088.619540254629</v>
      </c>
    </row>
    <row r="1788" spans="1:11" x14ac:dyDescent="0.55000000000000004">
      <c r="A1788" t="s">
        <v>3615</v>
      </c>
      <c r="B1788">
        <v>100730</v>
      </c>
      <c r="C1788" t="s">
        <v>533</v>
      </c>
      <c r="D1788" s="3">
        <v>45757</v>
      </c>
      <c r="E1788" t="s">
        <v>69</v>
      </c>
      <c r="F1788" t="s">
        <v>3616</v>
      </c>
      <c r="G1788" t="s">
        <v>22</v>
      </c>
      <c r="H1788" t="s">
        <v>3617</v>
      </c>
      <c r="I1788" t="s">
        <v>3618</v>
      </c>
      <c r="J1788" s="4">
        <v>46088.619540254629</v>
      </c>
    </row>
    <row r="1789" spans="1:11" x14ac:dyDescent="0.55000000000000004">
      <c r="A1789" t="s">
        <v>3619</v>
      </c>
      <c r="B1789">
        <v>101079</v>
      </c>
      <c r="C1789" t="s">
        <v>68</v>
      </c>
      <c r="D1789" s="3">
        <v>45819</v>
      </c>
      <c r="E1789" t="s">
        <v>317</v>
      </c>
      <c r="F1789" t="s">
        <v>3620</v>
      </c>
      <c r="G1789" t="s">
        <v>22</v>
      </c>
      <c r="H1789" t="s">
        <v>3621</v>
      </c>
      <c r="I1789" t="s">
        <v>3622</v>
      </c>
      <c r="J1789" s="4">
        <v>46054.043151377315</v>
      </c>
    </row>
    <row r="1790" spans="1:11" x14ac:dyDescent="0.55000000000000004">
      <c r="A1790" t="s">
        <v>3619</v>
      </c>
      <c r="B1790">
        <v>101079</v>
      </c>
      <c r="C1790" t="s">
        <v>68</v>
      </c>
      <c r="D1790" s="3">
        <v>45819</v>
      </c>
      <c r="E1790" t="s">
        <v>155</v>
      </c>
      <c r="F1790" t="s">
        <v>3620</v>
      </c>
      <c r="G1790" t="s">
        <v>22</v>
      </c>
      <c r="H1790" t="s">
        <v>3621</v>
      </c>
      <c r="I1790" t="s">
        <v>3622</v>
      </c>
      <c r="J1790" s="4">
        <v>46054.043151377315</v>
      </c>
    </row>
    <row r="1791" spans="1:11" x14ac:dyDescent="0.55000000000000004">
      <c r="A1791" t="s">
        <v>3619</v>
      </c>
      <c r="B1791">
        <v>101079</v>
      </c>
      <c r="C1791" t="s">
        <v>68</v>
      </c>
      <c r="D1791" s="3">
        <v>45819</v>
      </c>
      <c r="E1791" t="s">
        <v>69</v>
      </c>
      <c r="F1791" t="s">
        <v>3620</v>
      </c>
      <c r="G1791" t="s">
        <v>22</v>
      </c>
      <c r="H1791" t="s">
        <v>3621</v>
      </c>
      <c r="I1791" t="s">
        <v>3622</v>
      </c>
      <c r="J1791" s="4">
        <v>46054.043151377315</v>
      </c>
    </row>
    <row r="1792" spans="1:11" x14ac:dyDescent="0.55000000000000004">
      <c r="A1792" t="s">
        <v>3623</v>
      </c>
      <c r="B1792">
        <v>100450</v>
      </c>
      <c r="C1792" t="s">
        <v>533</v>
      </c>
      <c r="D1792" s="3">
        <v>45846</v>
      </c>
      <c r="E1792" t="s">
        <v>317</v>
      </c>
      <c r="F1792" t="s">
        <v>3624</v>
      </c>
      <c r="G1792" t="s">
        <v>22</v>
      </c>
      <c r="H1792" t="s">
        <v>3625</v>
      </c>
      <c r="I1792" t="s">
        <v>3626</v>
      </c>
      <c r="J1792" s="4">
        <v>46066.202873599534</v>
      </c>
    </row>
    <row r="1793" spans="1:10" x14ac:dyDescent="0.55000000000000004">
      <c r="A1793" t="s">
        <v>3623</v>
      </c>
      <c r="B1793">
        <v>100450</v>
      </c>
      <c r="C1793" t="s">
        <v>533</v>
      </c>
      <c r="D1793" s="3">
        <v>45846</v>
      </c>
      <c r="E1793" t="s">
        <v>20</v>
      </c>
      <c r="F1793" t="s">
        <v>3624</v>
      </c>
      <c r="G1793" t="s">
        <v>22</v>
      </c>
      <c r="H1793" t="s">
        <v>3625</v>
      </c>
      <c r="I1793" t="s">
        <v>3626</v>
      </c>
      <c r="J1793" s="4">
        <v>46066.202873599534</v>
      </c>
    </row>
    <row r="1794" spans="1:10" x14ac:dyDescent="0.55000000000000004">
      <c r="A1794" t="s">
        <v>3623</v>
      </c>
      <c r="B1794">
        <v>100450</v>
      </c>
      <c r="C1794" t="s">
        <v>533</v>
      </c>
      <c r="D1794" s="3">
        <v>45846</v>
      </c>
      <c r="E1794" t="s">
        <v>115</v>
      </c>
      <c r="F1794" t="s">
        <v>3624</v>
      </c>
      <c r="G1794" t="s">
        <v>22</v>
      </c>
      <c r="H1794" t="s">
        <v>3625</v>
      </c>
      <c r="I1794" t="s">
        <v>3626</v>
      </c>
      <c r="J1794" s="4">
        <v>46066.202873599534</v>
      </c>
    </row>
    <row r="1795" spans="1:10" x14ac:dyDescent="0.55000000000000004">
      <c r="A1795" t="s">
        <v>3627</v>
      </c>
      <c r="B1795">
        <v>100281</v>
      </c>
      <c r="C1795" t="s">
        <v>533</v>
      </c>
      <c r="D1795" s="3">
        <v>45952</v>
      </c>
      <c r="E1795" t="s">
        <v>38</v>
      </c>
      <c r="F1795" t="s">
        <v>3628</v>
      </c>
      <c r="G1795" t="s">
        <v>15</v>
      </c>
      <c r="H1795" t="s">
        <v>3629</v>
      </c>
      <c r="I1795" t="s">
        <v>3630</v>
      </c>
      <c r="J1795" s="4">
        <v>46078.783429166666</v>
      </c>
    </row>
    <row r="1796" spans="1:10" x14ac:dyDescent="0.55000000000000004">
      <c r="A1796" t="s">
        <v>3631</v>
      </c>
      <c r="B1796">
        <v>100244</v>
      </c>
      <c r="C1796" t="s">
        <v>248</v>
      </c>
      <c r="D1796" s="3">
        <v>45946</v>
      </c>
      <c r="E1796" t="s">
        <v>69</v>
      </c>
      <c r="F1796" t="s">
        <v>3632</v>
      </c>
      <c r="G1796" t="s">
        <v>15</v>
      </c>
      <c r="H1796" t="s">
        <v>3633</v>
      </c>
      <c r="I1796" t="s">
        <v>3634</v>
      </c>
      <c r="J1796" s="4">
        <v>46096.333429166669</v>
      </c>
    </row>
    <row r="1797" spans="1:10" x14ac:dyDescent="0.55000000000000004">
      <c r="A1797" t="s">
        <v>3635</v>
      </c>
      <c r="B1797">
        <v>100641</v>
      </c>
      <c r="C1797" t="s">
        <v>248</v>
      </c>
      <c r="D1797" s="3">
        <v>45852</v>
      </c>
      <c r="E1797" t="s">
        <v>20</v>
      </c>
      <c r="F1797" t="s">
        <v>3636</v>
      </c>
      <c r="G1797" t="s">
        <v>22</v>
      </c>
      <c r="H1797" t="s">
        <v>3637</v>
      </c>
      <c r="I1797" t="s">
        <v>3638</v>
      </c>
      <c r="J1797" s="4">
        <v>46092.731345844906</v>
      </c>
    </row>
    <row r="1798" spans="1:10" x14ac:dyDescent="0.55000000000000004">
      <c r="A1798" t="s">
        <v>3635</v>
      </c>
      <c r="B1798">
        <v>100641</v>
      </c>
      <c r="C1798" t="s">
        <v>248</v>
      </c>
      <c r="D1798" s="3">
        <v>45852</v>
      </c>
      <c r="E1798" t="s">
        <v>115</v>
      </c>
      <c r="F1798" t="s">
        <v>3636</v>
      </c>
      <c r="G1798" t="s">
        <v>22</v>
      </c>
      <c r="H1798" t="s">
        <v>3637</v>
      </c>
      <c r="I1798" t="s">
        <v>3638</v>
      </c>
      <c r="J1798" s="4">
        <v>46092.731345844906</v>
      </c>
    </row>
    <row r="1799" spans="1:10" x14ac:dyDescent="0.55000000000000004">
      <c r="A1799" t="s">
        <v>3635</v>
      </c>
      <c r="B1799">
        <v>100641</v>
      </c>
      <c r="C1799" t="s">
        <v>248</v>
      </c>
      <c r="D1799" s="3">
        <v>45852</v>
      </c>
      <c r="E1799" t="s">
        <v>69</v>
      </c>
      <c r="F1799" t="s">
        <v>3636</v>
      </c>
      <c r="G1799" t="s">
        <v>22</v>
      </c>
      <c r="H1799" t="s">
        <v>3637</v>
      </c>
      <c r="I1799" t="s">
        <v>3638</v>
      </c>
      <c r="J1799" s="4">
        <v>46092.731345844906</v>
      </c>
    </row>
    <row r="1800" spans="1:10" x14ac:dyDescent="0.55000000000000004">
      <c r="A1800" t="s">
        <v>3639</v>
      </c>
      <c r="B1800">
        <v>100496</v>
      </c>
      <c r="C1800" t="s">
        <v>19</v>
      </c>
      <c r="D1800" s="3">
        <v>45800</v>
      </c>
      <c r="E1800" t="s">
        <v>317</v>
      </c>
      <c r="F1800" t="s">
        <v>3640</v>
      </c>
      <c r="G1800" t="s">
        <v>15</v>
      </c>
      <c r="H1800" t="s">
        <v>3641</v>
      </c>
      <c r="I1800" t="s">
        <v>3642</v>
      </c>
      <c r="J1800" s="4">
        <v>46052.200790300929</v>
      </c>
    </row>
    <row r="1801" spans="1:10" x14ac:dyDescent="0.55000000000000004">
      <c r="A1801" t="s">
        <v>3639</v>
      </c>
      <c r="B1801">
        <v>100496</v>
      </c>
      <c r="C1801" t="s">
        <v>19</v>
      </c>
      <c r="D1801" s="3">
        <v>45800</v>
      </c>
      <c r="E1801" t="s">
        <v>69</v>
      </c>
      <c r="F1801" t="s">
        <v>3640</v>
      </c>
      <c r="G1801" t="s">
        <v>15</v>
      </c>
      <c r="H1801" t="s">
        <v>3641</v>
      </c>
      <c r="I1801" t="s">
        <v>3642</v>
      </c>
      <c r="J1801" s="4">
        <v>46052.200790300929</v>
      </c>
    </row>
    <row r="1802" spans="1:10" x14ac:dyDescent="0.55000000000000004">
      <c r="A1802" t="s">
        <v>3643</v>
      </c>
      <c r="B1802">
        <v>100533</v>
      </c>
      <c r="C1802" t="s">
        <v>179</v>
      </c>
      <c r="D1802" s="3">
        <v>46108</v>
      </c>
      <c r="E1802" t="s">
        <v>38</v>
      </c>
      <c r="F1802" t="s">
        <v>3644</v>
      </c>
      <c r="G1802" t="s">
        <v>15</v>
      </c>
      <c r="H1802" t="s">
        <v>3645</v>
      </c>
      <c r="I1802" t="s">
        <v>3646</v>
      </c>
      <c r="J1802" s="4">
        <v>46094.273012523146</v>
      </c>
    </row>
    <row r="1803" spans="1:10" x14ac:dyDescent="0.55000000000000004">
      <c r="A1803" t="s">
        <v>3643</v>
      </c>
      <c r="B1803">
        <v>100533</v>
      </c>
      <c r="C1803" t="s">
        <v>179</v>
      </c>
      <c r="D1803" s="3">
        <v>46108</v>
      </c>
      <c r="E1803" t="s">
        <v>20</v>
      </c>
      <c r="F1803" t="s">
        <v>3644</v>
      </c>
      <c r="G1803" t="s">
        <v>15</v>
      </c>
      <c r="H1803" t="s">
        <v>3645</v>
      </c>
      <c r="I1803" t="s">
        <v>3646</v>
      </c>
      <c r="J1803" s="4">
        <v>46094.273012523146</v>
      </c>
    </row>
    <row r="1804" spans="1:10" x14ac:dyDescent="0.55000000000000004">
      <c r="A1804" t="s">
        <v>3643</v>
      </c>
      <c r="B1804">
        <v>100533</v>
      </c>
      <c r="C1804" t="s">
        <v>179</v>
      </c>
      <c r="D1804" s="3">
        <v>46108</v>
      </c>
      <c r="E1804" t="s">
        <v>155</v>
      </c>
      <c r="F1804" t="s">
        <v>3644</v>
      </c>
      <c r="G1804" t="s">
        <v>15</v>
      </c>
      <c r="H1804" t="s">
        <v>3645</v>
      </c>
      <c r="I1804" t="s">
        <v>3646</v>
      </c>
      <c r="J1804" s="4">
        <v>46094.273012523146</v>
      </c>
    </row>
    <row r="1805" spans="1:10" x14ac:dyDescent="0.55000000000000004">
      <c r="A1805" t="s">
        <v>3647</v>
      </c>
      <c r="B1805">
        <v>100796</v>
      </c>
      <c r="C1805" t="s">
        <v>248</v>
      </c>
      <c r="D1805" s="3">
        <v>45973</v>
      </c>
      <c r="E1805" t="s">
        <v>317</v>
      </c>
      <c r="F1805" t="s">
        <v>3648</v>
      </c>
      <c r="G1805" t="s">
        <v>15</v>
      </c>
      <c r="H1805" t="s">
        <v>3649</v>
      </c>
      <c r="I1805" t="s">
        <v>3650</v>
      </c>
      <c r="J1805" s="4">
        <v>46097.385512523149</v>
      </c>
    </row>
    <row r="1806" spans="1:10" x14ac:dyDescent="0.55000000000000004">
      <c r="A1806" t="s">
        <v>3647</v>
      </c>
      <c r="B1806">
        <v>100796</v>
      </c>
      <c r="C1806" t="s">
        <v>248</v>
      </c>
      <c r="D1806" s="3">
        <v>45973</v>
      </c>
      <c r="E1806" t="s">
        <v>38</v>
      </c>
      <c r="F1806" t="s">
        <v>3648</v>
      </c>
      <c r="G1806" t="s">
        <v>15</v>
      </c>
      <c r="H1806" t="s">
        <v>3649</v>
      </c>
      <c r="I1806" t="s">
        <v>3650</v>
      </c>
      <c r="J1806" s="4">
        <v>46097.385512523149</v>
      </c>
    </row>
    <row r="1807" spans="1:10" x14ac:dyDescent="0.55000000000000004">
      <c r="A1807" t="s">
        <v>3651</v>
      </c>
      <c r="B1807">
        <v>100784</v>
      </c>
      <c r="C1807" t="s">
        <v>19</v>
      </c>
      <c r="D1807" s="3">
        <v>46049</v>
      </c>
      <c r="E1807" t="s">
        <v>20</v>
      </c>
      <c r="F1807" t="s">
        <v>3652</v>
      </c>
      <c r="G1807" t="s">
        <v>22</v>
      </c>
      <c r="H1807" t="s">
        <v>3653</v>
      </c>
      <c r="I1807" t="s">
        <v>3654</v>
      </c>
      <c r="J1807" s="4">
        <v>46088.950790312498</v>
      </c>
    </row>
    <row r="1808" spans="1:10" x14ac:dyDescent="0.55000000000000004">
      <c r="A1808" t="s">
        <v>3651</v>
      </c>
      <c r="B1808">
        <v>100784</v>
      </c>
      <c r="C1808" t="s">
        <v>19</v>
      </c>
      <c r="D1808" s="3">
        <v>46049</v>
      </c>
      <c r="E1808" t="s">
        <v>69</v>
      </c>
      <c r="F1808" t="s">
        <v>3652</v>
      </c>
      <c r="G1808" t="s">
        <v>22</v>
      </c>
      <c r="H1808" t="s">
        <v>3653</v>
      </c>
      <c r="I1808" t="s">
        <v>3654</v>
      </c>
      <c r="J1808" s="4">
        <v>46088.950790312498</v>
      </c>
    </row>
    <row r="1809" spans="1:10" x14ac:dyDescent="0.55000000000000004">
      <c r="A1809" t="s">
        <v>3655</v>
      </c>
      <c r="B1809">
        <v>101420</v>
      </c>
      <c r="C1809" t="s">
        <v>37</v>
      </c>
      <c r="D1809" s="3">
        <v>46029</v>
      </c>
      <c r="E1809" t="s">
        <v>20</v>
      </c>
      <c r="F1809" t="s">
        <v>3656</v>
      </c>
      <c r="G1809" t="s">
        <v>15</v>
      </c>
      <c r="H1809" t="s">
        <v>3657</v>
      </c>
      <c r="I1809" t="s">
        <v>3658</v>
      </c>
      <c r="J1809" s="4">
        <v>46065.045234756944</v>
      </c>
    </row>
    <row r="1810" spans="1:10" x14ac:dyDescent="0.55000000000000004">
      <c r="A1810" t="s">
        <v>3659</v>
      </c>
      <c r="B1810">
        <v>100652</v>
      </c>
      <c r="C1810" t="s">
        <v>68</v>
      </c>
      <c r="D1810" s="3">
        <v>45971</v>
      </c>
      <c r="E1810" t="s">
        <v>155</v>
      </c>
      <c r="F1810" t="s">
        <v>3660</v>
      </c>
      <c r="G1810" t="s">
        <v>22</v>
      </c>
      <c r="H1810" t="s">
        <v>3661</v>
      </c>
      <c r="I1810" t="s">
        <v>3662</v>
      </c>
      <c r="J1810" s="4">
        <v>46051.991762534723</v>
      </c>
    </row>
    <row r="1811" spans="1:10" x14ac:dyDescent="0.55000000000000004">
      <c r="A1811" t="s">
        <v>3663</v>
      </c>
      <c r="B1811">
        <v>100860</v>
      </c>
      <c r="C1811" t="s">
        <v>179</v>
      </c>
      <c r="D1811" s="3">
        <v>45804</v>
      </c>
      <c r="E1811" t="s">
        <v>20</v>
      </c>
      <c r="F1811" t="s">
        <v>3664</v>
      </c>
      <c r="G1811" t="s">
        <v>15</v>
      </c>
      <c r="H1811" t="s">
        <v>3665</v>
      </c>
      <c r="I1811" t="s">
        <v>3666</v>
      </c>
      <c r="J1811" s="4">
        <v>46089.036206990742</v>
      </c>
    </row>
    <row r="1812" spans="1:10" x14ac:dyDescent="0.55000000000000004">
      <c r="A1812" t="s">
        <v>3663</v>
      </c>
      <c r="B1812">
        <v>100860</v>
      </c>
      <c r="C1812" t="s">
        <v>179</v>
      </c>
      <c r="D1812" s="3">
        <v>45804</v>
      </c>
      <c r="E1812" t="s">
        <v>155</v>
      </c>
      <c r="F1812" t="s">
        <v>3664</v>
      </c>
      <c r="G1812" t="s">
        <v>15</v>
      </c>
      <c r="H1812" t="s">
        <v>3665</v>
      </c>
      <c r="I1812" t="s">
        <v>3666</v>
      </c>
      <c r="J1812" s="4">
        <v>46089.036206990742</v>
      </c>
    </row>
    <row r="1813" spans="1:10" x14ac:dyDescent="0.55000000000000004">
      <c r="A1813" t="s">
        <v>3667</v>
      </c>
      <c r="B1813">
        <v>100253</v>
      </c>
      <c r="C1813" t="s">
        <v>248</v>
      </c>
      <c r="D1813" s="3">
        <v>46114</v>
      </c>
      <c r="E1813" t="s">
        <v>20</v>
      </c>
      <c r="F1813" t="s">
        <v>3668</v>
      </c>
      <c r="G1813" t="s">
        <v>22</v>
      </c>
      <c r="H1813" t="s">
        <v>3669</v>
      </c>
      <c r="I1813" t="s">
        <v>3670</v>
      </c>
      <c r="J1813" s="4">
        <v>46058.370929212964</v>
      </c>
    </row>
    <row r="1814" spans="1:10" x14ac:dyDescent="0.55000000000000004">
      <c r="A1814" t="s">
        <v>3667</v>
      </c>
      <c r="B1814">
        <v>100253</v>
      </c>
      <c r="C1814" t="s">
        <v>248</v>
      </c>
      <c r="D1814" s="3">
        <v>46114</v>
      </c>
      <c r="E1814" t="s">
        <v>69</v>
      </c>
      <c r="F1814" t="s">
        <v>3668</v>
      </c>
      <c r="G1814" t="s">
        <v>22</v>
      </c>
      <c r="H1814" t="s">
        <v>3669</v>
      </c>
      <c r="I1814" t="s">
        <v>3670</v>
      </c>
      <c r="J1814" s="4">
        <v>46058.370929212964</v>
      </c>
    </row>
    <row r="1815" spans="1:10" x14ac:dyDescent="0.55000000000000004">
      <c r="A1815" t="s">
        <v>3671</v>
      </c>
      <c r="B1815">
        <v>100997</v>
      </c>
      <c r="C1815" t="s">
        <v>19</v>
      </c>
      <c r="D1815" s="3">
        <v>45892</v>
      </c>
      <c r="E1815" t="s">
        <v>20</v>
      </c>
      <c r="F1815" t="s">
        <v>3672</v>
      </c>
      <c r="G1815" t="s">
        <v>22</v>
      </c>
      <c r="H1815" t="s">
        <v>3673</v>
      </c>
      <c r="I1815" t="s">
        <v>3674</v>
      </c>
      <c r="J1815" s="4">
        <v>46087.955651446762</v>
      </c>
    </row>
    <row r="1816" spans="1:10" x14ac:dyDescent="0.55000000000000004">
      <c r="A1816" t="s">
        <v>3671</v>
      </c>
      <c r="B1816">
        <v>100997</v>
      </c>
      <c r="C1816" t="s">
        <v>19</v>
      </c>
      <c r="D1816" s="3">
        <v>45892</v>
      </c>
      <c r="E1816" t="s">
        <v>115</v>
      </c>
      <c r="F1816" t="s">
        <v>3672</v>
      </c>
      <c r="G1816" t="s">
        <v>22</v>
      </c>
      <c r="H1816" t="s">
        <v>3673</v>
      </c>
      <c r="I1816" t="s">
        <v>3674</v>
      </c>
      <c r="J1816" s="4">
        <v>46087.955651446762</v>
      </c>
    </row>
    <row r="1817" spans="1:10" x14ac:dyDescent="0.55000000000000004">
      <c r="A1817" t="s">
        <v>3607</v>
      </c>
      <c r="B1817">
        <v>100265</v>
      </c>
      <c r="C1817" t="s">
        <v>179</v>
      </c>
      <c r="D1817" s="3">
        <v>45759</v>
      </c>
      <c r="E1817" t="s">
        <v>115</v>
      </c>
      <c r="F1817" t="s">
        <v>3675</v>
      </c>
      <c r="G1817" t="s">
        <v>15</v>
      </c>
      <c r="H1817" t="s">
        <v>3676</v>
      </c>
      <c r="I1817" t="s">
        <v>3677</v>
      </c>
      <c r="J1817" s="4">
        <v>46083.485512557869</v>
      </c>
    </row>
    <row r="1818" spans="1:10" x14ac:dyDescent="0.55000000000000004">
      <c r="A1818" t="s">
        <v>3678</v>
      </c>
      <c r="B1818">
        <v>101288</v>
      </c>
      <c r="C1818" t="s">
        <v>37</v>
      </c>
      <c r="D1818" s="3">
        <v>45972</v>
      </c>
      <c r="E1818" t="s">
        <v>115</v>
      </c>
      <c r="F1818" t="s">
        <v>3679</v>
      </c>
      <c r="G1818" t="s">
        <v>22</v>
      </c>
      <c r="H1818" t="s">
        <v>3680</v>
      </c>
      <c r="I1818" t="s">
        <v>3681</v>
      </c>
      <c r="J1818" s="4">
        <v>46090.042457002317</v>
      </c>
    </row>
    <row r="1819" spans="1:10" x14ac:dyDescent="0.55000000000000004">
      <c r="A1819" t="s">
        <v>3678</v>
      </c>
      <c r="B1819">
        <v>101288</v>
      </c>
      <c r="C1819" t="s">
        <v>37</v>
      </c>
      <c r="D1819" s="3">
        <v>45972</v>
      </c>
      <c r="E1819" t="s">
        <v>69</v>
      </c>
      <c r="F1819" t="s">
        <v>3679</v>
      </c>
      <c r="G1819" t="s">
        <v>22</v>
      </c>
      <c r="H1819" t="s">
        <v>3680</v>
      </c>
      <c r="I1819" t="s">
        <v>3681</v>
      </c>
      <c r="J1819" s="4">
        <v>46090.042457002317</v>
      </c>
    </row>
    <row r="1820" spans="1:10" x14ac:dyDescent="0.55000000000000004">
      <c r="A1820" t="s">
        <v>3682</v>
      </c>
      <c r="B1820">
        <v>100971</v>
      </c>
      <c r="C1820" t="s">
        <v>37</v>
      </c>
      <c r="D1820" s="3">
        <v>45958</v>
      </c>
      <c r="E1820" t="s">
        <v>317</v>
      </c>
      <c r="F1820" t="s">
        <v>3683</v>
      </c>
      <c r="G1820" t="s">
        <v>22</v>
      </c>
      <c r="H1820" t="s">
        <v>3684</v>
      </c>
      <c r="I1820" t="s">
        <v>3685</v>
      </c>
      <c r="J1820" s="4">
        <v>46068.045234791665</v>
      </c>
    </row>
    <row r="1821" spans="1:10" x14ac:dyDescent="0.55000000000000004">
      <c r="A1821" t="s">
        <v>3682</v>
      </c>
      <c r="B1821">
        <v>100971</v>
      </c>
      <c r="C1821" t="s">
        <v>37</v>
      </c>
      <c r="D1821" s="3">
        <v>45958</v>
      </c>
      <c r="E1821" t="s">
        <v>38</v>
      </c>
      <c r="F1821" t="s">
        <v>3683</v>
      </c>
      <c r="G1821" t="s">
        <v>22</v>
      </c>
      <c r="H1821" t="s">
        <v>3684</v>
      </c>
      <c r="I1821" t="s">
        <v>3685</v>
      </c>
      <c r="J1821" s="4">
        <v>46068.045234791665</v>
      </c>
    </row>
    <row r="1822" spans="1:10" x14ac:dyDescent="0.55000000000000004">
      <c r="A1822" t="s">
        <v>3686</v>
      </c>
      <c r="B1822">
        <v>101255</v>
      </c>
      <c r="C1822" t="s">
        <v>533</v>
      </c>
      <c r="D1822" s="3">
        <v>46100</v>
      </c>
      <c r="E1822" t="s">
        <v>155</v>
      </c>
      <c r="F1822" t="s">
        <v>3687</v>
      </c>
      <c r="G1822" t="s">
        <v>22</v>
      </c>
      <c r="H1822" t="s">
        <v>3688</v>
      </c>
      <c r="I1822" t="s">
        <v>3689</v>
      </c>
      <c r="J1822" s="4">
        <v>46092.456345902778</v>
      </c>
    </row>
    <row r="1823" spans="1:10" x14ac:dyDescent="0.55000000000000004">
      <c r="A1823" t="s">
        <v>3690</v>
      </c>
      <c r="B1823">
        <v>100761</v>
      </c>
      <c r="C1823" t="s">
        <v>68</v>
      </c>
      <c r="D1823" s="3">
        <v>45824</v>
      </c>
      <c r="E1823" t="s">
        <v>317</v>
      </c>
      <c r="F1823" t="s">
        <v>3691</v>
      </c>
      <c r="G1823" t="s">
        <v>22</v>
      </c>
      <c r="H1823" t="s">
        <v>3692</v>
      </c>
      <c r="I1823" t="s">
        <v>3693</v>
      </c>
      <c r="J1823" s="4">
        <v>46060.802873692126</v>
      </c>
    </row>
    <row r="1824" spans="1:10" x14ac:dyDescent="0.55000000000000004">
      <c r="A1824" t="s">
        <v>3694</v>
      </c>
      <c r="B1824">
        <v>100162</v>
      </c>
      <c r="C1824" t="s">
        <v>19</v>
      </c>
      <c r="D1824" s="3">
        <v>45840</v>
      </c>
      <c r="E1824" t="s">
        <v>38</v>
      </c>
      <c r="F1824" t="s">
        <v>3695</v>
      </c>
      <c r="G1824" t="s">
        <v>22</v>
      </c>
      <c r="H1824" t="s">
        <v>3696</v>
      </c>
      <c r="I1824" t="s">
        <v>3697</v>
      </c>
      <c r="J1824" s="4">
        <v>46093.395929247687</v>
      </c>
    </row>
    <row r="1825" spans="1:10" x14ac:dyDescent="0.55000000000000004">
      <c r="A1825" t="s">
        <v>3694</v>
      </c>
      <c r="B1825">
        <v>100162</v>
      </c>
      <c r="C1825" t="s">
        <v>19</v>
      </c>
      <c r="D1825" s="3">
        <v>45840</v>
      </c>
      <c r="E1825" t="s">
        <v>155</v>
      </c>
      <c r="F1825" t="s">
        <v>3695</v>
      </c>
      <c r="G1825" t="s">
        <v>22</v>
      </c>
      <c r="H1825" t="s">
        <v>3696</v>
      </c>
      <c r="I1825" t="s">
        <v>3697</v>
      </c>
      <c r="J1825" s="4">
        <v>46093.395929247687</v>
      </c>
    </row>
    <row r="1826" spans="1:10" x14ac:dyDescent="0.55000000000000004">
      <c r="A1826" t="s">
        <v>3694</v>
      </c>
      <c r="B1826">
        <v>100162</v>
      </c>
      <c r="C1826" t="s">
        <v>19</v>
      </c>
      <c r="D1826" s="3">
        <v>45840</v>
      </c>
      <c r="E1826" t="s">
        <v>115</v>
      </c>
      <c r="F1826" t="s">
        <v>3695</v>
      </c>
      <c r="G1826" t="s">
        <v>22</v>
      </c>
      <c r="H1826" t="s">
        <v>3696</v>
      </c>
      <c r="I1826" t="s">
        <v>3697</v>
      </c>
      <c r="J1826" s="4">
        <v>46093.395929247687</v>
      </c>
    </row>
    <row r="1827" spans="1:10" x14ac:dyDescent="0.55000000000000004">
      <c r="A1827" t="s">
        <v>3698</v>
      </c>
      <c r="B1827">
        <v>101071</v>
      </c>
      <c r="C1827" t="s">
        <v>19</v>
      </c>
      <c r="D1827" s="3">
        <v>46078</v>
      </c>
      <c r="E1827" t="s">
        <v>20</v>
      </c>
      <c r="F1827" t="s">
        <v>3699</v>
      </c>
      <c r="G1827" t="s">
        <v>15</v>
      </c>
      <c r="H1827" t="s">
        <v>3700</v>
      </c>
      <c r="I1827" t="s">
        <v>3701</v>
      </c>
      <c r="J1827" s="4">
        <v>46078.777179247685</v>
      </c>
    </row>
    <row r="1828" spans="1:10" x14ac:dyDescent="0.55000000000000004">
      <c r="A1828" t="s">
        <v>3702</v>
      </c>
      <c r="B1828">
        <v>101018</v>
      </c>
      <c r="C1828" t="s">
        <v>533</v>
      </c>
      <c r="D1828" s="3">
        <v>45933</v>
      </c>
      <c r="E1828" t="s">
        <v>38</v>
      </c>
      <c r="F1828" t="s">
        <v>3703</v>
      </c>
      <c r="G1828" t="s">
        <v>22</v>
      </c>
      <c r="H1828" t="s">
        <v>3704</v>
      </c>
      <c r="I1828" t="s">
        <v>3705</v>
      </c>
      <c r="J1828" s="4">
        <v>46088.704957037036</v>
      </c>
    </row>
    <row r="1829" spans="1:10" x14ac:dyDescent="0.55000000000000004">
      <c r="A1829" t="s">
        <v>3702</v>
      </c>
      <c r="B1829">
        <v>101018</v>
      </c>
      <c r="C1829" t="s">
        <v>533</v>
      </c>
      <c r="D1829" s="3">
        <v>45933</v>
      </c>
      <c r="E1829" t="s">
        <v>155</v>
      </c>
      <c r="F1829" t="s">
        <v>3703</v>
      </c>
      <c r="G1829" t="s">
        <v>22</v>
      </c>
      <c r="H1829" t="s">
        <v>3704</v>
      </c>
      <c r="I1829" t="s">
        <v>3705</v>
      </c>
      <c r="J1829" s="4">
        <v>46088.704957037036</v>
      </c>
    </row>
    <row r="1830" spans="1:10" x14ac:dyDescent="0.55000000000000004">
      <c r="A1830" t="s">
        <v>3706</v>
      </c>
      <c r="B1830">
        <v>100850</v>
      </c>
      <c r="C1830" t="s">
        <v>37</v>
      </c>
      <c r="D1830" s="3">
        <v>45967</v>
      </c>
      <c r="E1830" t="s">
        <v>317</v>
      </c>
      <c r="F1830" t="s">
        <v>3707</v>
      </c>
      <c r="G1830" t="s">
        <v>22</v>
      </c>
      <c r="H1830" t="s">
        <v>3708</v>
      </c>
      <c r="I1830" t="s">
        <v>3709</v>
      </c>
      <c r="J1830" s="4">
        <v>46058.810512592594</v>
      </c>
    </row>
    <row r="1831" spans="1:10" x14ac:dyDescent="0.55000000000000004">
      <c r="A1831" t="s">
        <v>3706</v>
      </c>
      <c r="B1831">
        <v>100850</v>
      </c>
      <c r="C1831" t="s">
        <v>37</v>
      </c>
      <c r="D1831" s="3">
        <v>45967</v>
      </c>
      <c r="E1831" t="s">
        <v>38</v>
      </c>
      <c r="F1831" t="s">
        <v>3707</v>
      </c>
      <c r="G1831" t="s">
        <v>22</v>
      </c>
      <c r="H1831" t="s">
        <v>3708</v>
      </c>
      <c r="I1831" t="s">
        <v>3709</v>
      </c>
      <c r="J1831" s="4">
        <v>46058.810512592594</v>
      </c>
    </row>
    <row r="1832" spans="1:10" x14ac:dyDescent="0.55000000000000004">
      <c r="A1832" t="s">
        <v>3706</v>
      </c>
      <c r="B1832">
        <v>100850</v>
      </c>
      <c r="C1832" t="s">
        <v>37</v>
      </c>
      <c r="D1832" s="3">
        <v>45967</v>
      </c>
      <c r="E1832" t="s">
        <v>69</v>
      </c>
      <c r="F1832" t="s">
        <v>3707</v>
      </c>
      <c r="G1832" t="s">
        <v>22</v>
      </c>
      <c r="H1832" t="s">
        <v>3708</v>
      </c>
      <c r="I1832" t="s">
        <v>3709</v>
      </c>
      <c r="J1832" s="4">
        <v>46058.810512592594</v>
      </c>
    </row>
    <row r="1833" spans="1:10" x14ac:dyDescent="0.55000000000000004">
      <c r="A1833" t="s">
        <v>3710</v>
      </c>
      <c r="B1833">
        <v>101177</v>
      </c>
      <c r="C1833" t="s">
        <v>37</v>
      </c>
      <c r="D1833" s="3">
        <v>45900</v>
      </c>
      <c r="E1833" t="s">
        <v>317</v>
      </c>
      <c r="F1833" t="s">
        <v>3711</v>
      </c>
      <c r="G1833" t="s">
        <v>22</v>
      </c>
      <c r="H1833" t="s">
        <v>3712</v>
      </c>
      <c r="I1833" t="s">
        <v>3713</v>
      </c>
      <c r="J1833" s="4">
        <v>46076.936901493056</v>
      </c>
    </row>
    <row r="1834" spans="1:10" x14ac:dyDescent="0.55000000000000004">
      <c r="A1834" t="s">
        <v>3714</v>
      </c>
      <c r="B1834">
        <v>100516</v>
      </c>
      <c r="C1834" t="s">
        <v>533</v>
      </c>
      <c r="D1834" s="3">
        <v>45840</v>
      </c>
      <c r="E1834" t="s">
        <v>317</v>
      </c>
      <c r="F1834" t="s">
        <v>3715</v>
      </c>
      <c r="G1834" t="s">
        <v>22</v>
      </c>
      <c r="H1834" t="s">
        <v>3716</v>
      </c>
      <c r="I1834" t="s">
        <v>3717</v>
      </c>
      <c r="J1834" s="4">
        <v>46077.667457048614</v>
      </c>
    </row>
    <row r="1835" spans="1:10" x14ac:dyDescent="0.55000000000000004">
      <c r="A1835" t="s">
        <v>3718</v>
      </c>
      <c r="B1835">
        <v>100913</v>
      </c>
      <c r="C1835" t="s">
        <v>37</v>
      </c>
      <c r="D1835" s="3">
        <v>46012</v>
      </c>
      <c r="E1835" t="s">
        <v>317</v>
      </c>
      <c r="F1835" t="s">
        <v>3719</v>
      </c>
      <c r="G1835" t="s">
        <v>22</v>
      </c>
      <c r="H1835" t="s">
        <v>3720</v>
      </c>
      <c r="I1835" t="s">
        <v>3721</v>
      </c>
      <c r="J1835" s="4">
        <v>46086.40495704861</v>
      </c>
    </row>
    <row r="1836" spans="1:10" x14ac:dyDescent="0.55000000000000004">
      <c r="A1836" t="s">
        <v>3718</v>
      </c>
      <c r="B1836">
        <v>100913</v>
      </c>
      <c r="C1836" t="s">
        <v>37</v>
      </c>
      <c r="D1836" s="3">
        <v>46012</v>
      </c>
      <c r="E1836" t="s">
        <v>155</v>
      </c>
      <c r="F1836" t="s">
        <v>3719</v>
      </c>
      <c r="G1836" t="s">
        <v>22</v>
      </c>
      <c r="H1836" t="s">
        <v>3720</v>
      </c>
      <c r="I1836" t="s">
        <v>3721</v>
      </c>
      <c r="J1836" s="4">
        <v>46086.40495704861</v>
      </c>
    </row>
    <row r="1837" spans="1:10" x14ac:dyDescent="0.55000000000000004">
      <c r="A1837" t="s">
        <v>3718</v>
      </c>
      <c r="B1837">
        <v>100913</v>
      </c>
      <c r="C1837" t="s">
        <v>37</v>
      </c>
      <c r="D1837" s="3">
        <v>46012</v>
      </c>
      <c r="E1837" t="s">
        <v>69</v>
      </c>
      <c r="F1837" t="s">
        <v>3719</v>
      </c>
      <c r="G1837" t="s">
        <v>22</v>
      </c>
      <c r="H1837" t="s">
        <v>3720</v>
      </c>
      <c r="I1837" t="s">
        <v>3721</v>
      </c>
      <c r="J1837" s="4">
        <v>46086.40495704861</v>
      </c>
    </row>
    <row r="1838" spans="1:10" x14ac:dyDescent="0.55000000000000004">
      <c r="A1838" t="s">
        <v>3722</v>
      </c>
      <c r="B1838">
        <v>100736</v>
      </c>
      <c r="C1838" t="s">
        <v>179</v>
      </c>
      <c r="D1838" s="3">
        <v>45777</v>
      </c>
      <c r="E1838" t="s">
        <v>115</v>
      </c>
      <c r="F1838" t="s">
        <v>3723</v>
      </c>
      <c r="G1838" t="s">
        <v>15</v>
      </c>
      <c r="H1838" t="s">
        <v>3724</v>
      </c>
      <c r="I1838" t="s">
        <v>3725</v>
      </c>
      <c r="J1838" s="4">
        <v>46073.173707060188</v>
      </c>
    </row>
    <row r="1839" spans="1:10" x14ac:dyDescent="0.55000000000000004">
      <c r="A1839" t="s">
        <v>3726</v>
      </c>
      <c r="B1839">
        <v>100834</v>
      </c>
      <c r="C1839" t="s">
        <v>68</v>
      </c>
      <c r="D1839" s="3">
        <v>46063</v>
      </c>
      <c r="E1839" t="s">
        <v>20</v>
      </c>
      <c r="F1839" t="s">
        <v>3727</v>
      </c>
      <c r="G1839" t="s">
        <v>22</v>
      </c>
      <c r="H1839" t="s">
        <v>3728</v>
      </c>
      <c r="I1839" t="s">
        <v>3729</v>
      </c>
      <c r="J1839" s="4">
        <v>46070.304957060187</v>
      </c>
    </row>
    <row r="1840" spans="1:10" x14ac:dyDescent="0.55000000000000004">
      <c r="A1840" t="s">
        <v>3726</v>
      </c>
      <c r="B1840">
        <v>100834</v>
      </c>
      <c r="C1840" t="s">
        <v>68</v>
      </c>
      <c r="D1840" s="3">
        <v>46063</v>
      </c>
      <c r="E1840" t="s">
        <v>155</v>
      </c>
      <c r="F1840" t="s">
        <v>3727</v>
      </c>
      <c r="G1840" t="s">
        <v>22</v>
      </c>
      <c r="H1840" t="s">
        <v>3728</v>
      </c>
      <c r="I1840" t="s">
        <v>3729</v>
      </c>
      <c r="J1840" s="4">
        <v>46070.304957060187</v>
      </c>
    </row>
    <row r="1841" spans="1:10" x14ac:dyDescent="0.55000000000000004">
      <c r="A1841" t="s">
        <v>3726</v>
      </c>
      <c r="B1841">
        <v>100834</v>
      </c>
      <c r="C1841" t="s">
        <v>68</v>
      </c>
      <c r="D1841" s="3">
        <v>46063</v>
      </c>
      <c r="E1841" t="s">
        <v>115</v>
      </c>
      <c r="F1841" t="s">
        <v>3727</v>
      </c>
      <c r="G1841" t="s">
        <v>22</v>
      </c>
      <c r="H1841" t="s">
        <v>3728</v>
      </c>
      <c r="I1841" t="s">
        <v>3729</v>
      </c>
      <c r="J1841" s="4">
        <v>46070.304957060187</v>
      </c>
    </row>
    <row r="1842" spans="1:10" x14ac:dyDescent="0.55000000000000004">
      <c r="A1842" t="s">
        <v>3730</v>
      </c>
      <c r="B1842">
        <v>100627</v>
      </c>
      <c r="C1842" t="s">
        <v>19</v>
      </c>
      <c r="D1842" s="3">
        <v>45799</v>
      </c>
      <c r="E1842" t="s">
        <v>317</v>
      </c>
      <c r="F1842" t="s">
        <v>3731</v>
      </c>
      <c r="G1842" t="s">
        <v>22</v>
      </c>
      <c r="H1842" t="s">
        <v>3732</v>
      </c>
      <c r="I1842" t="s">
        <v>3733</v>
      </c>
      <c r="J1842" s="4">
        <v>46065.461901504626</v>
      </c>
    </row>
    <row r="1843" spans="1:10" x14ac:dyDescent="0.55000000000000004">
      <c r="A1843" t="s">
        <v>3730</v>
      </c>
      <c r="B1843">
        <v>100627</v>
      </c>
      <c r="C1843" t="s">
        <v>19</v>
      </c>
      <c r="D1843" s="3">
        <v>45799</v>
      </c>
      <c r="E1843" t="s">
        <v>155</v>
      </c>
      <c r="F1843" t="s">
        <v>3731</v>
      </c>
      <c r="G1843" t="s">
        <v>22</v>
      </c>
      <c r="H1843" t="s">
        <v>3732</v>
      </c>
      <c r="I1843" t="s">
        <v>3733</v>
      </c>
      <c r="J1843" s="4">
        <v>46065.461901504626</v>
      </c>
    </row>
    <row r="1844" spans="1:10" x14ac:dyDescent="0.55000000000000004">
      <c r="A1844" t="s">
        <v>3734</v>
      </c>
      <c r="B1844">
        <v>100453</v>
      </c>
      <c r="C1844" t="s">
        <v>19</v>
      </c>
      <c r="D1844" s="3">
        <v>45960</v>
      </c>
      <c r="E1844" t="s">
        <v>20</v>
      </c>
      <c r="F1844" t="s">
        <v>3735</v>
      </c>
      <c r="G1844" t="s">
        <v>22</v>
      </c>
      <c r="H1844" t="s">
        <v>3736</v>
      </c>
      <c r="I1844" t="s">
        <v>3737</v>
      </c>
      <c r="J1844" s="4">
        <v>46092.145234849537</v>
      </c>
    </row>
    <row r="1845" spans="1:10" x14ac:dyDescent="0.55000000000000004">
      <c r="A1845" t="s">
        <v>3734</v>
      </c>
      <c r="B1845">
        <v>100453</v>
      </c>
      <c r="C1845" t="s">
        <v>19</v>
      </c>
      <c r="D1845" s="3">
        <v>45960</v>
      </c>
      <c r="E1845" t="s">
        <v>69</v>
      </c>
      <c r="F1845" t="s">
        <v>3735</v>
      </c>
      <c r="G1845" t="s">
        <v>22</v>
      </c>
      <c r="H1845" t="s">
        <v>3736</v>
      </c>
      <c r="I1845" t="s">
        <v>3737</v>
      </c>
      <c r="J1845" s="4">
        <v>46092.145234849537</v>
      </c>
    </row>
    <row r="1846" spans="1:10" x14ac:dyDescent="0.55000000000000004">
      <c r="A1846" t="s">
        <v>3738</v>
      </c>
      <c r="B1846">
        <v>100912</v>
      </c>
      <c r="C1846" t="s">
        <v>68</v>
      </c>
      <c r="D1846" s="3">
        <v>46046</v>
      </c>
      <c r="E1846" t="s">
        <v>69</v>
      </c>
      <c r="F1846" t="s">
        <v>3739</v>
      </c>
      <c r="G1846" t="s">
        <v>22</v>
      </c>
      <c r="H1846" t="s">
        <v>3740</v>
      </c>
      <c r="I1846" t="s">
        <v>3741</v>
      </c>
      <c r="J1846" s="4">
        <v>46092.688984849534</v>
      </c>
    </row>
    <row r="1847" spans="1:10" x14ac:dyDescent="0.55000000000000004">
      <c r="A1847" t="s">
        <v>3742</v>
      </c>
      <c r="B1847">
        <v>100773</v>
      </c>
      <c r="C1847" t="s">
        <v>19</v>
      </c>
      <c r="D1847" s="3">
        <v>45906</v>
      </c>
      <c r="E1847" t="s">
        <v>317</v>
      </c>
      <c r="F1847" t="s">
        <v>3743</v>
      </c>
      <c r="G1847" t="s">
        <v>15</v>
      </c>
      <c r="H1847" t="s">
        <v>3744</v>
      </c>
      <c r="I1847" t="s">
        <v>3745</v>
      </c>
      <c r="J1847" s="4">
        <v>46065.996623749998</v>
      </c>
    </row>
    <row r="1848" spans="1:10" x14ac:dyDescent="0.55000000000000004">
      <c r="A1848" t="s">
        <v>3742</v>
      </c>
      <c r="B1848">
        <v>100773</v>
      </c>
      <c r="C1848" t="s">
        <v>19</v>
      </c>
      <c r="D1848" s="3">
        <v>45906</v>
      </c>
      <c r="E1848" t="s">
        <v>115</v>
      </c>
      <c r="F1848" t="s">
        <v>3743</v>
      </c>
      <c r="G1848" t="s">
        <v>15</v>
      </c>
      <c r="H1848" t="s">
        <v>3744</v>
      </c>
      <c r="I1848" t="s">
        <v>3745</v>
      </c>
      <c r="J1848" s="4">
        <v>46065.996623749998</v>
      </c>
    </row>
    <row r="1849" spans="1:10" x14ac:dyDescent="0.55000000000000004">
      <c r="A1849" t="s">
        <v>3746</v>
      </c>
      <c r="B1849">
        <v>100324</v>
      </c>
      <c r="C1849" t="s">
        <v>19</v>
      </c>
      <c r="D1849" s="3">
        <v>45774</v>
      </c>
      <c r="E1849" t="s">
        <v>317</v>
      </c>
      <c r="F1849" t="s">
        <v>3747</v>
      </c>
      <c r="G1849" t="s">
        <v>15</v>
      </c>
      <c r="H1849" t="s">
        <v>3748</v>
      </c>
      <c r="I1849" t="s">
        <v>3749</v>
      </c>
      <c r="J1849" s="4">
        <v>46067.318845972222</v>
      </c>
    </row>
    <row r="1850" spans="1:10" x14ac:dyDescent="0.55000000000000004">
      <c r="A1850" t="s">
        <v>3746</v>
      </c>
      <c r="B1850">
        <v>100324</v>
      </c>
      <c r="C1850" t="s">
        <v>19</v>
      </c>
      <c r="D1850" s="3">
        <v>45774</v>
      </c>
      <c r="E1850" t="s">
        <v>69</v>
      </c>
      <c r="F1850" t="s">
        <v>3747</v>
      </c>
      <c r="G1850" t="s">
        <v>15</v>
      </c>
      <c r="H1850" t="s">
        <v>3748</v>
      </c>
      <c r="I1850" t="s">
        <v>3749</v>
      </c>
      <c r="J1850" s="4">
        <v>46067.318845972222</v>
      </c>
    </row>
    <row r="1851" spans="1:10" x14ac:dyDescent="0.55000000000000004">
      <c r="A1851" t="s">
        <v>3750</v>
      </c>
      <c r="B1851">
        <v>100609</v>
      </c>
      <c r="C1851" t="s">
        <v>533</v>
      </c>
      <c r="D1851" s="3">
        <v>45797</v>
      </c>
      <c r="E1851" t="s">
        <v>20</v>
      </c>
      <c r="F1851" t="s">
        <v>3751</v>
      </c>
      <c r="G1851" t="s">
        <v>22</v>
      </c>
      <c r="H1851" t="s">
        <v>3752</v>
      </c>
      <c r="I1851" t="s">
        <v>3753</v>
      </c>
      <c r="J1851" s="4">
        <v>46061.678568206022</v>
      </c>
    </row>
    <row r="1852" spans="1:10" x14ac:dyDescent="0.55000000000000004">
      <c r="A1852" t="s">
        <v>3750</v>
      </c>
      <c r="B1852">
        <v>100609</v>
      </c>
      <c r="C1852" t="s">
        <v>533</v>
      </c>
      <c r="D1852" s="3">
        <v>45797</v>
      </c>
      <c r="E1852" t="s">
        <v>115</v>
      </c>
      <c r="F1852" t="s">
        <v>3751</v>
      </c>
      <c r="G1852" t="s">
        <v>22</v>
      </c>
      <c r="H1852" t="s">
        <v>3752</v>
      </c>
      <c r="I1852" t="s">
        <v>3753</v>
      </c>
      <c r="J1852" s="4">
        <v>46061.678568206022</v>
      </c>
    </row>
    <row r="1853" spans="1:10" x14ac:dyDescent="0.55000000000000004">
      <c r="A1853" t="s">
        <v>3750</v>
      </c>
      <c r="B1853">
        <v>100609</v>
      </c>
      <c r="C1853" t="s">
        <v>533</v>
      </c>
      <c r="D1853" s="3">
        <v>45797</v>
      </c>
      <c r="E1853" t="s">
        <v>69</v>
      </c>
      <c r="F1853" t="s">
        <v>3751</v>
      </c>
      <c r="G1853" t="s">
        <v>22</v>
      </c>
      <c r="H1853" t="s">
        <v>3752</v>
      </c>
      <c r="I1853" t="s">
        <v>3753</v>
      </c>
      <c r="J1853" s="4">
        <v>46061.678568206022</v>
      </c>
    </row>
    <row r="1854" spans="1:10" x14ac:dyDescent="0.55000000000000004">
      <c r="A1854" t="s">
        <v>3754</v>
      </c>
      <c r="B1854">
        <v>100572</v>
      </c>
      <c r="C1854" t="s">
        <v>19</v>
      </c>
      <c r="D1854" s="3">
        <v>45771</v>
      </c>
      <c r="E1854" t="s">
        <v>38</v>
      </c>
      <c r="F1854" t="s">
        <v>3755</v>
      </c>
      <c r="G1854" t="s">
        <v>15</v>
      </c>
      <c r="H1854" t="s">
        <v>3756</v>
      </c>
      <c r="I1854" t="s">
        <v>3757</v>
      </c>
      <c r="J1854" s="4">
        <v>46065.141762650463</v>
      </c>
    </row>
    <row r="1855" spans="1:10" x14ac:dyDescent="0.55000000000000004">
      <c r="A1855" t="s">
        <v>3758</v>
      </c>
      <c r="B1855">
        <v>101055</v>
      </c>
      <c r="C1855" t="s">
        <v>179</v>
      </c>
      <c r="D1855" s="3">
        <v>45780</v>
      </c>
      <c r="E1855" t="s">
        <v>317</v>
      </c>
      <c r="F1855" t="s">
        <v>3759</v>
      </c>
      <c r="G1855" t="s">
        <v>22</v>
      </c>
      <c r="H1855" t="s">
        <v>3760</v>
      </c>
      <c r="I1855" t="s">
        <v>3761</v>
      </c>
      <c r="J1855" s="4">
        <v>46075.384123761571</v>
      </c>
    </row>
    <row r="1856" spans="1:10" x14ac:dyDescent="0.55000000000000004">
      <c r="A1856" t="s">
        <v>3758</v>
      </c>
      <c r="B1856">
        <v>101055</v>
      </c>
      <c r="C1856" t="s">
        <v>179</v>
      </c>
      <c r="D1856" s="3">
        <v>45780</v>
      </c>
      <c r="E1856" t="s">
        <v>38</v>
      </c>
      <c r="F1856" t="s">
        <v>3759</v>
      </c>
      <c r="G1856" t="s">
        <v>22</v>
      </c>
      <c r="H1856" t="s">
        <v>3760</v>
      </c>
      <c r="I1856" t="s">
        <v>3761</v>
      </c>
      <c r="J1856" s="4">
        <v>46075.384123761571</v>
      </c>
    </row>
    <row r="1857" spans="1:11" x14ac:dyDescent="0.55000000000000004">
      <c r="A1857" t="s">
        <v>3762</v>
      </c>
      <c r="B1857">
        <v>101118</v>
      </c>
      <c r="C1857" t="s">
        <v>19</v>
      </c>
      <c r="D1857" s="3">
        <v>45773</v>
      </c>
      <c r="E1857" t="s">
        <v>317</v>
      </c>
      <c r="F1857" t="s">
        <v>3763</v>
      </c>
      <c r="G1857" t="s">
        <v>15</v>
      </c>
      <c r="H1857" t="s">
        <v>3764</v>
      </c>
      <c r="I1857" t="s">
        <v>3765</v>
      </c>
      <c r="J1857" s="4">
        <v>46086.187595995369</v>
      </c>
    </row>
    <row r="1858" spans="1:11" x14ac:dyDescent="0.55000000000000004">
      <c r="A1858" t="s">
        <v>3762</v>
      </c>
      <c r="B1858">
        <v>101118</v>
      </c>
      <c r="C1858" t="s">
        <v>19</v>
      </c>
      <c r="D1858" s="3">
        <v>45773</v>
      </c>
      <c r="E1858" t="s">
        <v>155</v>
      </c>
      <c r="F1858" t="s">
        <v>3763</v>
      </c>
      <c r="G1858" t="s">
        <v>15</v>
      </c>
      <c r="H1858" t="s">
        <v>3764</v>
      </c>
      <c r="I1858" t="s">
        <v>3765</v>
      </c>
      <c r="J1858" s="4">
        <v>46086.187595995369</v>
      </c>
    </row>
    <row r="1859" spans="1:11" x14ac:dyDescent="0.55000000000000004">
      <c r="A1859" t="s">
        <v>3762</v>
      </c>
      <c r="B1859">
        <v>101118</v>
      </c>
      <c r="C1859" t="s">
        <v>19</v>
      </c>
      <c r="D1859" s="3">
        <v>45773</v>
      </c>
      <c r="E1859" t="s">
        <v>69</v>
      </c>
      <c r="F1859" t="s">
        <v>3763</v>
      </c>
      <c r="G1859" t="s">
        <v>15</v>
      </c>
      <c r="H1859" t="s">
        <v>3764</v>
      </c>
      <c r="I1859" t="s">
        <v>3765</v>
      </c>
      <c r="J1859" s="4">
        <v>46086.187595995369</v>
      </c>
    </row>
    <row r="1860" spans="1:11" x14ac:dyDescent="0.55000000000000004">
      <c r="A1860" t="s">
        <v>3766</v>
      </c>
      <c r="B1860">
        <v>100937</v>
      </c>
      <c r="D1860" s="3">
        <v>45774</v>
      </c>
      <c r="E1860" t="s">
        <v>317</v>
      </c>
      <c r="F1860" t="s">
        <v>3767</v>
      </c>
      <c r="G1860" t="s">
        <v>22</v>
      </c>
      <c r="H1860" t="s">
        <v>3768</v>
      </c>
      <c r="I1860" t="s">
        <v>3769</v>
      </c>
      <c r="J1860" s="4">
        <v>46060.099401550928</v>
      </c>
      <c r="K1860" t="s">
        <v>217</v>
      </c>
    </row>
    <row r="1861" spans="1:11" x14ac:dyDescent="0.55000000000000004">
      <c r="A1861" t="s">
        <v>3766</v>
      </c>
      <c r="B1861">
        <v>100937</v>
      </c>
      <c r="D1861" s="3">
        <v>45774</v>
      </c>
      <c r="E1861" t="s">
        <v>20</v>
      </c>
      <c r="F1861" t="s">
        <v>3767</v>
      </c>
      <c r="G1861" t="s">
        <v>22</v>
      </c>
      <c r="H1861" t="s">
        <v>3768</v>
      </c>
      <c r="I1861" t="s">
        <v>3769</v>
      </c>
      <c r="J1861" s="4">
        <v>46060.099401550928</v>
      </c>
      <c r="K1861" t="s">
        <v>217</v>
      </c>
    </row>
    <row r="1862" spans="1:11" x14ac:dyDescent="0.55000000000000004">
      <c r="A1862" t="s">
        <v>3770</v>
      </c>
      <c r="B1862">
        <v>100820</v>
      </c>
      <c r="C1862" t="s">
        <v>179</v>
      </c>
      <c r="D1862" s="3">
        <v>46051</v>
      </c>
      <c r="E1862" t="s">
        <v>20</v>
      </c>
      <c r="F1862" t="s">
        <v>3771</v>
      </c>
      <c r="G1862" t="s">
        <v>15</v>
      </c>
      <c r="H1862" t="s">
        <v>3772</v>
      </c>
      <c r="I1862" t="s">
        <v>3773</v>
      </c>
      <c r="J1862" s="4">
        <v>46086.634818229169</v>
      </c>
    </row>
    <row r="1863" spans="1:11" x14ac:dyDescent="0.55000000000000004">
      <c r="A1863" t="s">
        <v>3770</v>
      </c>
      <c r="B1863">
        <v>100820</v>
      </c>
      <c r="C1863" t="s">
        <v>179</v>
      </c>
      <c r="D1863" s="3">
        <v>46051</v>
      </c>
      <c r="E1863" t="s">
        <v>115</v>
      </c>
      <c r="F1863" t="s">
        <v>3771</v>
      </c>
      <c r="G1863" t="s">
        <v>15</v>
      </c>
      <c r="H1863" t="s">
        <v>3772</v>
      </c>
      <c r="I1863" t="s">
        <v>3773</v>
      </c>
      <c r="J1863" s="4">
        <v>46086.634818229169</v>
      </c>
    </row>
    <row r="1864" spans="1:11" x14ac:dyDescent="0.55000000000000004">
      <c r="A1864" t="s">
        <v>3774</v>
      </c>
      <c r="B1864">
        <v>100136</v>
      </c>
      <c r="C1864" t="s">
        <v>19</v>
      </c>
      <c r="D1864" s="3">
        <v>45864</v>
      </c>
      <c r="E1864" t="s">
        <v>317</v>
      </c>
      <c r="F1864" t="s">
        <v>3775</v>
      </c>
      <c r="G1864" t="s">
        <v>15</v>
      </c>
      <c r="H1864" t="s">
        <v>3776</v>
      </c>
      <c r="I1864" t="s">
        <v>3777</v>
      </c>
      <c r="J1864" s="4">
        <v>46072.580651562501</v>
      </c>
    </row>
    <row r="1865" spans="1:11" x14ac:dyDescent="0.55000000000000004">
      <c r="A1865" t="s">
        <v>3774</v>
      </c>
      <c r="B1865">
        <v>100136</v>
      </c>
      <c r="C1865" t="s">
        <v>19</v>
      </c>
      <c r="D1865" s="3">
        <v>45864</v>
      </c>
      <c r="E1865" t="s">
        <v>155</v>
      </c>
      <c r="F1865" t="s">
        <v>3775</v>
      </c>
      <c r="G1865" t="s">
        <v>15</v>
      </c>
      <c r="H1865" t="s">
        <v>3776</v>
      </c>
      <c r="I1865" t="s">
        <v>3777</v>
      </c>
      <c r="J1865" s="4">
        <v>46072.580651562501</v>
      </c>
    </row>
    <row r="1866" spans="1:11" x14ac:dyDescent="0.55000000000000004">
      <c r="A1866" t="s">
        <v>3774</v>
      </c>
      <c r="B1866">
        <v>100136</v>
      </c>
      <c r="C1866" t="s">
        <v>19</v>
      </c>
      <c r="D1866" s="3">
        <v>45864</v>
      </c>
      <c r="E1866" t="s">
        <v>69</v>
      </c>
      <c r="F1866" t="s">
        <v>3775</v>
      </c>
      <c r="G1866" t="s">
        <v>15</v>
      </c>
      <c r="H1866" t="s">
        <v>3776</v>
      </c>
      <c r="I1866" t="s">
        <v>3777</v>
      </c>
      <c r="J1866" s="4">
        <v>46072.580651562501</v>
      </c>
    </row>
    <row r="1867" spans="1:11" x14ac:dyDescent="0.55000000000000004">
      <c r="A1867" t="s">
        <v>3778</v>
      </c>
      <c r="B1867">
        <v>100467</v>
      </c>
      <c r="C1867" t="s">
        <v>37</v>
      </c>
      <c r="D1867" s="3">
        <v>45819</v>
      </c>
      <c r="E1867" t="s">
        <v>317</v>
      </c>
      <c r="F1867" t="s">
        <v>3779</v>
      </c>
      <c r="G1867" t="s">
        <v>22</v>
      </c>
      <c r="H1867" t="s">
        <v>3780</v>
      </c>
      <c r="I1867" t="s">
        <v>3781</v>
      </c>
      <c r="J1867" s="4">
        <v>46077.866762673613</v>
      </c>
    </row>
    <row r="1868" spans="1:11" x14ac:dyDescent="0.55000000000000004">
      <c r="A1868" t="s">
        <v>3778</v>
      </c>
      <c r="B1868">
        <v>100467</v>
      </c>
      <c r="C1868" t="s">
        <v>37</v>
      </c>
      <c r="D1868" s="3">
        <v>45819</v>
      </c>
      <c r="E1868" t="s">
        <v>38</v>
      </c>
      <c r="F1868" t="s">
        <v>3779</v>
      </c>
      <c r="G1868" t="s">
        <v>22</v>
      </c>
      <c r="H1868" t="s">
        <v>3780</v>
      </c>
      <c r="I1868" t="s">
        <v>3781</v>
      </c>
      <c r="J1868" s="4">
        <v>46077.866762673613</v>
      </c>
    </row>
    <row r="1869" spans="1:11" x14ac:dyDescent="0.55000000000000004">
      <c r="A1869" t="s">
        <v>3778</v>
      </c>
      <c r="B1869">
        <v>100467</v>
      </c>
      <c r="C1869" t="s">
        <v>37</v>
      </c>
      <c r="D1869" s="3">
        <v>45819</v>
      </c>
      <c r="E1869" t="s">
        <v>69</v>
      </c>
      <c r="F1869" t="s">
        <v>3779</v>
      </c>
      <c r="G1869" t="s">
        <v>22</v>
      </c>
      <c r="H1869" t="s">
        <v>3780</v>
      </c>
      <c r="I1869" t="s">
        <v>3781</v>
      </c>
      <c r="J1869" s="4">
        <v>46077.866762673613</v>
      </c>
    </row>
    <row r="1870" spans="1:11" x14ac:dyDescent="0.55000000000000004">
      <c r="A1870" t="s">
        <v>3782</v>
      </c>
      <c r="B1870">
        <v>101200</v>
      </c>
      <c r="C1870" t="s">
        <v>19</v>
      </c>
      <c r="D1870" s="3">
        <v>45916</v>
      </c>
      <c r="E1870" t="s">
        <v>317</v>
      </c>
      <c r="F1870" t="s">
        <v>3783</v>
      </c>
      <c r="G1870" t="s">
        <v>15</v>
      </c>
      <c r="H1870" t="s">
        <v>3784</v>
      </c>
      <c r="I1870" t="s">
        <v>3785</v>
      </c>
      <c r="J1870" s="4">
        <v>46089.554262685182</v>
      </c>
    </row>
    <row r="1871" spans="1:11" x14ac:dyDescent="0.55000000000000004">
      <c r="A1871" t="s">
        <v>3782</v>
      </c>
      <c r="B1871">
        <v>101200</v>
      </c>
      <c r="C1871" t="s">
        <v>19</v>
      </c>
      <c r="D1871" s="3">
        <v>45916</v>
      </c>
      <c r="E1871" t="s">
        <v>20</v>
      </c>
      <c r="F1871" t="s">
        <v>3783</v>
      </c>
      <c r="G1871" t="s">
        <v>15</v>
      </c>
      <c r="H1871" t="s">
        <v>3784</v>
      </c>
      <c r="I1871" t="s">
        <v>3785</v>
      </c>
      <c r="J1871" s="4">
        <v>46089.554262685182</v>
      </c>
    </row>
    <row r="1872" spans="1:11" x14ac:dyDescent="0.55000000000000004">
      <c r="A1872" t="s">
        <v>3782</v>
      </c>
      <c r="B1872">
        <v>101200</v>
      </c>
      <c r="C1872" t="s">
        <v>19</v>
      </c>
      <c r="D1872" s="3">
        <v>45916</v>
      </c>
      <c r="E1872" t="s">
        <v>69</v>
      </c>
      <c r="F1872" t="s">
        <v>3783</v>
      </c>
      <c r="G1872" t="s">
        <v>15</v>
      </c>
      <c r="H1872" t="s">
        <v>3784</v>
      </c>
      <c r="I1872" t="s">
        <v>3785</v>
      </c>
      <c r="J1872" s="4">
        <v>46089.554262685182</v>
      </c>
    </row>
    <row r="1873" spans="1:10" x14ac:dyDescent="0.55000000000000004">
      <c r="A1873" t="s">
        <v>3786</v>
      </c>
      <c r="B1873">
        <v>100868</v>
      </c>
      <c r="C1873" t="s">
        <v>37</v>
      </c>
      <c r="D1873" s="3">
        <v>45829</v>
      </c>
      <c r="E1873" t="s">
        <v>155</v>
      </c>
      <c r="F1873" t="s">
        <v>3787</v>
      </c>
      <c r="G1873" t="s">
        <v>15</v>
      </c>
      <c r="H1873" t="s">
        <v>3788</v>
      </c>
      <c r="I1873" t="s">
        <v>3789</v>
      </c>
      <c r="J1873" s="4">
        <v>46096.448707129632</v>
      </c>
    </row>
    <row r="1874" spans="1:10" x14ac:dyDescent="0.55000000000000004">
      <c r="A1874" t="s">
        <v>3790</v>
      </c>
      <c r="B1874">
        <v>101481</v>
      </c>
      <c r="C1874" t="s">
        <v>19</v>
      </c>
      <c r="D1874" s="3">
        <v>46064</v>
      </c>
      <c r="E1874" t="s">
        <v>317</v>
      </c>
      <c r="F1874" t="s">
        <v>3791</v>
      </c>
      <c r="G1874" t="s">
        <v>15</v>
      </c>
      <c r="H1874" t="s">
        <v>3792</v>
      </c>
      <c r="I1874" t="s">
        <v>3793</v>
      </c>
      <c r="J1874" s="4">
        <v>46069.855651574071</v>
      </c>
    </row>
    <row r="1875" spans="1:10" x14ac:dyDescent="0.55000000000000004">
      <c r="A1875" t="s">
        <v>3794</v>
      </c>
      <c r="B1875">
        <v>101066</v>
      </c>
      <c r="C1875" t="s">
        <v>19</v>
      </c>
      <c r="D1875" s="3">
        <v>45829</v>
      </c>
      <c r="E1875" t="s">
        <v>20</v>
      </c>
      <c r="F1875" t="s">
        <v>3795</v>
      </c>
      <c r="G1875" t="s">
        <v>22</v>
      </c>
      <c r="H1875" t="s">
        <v>3796</v>
      </c>
      <c r="I1875" t="s">
        <v>3797</v>
      </c>
      <c r="J1875" s="4">
        <v>46088.072318252314</v>
      </c>
    </row>
    <row r="1876" spans="1:10" x14ac:dyDescent="0.55000000000000004">
      <c r="A1876" t="s">
        <v>3798</v>
      </c>
      <c r="B1876">
        <v>101497</v>
      </c>
      <c r="C1876" t="s">
        <v>179</v>
      </c>
      <c r="D1876" s="3">
        <v>45743</v>
      </c>
      <c r="E1876" t="s">
        <v>115</v>
      </c>
      <c r="F1876" t="s">
        <v>2846</v>
      </c>
      <c r="G1876" t="s">
        <v>15</v>
      </c>
      <c r="H1876" t="s">
        <v>3799</v>
      </c>
      <c r="I1876" t="s">
        <v>3800</v>
      </c>
      <c r="J1876" s="4">
        <v>46053.113290474539</v>
      </c>
    </row>
    <row r="1877" spans="1:10" x14ac:dyDescent="0.55000000000000004">
      <c r="A1877" t="s">
        <v>3801</v>
      </c>
      <c r="B1877">
        <v>100475</v>
      </c>
      <c r="C1877" t="s">
        <v>19</v>
      </c>
      <c r="D1877" s="3">
        <v>45973</v>
      </c>
      <c r="E1877" t="s">
        <v>69</v>
      </c>
      <c r="F1877" t="s">
        <v>3802</v>
      </c>
      <c r="G1877" t="s">
        <v>15</v>
      </c>
      <c r="H1877" t="s">
        <v>3803</v>
      </c>
      <c r="I1877" t="s">
        <v>3804</v>
      </c>
      <c r="J1877" s="4">
        <v>46085.327179363427</v>
      </c>
    </row>
    <row r="1878" spans="1:10" x14ac:dyDescent="0.55000000000000004">
      <c r="A1878" t="s">
        <v>3805</v>
      </c>
      <c r="B1878">
        <v>100530</v>
      </c>
      <c r="C1878" t="s">
        <v>19</v>
      </c>
      <c r="D1878" s="3">
        <v>46156</v>
      </c>
      <c r="E1878" t="s">
        <v>20</v>
      </c>
      <c r="F1878" t="s">
        <v>3806</v>
      </c>
      <c r="G1878" t="s">
        <v>15</v>
      </c>
      <c r="H1878" t="s">
        <v>3807</v>
      </c>
      <c r="I1878" t="s">
        <v>3808</v>
      </c>
      <c r="J1878" s="4">
        <v>46090.849401597225</v>
      </c>
    </row>
    <row r="1879" spans="1:10" x14ac:dyDescent="0.55000000000000004">
      <c r="A1879" t="s">
        <v>3805</v>
      </c>
      <c r="B1879">
        <v>100530</v>
      </c>
      <c r="C1879" t="s">
        <v>19</v>
      </c>
      <c r="D1879" s="3">
        <v>46156</v>
      </c>
      <c r="E1879" t="s">
        <v>155</v>
      </c>
      <c r="F1879" t="s">
        <v>3806</v>
      </c>
      <c r="G1879" t="s">
        <v>15</v>
      </c>
      <c r="H1879" t="s">
        <v>3807</v>
      </c>
      <c r="I1879" t="s">
        <v>3808</v>
      </c>
      <c r="J1879" s="4">
        <v>46090.849401597225</v>
      </c>
    </row>
    <row r="1880" spans="1:10" x14ac:dyDescent="0.55000000000000004">
      <c r="A1880" t="s">
        <v>3809</v>
      </c>
      <c r="B1880">
        <v>100712</v>
      </c>
      <c r="C1880" t="s">
        <v>179</v>
      </c>
      <c r="D1880" s="3">
        <v>45944</v>
      </c>
      <c r="E1880" t="s">
        <v>317</v>
      </c>
      <c r="F1880" t="s">
        <v>3810</v>
      </c>
      <c r="G1880" t="s">
        <v>22</v>
      </c>
      <c r="H1880" t="s">
        <v>3811</v>
      </c>
      <c r="I1880" t="s">
        <v>3812</v>
      </c>
      <c r="J1880" s="4">
        <v>46095.052873819448</v>
      </c>
    </row>
    <row r="1881" spans="1:10" x14ac:dyDescent="0.55000000000000004">
      <c r="A1881" t="s">
        <v>3809</v>
      </c>
      <c r="B1881">
        <v>100712</v>
      </c>
      <c r="C1881" t="s">
        <v>179</v>
      </c>
      <c r="D1881" s="3">
        <v>45944</v>
      </c>
      <c r="E1881" t="s">
        <v>38</v>
      </c>
      <c r="F1881" t="s">
        <v>3810</v>
      </c>
      <c r="G1881" t="s">
        <v>22</v>
      </c>
      <c r="H1881" t="s">
        <v>3811</v>
      </c>
      <c r="I1881" t="s">
        <v>3812</v>
      </c>
      <c r="J1881" s="4">
        <v>46095.052873819448</v>
      </c>
    </row>
    <row r="1882" spans="1:10" x14ac:dyDescent="0.55000000000000004">
      <c r="A1882" t="s">
        <v>3813</v>
      </c>
      <c r="B1882">
        <v>100823</v>
      </c>
      <c r="C1882" t="s">
        <v>179</v>
      </c>
      <c r="D1882" s="3">
        <v>45980</v>
      </c>
      <c r="E1882" t="s">
        <v>317</v>
      </c>
      <c r="F1882" t="s">
        <v>3814</v>
      </c>
      <c r="G1882" t="s">
        <v>15</v>
      </c>
      <c r="H1882" t="s">
        <v>3815</v>
      </c>
      <c r="I1882" t="s">
        <v>3816</v>
      </c>
      <c r="J1882" s="4">
        <v>46052.659818275461</v>
      </c>
    </row>
    <row r="1883" spans="1:10" x14ac:dyDescent="0.55000000000000004">
      <c r="A1883" t="s">
        <v>3813</v>
      </c>
      <c r="B1883">
        <v>100823</v>
      </c>
      <c r="C1883" t="s">
        <v>179</v>
      </c>
      <c r="D1883" s="3">
        <v>45980</v>
      </c>
      <c r="E1883" t="s">
        <v>38</v>
      </c>
      <c r="F1883" t="s">
        <v>3814</v>
      </c>
      <c r="G1883" t="s">
        <v>15</v>
      </c>
      <c r="H1883" t="s">
        <v>3815</v>
      </c>
      <c r="I1883" t="s">
        <v>3816</v>
      </c>
      <c r="J1883" s="4">
        <v>46052.659818275461</v>
      </c>
    </row>
    <row r="1884" spans="1:10" x14ac:dyDescent="0.55000000000000004">
      <c r="A1884" t="s">
        <v>3813</v>
      </c>
      <c r="B1884">
        <v>100823</v>
      </c>
      <c r="C1884" t="s">
        <v>179</v>
      </c>
      <c r="D1884" s="3">
        <v>45980</v>
      </c>
      <c r="E1884" t="s">
        <v>69</v>
      </c>
      <c r="F1884" t="s">
        <v>3814</v>
      </c>
      <c r="G1884" t="s">
        <v>15</v>
      </c>
      <c r="H1884" t="s">
        <v>3815</v>
      </c>
      <c r="I1884" t="s">
        <v>3816</v>
      </c>
      <c r="J1884" s="4">
        <v>46052.659818275461</v>
      </c>
    </row>
    <row r="1885" spans="1:10" x14ac:dyDescent="0.55000000000000004">
      <c r="A1885" t="s">
        <v>3817</v>
      </c>
      <c r="B1885">
        <v>100180</v>
      </c>
      <c r="C1885" t="s">
        <v>19</v>
      </c>
      <c r="D1885" s="3">
        <v>45741</v>
      </c>
      <c r="E1885" t="s">
        <v>38</v>
      </c>
      <c r="F1885" t="s">
        <v>3818</v>
      </c>
      <c r="G1885" t="s">
        <v>15</v>
      </c>
      <c r="H1885" t="s">
        <v>3819</v>
      </c>
      <c r="I1885" t="s">
        <v>3820</v>
      </c>
      <c r="J1885" s="4">
        <v>46079.824401608799</v>
      </c>
    </row>
    <row r="1886" spans="1:10" x14ac:dyDescent="0.55000000000000004">
      <c r="A1886" t="s">
        <v>3817</v>
      </c>
      <c r="B1886">
        <v>100180</v>
      </c>
      <c r="C1886" t="s">
        <v>19</v>
      </c>
      <c r="D1886" s="3">
        <v>45741</v>
      </c>
      <c r="E1886" t="s">
        <v>20</v>
      </c>
      <c r="F1886" t="s">
        <v>3818</v>
      </c>
      <c r="G1886" t="s">
        <v>15</v>
      </c>
      <c r="H1886" t="s">
        <v>3819</v>
      </c>
      <c r="I1886" t="s">
        <v>3820</v>
      </c>
      <c r="J1886" s="4">
        <v>46079.824401608799</v>
      </c>
    </row>
    <row r="1887" spans="1:10" x14ac:dyDescent="0.55000000000000004">
      <c r="A1887" t="s">
        <v>3821</v>
      </c>
      <c r="B1887">
        <v>101367</v>
      </c>
      <c r="C1887" t="s">
        <v>179</v>
      </c>
      <c r="D1887" s="3">
        <v>45974</v>
      </c>
      <c r="E1887" t="s">
        <v>69</v>
      </c>
      <c r="F1887" t="s">
        <v>3822</v>
      </c>
      <c r="G1887" t="s">
        <v>22</v>
      </c>
      <c r="H1887" t="s">
        <v>3823</v>
      </c>
      <c r="I1887" t="s">
        <v>3824</v>
      </c>
      <c r="J1887" s="4">
        <v>46068.754262719907</v>
      </c>
    </row>
    <row r="1888" spans="1:10" x14ac:dyDescent="0.55000000000000004">
      <c r="A1888" t="s">
        <v>3825</v>
      </c>
      <c r="B1888">
        <v>101391</v>
      </c>
      <c r="C1888" t="s">
        <v>179</v>
      </c>
      <c r="D1888" s="3">
        <v>45742</v>
      </c>
      <c r="E1888" t="s">
        <v>20</v>
      </c>
      <c r="F1888" t="s">
        <v>3826</v>
      </c>
      <c r="G1888" t="s">
        <v>15</v>
      </c>
      <c r="H1888" t="s">
        <v>3827</v>
      </c>
      <c r="I1888" t="s">
        <v>3828</v>
      </c>
      <c r="J1888" s="4">
        <v>46067.257040509263</v>
      </c>
    </row>
    <row r="1889" spans="1:11" x14ac:dyDescent="0.55000000000000004">
      <c r="A1889" t="s">
        <v>3829</v>
      </c>
      <c r="B1889">
        <v>100797</v>
      </c>
      <c r="C1889" t="s">
        <v>179</v>
      </c>
      <c r="D1889" s="3">
        <v>45850</v>
      </c>
      <c r="E1889" t="s">
        <v>38</v>
      </c>
      <c r="F1889" t="s">
        <v>3830</v>
      </c>
      <c r="G1889" t="s">
        <v>22</v>
      </c>
      <c r="H1889" t="s">
        <v>3831</v>
      </c>
      <c r="I1889" t="s">
        <v>3832</v>
      </c>
      <c r="J1889" s="4">
        <v>46089.32926273148</v>
      </c>
    </row>
    <row r="1890" spans="1:11" x14ac:dyDescent="0.55000000000000004">
      <c r="A1890" t="s">
        <v>3829</v>
      </c>
      <c r="B1890">
        <v>100797</v>
      </c>
      <c r="C1890" t="s">
        <v>179</v>
      </c>
      <c r="D1890" s="3">
        <v>45850</v>
      </c>
      <c r="E1890" t="s">
        <v>20</v>
      </c>
      <c r="F1890" t="s">
        <v>3830</v>
      </c>
      <c r="G1890" t="s">
        <v>22</v>
      </c>
      <c r="H1890" t="s">
        <v>3831</v>
      </c>
      <c r="I1890" t="s">
        <v>3832</v>
      </c>
      <c r="J1890" s="4">
        <v>46089.32926273148</v>
      </c>
    </row>
    <row r="1891" spans="1:11" x14ac:dyDescent="0.55000000000000004">
      <c r="A1891" t="s">
        <v>3829</v>
      </c>
      <c r="B1891">
        <v>100797</v>
      </c>
      <c r="C1891" t="s">
        <v>179</v>
      </c>
      <c r="D1891" s="3">
        <v>45850</v>
      </c>
      <c r="E1891" t="s">
        <v>115</v>
      </c>
      <c r="F1891" t="s">
        <v>3830</v>
      </c>
      <c r="G1891" t="s">
        <v>22</v>
      </c>
      <c r="H1891" t="s">
        <v>3831</v>
      </c>
      <c r="I1891" t="s">
        <v>3832</v>
      </c>
      <c r="J1891" s="4">
        <v>46089.32926273148</v>
      </c>
    </row>
    <row r="1892" spans="1:11" x14ac:dyDescent="0.55000000000000004">
      <c r="A1892" t="s">
        <v>3833</v>
      </c>
      <c r="B1892">
        <v>100109</v>
      </c>
      <c r="C1892" t="s">
        <v>179</v>
      </c>
      <c r="D1892" s="3">
        <v>45945</v>
      </c>
      <c r="E1892" t="s">
        <v>317</v>
      </c>
      <c r="F1892" t="s">
        <v>3834</v>
      </c>
      <c r="G1892" t="s">
        <v>15</v>
      </c>
      <c r="H1892" t="s">
        <v>3835</v>
      </c>
      <c r="I1892" t="s">
        <v>3836</v>
      </c>
      <c r="J1892" s="4">
        <v>46058.451484953701</v>
      </c>
    </row>
    <row r="1893" spans="1:11" x14ac:dyDescent="0.55000000000000004">
      <c r="A1893" t="s">
        <v>3833</v>
      </c>
      <c r="B1893">
        <v>100109</v>
      </c>
      <c r="C1893" t="s">
        <v>179</v>
      </c>
      <c r="D1893" s="3">
        <v>45945</v>
      </c>
      <c r="E1893" t="s">
        <v>20</v>
      </c>
      <c r="F1893" t="s">
        <v>3834</v>
      </c>
      <c r="G1893" t="s">
        <v>15</v>
      </c>
      <c r="H1893" t="s">
        <v>3835</v>
      </c>
      <c r="I1893" t="s">
        <v>3836</v>
      </c>
      <c r="J1893" s="4">
        <v>46058.451484953701</v>
      </c>
    </row>
    <row r="1894" spans="1:11" x14ac:dyDescent="0.55000000000000004">
      <c r="A1894" t="s">
        <v>3833</v>
      </c>
      <c r="B1894">
        <v>100109</v>
      </c>
      <c r="C1894" t="s">
        <v>179</v>
      </c>
      <c r="D1894" s="3">
        <v>45945</v>
      </c>
      <c r="E1894" t="s">
        <v>69</v>
      </c>
      <c r="F1894" t="s">
        <v>3834</v>
      </c>
      <c r="G1894" t="s">
        <v>15</v>
      </c>
      <c r="H1894" t="s">
        <v>3835</v>
      </c>
      <c r="I1894" t="s">
        <v>3836</v>
      </c>
      <c r="J1894" s="4">
        <v>46058.451484953701</v>
      </c>
    </row>
    <row r="1895" spans="1:11" x14ac:dyDescent="0.55000000000000004">
      <c r="A1895" t="s">
        <v>3837</v>
      </c>
      <c r="B1895">
        <v>100906</v>
      </c>
      <c r="C1895" t="s">
        <v>68</v>
      </c>
      <c r="D1895" s="3">
        <v>46085</v>
      </c>
      <c r="E1895" t="s">
        <v>155</v>
      </c>
      <c r="F1895" t="s">
        <v>3838</v>
      </c>
      <c r="G1895" t="s">
        <v>15</v>
      </c>
      <c r="H1895" t="s">
        <v>3839</v>
      </c>
      <c r="I1895" t="s">
        <v>3840</v>
      </c>
      <c r="J1895" s="4">
        <v>46085.523707187502</v>
      </c>
    </row>
    <row r="1896" spans="1:11" x14ac:dyDescent="0.55000000000000004">
      <c r="A1896" t="s">
        <v>3837</v>
      </c>
      <c r="B1896">
        <v>100906</v>
      </c>
      <c r="C1896" t="s">
        <v>68</v>
      </c>
      <c r="D1896" s="3">
        <v>46085</v>
      </c>
      <c r="E1896" t="s">
        <v>115</v>
      </c>
      <c r="F1896" t="s">
        <v>3838</v>
      </c>
      <c r="G1896" t="s">
        <v>15</v>
      </c>
      <c r="H1896" t="s">
        <v>3839</v>
      </c>
      <c r="I1896" t="s">
        <v>3840</v>
      </c>
      <c r="J1896" s="4">
        <v>46085.523707187502</v>
      </c>
    </row>
    <row r="1897" spans="1:11" x14ac:dyDescent="0.55000000000000004">
      <c r="A1897" t="s">
        <v>3837</v>
      </c>
      <c r="B1897">
        <v>100906</v>
      </c>
      <c r="C1897" t="s">
        <v>68</v>
      </c>
      <c r="D1897" s="3">
        <v>46085</v>
      </c>
      <c r="E1897" t="s">
        <v>69</v>
      </c>
      <c r="F1897" t="s">
        <v>3838</v>
      </c>
      <c r="G1897" t="s">
        <v>15</v>
      </c>
      <c r="H1897" t="s">
        <v>3839</v>
      </c>
      <c r="I1897" t="s">
        <v>3840</v>
      </c>
      <c r="J1897" s="4">
        <v>46085.523707187502</v>
      </c>
    </row>
    <row r="1898" spans="1:11" x14ac:dyDescent="0.55000000000000004">
      <c r="A1898" t="s">
        <v>3841</v>
      </c>
      <c r="B1898">
        <v>101046</v>
      </c>
      <c r="D1898" s="3">
        <v>45983</v>
      </c>
      <c r="E1898" t="s">
        <v>69</v>
      </c>
      <c r="F1898" t="s">
        <v>3842</v>
      </c>
      <c r="G1898" t="s">
        <v>22</v>
      </c>
      <c r="H1898" t="s">
        <v>3843</v>
      </c>
      <c r="I1898" t="s">
        <v>3844</v>
      </c>
      <c r="J1898" s="4">
        <v>46078.412596076392</v>
      </c>
      <c r="K1898" t="s">
        <v>217</v>
      </c>
    </row>
    <row r="1899" spans="1:11" x14ac:dyDescent="0.55000000000000004">
      <c r="A1899" t="s">
        <v>3845</v>
      </c>
      <c r="B1899">
        <v>100881</v>
      </c>
      <c r="C1899" t="s">
        <v>248</v>
      </c>
      <c r="D1899" s="3">
        <v>46017</v>
      </c>
      <c r="E1899" t="s">
        <v>155</v>
      </c>
      <c r="F1899" t="s">
        <v>3846</v>
      </c>
      <c r="G1899" t="s">
        <v>22</v>
      </c>
      <c r="H1899" t="s">
        <v>3847</v>
      </c>
      <c r="I1899" t="s">
        <v>3848</v>
      </c>
      <c r="J1899" s="4">
        <v>46081.238290532405</v>
      </c>
    </row>
    <row r="1900" spans="1:11" x14ac:dyDescent="0.55000000000000004">
      <c r="A1900" t="s">
        <v>3849</v>
      </c>
      <c r="B1900">
        <v>100768</v>
      </c>
      <c r="C1900" t="s">
        <v>533</v>
      </c>
      <c r="D1900" s="3">
        <v>45821</v>
      </c>
      <c r="E1900" t="s">
        <v>317</v>
      </c>
      <c r="F1900" t="s">
        <v>3850</v>
      </c>
      <c r="G1900" t="s">
        <v>22</v>
      </c>
      <c r="H1900" t="s">
        <v>3851</v>
      </c>
      <c r="I1900" t="s">
        <v>3852</v>
      </c>
      <c r="J1900" s="4">
        <v>46089.868151643517</v>
      </c>
    </row>
    <row r="1901" spans="1:11" x14ac:dyDescent="0.55000000000000004">
      <c r="A1901" t="s">
        <v>3849</v>
      </c>
      <c r="B1901">
        <v>100768</v>
      </c>
      <c r="C1901" t="s">
        <v>533</v>
      </c>
      <c r="D1901" s="3">
        <v>45821</v>
      </c>
      <c r="E1901" t="s">
        <v>20</v>
      </c>
      <c r="F1901" t="s">
        <v>3850</v>
      </c>
      <c r="G1901" t="s">
        <v>22</v>
      </c>
      <c r="H1901" t="s">
        <v>3851</v>
      </c>
      <c r="I1901" t="s">
        <v>3852</v>
      </c>
      <c r="J1901" s="4">
        <v>46089.868151643517</v>
      </c>
    </row>
    <row r="1902" spans="1:11" x14ac:dyDescent="0.55000000000000004">
      <c r="A1902" t="s">
        <v>3849</v>
      </c>
      <c r="B1902">
        <v>100768</v>
      </c>
      <c r="C1902" t="s">
        <v>533</v>
      </c>
      <c r="D1902" s="3">
        <v>45821</v>
      </c>
      <c r="E1902" t="s">
        <v>155</v>
      </c>
      <c r="F1902" t="s">
        <v>3850</v>
      </c>
      <c r="G1902" t="s">
        <v>22</v>
      </c>
      <c r="H1902" t="s">
        <v>3851</v>
      </c>
      <c r="I1902" t="s">
        <v>3852</v>
      </c>
      <c r="J1902" s="4">
        <v>46089.868151643517</v>
      </c>
    </row>
    <row r="1903" spans="1:11" x14ac:dyDescent="0.55000000000000004">
      <c r="A1903" t="s">
        <v>3853</v>
      </c>
      <c r="B1903">
        <v>100914</v>
      </c>
      <c r="C1903" t="s">
        <v>248</v>
      </c>
      <c r="D1903" s="3">
        <v>45793</v>
      </c>
      <c r="E1903" t="s">
        <v>20</v>
      </c>
      <c r="F1903" t="s">
        <v>3854</v>
      </c>
      <c r="G1903" t="s">
        <v>22</v>
      </c>
      <c r="H1903" t="s">
        <v>3855</v>
      </c>
      <c r="I1903" t="s">
        <v>3856</v>
      </c>
      <c r="J1903" s="4">
        <v>46075.679957210647</v>
      </c>
    </row>
    <row r="1904" spans="1:11" x14ac:dyDescent="0.55000000000000004">
      <c r="A1904" t="s">
        <v>3853</v>
      </c>
      <c r="B1904">
        <v>100914</v>
      </c>
      <c r="C1904" t="s">
        <v>248</v>
      </c>
      <c r="D1904" s="3">
        <v>45793</v>
      </c>
      <c r="E1904" t="s">
        <v>115</v>
      </c>
      <c r="F1904" t="s">
        <v>3854</v>
      </c>
      <c r="G1904" t="s">
        <v>22</v>
      </c>
      <c r="H1904" t="s">
        <v>3855</v>
      </c>
      <c r="I1904" t="s">
        <v>3856</v>
      </c>
      <c r="J1904" s="4">
        <v>46075.679957210647</v>
      </c>
    </row>
    <row r="1905" spans="1:11" x14ac:dyDescent="0.55000000000000004">
      <c r="A1905" t="s">
        <v>3853</v>
      </c>
      <c r="B1905">
        <v>100914</v>
      </c>
      <c r="C1905" t="s">
        <v>248</v>
      </c>
      <c r="D1905" s="3">
        <v>45793</v>
      </c>
      <c r="E1905" t="s">
        <v>69</v>
      </c>
      <c r="F1905" t="s">
        <v>3854</v>
      </c>
      <c r="G1905" t="s">
        <v>22</v>
      </c>
      <c r="H1905" t="s">
        <v>3855</v>
      </c>
      <c r="I1905" t="s">
        <v>3856</v>
      </c>
      <c r="J1905" s="4">
        <v>46075.679957210647</v>
      </c>
    </row>
    <row r="1906" spans="1:11" x14ac:dyDescent="0.55000000000000004">
      <c r="A1906" t="s">
        <v>3857</v>
      </c>
      <c r="B1906">
        <v>100005</v>
      </c>
      <c r="C1906" t="s">
        <v>19</v>
      </c>
      <c r="D1906" s="3">
        <v>45868</v>
      </c>
      <c r="E1906" t="s">
        <v>317</v>
      </c>
      <c r="F1906" t="s">
        <v>3858</v>
      </c>
      <c r="G1906" t="s">
        <v>15</v>
      </c>
      <c r="H1906" t="s">
        <v>3859</v>
      </c>
      <c r="I1906" t="s">
        <v>3860</v>
      </c>
      <c r="J1906" s="4">
        <v>46052.674401655095</v>
      </c>
    </row>
    <row r="1907" spans="1:11" x14ac:dyDescent="0.55000000000000004">
      <c r="A1907" t="s">
        <v>3861</v>
      </c>
      <c r="B1907">
        <v>101453</v>
      </c>
      <c r="C1907" t="s">
        <v>179</v>
      </c>
      <c r="D1907" s="3">
        <v>46141</v>
      </c>
      <c r="E1907" t="s">
        <v>317</v>
      </c>
      <c r="F1907" t="s">
        <v>3862</v>
      </c>
      <c r="G1907" t="s">
        <v>15</v>
      </c>
      <c r="H1907" t="s">
        <v>3863</v>
      </c>
      <c r="I1907" t="s">
        <v>3864</v>
      </c>
      <c r="J1907" s="4">
        <v>46062.686901666668</v>
      </c>
    </row>
    <row r="1908" spans="1:11" x14ac:dyDescent="0.55000000000000004">
      <c r="A1908" t="s">
        <v>3861</v>
      </c>
      <c r="B1908">
        <v>101453</v>
      </c>
      <c r="C1908" t="s">
        <v>179</v>
      </c>
      <c r="D1908" s="3">
        <v>46141</v>
      </c>
      <c r="E1908" t="s">
        <v>155</v>
      </c>
      <c r="F1908" t="s">
        <v>3862</v>
      </c>
      <c r="G1908" t="s">
        <v>15</v>
      </c>
      <c r="H1908" t="s">
        <v>3863</v>
      </c>
      <c r="I1908" t="s">
        <v>3864</v>
      </c>
      <c r="J1908" s="4">
        <v>46062.686901666668</v>
      </c>
    </row>
    <row r="1909" spans="1:11" x14ac:dyDescent="0.55000000000000004">
      <c r="A1909" t="s">
        <v>3865</v>
      </c>
      <c r="B1909">
        <v>100671</v>
      </c>
      <c r="C1909" t="s">
        <v>19</v>
      </c>
      <c r="D1909" s="3">
        <v>45785</v>
      </c>
      <c r="E1909" t="s">
        <v>317</v>
      </c>
      <c r="F1909" t="s">
        <v>3866</v>
      </c>
      <c r="G1909" t="s">
        <v>15</v>
      </c>
      <c r="H1909" t="s">
        <v>3867</v>
      </c>
      <c r="I1909" t="s">
        <v>3868</v>
      </c>
      <c r="J1909" s="4">
        <v>46084.232040555558</v>
      </c>
    </row>
    <row r="1910" spans="1:11" x14ac:dyDescent="0.55000000000000004">
      <c r="A1910" t="s">
        <v>3869</v>
      </c>
      <c r="B1910">
        <v>100151</v>
      </c>
      <c r="C1910" t="s">
        <v>533</v>
      </c>
      <c r="D1910" s="3">
        <v>46104</v>
      </c>
      <c r="E1910" t="s">
        <v>317</v>
      </c>
      <c r="F1910" t="s">
        <v>3870</v>
      </c>
      <c r="G1910" t="s">
        <v>22</v>
      </c>
      <c r="H1910" t="s">
        <v>3871</v>
      </c>
      <c r="I1910" t="s">
        <v>3872</v>
      </c>
      <c r="J1910" s="4">
        <v>46091.527179456018</v>
      </c>
    </row>
    <row r="1911" spans="1:11" x14ac:dyDescent="0.55000000000000004">
      <c r="A1911" t="s">
        <v>3869</v>
      </c>
      <c r="B1911">
        <v>100151</v>
      </c>
      <c r="C1911" t="s">
        <v>533</v>
      </c>
      <c r="D1911" s="3">
        <v>46104</v>
      </c>
      <c r="E1911" t="s">
        <v>69</v>
      </c>
      <c r="F1911" t="s">
        <v>3870</v>
      </c>
      <c r="G1911" t="s">
        <v>22</v>
      </c>
      <c r="H1911" t="s">
        <v>3871</v>
      </c>
      <c r="I1911" t="s">
        <v>3872</v>
      </c>
      <c r="J1911" s="4">
        <v>46091.527179456018</v>
      </c>
    </row>
    <row r="1912" spans="1:11" x14ac:dyDescent="0.55000000000000004">
      <c r="A1912" t="s">
        <v>3873</v>
      </c>
      <c r="B1912">
        <v>100249</v>
      </c>
      <c r="C1912" t="s">
        <v>68</v>
      </c>
      <c r="D1912" s="3">
        <v>45903</v>
      </c>
      <c r="E1912" t="s">
        <v>155</v>
      </c>
      <c r="F1912" t="s">
        <v>3874</v>
      </c>
      <c r="G1912" t="s">
        <v>15</v>
      </c>
      <c r="H1912" t="s">
        <v>3875</v>
      </c>
      <c r="I1912" t="s">
        <v>3876</v>
      </c>
      <c r="J1912" s="4">
        <v>46069.154957233797</v>
      </c>
    </row>
    <row r="1913" spans="1:11" x14ac:dyDescent="0.55000000000000004">
      <c r="A1913" t="s">
        <v>6037</v>
      </c>
      <c r="B1913">
        <v>100409</v>
      </c>
      <c r="C1913" t="s">
        <v>37</v>
      </c>
      <c r="D1913" s="3">
        <v>45857</v>
      </c>
      <c r="E1913" t="s">
        <v>317</v>
      </c>
      <c r="F1913" t="s">
        <v>3878</v>
      </c>
      <c r="G1913" t="s">
        <v>15</v>
      </c>
      <c r="H1913" t="s">
        <v>3879</v>
      </c>
      <c r="I1913" t="s">
        <v>3880</v>
      </c>
      <c r="J1913" s="4">
        <v>46092.368151689814</v>
      </c>
      <c r="K1913" t="s">
        <v>119</v>
      </c>
    </row>
    <row r="1914" spans="1:11" x14ac:dyDescent="0.55000000000000004">
      <c r="A1914" t="s">
        <v>6037</v>
      </c>
      <c r="B1914">
        <v>100409</v>
      </c>
      <c r="C1914" t="s">
        <v>37</v>
      </c>
      <c r="D1914" s="3">
        <v>45857</v>
      </c>
      <c r="E1914" t="s">
        <v>20</v>
      </c>
      <c r="F1914" t="s">
        <v>3878</v>
      </c>
      <c r="G1914" t="s">
        <v>15</v>
      </c>
      <c r="H1914" t="s">
        <v>3879</v>
      </c>
      <c r="I1914" t="s">
        <v>3880</v>
      </c>
      <c r="J1914" s="4">
        <v>46092.368151689814</v>
      </c>
      <c r="K1914" t="s">
        <v>119</v>
      </c>
    </row>
    <row r="1915" spans="1:11" x14ac:dyDescent="0.55000000000000004">
      <c r="A1915" t="s">
        <v>3881</v>
      </c>
      <c r="B1915">
        <v>100506</v>
      </c>
      <c r="C1915" t="s">
        <v>68</v>
      </c>
      <c r="D1915" s="3">
        <v>46098</v>
      </c>
      <c r="E1915" t="s">
        <v>20</v>
      </c>
      <c r="F1915" t="s">
        <v>3882</v>
      </c>
      <c r="G1915" t="s">
        <v>15</v>
      </c>
      <c r="H1915" t="s">
        <v>3883</v>
      </c>
      <c r="I1915" t="s">
        <v>3884</v>
      </c>
      <c r="J1915" s="4">
        <v>46064.146623912035</v>
      </c>
    </row>
    <row r="1916" spans="1:11" x14ac:dyDescent="0.55000000000000004">
      <c r="A1916" t="s">
        <v>3881</v>
      </c>
      <c r="B1916">
        <v>100506</v>
      </c>
      <c r="C1916" t="s">
        <v>68</v>
      </c>
      <c r="D1916" s="3">
        <v>46098</v>
      </c>
      <c r="E1916" t="s">
        <v>115</v>
      </c>
      <c r="F1916" t="s">
        <v>3882</v>
      </c>
      <c r="G1916" t="s">
        <v>15</v>
      </c>
      <c r="H1916" t="s">
        <v>3883</v>
      </c>
      <c r="I1916" t="s">
        <v>3884</v>
      </c>
      <c r="J1916" s="4">
        <v>46064.146623912035</v>
      </c>
    </row>
    <row r="1917" spans="1:11" x14ac:dyDescent="0.55000000000000004">
      <c r="A1917" t="s">
        <v>3885</v>
      </c>
      <c r="B1917">
        <v>101438</v>
      </c>
      <c r="C1917" t="s">
        <v>248</v>
      </c>
      <c r="D1917" s="3">
        <v>45802</v>
      </c>
      <c r="E1917" t="s">
        <v>317</v>
      </c>
      <c r="F1917" t="s">
        <v>3886</v>
      </c>
      <c r="G1917" t="s">
        <v>22</v>
      </c>
      <c r="H1917" t="s">
        <v>3887</v>
      </c>
      <c r="I1917" t="s">
        <v>3888</v>
      </c>
      <c r="J1917" s="4">
        <v>46063.7757905787</v>
      </c>
    </row>
    <row r="1918" spans="1:11" x14ac:dyDescent="0.55000000000000004">
      <c r="A1918" t="s">
        <v>3885</v>
      </c>
      <c r="B1918">
        <v>101438</v>
      </c>
      <c r="C1918" t="s">
        <v>248</v>
      </c>
      <c r="D1918" s="3">
        <v>45802</v>
      </c>
      <c r="E1918" t="s">
        <v>69</v>
      </c>
      <c r="F1918" t="s">
        <v>3886</v>
      </c>
      <c r="G1918" t="s">
        <v>22</v>
      </c>
      <c r="H1918" t="s">
        <v>3887</v>
      </c>
      <c r="I1918" t="s">
        <v>3888</v>
      </c>
      <c r="J1918" s="4">
        <v>46063.7757905787</v>
      </c>
    </row>
    <row r="1919" spans="1:11" x14ac:dyDescent="0.55000000000000004">
      <c r="A1919" t="s">
        <v>3889</v>
      </c>
      <c r="B1919">
        <v>100713</v>
      </c>
      <c r="C1919" t="s">
        <v>68</v>
      </c>
      <c r="D1919" s="3">
        <v>45747</v>
      </c>
      <c r="E1919" t="s">
        <v>155</v>
      </c>
      <c r="F1919" t="s">
        <v>3890</v>
      </c>
      <c r="G1919" t="s">
        <v>15</v>
      </c>
      <c r="H1919" t="s">
        <v>3891</v>
      </c>
      <c r="I1919" t="s">
        <v>3892</v>
      </c>
      <c r="J1919" s="4">
        <v>46092.265373923612</v>
      </c>
    </row>
    <row r="1920" spans="1:11" x14ac:dyDescent="0.55000000000000004">
      <c r="A1920" t="s">
        <v>3889</v>
      </c>
      <c r="B1920">
        <v>100713</v>
      </c>
      <c r="C1920" t="s">
        <v>68</v>
      </c>
      <c r="D1920" s="3">
        <v>45747</v>
      </c>
      <c r="E1920" t="s">
        <v>115</v>
      </c>
      <c r="F1920" t="s">
        <v>3890</v>
      </c>
      <c r="G1920" t="s">
        <v>15</v>
      </c>
      <c r="H1920" t="s">
        <v>3891</v>
      </c>
      <c r="I1920" t="s">
        <v>3892</v>
      </c>
      <c r="J1920" s="4">
        <v>46092.265373923612</v>
      </c>
    </row>
    <row r="1921" spans="1:10" x14ac:dyDescent="0.55000000000000004">
      <c r="A1921" t="s">
        <v>3893</v>
      </c>
      <c r="B1921">
        <v>101454</v>
      </c>
      <c r="C1921" t="s">
        <v>68</v>
      </c>
      <c r="D1921" s="3">
        <v>45937</v>
      </c>
      <c r="E1921" t="s">
        <v>69</v>
      </c>
      <c r="F1921" t="s">
        <v>3894</v>
      </c>
      <c r="G1921" t="s">
        <v>15</v>
      </c>
      <c r="H1921" t="s">
        <v>3895</v>
      </c>
      <c r="I1921" t="s">
        <v>3896</v>
      </c>
      <c r="J1921" s="4">
        <v>46072.693846145834</v>
      </c>
    </row>
    <row r="1922" spans="1:10" x14ac:dyDescent="0.55000000000000004">
      <c r="A1922" t="s">
        <v>3897</v>
      </c>
      <c r="B1922">
        <v>100199</v>
      </c>
      <c r="C1922" t="s">
        <v>533</v>
      </c>
      <c r="D1922" s="3">
        <v>46026</v>
      </c>
      <c r="E1922" t="s">
        <v>317</v>
      </c>
      <c r="F1922" t="s">
        <v>3898</v>
      </c>
      <c r="G1922" t="s">
        <v>22</v>
      </c>
      <c r="H1922" t="s">
        <v>3899</v>
      </c>
      <c r="I1922" t="s">
        <v>3900</v>
      </c>
      <c r="J1922" s="4">
        <v>46071.174401701392</v>
      </c>
    </row>
    <row r="1923" spans="1:10" x14ac:dyDescent="0.55000000000000004">
      <c r="A1923" t="s">
        <v>3901</v>
      </c>
      <c r="B1923">
        <v>100589</v>
      </c>
      <c r="C1923" t="s">
        <v>19</v>
      </c>
      <c r="D1923" s="3">
        <v>45887</v>
      </c>
      <c r="E1923" t="s">
        <v>317</v>
      </c>
      <c r="F1923" t="s">
        <v>3902</v>
      </c>
      <c r="G1923" t="s">
        <v>15</v>
      </c>
      <c r="H1923" t="s">
        <v>3903</v>
      </c>
      <c r="I1923" t="s">
        <v>3904</v>
      </c>
      <c r="J1923" s="4">
        <v>46079.995929490738</v>
      </c>
    </row>
    <row r="1924" spans="1:10" x14ac:dyDescent="0.55000000000000004">
      <c r="A1924" t="s">
        <v>3901</v>
      </c>
      <c r="B1924">
        <v>100589</v>
      </c>
      <c r="C1924" t="s">
        <v>19</v>
      </c>
      <c r="D1924" s="3">
        <v>45887</v>
      </c>
      <c r="E1924" t="s">
        <v>38</v>
      </c>
      <c r="F1924" t="s">
        <v>3902</v>
      </c>
      <c r="G1924" t="s">
        <v>15</v>
      </c>
      <c r="H1924" t="s">
        <v>3903</v>
      </c>
      <c r="I1924" t="s">
        <v>3904</v>
      </c>
      <c r="J1924" s="4">
        <v>46079.995929490738</v>
      </c>
    </row>
    <row r="1925" spans="1:10" x14ac:dyDescent="0.55000000000000004">
      <c r="A1925" t="s">
        <v>3901</v>
      </c>
      <c r="B1925">
        <v>100589</v>
      </c>
      <c r="C1925" t="s">
        <v>19</v>
      </c>
      <c r="D1925" s="3">
        <v>45887</v>
      </c>
      <c r="E1925" t="s">
        <v>20</v>
      </c>
      <c r="F1925" t="s">
        <v>3902</v>
      </c>
      <c r="G1925" t="s">
        <v>15</v>
      </c>
      <c r="H1925" t="s">
        <v>3903</v>
      </c>
      <c r="I1925" t="s">
        <v>3904</v>
      </c>
      <c r="J1925" s="4">
        <v>46079.995929490738</v>
      </c>
    </row>
    <row r="1926" spans="1:10" x14ac:dyDescent="0.55000000000000004">
      <c r="A1926" t="s">
        <v>3905</v>
      </c>
      <c r="B1926">
        <v>101392</v>
      </c>
      <c r="C1926" t="s">
        <v>19</v>
      </c>
      <c r="D1926" s="3">
        <v>45807</v>
      </c>
      <c r="E1926" t="s">
        <v>317</v>
      </c>
      <c r="F1926" t="s">
        <v>3906</v>
      </c>
      <c r="G1926" t="s">
        <v>22</v>
      </c>
      <c r="H1926" t="s">
        <v>3907</v>
      </c>
      <c r="I1926" t="s">
        <v>3908</v>
      </c>
      <c r="J1926" s="4">
        <v>46053.254957268517</v>
      </c>
    </row>
    <row r="1927" spans="1:10" x14ac:dyDescent="0.55000000000000004">
      <c r="A1927" t="s">
        <v>3905</v>
      </c>
      <c r="B1927">
        <v>101392</v>
      </c>
      <c r="C1927" t="s">
        <v>19</v>
      </c>
      <c r="D1927" s="3">
        <v>45807</v>
      </c>
      <c r="E1927" t="s">
        <v>115</v>
      </c>
      <c r="F1927" t="s">
        <v>3906</v>
      </c>
      <c r="G1927" t="s">
        <v>22</v>
      </c>
      <c r="H1927" t="s">
        <v>3907</v>
      </c>
      <c r="I1927" t="s">
        <v>3908</v>
      </c>
      <c r="J1927" s="4">
        <v>46053.254957268517</v>
      </c>
    </row>
    <row r="1928" spans="1:10" x14ac:dyDescent="0.55000000000000004">
      <c r="A1928" t="s">
        <v>3905</v>
      </c>
      <c r="B1928">
        <v>101392</v>
      </c>
      <c r="C1928" t="s">
        <v>19</v>
      </c>
      <c r="D1928" s="3">
        <v>45807</v>
      </c>
      <c r="E1928" t="s">
        <v>69</v>
      </c>
      <c r="F1928" t="s">
        <v>3906</v>
      </c>
      <c r="G1928" t="s">
        <v>22</v>
      </c>
      <c r="H1928" t="s">
        <v>3907</v>
      </c>
      <c r="I1928" t="s">
        <v>3908</v>
      </c>
      <c r="J1928" s="4">
        <v>46053.254957268517</v>
      </c>
    </row>
    <row r="1929" spans="1:10" x14ac:dyDescent="0.55000000000000004">
      <c r="A1929" t="s">
        <v>3909</v>
      </c>
      <c r="B1929">
        <v>101480</v>
      </c>
      <c r="C1929" t="s">
        <v>179</v>
      </c>
      <c r="D1929" s="3">
        <v>46129</v>
      </c>
      <c r="E1929" t="s">
        <v>20</v>
      </c>
      <c r="F1929" t="s">
        <v>3910</v>
      </c>
      <c r="G1929" t="s">
        <v>15</v>
      </c>
      <c r="H1929" t="s">
        <v>3911</v>
      </c>
      <c r="I1929" t="s">
        <v>3912</v>
      </c>
      <c r="J1929" s="4">
        <v>46094.982040613424</v>
      </c>
    </row>
    <row r="1930" spans="1:10" x14ac:dyDescent="0.55000000000000004">
      <c r="A1930" t="s">
        <v>3913</v>
      </c>
      <c r="B1930">
        <v>100424</v>
      </c>
      <c r="C1930" t="s">
        <v>68</v>
      </c>
      <c r="D1930" s="3">
        <v>45931</v>
      </c>
      <c r="E1930" t="s">
        <v>317</v>
      </c>
      <c r="F1930" t="s">
        <v>3914</v>
      </c>
      <c r="G1930" t="s">
        <v>15</v>
      </c>
      <c r="H1930" t="s">
        <v>3915</v>
      </c>
      <c r="I1930" t="s">
        <v>3916</v>
      </c>
      <c r="J1930" s="4">
        <v>46092.018846168983</v>
      </c>
    </row>
    <row r="1931" spans="1:10" x14ac:dyDescent="0.55000000000000004">
      <c r="A1931" t="s">
        <v>3913</v>
      </c>
      <c r="B1931">
        <v>100424</v>
      </c>
      <c r="C1931" t="s">
        <v>68</v>
      </c>
      <c r="D1931" s="3">
        <v>45931</v>
      </c>
      <c r="E1931" t="s">
        <v>20</v>
      </c>
      <c r="F1931" t="s">
        <v>3914</v>
      </c>
      <c r="G1931" t="s">
        <v>15</v>
      </c>
      <c r="H1931" t="s">
        <v>3915</v>
      </c>
      <c r="I1931" t="s">
        <v>3916</v>
      </c>
      <c r="J1931" s="4">
        <v>46092.018846168983</v>
      </c>
    </row>
    <row r="1932" spans="1:10" x14ac:dyDescent="0.55000000000000004">
      <c r="A1932" t="s">
        <v>3913</v>
      </c>
      <c r="B1932">
        <v>100424</v>
      </c>
      <c r="C1932" t="s">
        <v>68</v>
      </c>
      <c r="D1932" s="3">
        <v>45931</v>
      </c>
      <c r="E1932" t="s">
        <v>115</v>
      </c>
      <c r="F1932" t="s">
        <v>3914</v>
      </c>
      <c r="G1932" t="s">
        <v>15</v>
      </c>
      <c r="H1932" t="s">
        <v>3915</v>
      </c>
      <c r="I1932" t="s">
        <v>3916</v>
      </c>
      <c r="J1932" s="4">
        <v>46092.018846168983</v>
      </c>
    </row>
    <row r="1933" spans="1:10" x14ac:dyDescent="0.55000000000000004">
      <c r="A1933" t="s">
        <v>3917</v>
      </c>
      <c r="B1933">
        <v>101072</v>
      </c>
      <c r="C1933" t="s">
        <v>19</v>
      </c>
      <c r="D1933" s="3">
        <v>45891</v>
      </c>
      <c r="E1933" t="s">
        <v>20</v>
      </c>
      <c r="F1933" t="s">
        <v>3918</v>
      </c>
      <c r="G1933" t="s">
        <v>15</v>
      </c>
      <c r="H1933" t="s">
        <v>3919</v>
      </c>
      <c r="I1933" t="s">
        <v>3920</v>
      </c>
      <c r="J1933" s="4">
        <v>46062.903568402777</v>
      </c>
    </row>
    <row r="1934" spans="1:10" x14ac:dyDescent="0.55000000000000004">
      <c r="A1934" t="s">
        <v>3917</v>
      </c>
      <c r="B1934">
        <v>101072</v>
      </c>
      <c r="C1934" t="s">
        <v>19</v>
      </c>
      <c r="D1934" s="3">
        <v>45891</v>
      </c>
      <c r="E1934" t="s">
        <v>155</v>
      </c>
      <c r="F1934" t="s">
        <v>3918</v>
      </c>
      <c r="G1934" t="s">
        <v>15</v>
      </c>
      <c r="H1934" t="s">
        <v>3919</v>
      </c>
      <c r="I1934" t="s">
        <v>3920</v>
      </c>
      <c r="J1934" s="4">
        <v>46062.903568402777</v>
      </c>
    </row>
    <row r="1935" spans="1:10" x14ac:dyDescent="0.55000000000000004">
      <c r="A1935" t="s">
        <v>3917</v>
      </c>
      <c r="B1935">
        <v>101072</v>
      </c>
      <c r="C1935" t="s">
        <v>19</v>
      </c>
      <c r="D1935" s="3">
        <v>45891</v>
      </c>
      <c r="E1935" t="s">
        <v>115</v>
      </c>
      <c r="F1935" t="s">
        <v>3918</v>
      </c>
      <c r="G1935" t="s">
        <v>15</v>
      </c>
      <c r="H1935" t="s">
        <v>3919</v>
      </c>
      <c r="I1935" t="s">
        <v>3920</v>
      </c>
      <c r="J1935" s="4">
        <v>46062.903568402777</v>
      </c>
    </row>
    <row r="1936" spans="1:10" x14ac:dyDescent="0.55000000000000004">
      <c r="A1936" t="s">
        <v>3369</v>
      </c>
      <c r="B1936">
        <v>100074</v>
      </c>
      <c r="C1936" t="s">
        <v>248</v>
      </c>
      <c r="D1936" s="3">
        <v>45855</v>
      </c>
      <c r="E1936" t="s">
        <v>317</v>
      </c>
      <c r="F1936" t="s">
        <v>3921</v>
      </c>
      <c r="G1936" t="s">
        <v>15</v>
      </c>
      <c r="H1936" t="s">
        <v>3922</v>
      </c>
      <c r="I1936" t="s">
        <v>3923</v>
      </c>
      <c r="J1936" s="4">
        <v>46094.216068402777</v>
      </c>
    </row>
    <row r="1937" spans="1:10" x14ac:dyDescent="0.55000000000000004">
      <c r="A1937" t="s">
        <v>3369</v>
      </c>
      <c r="B1937">
        <v>100074</v>
      </c>
      <c r="C1937" t="s">
        <v>248</v>
      </c>
      <c r="D1937" s="3">
        <v>45855</v>
      </c>
      <c r="E1937" t="s">
        <v>69</v>
      </c>
      <c r="F1937" t="s">
        <v>3921</v>
      </c>
      <c r="G1937" t="s">
        <v>15</v>
      </c>
      <c r="H1937" t="s">
        <v>3922</v>
      </c>
      <c r="I1937" t="s">
        <v>3923</v>
      </c>
      <c r="J1937" s="4">
        <v>46094.216068402777</v>
      </c>
    </row>
    <row r="1938" spans="1:10" x14ac:dyDescent="0.55000000000000004">
      <c r="A1938" t="s">
        <v>3924</v>
      </c>
      <c r="B1938">
        <v>100786</v>
      </c>
      <c r="C1938" t="s">
        <v>248</v>
      </c>
      <c r="D1938" s="3">
        <v>46053</v>
      </c>
      <c r="E1938" t="s">
        <v>38</v>
      </c>
      <c r="F1938" t="s">
        <v>3925</v>
      </c>
      <c r="G1938" t="s">
        <v>15</v>
      </c>
      <c r="H1938" t="s">
        <v>3926</v>
      </c>
      <c r="I1938" t="s">
        <v>3927</v>
      </c>
      <c r="J1938" s="4">
        <v>46069.32231841435</v>
      </c>
    </row>
    <row r="1939" spans="1:10" x14ac:dyDescent="0.55000000000000004">
      <c r="A1939" t="s">
        <v>3924</v>
      </c>
      <c r="B1939">
        <v>100786</v>
      </c>
      <c r="C1939" t="s">
        <v>248</v>
      </c>
      <c r="D1939" s="3">
        <v>46053</v>
      </c>
      <c r="E1939" t="s">
        <v>20</v>
      </c>
      <c r="F1939" t="s">
        <v>3925</v>
      </c>
      <c r="G1939" t="s">
        <v>15</v>
      </c>
      <c r="H1939" t="s">
        <v>3926</v>
      </c>
      <c r="I1939" t="s">
        <v>3927</v>
      </c>
      <c r="J1939" s="4">
        <v>46069.32231841435</v>
      </c>
    </row>
    <row r="1940" spans="1:10" x14ac:dyDescent="0.55000000000000004">
      <c r="A1940" t="s">
        <v>3924</v>
      </c>
      <c r="B1940">
        <v>100786</v>
      </c>
      <c r="C1940" t="s">
        <v>248</v>
      </c>
      <c r="D1940" s="3">
        <v>46053</v>
      </c>
      <c r="E1940" t="s">
        <v>155</v>
      </c>
      <c r="F1940" t="s">
        <v>3925</v>
      </c>
      <c r="G1940" t="s">
        <v>15</v>
      </c>
      <c r="H1940" t="s">
        <v>3926</v>
      </c>
      <c r="I1940" t="s">
        <v>3927</v>
      </c>
      <c r="J1940" s="4">
        <v>46069.32231841435</v>
      </c>
    </row>
    <row r="1941" spans="1:10" x14ac:dyDescent="0.55000000000000004">
      <c r="A1941" t="s">
        <v>3928</v>
      </c>
      <c r="B1941">
        <v>100870</v>
      </c>
      <c r="C1941" t="s">
        <v>19</v>
      </c>
      <c r="D1941" s="3">
        <v>46109</v>
      </c>
      <c r="E1941" t="s">
        <v>69</v>
      </c>
      <c r="F1941" t="s">
        <v>3929</v>
      </c>
      <c r="G1941" t="s">
        <v>22</v>
      </c>
      <c r="H1941" t="s">
        <v>3930</v>
      </c>
      <c r="I1941" t="s">
        <v>3931</v>
      </c>
      <c r="J1941" s="4">
        <v>46081.918846192129</v>
      </c>
    </row>
    <row r="1942" spans="1:10" x14ac:dyDescent="0.55000000000000004">
      <c r="A1942" t="s">
        <v>3932</v>
      </c>
      <c r="B1942">
        <v>101073</v>
      </c>
      <c r="C1942" t="s">
        <v>19</v>
      </c>
      <c r="D1942" s="3">
        <v>46097</v>
      </c>
      <c r="E1942" t="s">
        <v>317</v>
      </c>
      <c r="F1942" t="s">
        <v>3933</v>
      </c>
      <c r="G1942" t="s">
        <v>22</v>
      </c>
      <c r="H1942" t="s">
        <v>3934</v>
      </c>
      <c r="I1942" t="s">
        <v>3935</v>
      </c>
      <c r="J1942" s="4">
        <v>46078.341762870368</v>
      </c>
    </row>
    <row r="1943" spans="1:10" x14ac:dyDescent="0.55000000000000004">
      <c r="A1943" t="s">
        <v>3932</v>
      </c>
      <c r="B1943">
        <v>101073</v>
      </c>
      <c r="C1943" t="s">
        <v>19</v>
      </c>
      <c r="D1943" s="3">
        <v>46097</v>
      </c>
      <c r="E1943" t="s">
        <v>38</v>
      </c>
      <c r="F1943" t="s">
        <v>3933</v>
      </c>
      <c r="G1943" t="s">
        <v>22</v>
      </c>
      <c r="H1943" t="s">
        <v>3934</v>
      </c>
      <c r="I1943" t="s">
        <v>3935</v>
      </c>
      <c r="J1943" s="4">
        <v>46078.341762870368</v>
      </c>
    </row>
    <row r="1944" spans="1:10" x14ac:dyDescent="0.55000000000000004">
      <c r="A1944" t="s">
        <v>3932</v>
      </c>
      <c r="B1944">
        <v>101073</v>
      </c>
      <c r="C1944" t="s">
        <v>19</v>
      </c>
      <c r="D1944" s="3">
        <v>46097</v>
      </c>
      <c r="E1944" t="s">
        <v>115</v>
      </c>
      <c r="F1944" t="s">
        <v>3933</v>
      </c>
      <c r="G1944" t="s">
        <v>22</v>
      </c>
      <c r="H1944" t="s">
        <v>3934</v>
      </c>
      <c r="I1944" t="s">
        <v>3935</v>
      </c>
      <c r="J1944" s="4">
        <v>46078.341762870368</v>
      </c>
    </row>
    <row r="1945" spans="1:10" x14ac:dyDescent="0.55000000000000004">
      <c r="A1945" t="s">
        <v>3936</v>
      </c>
      <c r="B1945">
        <v>100486</v>
      </c>
      <c r="C1945" t="s">
        <v>19</v>
      </c>
      <c r="D1945" s="3">
        <v>46076</v>
      </c>
      <c r="E1945" t="s">
        <v>317</v>
      </c>
      <c r="F1945" t="s">
        <v>3937</v>
      </c>
      <c r="G1945" t="s">
        <v>22</v>
      </c>
      <c r="H1945" t="s">
        <v>3938</v>
      </c>
      <c r="I1945" t="s">
        <v>3939</v>
      </c>
      <c r="J1945" s="4">
        <v>46064.393846203704</v>
      </c>
    </row>
    <row r="1946" spans="1:10" x14ac:dyDescent="0.55000000000000004">
      <c r="A1946" t="s">
        <v>3940</v>
      </c>
      <c r="B1946">
        <v>100250</v>
      </c>
      <c r="C1946" t="s">
        <v>533</v>
      </c>
      <c r="D1946" s="3">
        <v>45899</v>
      </c>
      <c r="E1946" t="s">
        <v>38</v>
      </c>
      <c r="F1946" t="s">
        <v>3941</v>
      </c>
      <c r="G1946" t="s">
        <v>22</v>
      </c>
      <c r="H1946" t="s">
        <v>3942</v>
      </c>
      <c r="I1946" t="s">
        <v>3943</v>
      </c>
      <c r="J1946" s="4">
        <v>46091.537596203707</v>
      </c>
    </row>
    <row r="1947" spans="1:10" x14ac:dyDescent="0.55000000000000004">
      <c r="A1947" t="s">
        <v>3940</v>
      </c>
      <c r="B1947">
        <v>100250</v>
      </c>
      <c r="C1947" t="s">
        <v>533</v>
      </c>
      <c r="D1947" s="3">
        <v>45899</v>
      </c>
      <c r="E1947" t="s">
        <v>20</v>
      </c>
      <c r="F1947" t="s">
        <v>3941</v>
      </c>
      <c r="G1947" t="s">
        <v>22</v>
      </c>
      <c r="H1947" t="s">
        <v>3942</v>
      </c>
      <c r="I1947" t="s">
        <v>3943</v>
      </c>
      <c r="J1947" s="4">
        <v>46091.537596203707</v>
      </c>
    </row>
    <row r="1948" spans="1:10" x14ac:dyDescent="0.55000000000000004">
      <c r="A1948" t="s">
        <v>3940</v>
      </c>
      <c r="B1948">
        <v>100250</v>
      </c>
      <c r="C1948" t="s">
        <v>533</v>
      </c>
      <c r="D1948" s="3">
        <v>45899</v>
      </c>
      <c r="E1948" t="s">
        <v>115</v>
      </c>
      <c r="F1948" t="s">
        <v>3941</v>
      </c>
      <c r="G1948" t="s">
        <v>22</v>
      </c>
      <c r="H1948" t="s">
        <v>3942</v>
      </c>
      <c r="I1948" t="s">
        <v>3943</v>
      </c>
      <c r="J1948" s="4">
        <v>46091.537596203707</v>
      </c>
    </row>
    <row r="1949" spans="1:10" x14ac:dyDescent="0.55000000000000004">
      <c r="A1949" t="s">
        <v>3944</v>
      </c>
      <c r="B1949">
        <v>100047</v>
      </c>
      <c r="C1949" t="s">
        <v>179</v>
      </c>
      <c r="D1949" s="3">
        <v>46156</v>
      </c>
      <c r="E1949" t="s">
        <v>317</v>
      </c>
      <c r="F1949" t="s">
        <v>3945</v>
      </c>
      <c r="G1949" t="s">
        <v>15</v>
      </c>
      <c r="H1949" t="s">
        <v>3946</v>
      </c>
      <c r="I1949" t="s">
        <v>3947</v>
      </c>
      <c r="J1949" s="4">
        <v>46070.561207326391</v>
      </c>
    </row>
    <row r="1950" spans="1:10" x14ac:dyDescent="0.55000000000000004">
      <c r="A1950" t="s">
        <v>3944</v>
      </c>
      <c r="B1950">
        <v>100047</v>
      </c>
      <c r="C1950" t="s">
        <v>179</v>
      </c>
      <c r="D1950" s="3">
        <v>46156</v>
      </c>
      <c r="E1950" t="s">
        <v>155</v>
      </c>
      <c r="F1950" t="s">
        <v>3945</v>
      </c>
      <c r="G1950" t="s">
        <v>15</v>
      </c>
      <c r="H1950" t="s">
        <v>3946</v>
      </c>
      <c r="I1950" t="s">
        <v>3947</v>
      </c>
      <c r="J1950" s="4">
        <v>46070.561207326391</v>
      </c>
    </row>
    <row r="1951" spans="1:10" x14ac:dyDescent="0.55000000000000004">
      <c r="A1951" t="s">
        <v>3948</v>
      </c>
      <c r="B1951">
        <v>100025</v>
      </c>
      <c r="C1951" t="s">
        <v>19</v>
      </c>
      <c r="D1951" s="3">
        <v>45841</v>
      </c>
      <c r="E1951" t="s">
        <v>20</v>
      </c>
      <c r="F1951" t="s">
        <v>3949</v>
      </c>
      <c r="G1951" t="s">
        <v>22</v>
      </c>
      <c r="H1951" t="s">
        <v>3950</v>
      </c>
      <c r="I1951" t="s">
        <v>3951</v>
      </c>
      <c r="J1951" s="4">
        <v>46059.951485104168</v>
      </c>
    </row>
    <row r="1952" spans="1:10" x14ac:dyDescent="0.55000000000000004">
      <c r="A1952" t="s">
        <v>3948</v>
      </c>
      <c r="B1952">
        <v>100025</v>
      </c>
      <c r="C1952" t="s">
        <v>19</v>
      </c>
      <c r="D1952" s="3">
        <v>45841</v>
      </c>
      <c r="E1952" t="s">
        <v>155</v>
      </c>
      <c r="F1952" t="s">
        <v>3949</v>
      </c>
      <c r="G1952" t="s">
        <v>22</v>
      </c>
      <c r="H1952" t="s">
        <v>3950</v>
      </c>
      <c r="I1952" t="s">
        <v>3951</v>
      </c>
      <c r="J1952" s="4">
        <v>46059.951485104168</v>
      </c>
    </row>
    <row r="1953" spans="1:10" x14ac:dyDescent="0.55000000000000004">
      <c r="A1953" t="s">
        <v>3952</v>
      </c>
      <c r="B1953">
        <v>101159</v>
      </c>
      <c r="C1953" t="s">
        <v>19</v>
      </c>
      <c r="D1953" s="3">
        <v>46130</v>
      </c>
      <c r="E1953" t="s">
        <v>38</v>
      </c>
      <c r="F1953" t="s">
        <v>3953</v>
      </c>
      <c r="G1953" t="s">
        <v>22</v>
      </c>
      <c r="H1953" t="s">
        <v>3954</v>
      </c>
      <c r="I1953" t="s">
        <v>3955</v>
      </c>
      <c r="J1953" s="4">
        <v>46057.143846226849</v>
      </c>
    </row>
    <row r="1954" spans="1:10" x14ac:dyDescent="0.55000000000000004">
      <c r="A1954" t="s">
        <v>3952</v>
      </c>
      <c r="B1954">
        <v>101159</v>
      </c>
      <c r="C1954" t="s">
        <v>19</v>
      </c>
      <c r="D1954" s="3">
        <v>46130</v>
      </c>
      <c r="E1954" t="s">
        <v>20</v>
      </c>
      <c r="F1954" t="s">
        <v>3953</v>
      </c>
      <c r="G1954" t="s">
        <v>22</v>
      </c>
      <c r="H1954" t="s">
        <v>3954</v>
      </c>
      <c r="I1954" t="s">
        <v>3955</v>
      </c>
      <c r="J1954" s="4">
        <v>46057.143846226849</v>
      </c>
    </row>
    <row r="1955" spans="1:10" x14ac:dyDescent="0.55000000000000004">
      <c r="A1955" t="s">
        <v>3956</v>
      </c>
      <c r="B1955">
        <v>100203</v>
      </c>
      <c r="C1955" t="s">
        <v>179</v>
      </c>
      <c r="D1955" s="3">
        <v>46084</v>
      </c>
      <c r="E1955" t="s">
        <v>317</v>
      </c>
      <c r="F1955" t="s">
        <v>3957</v>
      </c>
      <c r="G1955" t="s">
        <v>15</v>
      </c>
      <c r="H1955" t="s">
        <v>3958</v>
      </c>
      <c r="I1955" t="s">
        <v>3959</v>
      </c>
      <c r="J1955" s="4">
        <v>46088.027179560188</v>
      </c>
    </row>
    <row r="1956" spans="1:10" x14ac:dyDescent="0.55000000000000004">
      <c r="A1956" t="s">
        <v>3956</v>
      </c>
      <c r="B1956">
        <v>100203</v>
      </c>
      <c r="C1956" t="s">
        <v>179</v>
      </c>
      <c r="D1956" s="3">
        <v>46084</v>
      </c>
      <c r="E1956" t="s">
        <v>69</v>
      </c>
      <c r="F1956" t="s">
        <v>3957</v>
      </c>
      <c r="G1956" t="s">
        <v>15</v>
      </c>
      <c r="H1956" t="s">
        <v>3958</v>
      </c>
      <c r="I1956" t="s">
        <v>3959</v>
      </c>
      <c r="J1956" s="4">
        <v>46088.027179560188</v>
      </c>
    </row>
    <row r="1957" spans="1:10" x14ac:dyDescent="0.55000000000000004">
      <c r="A1957" t="s">
        <v>3960</v>
      </c>
      <c r="B1957">
        <v>100825</v>
      </c>
      <c r="C1957" t="s">
        <v>533</v>
      </c>
      <c r="D1957" s="3">
        <v>45980</v>
      </c>
      <c r="E1957" t="s">
        <v>155</v>
      </c>
      <c r="F1957" t="s">
        <v>3961</v>
      </c>
      <c r="G1957" t="s">
        <v>15</v>
      </c>
      <c r="H1957" t="s">
        <v>3962</v>
      </c>
      <c r="I1957" t="s">
        <v>3963</v>
      </c>
      <c r="J1957" s="4">
        <v>46068.073012905093</v>
      </c>
    </row>
    <row r="1958" spans="1:10" x14ac:dyDescent="0.55000000000000004">
      <c r="A1958" t="s">
        <v>3960</v>
      </c>
      <c r="B1958">
        <v>100825</v>
      </c>
      <c r="C1958" t="s">
        <v>533</v>
      </c>
      <c r="D1958" s="3">
        <v>45980</v>
      </c>
      <c r="E1958" t="s">
        <v>115</v>
      </c>
      <c r="F1958" t="s">
        <v>3961</v>
      </c>
      <c r="G1958" t="s">
        <v>15</v>
      </c>
      <c r="H1958" t="s">
        <v>3962</v>
      </c>
      <c r="I1958" t="s">
        <v>3963</v>
      </c>
      <c r="J1958" s="4">
        <v>46068.073012905093</v>
      </c>
    </row>
    <row r="1959" spans="1:10" x14ac:dyDescent="0.55000000000000004">
      <c r="A1959" t="s">
        <v>3960</v>
      </c>
      <c r="B1959">
        <v>100825</v>
      </c>
      <c r="C1959" t="s">
        <v>533</v>
      </c>
      <c r="D1959" s="3">
        <v>45980</v>
      </c>
      <c r="E1959" t="s">
        <v>69</v>
      </c>
      <c r="F1959" t="s">
        <v>3961</v>
      </c>
      <c r="G1959" t="s">
        <v>15</v>
      </c>
      <c r="H1959" t="s">
        <v>3962</v>
      </c>
      <c r="I1959" t="s">
        <v>3963</v>
      </c>
      <c r="J1959" s="4">
        <v>46068.073012905093</v>
      </c>
    </row>
    <row r="1960" spans="1:10" x14ac:dyDescent="0.55000000000000004">
      <c r="A1960" t="s">
        <v>3964</v>
      </c>
      <c r="B1960">
        <v>100230</v>
      </c>
      <c r="C1960" t="s">
        <v>37</v>
      </c>
      <c r="D1960" s="3">
        <v>46114</v>
      </c>
      <c r="E1960" t="s">
        <v>38</v>
      </c>
      <c r="F1960" t="s">
        <v>3965</v>
      </c>
      <c r="G1960" t="s">
        <v>22</v>
      </c>
      <c r="H1960" t="s">
        <v>3966</v>
      </c>
      <c r="I1960" t="s">
        <v>3967</v>
      </c>
      <c r="J1960" s="4">
        <v>46089.890374016206</v>
      </c>
    </row>
    <row r="1961" spans="1:10" x14ac:dyDescent="0.55000000000000004">
      <c r="A1961" t="s">
        <v>3968</v>
      </c>
      <c r="B1961">
        <v>101207</v>
      </c>
      <c r="C1961" t="s">
        <v>179</v>
      </c>
      <c r="D1961" s="3">
        <v>45788</v>
      </c>
      <c r="E1961" t="s">
        <v>20</v>
      </c>
      <c r="F1961" t="s">
        <v>3969</v>
      </c>
      <c r="G1961" t="s">
        <v>22</v>
      </c>
      <c r="H1961" t="s">
        <v>3970</v>
      </c>
      <c r="I1961" t="s">
        <v>3971</v>
      </c>
      <c r="J1961" s="4">
        <v>46095.002874016202</v>
      </c>
    </row>
    <row r="1962" spans="1:10" x14ac:dyDescent="0.55000000000000004">
      <c r="A1962" t="s">
        <v>3972</v>
      </c>
      <c r="B1962">
        <v>100688</v>
      </c>
      <c r="C1962" t="s">
        <v>533</v>
      </c>
      <c r="D1962" s="3">
        <v>45792</v>
      </c>
      <c r="E1962" t="s">
        <v>317</v>
      </c>
      <c r="F1962" t="s">
        <v>3973</v>
      </c>
      <c r="G1962" t="s">
        <v>22</v>
      </c>
      <c r="H1962" t="s">
        <v>3974</v>
      </c>
      <c r="I1962" t="s">
        <v>3975</v>
      </c>
      <c r="J1962" s="4">
        <v>46079.054957361113</v>
      </c>
    </row>
    <row r="1963" spans="1:10" x14ac:dyDescent="0.55000000000000004">
      <c r="A1963" t="s">
        <v>3972</v>
      </c>
      <c r="B1963">
        <v>100688</v>
      </c>
      <c r="C1963" t="s">
        <v>533</v>
      </c>
      <c r="D1963" s="3">
        <v>45792</v>
      </c>
      <c r="E1963" t="s">
        <v>20</v>
      </c>
      <c r="F1963" t="s">
        <v>3973</v>
      </c>
      <c r="G1963" t="s">
        <v>22</v>
      </c>
      <c r="H1963" t="s">
        <v>3974</v>
      </c>
      <c r="I1963" t="s">
        <v>3975</v>
      </c>
      <c r="J1963" s="4">
        <v>46079.054957361113</v>
      </c>
    </row>
    <row r="1964" spans="1:10" x14ac:dyDescent="0.55000000000000004">
      <c r="A1964" t="s">
        <v>3976</v>
      </c>
      <c r="B1964">
        <v>100240</v>
      </c>
      <c r="C1964" t="s">
        <v>37</v>
      </c>
      <c r="D1964" s="3">
        <v>46137</v>
      </c>
      <c r="E1964" t="s">
        <v>115</v>
      </c>
      <c r="F1964" t="s">
        <v>3977</v>
      </c>
      <c r="G1964" t="s">
        <v>22</v>
      </c>
      <c r="H1964" t="s">
        <v>3978</v>
      </c>
      <c r="I1964" t="s">
        <v>3979</v>
      </c>
      <c r="J1964" s="4">
        <v>46094.312596249998</v>
      </c>
    </row>
    <row r="1965" spans="1:10" x14ac:dyDescent="0.55000000000000004">
      <c r="A1965" t="s">
        <v>3980</v>
      </c>
      <c r="B1965">
        <v>100769</v>
      </c>
      <c r="C1965" t="s">
        <v>68</v>
      </c>
      <c r="D1965" s="3">
        <v>45842</v>
      </c>
      <c r="E1965" t="s">
        <v>317</v>
      </c>
      <c r="F1965" t="s">
        <v>3981</v>
      </c>
      <c r="G1965" t="s">
        <v>22</v>
      </c>
      <c r="H1965" t="s">
        <v>3982</v>
      </c>
      <c r="I1965" t="s">
        <v>3983</v>
      </c>
      <c r="J1965" s="4">
        <v>46097.572318483799</v>
      </c>
    </row>
    <row r="1966" spans="1:10" x14ac:dyDescent="0.55000000000000004">
      <c r="A1966" t="s">
        <v>3984</v>
      </c>
      <c r="B1966">
        <v>100974</v>
      </c>
      <c r="C1966" t="s">
        <v>19</v>
      </c>
      <c r="D1966" s="3">
        <v>45910</v>
      </c>
      <c r="E1966" t="s">
        <v>155</v>
      </c>
      <c r="F1966" t="s">
        <v>3985</v>
      </c>
      <c r="G1966" t="s">
        <v>22</v>
      </c>
      <c r="H1966" t="s">
        <v>3986</v>
      </c>
      <c r="I1966" t="s">
        <v>3987</v>
      </c>
      <c r="J1966" s="4">
        <v>46066.931346261576</v>
      </c>
    </row>
    <row r="1967" spans="1:10" x14ac:dyDescent="0.55000000000000004">
      <c r="A1967" t="s">
        <v>3988</v>
      </c>
      <c r="B1967">
        <v>100838</v>
      </c>
      <c r="C1967" t="s">
        <v>68</v>
      </c>
      <c r="D1967" s="3">
        <v>46021</v>
      </c>
      <c r="E1967" t="s">
        <v>20</v>
      </c>
      <c r="F1967" t="s">
        <v>3989</v>
      </c>
      <c r="G1967" t="s">
        <v>22</v>
      </c>
      <c r="H1967" t="s">
        <v>3990</v>
      </c>
      <c r="I1967" t="s">
        <v>3991</v>
      </c>
      <c r="J1967" s="4">
        <v>46059.557735162038</v>
      </c>
    </row>
    <row r="1968" spans="1:10" x14ac:dyDescent="0.55000000000000004">
      <c r="A1968" t="s">
        <v>3988</v>
      </c>
      <c r="B1968">
        <v>100838</v>
      </c>
      <c r="C1968" t="s">
        <v>68</v>
      </c>
      <c r="D1968" s="3">
        <v>46021</v>
      </c>
      <c r="E1968" t="s">
        <v>69</v>
      </c>
      <c r="F1968" t="s">
        <v>3989</v>
      </c>
      <c r="G1968" t="s">
        <v>22</v>
      </c>
      <c r="H1968" t="s">
        <v>3990</v>
      </c>
      <c r="I1968" t="s">
        <v>3991</v>
      </c>
      <c r="J1968" s="4">
        <v>46059.557735162038</v>
      </c>
    </row>
    <row r="1969" spans="1:10" x14ac:dyDescent="0.55000000000000004">
      <c r="A1969" t="s">
        <v>3992</v>
      </c>
      <c r="B1969">
        <v>100095</v>
      </c>
      <c r="C1969" t="s">
        <v>533</v>
      </c>
      <c r="D1969" s="3">
        <v>45990</v>
      </c>
      <c r="E1969" t="s">
        <v>317</v>
      </c>
      <c r="F1969" t="s">
        <v>3993</v>
      </c>
      <c r="G1969" t="s">
        <v>15</v>
      </c>
      <c r="H1969" t="s">
        <v>3994</v>
      </c>
      <c r="I1969" t="s">
        <v>3995</v>
      </c>
      <c r="J1969" s="4">
        <v>46077.619540717591</v>
      </c>
    </row>
    <row r="1970" spans="1:10" x14ac:dyDescent="0.55000000000000004">
      <c r="A1970" t="s">
        <v>3992</v>
      </c>
      <c r="B1970">
        <v>100095</v>
      </c>
      <c r="C1970" t="s">
        <v>533</v>
      </c>
      <c r="D1970" s="3">
        <v>45990</v>
      </c>
      <c r="E1970" t="s">
        <v>38</v>
      </c>
      <c r="F1970" t="s">
        <v>3993</v>
      </c>
      <c r="G1970" t="s">
        <v>15</v>
      </c>
      <c r="H1970" t="s">
        <v>3994</v>
      </c>
      <c r="I1970" t="s">
        <v>3995</v>
      </c>
      <c r="J1970" s="4">
        <v>46077.619540717591</v>
      </c>
    </row>
    <row r="1971" spans="1:10" x14ac:dyDescent="0.55000000000000004">
      <c r="A1971" t="s">
        <v>3992</v>
      </c>
      <c r="B1971">
        <v>100095</v>
      </c>
      <c r="C1971" t="s">
        <v>533</v>
      </c>
      <c r="D1971" s="3">
        <v>45990</v>
      </c>
      <c r="E1971" t="s">
        <v>69</v>
      </c>
      <c r="F1971" t="s">
        <v>3993</v>
      </c>
      <c r="G1971" t="s">
        <v>15</v>
      </c>
      <c r="H1971" t="s">
        <v>3994</v>
      </c>
      <c r="I1971" t="s">
        <v>3995</v>
      </c>
      <c r="J1971" s="4">
        <v>46077.619540717591</v>
      </c>
    </row>
    <row r="1972" spans="1:10" x14ac:dyDescent="0.55000000000000004">
      <c r="A1972" t="s">
        <v>3996</v>
      </c>
      <c r="B1972">
        <v>100343</v>
      </c>
      <c r="C1972" t="s">
        <v>19</v>
      </c>
      <c r="D1972" s="3">
        <v>46072</v>
      </c>
      <c r="E1972" t="s">
        <v>317</v>
      </c>
      <c r="F1972" t="s">
        <v>3997</v>
      </c>
      <c r="G1972" t="s">
        <v>22</v>
      </c>
      <c r="H1972" t="s">
        <v>3998</v>
      </c>
      <c r="I1972" t="s">
        <v>3999</v>
      </c>
      <c r="J1972" s="4">
        <v>46075.977179618058</v>
      </c>
    </row>
    <row r="1973" spans="1:10" x14ac:dyDescent="0.55000000000000004">
      <c r="A1973" t="s">
        <v>3996</v>
      </c>
      <c r="B1973">
        <v>100343</v>
      </c>
      <c r="C1973" t="s">
        <v>19</v>
      </c>
      <c r="D1973" s="3">
        <v>46072</v>
      </c>
      <c r="E1973" t="s">
        <v>115</v>
      </c>
      <c r="F1973" t="s">
        <v>3997</v>
      </c>
      <c r="G1973" t="s">
        <v>22</v>
      </c>
      <c r="H1973" t="s">
        <v>3998</v>
      </c>
      <c r="I1973" t="s">
        <v>3999</v>
      </c>
      <c r="J1973" s="4">
        <v>46075.977179618058</v>
      </c>
    </row>
    <row r="1974" spans="1:10" x14ac:dyDescent="0.55000000000000004">
      <c r="A1974" t="s">
        <v>3996</v>
      </c>
      <c r="B1974">
        <v>100343</v>
      </c>
      <c r="C1974" t="s">
        <v>19</v>
      </c>
      <c r="D1974" s="3">
        <v>46072</v>
      </c>
      <c r="E1974" t="s">
        <v>69</v>
      </c>
      <c r="F1974" t="s">
        <v>3997</v>
      </c>
      <c r="G1974" t="s">
        <v>22</v>
      </c>
      <c r="H1974" t="s">
        <v>3998</v>
      </c>
      <c r="I1974" t="s">
        <v>3999</v>
      </c>
      <c r="J1974" s="4">
        <v>46075.977179618058</v>
      </c>
    </row>
    <row r="1975" spans="1:10" x14ac:dyDescent="0.55000000000000004">
      <c r="A1975" t="s">
        <v>4000</v>
      </c>
      <c r="B1975">
        <v>100634</v>
      </c>
      <c r="C1975" t="s">
        <v>37</v>
      </c>
      <c r="D1975" s="3">
        <v>46075</v>
      </c>
      <c r="E1975" t="s">
        <v>317</v>
      </c>
      <c r="F1975" t="s">
        <v>4001</v>
      </c>
      <c r="G1975" t="s">
        <v>15</v>
      </c>
      <c r="H1975" t="s">
        <v>4002</v>
      </c>
      <c r="I1975" t="s">
        <v>4003</v>
      </c>
      <c r="J1975" s="4">
        <v>46087.711207395834</v>
      </c>
    </row>
    <row r="1976" spans="1:10" x14ac:dyDescent="0.55000000000000004">
      <c r="A1976" t="s">
        <v>4000</v>
      </c>
      <c r="B1976">
        <v>100634</v>
      </c>
      <c r="C1976" t="s">
        <v>37</v>
      </c>
      <c r="D1976" s="3">
        <v>46075</v>
      </c>
      <c r="E1976" t="s">
        <v>20</v>
      </c>
      <c r="F1976" t="s">
        <v>4001</v>
      </c>
      <c r="G1976" t="s">
        <v>15</v>
      </c>
      <c r="H1976" t="s">
        <v>4002</v>
      </c>
      <c r="I1976" t="s">
        <v>4003</v>
      </c>
      <c r="J1976" s="4">
        <v>46087.711207395834</v>
      </c>
    </row>
    <row r="1977" spans="1:10" x14ac:dyDescent="0.55000000000000004">
      <c r="A1977" t="s">
        <v>4004</v>
      </c>
      <c r="B1977">
        <v>100648</v>
      </c>
      <c r="C1977" t="s">
        <v>19</v>
      </c>
      <c r="D1977" s="3">
        <v>46054</v>
      </c>
      <c r="E1977" t="s">
        <v>38</v>
      </c>
      <c r="F1977" t="s">
        <v>4005</v>
      </c>
      <c r="G1977" t="s">
        <v>15</v>
      </c>
      <c r="H1977" t="s">
        <v>4006</v>
      </c>
      <c r="I1977" t="s">
        <v>4007</v>
      </c>
      <c r="J1977" s="4">
        <v>46084.866068506948</v>
      </c>
    </row>
    <row r="1978" spans="1:10" x14ac:dyDescent="0.55000000000000004">
      <c r="A1978" t="s">
        <v>4004</v>
      </c>
      <c r="B1978">
        <v>100648</v>
      </c>
      <c r="C1978" t="s">
        <v>19</v>
      </c>
      <c r="D1978" s="3">
        <v>46054</v>
      </c>
      <c r="E1978" t="s">
        <v>20</v>
      </c>
      <c r="F1978" t="s">
        <v>4005</v>
      </c>
      <c r="G1978" t="s">
        <v>15</v>
      </c>
      <c r="H1978" t="s">
        <v>4006</v>
      </c>
      <c r="I1978" t="s">
        <v>4007</v>
      </c>
      <c r="J1978" s="4">
        <v>46084.866068506948</v>
      </c>
    </row>
    <row r="1979" spans="1:10" x14ac:dyDescent="0.55000000000000004">
      <c r="A1979" t="s">
        <v>4004</v>
      </c>
      <c r="B1979">
        <v>100648</v>
      </c>
      <c r="C1979" t="s">
        <v>19</v>
      </c>
      <c r="D1979" s="3">
        <v>46054</v>
      </c>
      <c r="E1979" t="s">
        <v>155</v>
      </c>
      <c r="F1979" t="s">
        <v>4005</v>
      </c>
      <c r="G1979" t="s">
        <v>15</v>
      </c>
      <c r="H1979" t="s">
        <v>4006</v>
      </c>
      <c r="I1979" t="s">
        <v>4007</v>
      </c>
      <c r="J1979" s="4">
        <v>46084.866068506948</v>
      </c>
    </row>
    <row r="1980" spans="1:10" x14ac:dyDescent="0.55000000000000004">
      <c r="A1980" t="s">
        <v>4008</v>
      </c>
      <c r="B1980">
        <v>100679</v>
      </c>
      <c r="C1980" t="s">
        <v>19</v>
      </c>
      <c r="D1980" s="3">
        <v>46027</v>
      </c>
      <c r="E1980" t="s">
        <v>38</v>
      </c>
      <c r="F1980" t="s">
        <v>4009</v>
      </c>
      <c r="G1980" t="s">
        <v>15</v>
      </c>
      <c r="H1980" t="s">
        <v>4010</v>
      </c>
      <c r="I1980" t="s">
        <v>4011</v>
      </c>
      <c r="J1980" s="4">
        <v>46067.031346296295</v>
      </c>
    </row>
    <row r="1981" spans="1:10" x14ac:dyDescent="0.55000000000000004">
      <c r="A1981" t="s">
        <v>4012</v>
      </c>
      <c r="B1981">
        <v>100527</v>
      </c>
      <c r="C1981" t="s">
        <v>37</v>
      </c>
      <c r="D1981" s="3">
        <v>45793</v>
      </c>
      <c r="E1981" t="s">
        <v>38</v>
      </c>
      <c r="F1981" t="s">
        <v>4013</v>
      </c>
      <c r="G1981" t="s">
        <v>22</v>
      </c>
      <c r="H1981" t="s">
        <v>4014</v>
      </c>
      <c r="I1981" t="s">
        <v>4015</v>
      </c>
      <c r="J1981" s="4">
        <v>46084.397318518517</v>
      </c>
    </row>
    <row r="1982" spans="1:10" x14ac:dyDescent="0.55000000000000004">
      <c r="A1982" t="s">
        <v>4012</v>
      </c>
      <c r="B1982">
        <v>100527</v>
      </c>
      <c r="C1982" t="s">
        <v>37</v>
      </c>
      <c r="D1982" s="3">
        <v>45793</v>
      </c>
      <c r="E1982" t="s">
        <v>155</v>
      </c>
      <c r="F1982" t="s">
        <v>4013</v>
      </c>
      <c r="G1982" t="s">
        <v>22</v>
      </c>
      <c r="H1982" t="s">
        <v>4014</v>
      </c>
      <c r="I1982" t="s">
        <v>4015</v>
      </c>
      <c r="J1982" s="4">
        <v>46084.397318518517</v>
      </c>
    </row>
    <row r="1983" spans="1:10" x14ac:dyDescent="0.55000000000000004">
      <c r="A1983" t="s">
        <v>4012</v>
      </c>
      <c r="B1983">
        <v>100527</v>
      </c>
      <c r="C1983" t="s">
        <v>37</v>
      </c>
      <c r="D1983" s="3">
        <v>45793</v>
      </c>
      <c r="E1983" t="s">
        <v>115</v>
      </c>
      <c r="F1983" t="s">
        <v>4013</v>
      </c>
      <c r="G1983" t="s">
        <v>22</v>
      </c>
      <c r="H1983" t="s">
        <v>4014</v>
      </c>
      <c r="I1983" t="s">
        <v>4015</v>
      </c>
      <c r="J1983" s="4">
        <v>46084.397318518517</v>
      </c>
    </row>
    <row r="1984" spans="1:10" x14ac:dyDescent="0.55000000000000004">
      <c r="A1984" t="s">
        <v>4016</v>
      </c>
      <c r="B1984">
        <v>100290</v>
      </c>
      <c r="C1984" t="s">
        <v>19</v>
      </c>
      <c r="D1984" s="3">
        <v>45959</v>
      </c>
      <c r="E1984" t="s">
        <v>38</v>
      </c>
      <c r="F1984" t="s">
        <v>4017</v>
      </c>
      <c r="G1984" t="s">
        <v>22</v>
      </c>
      <c r="H1984" t="s">
        <v>4018</v>
      </c>
      <c r="I1984" t="s">
        <v>4019</v>
      </c>
      <c r="J1984" s="4">
        <v>46071.908429641204</v>
      </c>
    </row>
    <row r="1985" spans="1:10" x14ac:dyDescent="0.55000000000000004">
      <c r="A1985" t="s">
        <v>4020</v>
      </c>
      <c r="B1985">
        <v>100086</v>
      </c>
      <c r="C1985" t="s">
        <v>37</v>
      </c>
      <c r="D1985" s="3">
        <v>45983</v>
      </c>
      <c r="E1985" t="s">
        <v>20</v>
      </c>
      <c r="F1985" t="s">
        <v>4021</v>
      </c>
      <c r="G1985" t="s">
        <v>22</v>
      </c>
      <c r="H1985" t="s">
        <v>4022</v>
      </c>
      <c r="I1985" t="s">
        <v>4023</v>
      </c>
      <c r="J1985" s="4">
        <v>46086.156346307871</v>
      </c>
    </row>
    <row r="1986" spans="1:10" x14ac:dyDescent="0.55000000000000004">
      <c r="A1986" t="s">
        <v>4024</v>
      </c>
      <c r="B1986">
        <v>100674</v>
      </c>
      <c r="C1986" t="s">
        <v>37</v>
      </c>
      <c r="D1986" s="3">
        <v>46002</v>
      </c>
      <c r="E1986" t="s">
        <v>20</v>
      </c>
      <c r="F1986" t="s">
        <v>4025</v>
      </c>
      <c r="G1986" t="s">
        <v>15</v>
      </c>
      <c r="H1986" t="s">
        <v>4026</v>
      </c>
      <c r="I1986" t="s">
        <v>4027</v>
      </c>
      <c r="J1986" s="4">
        <v>46090.604957430558</v>
      </c>
    </row>
    <row r="1987" spans="1:10" x14ac:dyDescent="0.55000000000000004">
      <c r="A1987" t="s">
        <v>4024</v>
      </c>
      <c r="B1987">
        <v>100674</v>
      </c>
      <c r="C1987" t="s">
        <v>37</v>
      </c>
      <c r="D1987" s="3">
        <v>46002</v>
      </c>
      <c r="E1987" t="s">
        <v>69</v>
      </c>
      <c r="F1987" t="s">
        <v>4025</v>
      </c>
      <c r="G1987" t="s">
        <v>15</v>
      </c>
      <c r="H1987" t="s">
        <v>4026</v>
      </c>
      <c r="I1987" t="s">
        <v>4027</v>
      </c>
      <c r="J1987" s="4">
        <v>46090.604957430558</v>
      </c>
    </row>
    <row r="1988" spans="1:10" x14ac:dyDescent="0.55000000000000004">
      <c r="A1988" t="s">
        <v>4028</v>
      </c>
      <c r="B1988">
        <v>100173</v>
      </c>
      <c r="C1988" t="s">
        <v>19</v>
      </c>
      <c r="D1988" s="3">
        <v>45818</v>
      </c>
      <c r="E1988" t="s">
        <v>317</v>
      </c>
      <c r="F1988" t="s">
        <v>4029</v>
      </c>
      <c r="G1988" t="s">
        <v>22</v>
      </c>
      <c r="H1988" t="s">
        <v>4030</v>
      </c>
      <c r="I1988" t="s">
        <v>4031</v>
      </c>
      <c r="J1988" s="4">
        <v>46092.527179652781</v>
      </c>
    </row>
    <row r="1989" spans="1:10" x14ac:dyDescent="0.55000000000000004">
      <c r="A1989" t="s">
        <v>4028</v>
      </c>
      <c r="B1989">
        <v>100173</v>
      </c>
      <c r="C1989" t="s">
        <v>19</v>
      </c>
      <c r="D1989" s="3">
        <v>45818</v>
      </c>
      <c r="E1989" t="s">
        <v>115</v>
      </c>
      <c r="F1989" t="s">
        <v>4029</v>
      </c>
      <c r="G1989" t="s">
        <v>22</v>
      </c>
      <c r="H1989" t="s">
        <v>4030</v>
      </c>
      <c r="I1989" t="s">
        <v>4031</v>
      </c>
      <c r="J1989" s="4">
        <v>46092.527179652781</v>
      </c>
    </row>
    <row r="1990" spans="1:10" x14ac:dyDescent="0.55000000000000004">
      <c r="A1990" t="s">
        <v>4032</v>
      </c>
      <c r="B1990">
        <v>100753</v>
      </c>
      <c r="C1990" t="s">
        <v>68</v>
      </c>
      <c r="D1990" s="3">
        <v>45940</v>
      </c>
      <c r="E1990" t="s">
        <v>20</v>
      </c>
      <c r="F1990" t="s">
        <v>4033</v>
      </c>
      <c r="G1990" t="s">
        <v>15</v>
      </c>
      <c r="H1990" t="s">
        <v>4034</v>
      </c>
      <c r="I1990" t="s">
        <v>4035</v>
      </c>
      <c r="J1990" s="4">
        <v>46096.663290763892</v>
      </c>
    </row>
    <row r="1991" spans="1:10" x14ac:dyDescent="0.55000000000000004">
      <c r="A1991" t="s">
        <v>4032</v>
      </c>
      <c r="B1991">
        <v>100753</v>
      </c>
      <c r="C1991" t="s">
        <v>68</v>
      </c>
      <c r="D1991" s="3">
        <v>45940</v>
      </c>
      <c r="E1991" t="s">
        <v>155</v>
      </c>
      <c r="F1991" t="s">
        <v>4033</v>
      </c>
      <c r="G1991" t="s">
        <v>15</v>
      </c>
      <c r="H1991" t="s">
        <v>4034</v>
      </c>
      <c r="I1991" t="s">
        <v>4035</v>
      </c>
      <c r="J1991" s="4">
        <v>46096.663290763892</v>
      </c>
    </row>
    <row r="1992" spans="1:10" x14ac:dyDescent="0.55000000000000004">
      <c r="A1992" t="s">
        <v>4032</v>
      </c>
      <c r="B1992">
        <v>100753</v>
      </c>
      <c r="C1992" t="s">
        <v>68</v>
      </c>
      <c r="D1992" s="3">
        <v>45940</v>
      </c>
      <c r="E1992" t="s">
        <v>115</v>
      </c>
      <c r="F1992" t="s">
        <v>4033</v>
      </c>
      <c r="G1992" t="s">
        <v>15</v>
      </c>
      <c r="H1992" t="s">
        <v>4034</v>
      </c>
      <c r="I1992" t="s">
        <v>4035</v>
      </c>
      <c r="J1992" s="4">
        <v>46096.663290763892</v>
      </c>
    </row>
    <row r="1993" spans="1:10" x14ac:dyDescent="0.55000000000000004">
      <c r="A1993" t="s">
        <v>4036</v>
      </c>
      <c r="B1993">
        <v>100815</v>
      </c>
      <c r="C1993" t="s">
        <v>68</v>
      </c>
      <c r="D1993" s="3">
        <v>45931</v>
      </c>
      <c r="E1993" t="s">
        <v>20</v>
      </c>
      <c r="F1993" t="s">
        <v>4037</v>
      </c>
      <c r="G1993" t="s">
        <v>15</v>
      </c>
      <c r="H1993" t="s">
        <v>4038</v>
      </c>
      <c r="I1993" t="s">
        <v>4039</v>
      </c>
      <c r="J1993" s="4">
        <v>46071.285512997689</v>
      </c>
    </row>
    <row r="1994" spans="1:10" x14ac:dyDescent="0.55000000000000004">
      <c r="A1994" t="s">
        <v>4040</v>
      </c>
      <c r="B1994">
        <v>100982</v>
      </c>
      <c r="C1994" t="s">
        <v>248</v>
      </c>
      <c r="D1994" s="3">
        <v>45924</v>
      </c>
      <c r="E1994" t="s">
        <v>155</v>
      </c>
      <c r="F1994" t="s">
        <v>4041</v>
      </c>
      <c r="G1994" t="s">
        <v>15</v>
      </c>
      <c r="H1994" t="s">
        <v>4042</v>
      </c>
      <c r="I1994" t="s">
        <v>4043</v>
      </c>
      <c r="J1994" s="4">
        <v>46081.897318553238</v>
      </c>
    </row>
    <row r="1995" spans="1:10" x14ac:dyDescent="0.55000000000000004">
      <c r="A1995" t="s">
        <v>4044</v>
      </c>
      <c r="B1995">
        <v>100922</v>
      </c>
      <c r="C1995" t="s">
        <v>19</v>
      </c>
      <c r="D1995" s="3">
        <v>45853</v>
      </c>
      <c r="E1995" t="s">
        <v>317</v>
      </c>
      <c r="F1995" t="s">
        <v>4045</v>
      </c>
      <c r="G1995" t="s">
        <v>22</v>
      </c>
      <c r="H1995" t="s">
        <v>4046</v>
      </c>
      <c r="I1995" t="s">
        <v>4047</v>
      </c>
      <c r="J1995" s="4">
        <v>46090.363290787034</v>
      </c>
    </row>
    <row r="1996" spans="1:10" x14ac:dyDescent="0.55000000000000004">
      <c r="A1996" t="s">
        <v>4044</v>
      </c>
      <c r="B1996">
        <v>100922</v>
      </c>
      <c r="C1996" t="s">
        <v>19</v>
      </c>
      <c r="D1996" s="3">
        <v>45853</v>
      </c>
      <c r="E1996" t="s">
        <v>38</v>
      </c>
      <c r="F1996" t="s">
        <v>4045</v>
      </c>
      <c r="G1996" t="s">
        <v>22</v>
      </c>
      <c r="H1996" t="s">
        <v>4046</v>
      </c>
      <c r="I1996" t="s">
        <v>4047</v>
      </c>
      <c r="J1996" s="4">
        <v>46090.363290787034</v>
      </c>
    </row>
    <row r="1997" spans="1:10" x14ac:dyDescent="0.55000000000000004">
      <c r="A1997" t="s">
        <v>4048</v>
      </c>
      <c r="B1997">
        <v>100812</v>
      </c>
      <c r="C1997" t="s">
        <v>37</v>
      </c>
      <c r="D1997" s="3">
        <v>45894</v>
      </c>
      <c r="E1997" t="s">
        <v>38</v>
      </c>
      <c r="F1997" t="s">
        <v>4049</v>
      </c>
      <c r="G1997" t="s">
        <v>15</v>
      </c>
      <c r="H1997" t="s">
        <v>4050</v>
      </c>
      <c r="I1997" t="s">
        <v>4051</v>
      </c>
      <c r="J1997" s="4">
        <v>46067.704957453701</v>
      </c>
    </row>
    <row r="1998" spans="1:10" x14ac:dyDescent="0.55000000000000004">
      <c r="A1998" t="s">
        <v>4048</v>
      </c>
      <c r="B1998">
        <v>100812</v>
      </c>
      <c r="C1998" t="s">
        <v>37</v>
      </c>
      <c r="D1998" s="3">
        <v>45894</v>
      </c>
      <c r="E1998" t="s">
        <v>69</v>
      </c>
      <c r="F1998" t="s">
        <v>4049</v>
      </c>
      <c r="G1998" t="s">
        <v>15</v>
      </c>
      <c r="H1998" t="s">
        <v>4050</v>
      </c>
      <c r="I1998" t="s">
        <v>4051</v>
      </c>
      <c r="J1998" s="4">
        <v>46067.704957453701</v>
      </c>
    </row>
    <row r="1999" spans="1:10" x14ac:dyDescent="0.55000000000000004">
      <c r="A1999" t="s">
        <v>4052</v>
      </c>
      <c r="B1999">
        <v>101092</v>
      </c>
      <c r="C1999" t="s">
        <v>179</v>
      </c>
      <c r="D1999" s="3">
        <v>46056</v>
      </c>
      <c r="E1999" t="s">
        <v>155</v>
      </c>
      <c r="F1999" t="s">
        <v>4053</v>
      </c>
      <c r="G1999" t="s">
        <v>22</v>
      </c>
      <c r="H1999" t="s">
        <v>4054</v>
      </c>
      <c r="I1999" t="s">
        <v>4055</v>
      </c>
      <c r="J1999" s="4">
        <v>46061.91259634259</v>
      </c>
    </row>
    <row r="2000" spans="1:10" x14ac:dyDescent="0.55000000000000004">
      <c r="A2000" t="s">
        <v>4056</v>
      </c>
      <c r="B2000">
        <v>100523</v>
      </c>
      <c r="C2000" t="s">
        <v>533</v>
      </c>
      <c r="D2000" s="3">
        <v>45858</v>
      </c>
      <c r="E2000" t="s">
        <v>317</v>
      </c>
      <c r="F2000" t="s">
        <v>4057</v>
      </c>
      <c r="G2000" t="s">
        <v>22</v>
      </c>
      <c r="H2000" t="s">
        <v>4058</v>
      </c>
      <c r="I2000" t="s">
        <v>4059</v>
      </c>
      <c r="J2000" s="4">
        <v>46069.627179687501</v>
      </c>
    </row>
    <row r="2001" spans="1:11" x14ac:dyDescent="0.55000000000000004">
      <c r="A2001" t="s">
        <v>4056</v>
      </c>
      <c r="B2001">
        <v>100523</v>
      </c>
      <c r="C2001" t="s">
        <v>533</v>
      </c>
      <c r="D2001" s="3">
        <v>45858</v>
      </c>
      <c r="E2001" t="s">
        <v>20</v>
      </c>
      <c r="F2001" t="s">
        <v>4057</v>
      </c>
      <c r="G2001" t="s">
        <v>22</v>
      </c>
      <c r="H2001" t="s">
        <v>4058</v>
      </c>
      <c r="I2001" t="s">
        <v>4059</v>
      </c>
      <c r="J2001" s="4">
        <v>46069.627179687501</v>
      </c>
    </row>
    <row r="2002" spans="1:11" x14ac:dyDescent="0.55000000000000004">
      <c r="A2002" t="s">
        <v>4056</v>
      </c>
      <c r="B2002">
        <v>100523</v>
      </c>
      <c r="C2002" t="s">
        <v>533</v>
      </c>
      <c r="D2002" s="3">
        <v>45858</v>
      </c>
      <c r="E2002" t="s">
        <v>115</v>
      </c>
      <c r="F2002" t="s">
        <v>4057</v>
      </c>
      <c r="G2002" t="s">
        <v>22</v>
      </c>
      <c r="H2002" t="s">
        <v>4058</v>
      </c>
      <c r="I2002" t="s">
        <v>4059</v>
      </c>
      <c r="J2002" s="4">
        <v>46069.627179687501</v>
      </c>
    </row>
    <row r="2003" spans="1:11" x14ac:dyDescent="0.55000000000000004">
      <c r="A2003" t="s">
        <v>4060</v>
      </c>
      <c r="B2003">
        <v>100218</v>
      </c>
      <c r="C2003" t="s">
        <v>19</v>
      </c>
      <c r="D2003" s="3">
        <v>45836</v>
      </c>
      <c r="E2003" t="s">
        <v>20</v>
      </c>
      <c r="F2003" t="s">
        <v>4061</v>
      </c>
      <c r="G2003" t="s">
        <v>15</v>
      </c>
      <c r="H2003" t="s">
        <v>4062</v>
      </c>
      <c r="I2003" t="s">
        <v>4063</v>
      </c>
      <c r="J2003" s="4">
        <v>46081.982040798612</v>
      </c>
    </row>
    <row r="2004" spans="1:11" x14ac:dyDescent="0.55000000000000004">
      <c r="A2004" t="s">
        <v>4064</v>
      </c>
      <c r="B2004">
        <v>100691</v>
      </c>
      <c r="C2004" t="s">
        <v>179</v>
      </c>
      <c r="D2004" s="3">
        <v>46016</v>
      </c>
      <c r="E2004" t="s">
        <v>317</v>
      </c>
      <c r="F2004" t="s">
        <v>4065</v>
      </c>
      <c r="G2004" t="s">
        <v>22</v>
      </c>
      <c r="H2004" t="s">
        <v>4066</v>
      </c>
      <c r="I2004" t="s">
        <v>4067</v>
      </c>
      <c r="J2004" s="4">
        <v>46058.334818587966</v>
      </c>
    </row>
    <row r="2005" spans="1:11" x14ac:dyDescent="0.55000000000000004">
      <c r="A2005" t="s">
        <v>4064</v>
      </c>
      <c r="B2005">
        <v>100691</v>
      </c>
      <c r="C2005" t="s">
        <v>179</v>
      </c>
      <c r="D2005" s="3">
        <v>46016</v>
      </c>
      <c r="E2005" t="s">
        <v>155</v>
      </c>
      <c r="F2005" t="s">
        <v>4065</v>
      </c>
      <c r="G2005" t="s">
        <v>22</v>
      </c>
      <c r="H2005" t="s">
        <v>4066</v>
      </c>
      <c r="I2005" t="s">
        <v>4067</v>
      </c>
      <c r="J2005" s="4">
        <v>46058.334818587966</v>
      </c>
    </row>
    <row r="2006" spans="1:11" x14ac:dyDescent="0.55000000000000004">
      <c r="A2006" t="s">
        <v>4068</v>
      </c>
      <c r="B2006">
        <v>101458</v>
      </c>
      <c r="C2006" t="s">
        <v>533</v>
      </c>
      <c r="D2006" s="3">
        <v>45732</v>
      </c>
      <c r="E2006" t="s">
        <v>69</v>
      </c>
      <c r="F2006" t="s">
        <v>4069</v>
      </c>
      <c r="G2006" t="s">
        <v>22</v>
      </c>
      <c r="H2006" t="s">
        <v>4070</v>
      </c>
      <c r="I2006" t="s">
        <v>4071</v>
      </c>
      <c r="J2006" s="4">
        <v>46059.389679699074</v>
      </c>
      <c r="K2006" t="s">
        <v>139</v>
      </c>
    </row>
    <row r="2007" spans="1:11" x14ac:dyDescent="0.55000000000000004">
      <c r="A2007" t="s">
        <v>4072</v>
      </c>
      <c r="B2007">
        <v>100452</v>
      </c>
      <c r="C2007" t="s">
        <v>179</v>
      </c>
      <c r="D2007" s="3">
        <v>45911</v>
      </c>
      <c r="E2007" t="s">
        <v>38</v>
      </c>
      <c r="F2007" t="s">
        <v>4073</v>
      </c>
      <c r="G2007" t="s">
        <v>15</v>
      </c>
      <c r="H2007" t="s">
        <v>4074</v>
      </c>
      <c r="I2007" t="s">
        <v>4075</v>
      </c>
      <c r="J2007" s="4">
        <v>46086.986901932869</v>
      </c>
    </row>
    <row r="2008" spans="1:11" x14ac:dyDescent="0.55000000000000004">
      <c r="A2008" t="s">
        <v>4072</v>
      </c>
      <c r="B2008">
        <v>100452</v>
      </c>
      <c r="C2008" t="s">
        <v>179</v>
      </c>
      <c r="D2008" s="3">
        <v>45911</v>
      </c>
      <c r="E2008" t="s">
        <v>20</v>
      </c>
      <c r="F2008" t="s">
        <v>4073</v>
      </c>
      <c r="G2008" t="s">
        <v>15</v>
      </c>
      <c r="H2008" t="s">
        <v>4074</v>
      </c>
      <c r="I2008" t="s">
        <v>4075</v>
      </c>
      <c r="J2008" s="4">
        <v>46086.986901932869</v>
      </c>
    </row>
    <row r="2009" spans="1:11" x14ac:dyDescent="0.55000000000000004">
      <c r="A2009" t="s">
        <v>4072</v>
      </c>
      <c r="B2009">
        <v>100452</v>
      </c>
      <c r="C2009" t="s">
        <v>179</v>
      </c>
      <c r="D2009" s="3">
        <v>45911</v>
      </c>
      <c r="E2009" t="s">
        <v>115</v>
      </c>
      <c r="F2009" t="s">
        <v>4073</v>
      </c>
      <c r="G2009" t="s">
        <v>15</v>
      </c>
      <c r="H2009" t="s">
        <v>4074</v>
      </c>
      <c r="I2009" t="s">
        <v>4075</v>
      </c>
      <c r="J2009" s="4">
        <v>46086.986901932869</v>
      </c>
    </row>
    <row r="2010" spans="1:11" x14ac:dyDescent="0.55000000000000004">
      <c r="A2010" t="s">
        <v>4076</v>
      </c>
      <c r="B2010">
        <v>101431</v>
      </c>
      <c r="C2010" t="s">
        <v>19</v>
      </c>
      <c r="D2010" s="3">
        <v>45767</v>
      </c>
      <c r="E2010" t="s">
        <v>155</v>
      </c>
      <c r="F2010" t="s">
        <v>4077</v>
      </c>
      <c r="G2010" t="s">
        <v>15</v>
      </c>
      <c r="H2010" t="s">
        <v>4078</v>
      </c>
      <c r="I2010" t="s">
        <v>4079</v>
      </c>
      <c r="J2010" s="4">
        <v>46088.954957488429</v>
      </c>
    </row>
    <row r="2011" spans="1:11" x14ac:dyDescent="0.55000000000000004">
      <c r="A2011" t="s">
        <v>4076</v>
      </c>
      <c r="B2011">
        <v>101431</v>
      </c>
      <c r="C2011" t="s">
        <v>19</v>
      </c>
      <c r="D2011" s="3">
        <v>45767</v>
      </c>
      <c r="E2011" t="s">
        <v>69</v>
      </c>
      <c r="F2011" t="s">
        <v>4077</v>
      </c>
      <c r="G2011" t="s">
        <v>15</v>
      </c>
      <c r="H2011" t="s">
        <v>4078</v>
      </c>
      <c r="I2011" t="s">
        <v>4079</v>
      </c>
      <c r="J2011" s="4">
        <v>46088.954957488429</v>
      </c>
    </row>
    <row r="2012" spans="1:11" x14ac:dyDescent="0.55000000000000004">
      <c r="A2012" t="s">
        <v>4080</v>
      </c>
      <c r="B2012">
        <v>100329</v>
      </c>
      <c r="C2012" t="s">
        <v>248</v>
      </c>
      <c r="D2012" s="3">
        <v>45953</v>
      </c>
      <c r="E2012" t="s">
        <v>38</v>
      </c>
      <c r="F2012" t="s">
        <v>4081</v>
      </c>
      <c r="G2012" t="s">
        <v>22</v>
      </c>
      <c r="H2012" t="s">
        <v>4082</v>
      </c>
      <c r="I2012" t="s">
        <v>4083</v>
      </c>
      <c r="J2012" s="4">
        <v>46054.259124155091</v>
      </c>
    </row>
    <row r="2013" spans="1:11" x14ac:dyDescent="0.55000000000000004">
      <c r="A2013" t="s">
        <v>4084</v>
      </c>
      <c r="B2013">
        <v>100670</v>
      </c>
      <c r="C2013" t="s">
        <v>248</v>
      </c>
      <c r="D2013" s="3">
        <v>46117</v>
      </c>
      <c r="E2013" t="s">
        <v>20</v>
      </c>
      <c r="F2013" t="s">
        <v>4085</v>
      </c>
      <c r="G2013" t="s">
        <v>22</v>
      </c>
      <c r="H2013" t="s">
        <v>4086</v>
      </c>
      <c r="I2013" t="s">
        <v>4087</v>
      </c>
      <c r="J2013" s="4">
        <v>46076.446624166667</v>
      </c>
    </row>
    <row r="2014" spans="1:11" x14ac:dyDescent="0.55000000000000004">
      <c r="A2014" t="s">
        <v>4084</v>
      </c>
      <c r="B2014">
        <v>100670</v>
      </c>
      <c r="C2014" t="s">
        <v>248</v>
      </c>
      <c r="D2014" s="3">
        <v>46117</v>
      </c>
      <c r="E2014" t="s">
        <v>115</v>
      </c>
      <c r="F2014" t="s">
        <v>4085</v>
      </c>
      <c r="G2014" t="s">
        <v>22</v>
      </c>
      <c r="H2014" t="s">
        <v>4086</v>
      </c>
      <c r="I2014" t="s">
        <v>4087</v>
      </c>
      <c r="J2014" s="4">
        <v>46076.446624166667</v>
      </c>
    </row>
    <row r="2015" spans="1:11" x14ac:dyDescent="0.55000000000000004">
      <c r="A2015" t="s">
        <v>4084</v>
      </c>
      <c r="B2015">
        <v>100670</v>
      </c>
      <c r="C2015" t="s">
        <v>248</v>
      </c>
      <c r="D2015" s="3">
        <v>46117</v>
      </c>
      <c r="E2015" t="s">
        <v>69</v>
      </c>
      <c r="F2015" t="s">
        <v>4085</v>
      </c>
      <c r="G2015" t="s">
        <v>22</v>
      </c>
      <c r="H2015" t="s">
        <v>4086</v>
      </c>
      <c r="I2015" t="s">
        <v>4087</v>
      </c>
      <c r="J2015" s="4">
        <v>46076.446624166667</v>
      </c>
    </row>
    <row r="2016" spans="1:11" x14ac:dyDescent="0.55000000000000004">
      <c r="A2016" t="s">
        <v>4088</v>
      </c>
      <c r="B2016">
        <v>100621</v>
      </c>
      <c r="C2016" t="s">
        <v>179</v>
      </c>
      <c r="D2016" s="3">
        <v>46038</v>
      </c>
      <c r="E2016" t="s">
        <v>155</v>
      </c>
      <c r="F2016" t="s">
        <v>774</v>
      </c>
      <c r="G2016" t="s">
        <v>15</v>
      </c>
      <c r="H2016" t="s">
        <v>4089</v>
      </c>
      <c r="I2016" t="s">
        <v>4090</v>
      </c>
      <c r="J2016" s="4">
        <v>46059.068846388887</v>
      </c>
    </row>
    <row r="2017" spans="1:11" x14ac:dyDescent="0.55000000000000004">
      <c r="A2017" t="s">
        <v>4088</v>
      </c>
      <c r="B2017">
        <v>100621</v>
      </c>
      <c r="C2017" t="s">
        <v>179</v>
      </c>
      <c r="D2017" s="3">
        <v>46038</v>
      </c>
      <c r="E2017" t="s">
        <v>115</v>
      </c>
      <c r="F2017" t="s">
        <v>774</v>
      </c>
      <c r="G2017" t="s">
        <v>15</v>
      </c>
      <c r="H2017" t="s">
        <v>4089</v>
      </c>
      <c r="I2017" t="s">
        <v>4090</v>
      </c>
      <c r="J2017" s="4">
        <v>46059.068846388887</v>
      </c>
    </row>
    <row r="2018" spans="1:11" x14ac:dyDescent="0.55000000000000004">
      <c r="A2018" t="s">
        <v>4091</v>
      </c>
      <c r="B2018">
        <v>100593</v>
      </c>
      <c r="C2018" t="s">
        <v>37</v>
      </c>
      <c r="D2018" s="3">
        <v>45736</v>
      </c>
      <c r="E2018" t="s">
        <v>38</v>
      </c>
      <c r="F2018" t="s">
        <v>4092</v>
      </c>
      <c r="G2018" t="s">
        <v>22</v>
      </c>
      <c r="H2018" t="s">
        <v>4093</v>
      </c>
      <c r="I2018" t="s">
        <v>4094</v>
      </c>
      <c r="J2018" s="4">
        <v>46063.630651944448</v>
      </c>
    </row>
    <row r="2019" spans="1:11" x14ac:dyDescent="0.55000000000000004">
      <c r="A2019" t="s">
        <v>4091</v>
      </c>
      <c r="B2019">
        <v>100593</v>
      </c>
      <c r="C2019" t="s">
        <v>37</v>
      </c>
      <c r="D2019" s="3">
        <v>45736</v>
      </c>
      <c r="E2019" t="s">
        <v>115</v>
      </c>
      <c r="F2019" t="s">
        <v>4092</v>
      </c>
      <c r="G2019" t="s">
        <v>22</v>
      </c>
      <c r="H2019" t="s">
        <v>4093</v>
      </c>
      <c r="I2019" t="s">
        <v>4094</v>
      </c>
      <c r="J2019" s="4">
        <v>46063.630651944448</v>
      </c>
    </row>
    <row r="2020" spans="1:11" x14ac:dyDescent="0.55000000000000004">
      <c r="A2020" t="s">
        <v>4091</v>
      </c>
      <c r="B2020">
        <v>100593</v>
      </c>
      <c r="C2020" t="s">
        <v>37</v>
      </c>
      <c r="D2020" s="3">
        <v>45736</v>
      </c>
      <c r="E2020" t="s">
        <v>69</v>
      </c>
      <c r="F2020" t="s">
        <v>4092</v>
      </c>
      <c r="G2020" t="s">
        <v>22</v>
      </c>
      <c r="H2020" t="s">
        <v>4093</v>
      </c>
      <c r="I2020" t="s">
        <v>4094</v>
      </c>
      <c r="J2020" s="4">
        <v>46063.630651944448</v>
      </c>
    </row>
    <row r="2021" spans="1:11" x14ac:dyDescent="0.55000000000000004">
      <c r="A2021" t="s">
        <v>4095</v>
      </c>
      <c r="B2021">
        <v>100804</v>
      </c>
      <c r="C2021" t="s">
        <v>37</v>
      </c>
      <c r="D2021" s="3">
        <v>46007</v>
      </c>
      <c r="E2021" t="s">
        <v>317</v>
      </c>
      <c r="F2021" t="s">
        <v>4096</v>
      </c>
      <c r="G2021" t="s">
        <v>22</v>
      </c>
      <c r="H2021" t="s">
        <v>4097</v>
      </c>
      <c r="I2021" t="s">
        <v>4098</v>
      </c>
      <c r="J2021" s="4">
        <v>46054.570929733796</v>
      </c>
    </row>
    <row r="2022" spans="1:11" x14ac:dyDescent="0.55000000000000004">
      <c r="A2022" t="s">
        <v>4099</v>
      </c>
      <c r="B2022">
        <v>100071</v>
      </c>
      <c r="C2022" t="s">
        <v>68</v>
      </c>
      <c r="D2022" s="3">
        <v>46148</v>
      </c>
      <c r="E2022" t="s">
        <v>38</v>
      </c>
      <c r="F2022" t="s">
        <v>4100</v>
      </c>
      <c r="G2022" t="s">
        <v>22</v>
      </c>
      <c r="H2022" t="s">
        <v>4101</v>
      </c>
      <c r="I2022" t="s">
        <v>4102</v>
      </c>
      <c r="J2022" s="4">
        <v>46085.754957511577</v>
      </c>
      <c r="K2022" t="s">
        <v>139</v>
      </c>
    </row>
    <row r="2023" spans="1:11" x14ac:dyDescent="0.55000000000000004">
      <c r="A2023" t="s">
        <v>4099</v>
      </c>
      <c r="B2023">
        <v>100071</v>
      </c>
      <c r="C2023" t="s">
        <v>68</v>
      </c>
      <c r="D2023" s="3">
        <v>46148</v>
      </c>
      <c r="E2023" t="s">
        <v>20</v>
      </c>
      <c r="F2023" t="s">
        <v>4100</v>
      </c>
      <c r="G2023" t="s">
        <v>22</v>
      </c>
      <c r="H2023" t="s">
        <v>4101</v>
      </c>
      <c r="I2023" t="s">
        <v>4102</v>
      </c>
      <c r="J2023" s="4">
        <v>46085.754957511577</v>
      </c>
      <c r="K2023" t="s">
        <v>139</v>
      </c>
    </row>
    <row r="2024" spans="1:11" x14ac:dyDescent="0.55000000000000004">
      <c r="A2024" t="s">
        <v>4103</v>
      </c>
      <c r="B2024">
        <v>100215</v>
      </c>
      <c r="C2024" t="s">
        <v>37</v>
      </c>
      <c r="D2024" s="3">
        <v>45795</v>
      </c>
      <c r="E2024" t="s">
        <v>20</v>
      </c>
      <c r="F2024" t="s">
        <v>4104</v>
      </c>
      <c r="G2024" t="s">
        <v>22</v>
      </c>
      <c r="H2024" t="s">
        <v>4105</v>
      </c>
      <c r="I2024" t="s">
        <v>4106</v>
      </c>
      <c r="J2024" s="4">
        <v>46097.431346412035</v>
      </c>
    </row>
    <row r="2025" spans="1:11" x14ac:dyDescent="0.55000000000000004">
      <c r="A2025" t="s">
        <v>4103</v>
      </c>
      <c r="B2025">
        <v>100215</v>
      </c>
      <c r="C2025" t="s">
        <v>37</v>
      </c>
      <c r="D2025" s="3">
        <v>45795</v>
      </c>
      <c r="E2025" t="s">
        <v>115</v>
      </c>
      <c r="F2025" t="s">
        <v>4104</v>
      </c>
      <c r="G2025" t="s">
        <v>22</v>
      </c>
      <c r="H2025" t="s">
        <v>4105</v>
      </c>
      <c r="I2025" t="s">
        <v>4106</v>
      </c>
      <c r="J2025" s="4">
        <v>46097.431346412035</v>
      </c>
    </row>
    <row r="2026" spans="1:11" x14ac:dyDescent="0.55000000000000004">
      <c r="A2026" t="s">
        <v>4107</v>
      </c>
      <c r="B2026">
        <v>100293</v>
      </c>
      <c r="C2026" t="s">
        <v>37</v>
      </c>
      <c r="D2026" s="3">
        <v>46120</v>
      </c>
      <c r="E2026" t="s">
        <v>317</v>
      </c>
      <c r="F2026" t="s">
        <v>4108</v>
      </c>
      <c r="G2026" t="s">
        <v>15</v>
      </c>
      <c r="H2026" t="s">
        <v>4109</v>
      </c>
      <c r="I2026" t="s">
        <v>4110</v>
      </c>
      <c r="J2026" s="4">
        <v>46091.873707523147</v>
      </c>
    </row>
    <row r="2027" spans="1:11" x14ac:dyDescent="0.55000000000000004">
      <c r="A2027" t="s">
        <v>4107</v>
      </c>
      <c r="B2027">
        <v>100293</v>
      </c>
      <c r="C2027" t="s">
        <v>37</v>
      </c>
      <c r="D2027" s="3">
        <v>46120</v>
      </c>
      <c r="E2027" t="s">
        <v>20</v>
      </c>
      <c r="F2027" t="s">
        <v>4108</v>
      </c>
      <c r="G2027" t="s">
        <v>15</v>
      </c>
      <c r="H2027" t="s">
        <v>4109</v>
      </c>
      <c r="I2027" t="s">
        <v>4110</v>
      </c>
      <c r="J2027" s="4">
        <v>46091.873707523147</v>
      </c>
    </row>
    <row r="2028" spans="1:11" x14ac:dyDescent="0.55000000000000004">
      <c r="A2028" t="s">
        <v>4111</v>
      </c>
      <c r="B2028">
        <v>100311</v>
      </c>
      <c r="C2028" t="s">
        <v>68</v>
      </c>
      <c r="D2028" s="3">
        <v>46145</v>
      </c>
      <c r="E2028" t="s">
        <v>317</v>
      </c>
      <c r="F2028" t="s">
        <v>4112</v>
      </c>
      <c r="G2028" t="s">
        <v>22</v>
      </c>
      <c r="H2028" t="s">
        <v>4113</v>
      </c>
      <c r="I2028" t="s">
        <v>4114</v>
      </c>
      <c r="J2028" s="4">
        <v>46095.34731863426</v>
      </c>
    </row>
    <row r="2029" spans="1:11" x14ac:dyDescent="0.55000000000000004">
      <c r="A2029" t="s">
        <v>4111</v>
      </c>
      <c r="B2029">
        <v>100311</v>
      </c>
      <c r="C2029" t="s">
        <v>68</v>
      </c>
      <c r="D2029" s="3">
        <v>46145</v>
      </c>
      <c r="E2029" t="s">
        <v>115</v>
      </c>
      <c r="F2029" t="s">
        <v>4112</v>
      </c>
      <c r="G2029" t="s">
        <v>22</v>
      </c>
      <c r="H2029" t="s">
        <v>4113</v>
      </c>
      <c r="I2029" t="s">
        <v>4114</v>
      </c>
      <c r="J2029" s="4">
        <v>46095.34731863426</v>
      </c>
    </row>
    <row r="2030" spans="1:11" x14ac:dyDescent="0.55000000000000004">
      <c r="A2030" t="s">
        <v>4111</v>
      </c>
      <c r="B2030">
        <v>100311</v>
      </c>
      <c r="C2030" t="s">
        <v>68</v>
      </c>
      <c r="D2030" s="3">
        <v>46145</v>
      </c>
      <c r="E2030" t="s">
        <v>69</v>
      </c>
      <c r="F2030" t="s">
        <v>4112</v>
      </c>
      <c r="G2030" t="s">
        <v>22</v>
      </c>
      <c r="H2030" t="s">
        <v>4113</v>
      </c>
      <c r="I2030" t="s">
        <v>4114</v>
      </c>
      <c r="J2030" s="4">
        <v>46095.34731863426</v>
      </c>
    </row>
    <row r="2031" spans="1:11" x14ac:dyDescent="0.55000000000000004">
      <c r="A2031" t="s">
        <v>4115</v>
      </c>
      <c r="B2031">
        <v>100000</v>
      </c>
      <c r="C2031" t="s">
        <v>19</v>
      </c>
      <c r="D2031" s="3">
        <v>46092</v>
      </c>
      <c r="E2031" t="s">
        <v>38</v>
      </c>
      <c r="F2031" t="s">
        <v>4116</v>
      </c>
      <c r="G2031" t="s">
        <v>15</v>
      </c>
      <c r="H2031" t="s">
        <v>4117</v>
      </c>
      <c r="I2031" t="s">
        <v>4118</v>
      </c>
      <c r="J2031" s="4">
        <v>46057.182735312497</v>
      </c>
    </row>
    <row r="2032" spans="1:11" x14ac:dyDescent="0.55000000000000004">
      <c r="A2032" t="s">
        <v>4115</v>
      </c>
      <c r="B2032">
        <v>100000</v>
      </c>
      <c r="C2032" t="s">
        <v>19</v>
      </c>
      <c r="D2032" s="3">
        <v>46092</v>
      </c>
      <c r="E2032" t="s">
        <v>155</v>
      </c>
      <c r="F2032" t="s">
        <v>4116</v>
      </c>
      <c r="G2032" t="s">
        <v>15</v>
      </c>
      <c r="H2032" t="s">
        <v>4117</v>
      </c>
      <c r="I2032" t="s">
        <v>4118</v>
      </c>
      <c r="J2032" s="4">
        <v>46057.182735312497</v>
      </c>
    </row>
    <row r="2033" spans="1:11" x14ac:dyDescent="0.55000000000000004">
      <c r="A2033" t="s">
        <v>4115</v>
      </c>
      <c r="B2033">
        <v>100000</v>
      </c>
      <c r="C2033" t="s">
        <v>19</v>
      </c>
      <c r="D2033" s="3">
        <v>46092</v>
      </c>
      <c r="E2033" t="s">
        <v>115</v>
      </c>
      <c r="F2033" t="s">
        <v>4116</v>
      </c>
      <c r="G2033" t="s">
        <v>15</v>
      </c>
      <c r="H2033" t="s">
        <v>4117</v>
      </c>
      <c r="I2033" t="s">
        <v>4118</v>
      </c>
      <c r="J2033" s="4">
        <v>46057.182735312497</v>
      </c>
    </row>
    <row r="2034" spans="1:11" x14ac:dyDescent="0.55000000000000004">
      <c r="A2034" t="s">
        <v>4119</v>
      </c>
      <c r="B2034">
        <v>100853</v>
      </c>
      <c r="C2034" t="s">
        <v>533</v>
      </c>
      <c r="D2034" s="3">
        <v>45874</v>
      </c>
      <c r="E2034" t="s">
        <v>38</v>
      </c>
      <c r="F2034" t="s">
        <v>4120</v>
      </c>
      <c r="G2034" t="s">
        <v>15</v>
      </c>
      <c r="H2034" t="s">
        <v>4121</v>
      </c>
      <c r="I2034" t="s">
        <v>4122</v>
      </c>
      <c r="J2034" s="4">
        <v>46054.941763090275</v>
      </c>
    </row>
    <row r="2035" spans="1:11" x14ac:dyDescent="0.55000000000000004">
      <c r="A2035" t="s">
        <v>4119</v>
      </c>
      <c r="B2035">
        <v>100853</v>
      </c>
      <c r="C2035" t="s">
        <v>533</v>
      </c>
      <c r="D2035" s="3">
        <v>45874</v>
      </c>
      <c r="E2035" t="s">
        <v>115</v>
      </c>
      <c r="F2035" t="s">
        <v>4120</v>
      </c>
      <c r="G2035" t="s">
        <v>15</v>
      </c>
      <c r="H2035" t="s">
        <v>4121</v>
      </c>
      <c r="I2035" t="s">
        <v>4122</v>
      </c>
      <c r="J2035" s="4">
        <v>46054.941763090275</v>
      </c>
    </row>
    <row r="2036" spans="1:11" x14ac:dyDescent="0.55000000000000004">
      <c r="A2036" t="s">
        <v>4119</v>
      </c>
      <c r="B2036">
        <v>100853</v>
      </c>
      <c r="C2036" t="s">
        <v>533</v>
      </c>
      <c r="D2036" s="3">
        <v>45874</v>
      </c>
      <c r="E2036" t="s">
        <v>69</v>
      </c>
      <c r="F2036" t="s">
        <v>4120</v>
      </c>
      <c r="G2036" t="s">
        <v>15</v>
      </c>
      <c r="H2036" t="s">
        <v>4121</v>
      </c>
      <c r="I2036" t="s">
        <v>4122</v>
      </c>
      <c r="J2036" s="4">
        <v>46054.941763090275</v>
      </c>
    </row>
    <row r="2037" spans="1:11" x14ac:dyDescent="0.55000000000000004">
      <c r="A2037" t="s">
        <v>4123</v>
      </c>
      <c r="B2037">
        <v>100561</v>
      </c>
      <c r="C2037" t="s">
        <v>19</v>
      </c>
      <c r="D2037" s="3">
        <v>46021</v>
      </c>
      <c r="E2037" t="s">
        <v>155</v>
      </c>
      <c r="F2037" t="s">
        <v>4124</v>
      </c>
      <c r="G2037" t="s">
        <v>15</v>
      </c>
      <c r="H2037" t="s">
        <v>4125</v>
      </c>
      <c r="I2037" t="s">
        <v>4126</v>
      </c>
      <c r="J2037" s="4">
        <v>46093.565374212965</v>
      </c>
    </row>
    <row r="2038" spans="1:11" x14ac:dyDescent="0.55000000000000004">
      <c r="A2038" t="s">
        <v>4127</v>
      </c>
      <c r="B2038">
        <v>100415</v>
      </c>
      <c r="C2038" t="s">
        <v>248</v>
      </c>
      <c r="D2038" s="3">
        <v>46023</v>
      </c>
      <c r="E2038" t="s">
        <v>38</v>
      </c>
      <c r="F2038" t="s">
        <v>2943</v>
      </c>
      <c r="G2038" t="s">
        <v>22</v>
      </c>
      <c r="H2038" t="s">
        <v>4128</v>
      </c>
      <c r="I2038" t="s">
        <v>4129</v>
      </c>
      <c r="J2038" s="4">
        <v>46084.782040879632</v>
      </c>
    </row>
    <row r="2039" spans="1:11" x14ac:dyDescent="0.55000000000000004">
      <c r="A2039" t="s">
        <v>4130</v>
      </c>
      <c r="B2039">
        <v>100308</v>
      </c>
      <c r="D2039" s="3">
        <v>46086</v>
      </c>
      <c r="E2039" t="s">
        <v>317</v>
      </c>
      <c r="F2039" t="s">
        <v>4131</v>
      </c>
      <c r="G2039" t="s">
        <v>22</v>
      </c>
      <c r="H2039" t="s">
        <v>4132</v>
      </c>
      <c r="I2039" t="s">
        <v>4133</v>
      </c>
      <c r="J2039" s="4">
        <v>46097.138985324076</v>
      </c>
      <c r="K2039" t="s">
        <v>217</v>
      </c>
    </row>
    <row r="2040" spans="1:11" x14ac:dyDescent="0.55000000000000004">
      <c r="A2040" t="s">
        <v>4130</v>
      </c>
      <c r="B2040">
        <v>100308</v>
      </c>
      <c r="D2040" s="3">
        <v>46086</v>
      </c>
      <c r="E2040" t="s">
        <v>38</v>
      </c>
      <c r="F2040" t="s">
        <v>4131</v>
      </c>
      <c r="G2040" t="s">
        <v>22</v>
      </c>
      <c r="H2040" t="s">
        <v>4132</v>
      </c>
      <c r="I2040" t="s">
        <v>4133</v>
      </c>
      <c r="J2040" s="4">
        <v>46097.138985324076</v>
      </c>
      <c r="K2040" t="s">
        <v>217</v>
      </c>
    </row>
    <row r="2041" spans="1:11" x14ac:dyDescent="0.55000000000000004">
      <c r="A2041" t="s">
        <v>4130</v>
      </c>
      <c r="B2041">
        <v>100308</v>
      </c>
      <c r="D2041" s="3">
        <v>46086</v>
      </c>
      <c r="E2041" t="s">
        <v>20</v>
      </c>
      <c r="F2041" t="s">
        <v>4131</v>
      </c>
      <c r="G2041" t="s">
        <v>22</v>
      </c>
      <c r="H2041" t="s">
        <v>4132</v>
      </c>
      <c r="I2041" t="s">
        <v>4133</v>
      </c>
      <c r="J2041" s="4">
        <v>46097.138985324076</v>
      </c>
      <c r="K2041" t="s">
        <v>217</v>
      </c>
    </row>
    <row r="2042" spans="1:11" x14ac:dyDescent="0.55000000000000004">
      <c r="A2042" t="s">
        <v>4134</v>
      </c>
      <c r="B2042">
        <v>100582</v>
      </c>
      <c r="C2042" t="s">
        <v>37</v>
      </c>
      <c r="D2042" s="3">
        <v>45897</v>
      </c>
      <c r="E2042" t="s">
        <v>20</v>
      </c>
      <c r="F2042" t="s">
        <v>4135</v>
      </c>
      <c r="G2042" t="s">
        <v>15</v>
      </c>
      <c r="H2042" t="s">
        <v>4136</v>
      </c>
      <c r="I2042" t="s">
        <v>4137</v>
      </c>
      <c r="J2042" s="4">
        <v>46054.00912422454</v>
      </c>
    </row>
    <row r="2043" spans="1:11" x14ac:dyDescent="0.55000000000000004">
      <c r="A2043" t="s">
        <v>4134</v>
      </c>
      <c r="B2043">
        <v>100582</v>
      </c>
      <c r="C2043" t="s">
        <v>37</v>
      </c>
      <c r="D2043" s="3">
        <v>45897</v>
      </c>
      <c r="E2043" t="s">
        <v>69</v>
      </c>
      <c r="F2043" t="s">
        <v>4135</v>
      </c>
      <c r="G2043" t="s">
        <v>15</v>
      </c>
      <c r="H2043" t="s">
        <v>4136</v>
      </c>
      <c r="I2043" t="s">
        <v>4137</v>
      </c>
      <c r="J2043" s="4">
        <v>46054.00912422454</v>
      </c>
    </row>
    <row r="2044" spans="1:11" x14ac:dyDescent="0.55000000000000004">
      <c r="A2044" t="s">
        <v>4138</v>
      </c>
      <c r="B2044">
        <v>100630</v>
      </c>
      <c r="C2044" t="s">
        <v>179</v>
      </c>
      <c r="D2044" s="3">
        <v>45985</v>
      </c>
      <c r="E2044" t="s">
        <v>38</v>
      </c>
      <c r="F2044" t="s">
        <v>4139</v>
      </c>
      <c r="G2044" t="s">
        <v>15</v>
      </c>
      <c r="H2044" t="s">
        <v>4140</v>
      </c>
      <c r="I2044" t="s">
        <v>4141</v>
      </c>
      <c r="J2044" s="4">
        <v>46094.350790891207</v>
      </c>
    </row>
    <row r="2045" spans="1:11" x14ac:dyDescent="0.55000000000000004">
      <c r="A2045" t="s">
        <v>4138</v>
      </c>
      <c r="B2045">
        <v>100630</v>
      </c>
      <c r="C2045" t="s">
        <v>179</v>
      </c>
      <c r="D2045" s="3">
        <v>45985</v>
      </c>
      <c r="E2045" t="s">
        <v>155</v>
      </c>
      <c r="F2045" t="s">
        <v>4139</v>
      </c>
      <c r="G2045" t="s">
        <v>15</v>
      </c>
      <c r="H2045" t="s">
        <v>4140</v>
      </c>
      <c r="I2045" t="s">
        <v>4141</v>
      </c>
      <c r="J2045" s="4">
        <v>46094.350790891207</v>
      </c>
    </row>
    <row r="2046" spans="1:11" x14ac:dyDescent="0.55000000000000004">
      <c r="A2046" t="s">
        <v>4142</v>
      </c>
      <c r="B2046">
        <v>100356</v>
      </c>
      <c r="C2046" t="s">
        <v>179</v>
      </c>
      <c r="D2046" s="3">
        <v>46004</v>
      </c>
      <c r="E2046" t="s">
        <v>20</v>
      </c>
      <c r="F2046" t="s">
        <v>4143</v>
      </c>
      <c r="G2046" t="s">
        <v>22</v>
      </c>
      <c r="H2046" t="s">
        <v>4144</v>
      </c>
      <c r="I2046" t="s">
        <v>4145</v>
      </c>
      <c r="J2046" s="4">
        <v>46085.270235335651</v>
      </c>
    </row>
    <row r="2047" spans="1:11" x14ac:dyDescent="0.55000000000000004">
      <c r="A2047" t="s">
        <v>4142</v>
      </c>
      <c r="B2047">
        <v>100356</v>
      </c>
      <c r="C2047" t="s">
        <v>179</v>
      </c>
      <c r="D2047" s="3">
        <v>46004</v>
      </c>
      <c r="E2047" t="s">
        <v>155</v>
      </c>
      <c r="F2047" t="s">
        <v>4143</v>
      </c>
      <c r="G2047" t="s">
        <v>22</v>
      </c>
      <c r="H2047" t="s">
        <v>4144</v>
      </c>
      <c r="I2047" t="s">
        <v>4145</v>
      </c>
      <c r="J2047" s="4">
        <v>46085.270235335651</v>
      </c>
    </row>
    <row r="2048" spans="1:11" x14ac:dyDescent="0.55000000000000004">
      <c r="A2048" t="s">
        <v>4146</v>
      </c>
      <c r="B2048">
        <v>101216</v>
      </c>
      <c r="C2048" t="s">
        <v>37</v>
      </c>
      <c r="D2048" s="3">
        <v>46024</v>
      </c>
      <c r="E2048" t="s">
        <v>317</v>
      </c>
      <c r="F2048" t="s">
        <v>4147</v>
      </c>
      <c r="G2048" t="s">
        <v>15</v>
      </c>
      <c r="H2048" t="s">
        <v>4148</v>
      </c>
      <c r="I2048" t="s">
        <v>4149</v>
      </c>
      <c r="J2048" s="4">
        <v>46053.143846458333</v>
      </c>
    </row>
    <row r="2049" spans="1:11" x14ac:dyDescent="0.55000000000000004">
      <c r="A2049" t="s">
        <v>4150</v>
      </c>
      <c r="B2049">
        <v>100861</v>
      </c>
      <c r="C2049" t="s">
        <v>37</v>
      </c>
      <c r="D2049" s="3">
        <v>45859</v>
      </c>
      <c r="E2049" t="s">
        <v>115</v>
      </c>
      <c r="F2049" t="s">
        <v>4151</v>
      </c>
      <c r="G2049" t="s">
        <v>22</v>
      </c>
      <c r="H2049" t="s">
        <v>4152</v>
      </c>
      <c r="I2049" t="s">
        <v>4153</v>
      </c>
      <c r="J2049" s="4">
        <v>46078.657040902777</v>
      </c>
    </row>
    <row r="2050" spans="1:11" x14ac:dyDescent="0.55000000000000004">
      <c r="A2050" t="s">
        <v>1469</v>
      </c>
      <c r="B2050">
        <v>101243</v>
      </c>
      <c r="C2050" t="s">
        <v>533</v>
      </c>
      <c r="D2050" s="3">
        <v>45746</v>
      </c>
      <c r="E2050" t="s">
        <v>155</v>
      </c>
      <c r="F2050" t="s">
        <v>4155</v>
      </c>
      <c r="G2050" t="s">
        <v>22</v>
      </c>
      <c r="H2050" t="s">
        <v>4156</v>
      </c>
      <c r="I2050" t="s">
        <v>4157</v>
      </c>
      <c r="J2050" s="4">
        <v>46081.394540914349</v>
      </c>
      <c r="K2050" t="s">
        <v>119</v>
      </c>
    </row>
    <row r="2051" spans="1:11" x14ac:dyDescent="0.55000000000000004">
      <c r="A2051" t="s">
        <v>1469</v>
      </c>
      <c r="B2051">
        <v>101243</v>
      </c>
      <c r="C2051" t="s">
        <v>533</v>
      </c>
      <c r="D2051" s="3">
        <v>45746</v>
      </c>
      <c r="E2051" t="s">
        <v>69</v>
      </c>
      <c r="F2051" t="s">
        <v>4155</v>
      </c>
      <c r="G2051" t="s">
        <v>22</v>
      </c>
      <c r="H2051" t="s">
        <v>4156</v>
      </c>
      <c r="I2051" t="s">
        <v>4157</v>
      </c>
      <c r="J2051" s="4">
        <v>46081.394540914349</v>
      </c>
      <c r="K2051" t="s">
        <v>119</v>
      </c>
    </row>
    <row r="2052" spans="1:11" x14ac:dyDescent="0.55000000000000004">
      <c r="A2052" t="s">
        <v>4158</v>
      </c>
      <c r="B2052">
        <v>100260</v>
      </c>
      <c r="C2052" t="s">
        <v>533</v>
      </c>
      <c r="D2052" s="3">
        <v>45974</v>
      </c>
      <c r="E2052" t="s">
        <v>20</v>
      </c>
      <c r="F2052" t="s">
        <v>4159</v>
      </c>
      <c r="G2052" t="s">
        <v>15</v>
      </c>
      <c r="H2052" t="s">
        <v>4160</v>
      </c>
      <c r="I2052" t="s">
        <v>4161</v>
      </c>
      <c r="J2052" s="4">
        <v>46076.007040914352</v>
      </c>
    </row>
    <row r="2053" spans="1:11" x14ac:dyDescent="0.55000000000000004">
      <c r="A2053" t="s">
        <v>4162</v>
      </c>
      <c r="B2053">
        <v>100605</v>
      </c>
      <c r="C2053" t="s">
        <v>248</v>
      </c>
      <c r="D2053" s="3">
        <v>45769</v>
      </c>
      <c r="E2053" t="s">
        <v>38</v>
      </c>
      <c r="F2053" t="s">
        <v>4163</v>
      </c>
      <c r="G2053" t="s">
        <v>22</v>
      </c>
      <c r="H2053" t="s">
        <v>4164</v>
      </c>
      <c r="I2053" t="s">
        <v>4165</v>
      </c>
      <c r="J2053" s="4">
        <v>46060.568846469905</v>
      </c>
    </row>
    <row r="2054" spans="1:11" x14ac:dyDescent="0.55000000000000004">
      <c r="A2054" t="s">
        <v>4162</v>
      </c>
      <c r="B2054">
        <v>100605</v>
      </c>
      <c r="C2054" t="s">
        <v>248</v>
      </c>
      <c r="D2054" s="3">
        <v>45769</v>
      </c>
      <c r="E2054" t="s">
        <v>155</v>
      </c>
      <c r="F2054" t="s">
        <v>4163</v>
      </c>
      <c r="G2054" t="s">
        <v>22</v>
      </c>
      <c r="H2054" t="s">
        <v>4164</v>
      </c>
      <c r="I2054" t="s">
        <v>4165</v>
      </c>
      <c r="J2054" s="4">
        <v>46060.568846469905</v>
      </c>
    </row>
    <row r="2055" spans="1:11" x14ac:dyDescent="0.55000000000000004">
      <c r="A2055" t="s">
        <v>4162</v>
      </c>
      <c r="B2055">
        <v>100605</v>
      </c>
      <c r="C2055" t="s">
        <v>248</v>
      </c>
      <c r="D2055" s="3">
        <v>45769</v>
      </c>
      <c r="E2055" t="s">
        <v>69</v>
      </c>
      <c r="F2055" t="s">
        <v>4163</v>
      </c>
      <c r="G2055" t="s">
        <v>22</v>
      </c>
      <c r="H2055" t="s">
        <v>4164</v>
      </c>
      <c r="I2055" t="s">
        <v>4165</v>
      </c>
      <c r="J2055" s="4">
        <v>46060.568846469905</v>
      </c>
    </row>
    <row r="2056" spans="1:11" x14ac:dyDescent="0.55000000000000004">
      <c r="A2056" t="s">
        <v>4166</v>
      </c>
      <c r="B2056">
        <v>101332</v>
      </c>
      <c r="C2056" t="s">
        <v>37</v>
      </c>
      <c r="D2056" s="3">
        <v>45763</v>
      </c>
      <c r="E2056" t="s">
        <v>69</v>
      </c>
      <c r="F2056" t="s">
        <v>4167</v>
      </c>
      <c r="G2056" t="s">
        <v>22</v>
      </c>
      <c r="H2056" t="s">
        <v>4168</v>
      </c>
      <c r="I2056" t="s">
        <v>4169</v>
      </c>
      <c r="J2056" s="4">
        <v>46053.653568703703</v>
      </c>
    </row>
    <row r="2057" spans="1:11" x14ac:dyDescent="0.55000000000000004">
      <c r="A2057" t="s">
        <v>4170</v>
      </c>
      <c r="B2057">
        <v>100668</v>
      </c>
      <c r="C2057" t="s">
        <v>533</v>
      </c>
      <c r="D2057" s="3">
        <v>45763</v>
      </c>
      <c r="E2057" t="s">
        <v>20</v>
      </c>
      <c r="F2057" t="s">
        <v>4171</v>
      </c>
      <c r="G2057" t="s">
        <v>22</v>
      </c>
      <c r="H2057" t="s">
        <v>4172</v>
      </c>
      <c r="I2057" t="s">
        <v>4173</v>
      </c>
      <c r="J2057" s="4">
        <v>46093.601485370367</v>
      </c>
    </row>
    <row r="2058" spans="1:11" x14ac:dyDescent="0.55000000000000004">
      <c r="A2058" t="s">
        <v>4170</v>
      </c>
      <c r="B2058">
        <v>100668</v>
      </c>
      <c r="C2058" t="s">
        <v>533</v>
      </c>
      <c r="D2058" s="3">
        <v>45763</v>
      </c>
      <c r="E2058" t="s">
        <v>155</v>
      </c>
      <c r="F2058" t="s">
        <v>4171</v>
      </c>
      <c r="G2058" t="s">
        <v>22</v>
      </c>
      <c r="H2058" t="s">
        <v>4172</v>
      </c>
      <c r="I2058" t="s">
        <v>4173</v>
      </c>
      <c r="J2058" s="4">
        <v>46093.601485370367</v>
      </c>
    </row>
    <row r="2059" spans="1:11" x14ac:dyDescent="0.55000000000000004">
      <c r="A2059" t="s">
        <v>4174</v>
      </c>
      <c r="B2059">
        <v>100836</v>
      </c>
      <c r="C2059" t="s">
        <v>37</v>
      </c>
      <c r="D2059" s="3">
        <v>46018</v>
      </c>
      <c r="E2059" t="s">
        <v>20</v>
      </c>
      <c r="F2059" t="s">
        <v>4175</v>
      </c>
      <c r="G2059" t="s">
        <v>22</v>
      </c>
      <c r="H2059" t="s">
        <v>4176</v>
      </c>
      <c r="I2059" t="s">
        <v>4177</v>
      </c>
      <c r="J2059" s="4">
        <v>46072.609818715275</v>
      </c>
    </row>
    <row r="2060" spans="1:11" x14ac:dyDescent="0.55000000000000004">
      <c r="A2060" t="s">
        <v>4178</v>
      </c>
      <c r="B2060">
        <v>100633</v>
      </c>
      <c r="C2060" t="s">
        <v>19</v>
      </c>
      <c r="D2060" s="3">
        <v>46117</v>
      </c>
      <c r="E2060" t="s">
        <v>38</v>
      </c>
      <c r="F2060" t="s">
        <v>4179</v>
      </c>
      <c r="G2060" t="s">
        <v>15</v>
      </c>
      <c r="H2060" t="s">
        <v>4180</v>
      </c>
      <c r="I2060" t="s">
        <v>4181</v>
      </c>
      <c r="J2060" s="4">
        <v>46068.200096493056</v>
      </c>
    </row>
    <row r="2061" spans="1:11" x14ac:dyDescent="0.55000000000000004">
      <c r="A2061" t="s">
        <v>4178</v>
      </c>
      <c r="B2061">
        <v>100633</v>
      </c>
      <c r="C2061" t="s">
        <v>19</v>
      </c>
      <c r="D2061" s="3">
        <v>46117</v>
      </c>
      <c r="E2061" t="s">
        <v>115</v>
      </c>
      <c r="F2061" t="s">
        <v>4179</v>
      </c>
      <c r="G2061" t="s">
        <v>15</v>
      </c>
      <c r="H2061" t="s">
        <v>4180</v>
      </c>
      <c r="I2061" t="s">
        <v>4181</v>
      </c>
      <c r="J2061" s="4">
        <v>46068.200096493056</v>
      </c>
    </row>
    <row r="2062" spans="1:11" x14ac:dyDescent="0.55000000000000004">
      <c r="A2062" t="s">
        <v>4182</v>
      </c>
      <c r="B2062">
        <v>100615</v>
      </c>
      <c r="C2062" t="s">
        <v>179</v>
      </c>
      <c r="D2062" s="3">
        <v>46139</v>
      </c>
      <c r="E2062" t="s">
        <v>317</v>
      </c>
      <c r="F2062" t="s">
        <v>4183</v>
      </c>
      <c r="G2062" t="s">
        <v>15</v>
      </c>
      <c r="H2062" t="s">
        <v>4184</v>
      </c>
      <c r="I2062" t="s">
        <v>4185</v>
      </c>
      <c r="J2062" s="4">
        <v>46075.820235381943</v>
      </c>
    </row>
    <row r="2063" spans="1:11" x14ac:dyDescent="0.55000000000000004">
      <c r="A2063" t="s">
        <v>4182</v>
      </c>
      <c r="B2063">
        <v>100615</v>
      </c>
      <c r="C2063" t="s">
        <v>179</v>
      </c>
      <c r="D2063" s="3">
        <v>46139</v>
      </c>
      <c r="E2063" t="s">
        <v>38</v>
      </c>
      <c r="F2063" t="s">
        <v>4183</v>
      </c>
      <c r="G2063" t="s">
        <v>15</v>
      </c>
      <c r="H2063" t="s">
        <v>4184</v>
      </c>
      <c r="I2063" t="s">
        <v>4185</v>
      </c>
      <c r="J2063" s="4">
        <v>46075.820235381943</v>
      </c>
    </row>
    <row r="2064" spans="1:11" x14ac:dyDescent="0.55000000000000004">
      <c r="A2064" t="s">
        <v>515</v>
      </c>
      <c r="B2064">
        <v>101447</v>
      </c>
      <c r="C2064" t="s">
        <v>37</v>
      </c>
      <c r="D2064" s="3">
        <v>45964</v>
      </c>
      <c r="E2064" t="s">
        <v>38</v>
      </c>
      <c r="F2064" t="s">
        <v>4187</v>
      </c>
      <c r="G2064" t="s">
        <v>15</v>
      </c>
      <c r="H2064" t="s">
        <v>4188</v>
      </c>
      <c r="I2064" t="s">
        <v>4189</v>
      </c>
      <c r="J2064" s="4">
        <v>46091.728568726852</v>
      </c>
      <c r="K2064" t="s">
        <v>119</v>
      </c>
    </row>
    <row r="2065" spans="1:11" x14ac:dyDescent="0.55000000000000004">
      <c r="A2065" t="s">
        <v>515</v>
      </c>
      <c r="B2065">
        <v>101447</v>
      </c>
      <c r="C2065" t="s">
        <v>37</v>
      </c>
      <c r="D2065" s="3">
        <v>45964</v>
      </c>
      <c r="E2065" t="s">
        <v>20</v>
      </c>
      <c r="F2065" t="s">
        <v>4187</v>
      </c>
      <c r="G2065" t="s">
        <v>15</v>
      </c>
      <c r="H2065" t="s">
        <v>4188</v>
      </c>
      <c r="I2065" t="s">
        <v>4189</v>
      </c>
      <c r="J2065" s="4">
        <v>46091.728568726852</v>
      </c>
      <c r="K2065" t="s">
        <v>119</v>
      </c>
    </row>
    <row r="2066" spans="1:11" x14ac:dyDescent="0.55000000000000004">
      <c r="A2066" t="s">
        <v>515</v>
      </c>
      <c r="B2066">
        <v>101447</v>
      </c>
      <c r="C2066" t="s">
        <v>37</v>
      </c>
      <c r="D2066" s="3">
        <v>45964</v>
      </c>
      <c r="E2066" t="s">
        <v>115</v>
      </c>
      <c r="F2066" t="s">
        <v>4187</v>
      </c>
      <c r="G2066" t="s">
        <v>15</v>
      </c>
      <c r="H2066" t="s">
        <v>4188</v>
      </c>
      <c r="I2066" t="s">
        <v>4189</v>
      </c>
      <c r="J2066" s="4">
        <v>46091.728568726852</v>
      </c>
      <c r="K2066" t="s">
        <v>119</v>
      </c>
    </row>
    <row r="2067" spans="1:11" x14ac:dyDescent="0.55000000000000004">
      <c r="A2067" t="s">
        <v>4190</v>
      </c>
      <c r="B2067">
        <v>101050</v>
      </c>
      <c r="C2067" t="s">
        <v>19</v>
      </c>
      <c r="D2067" s="3">
        <v>46097</v>
      </c>
      <c r="E2067" t="s">
        <v>38</v>
      </c>
      <c r="F2067" t="s">
        <v>4191</v>
      </c>
      <c r="G2067" t="s">
        <v>15</v>
      </c>
      <c r="H2067" t="s">
        <v>4192</v>
      </c>
      <c r="I2067" t="s">
        <v>4193</v>
      </c>
      <c r="J2067" s="4">
        <v>46061.566763171293</v>
      </c>
    </row>
    <row r="2068" spans="1:11" x14ac:dyDescent="0.55000000000000004">
      <c r="A2068" t="s">
        <v>4194</v>
      </c>
      <c r="B2068">
        <v>101273</v>
      </c>
      <c r="C2068" t="s">
        <v>19</v>
      </c>
      <c r="D2068" s="3">
        <v>45863</v>
      </c>
      <c r="E2068" t="s">
        <v>317</v>
      </c>
      <c r="F2068" t="s">
        <v>4195</v>
      </c>
      <c r="G2068" t="s">
        <v>22</v>
      </c>
      <c r="H2068" t="s">
        <v>4196</v>
      </c>
      <c r="I2068" t="s">
        <v>4197</v>
      </c>
      <c r="J2068" s="4">
        <v>46086.400790960652</v>
      </c>
    </row>
    <row r="2069" spans="1:11" x14ac:dyDescent="0.55000000000000004">
      <c r="A2069" t="s">
        <v>4194</v>
      </c>
      <c r="B2069">
        <v>101273</v>
      </c>
      <c r="C2069" t="s">
        <v>19</v>
      </c>
      <c r="D2069" s="3">
        <v>45863</v>
      </c>
      <c r="E2069" t="s">
        <v>69</v>
      </c>
      <c r="F2069" t="s">
        <v>4195</v>
      </c>
      <c r="G2069" t="s">
        <v>22</v>
      </c>
      <c r="H2069" t="s">
        <v>4196</v>
      </c>
      <c r="I2069" t="s">
        <v>4197</v>
      </c>
      <c r="J2069" s="4">
        <v>46086.400790960652</v>
      </c>
    </row>
    <row r="2070" spans="1:11" x14ac:dyDescent="0.55000000000000004">
      <c r="A2070" t="s">
        <v>4198</v>
      </c>
      <c r="B2070">
        <v>100143</v>
      </c>
      <c r="C2070" t="s">
        <v>533</v>
      </c>
      <c r="D2070" s="3">
        <v>46140</v>
      </c>
      <c r="E2070" t="s">
        <v>155</v>
      </c>
      <c r="F2070" t="s">
        <v>4199</v>
      </c>
      <c r="G2070" t="s">
        <v>15</v>
      </c>
      <c r="H2070" t="s">
        <v>4200</v>
      </c>
      <c r="I2070" t="s">
        <v>4201</v>
      </c>
      <c r="J2070" s="4">
        <v>46077.914679849535</v>
      </c>
    </row>
    <row r="2071" spans="1:11" x14ac:dyDescent="0.55000000000000004">
      <c r="A2071" t="s">
        <v>4202</v>
      </c>
      <c r="B2071">
        <v>100883</v>
      </c>
      <c r="C2071" t="s">
        <v>179</v>
      </c>
      <c r="D2071" s="3">
        <v>45994</v>
      </c>
      <c r="E2071" t="s">
        <v>317</v>
      </c>
      <c r="F2071" t="s">
        <v>4203</v>
      </c>
      <c r="G2071" t="s">
        <v>15</v>
      </c>
      <c r="H2071" t="s">
        <v>4204</v>
      </c>
      <c r="I2071" t="s">
        <v>4205</v>
      </c>
      <c r="J2071" s="4">
        <v>46067.30704097222</v>
      </c>
    </row>
    <row r="2072" spans="1:11" x14ac:dyDescent="0.55000000000000004">
      <c r="A2072" t="s">
        <v>4202</v>
      </c>
      <c r="B2072">
        <v>100883</v>
      </c>
      <c r="C2072" t="s">
        <v>179</v>
      </c>
      <c r="D2072" s="3">
        <v>45994</v>
      </c>
      <c r="E2072" t="s">
        <v>20</v>
      </c>
      <c r="F2072" t="s">
        <v>4203</v>
      </c>
      <c r="G2072" t="s">
        <v>15</v>
      </c>
      <c r="H2072" t="s">
        <v>4204</v>
      </c>
      <c r="I2072" t="s">
        <v>4205</v>
      </c>
      <c r="J2072" s="4">
        <v>46067.30704097222</v>
      </c>
    </row>
    <row r="2073" spans="1:11" x14ac:dyDescent="0.55000000000000004">
      <c r="A2073" t="s">
        <v>4202</v>
      </c>
      <c r="B2073">
        <v>100883</v>
      </c>
      <c r="C2073" t="s">
        <v>179</v>
      </c>
      <c r="D2073" s="3">
        <v>45994</v>
      </c>
      <c r="E2073" t="s">
        <v>115</v>
      </c>
      <c r="F2073" t="s">
        <v>4203</v>
      </c>
      <c r="G2073" t="s">
        <v>15</v>
      </c>
      <c r="H2073" t="s">
        <v>4204</v>
      </c>
      <c r="I2073" t="s">
        <v>4205</v>
      </c>
      <c r="J2073" s="4">
        <v>46067.30704097222</v>
      </c>
    </row>
    <row r="2074" spans="1:11" x14ac:dyDescent="0.55000000000000004">
      <c r="A2074" t="s">
        <v>4206</v>
      </c>
      <c r="B2074">
        <v>100745</v>
      </c>
      <c r="C2074" t="s">
        <v>19</v>
      </c>
      <c r="D2074" s="3">
        <v>45907</v>
      </c>
      <c r="E2074" t="s">
        <v>20</v>
      </c>
      <c r="F2074" t="s">
        <v>4207</v>
      </c>
      <c r="G2074" t="s">
        <v>15</v>
      </c>
      <c r="H2074" t="s">
        <v>4208</v>
      </c>
      <c r="I2074" t="s">
        <v>4209</v>
      </c>
      <c r="J2074" s="4">
        <v>46094.408429861112</v>
      </c>
    </row>
    <row r="2075" spans="1:11" x14ac:dyDescent="0.55000000000000004">
      <c r="A2075" t="s">
        <v>4206</v>
      </c>
      <c r="B2075">
        <v>100745</v>
      </c>
      <c r="C2075" t="s">
        <v>19</v>
      </c>
      <c r="D2075" s="3">
        <v>45907</v>
      </c>
      <c r="E2075" t="s">
        <v>155</v>
      </c>
      <c r="F2075" t="s">
        <v>4207</v>
      </c>
      <c r="G2075" t="s">
        <v>15</v>
      </c>
      <c r="H2075" t="s">
        <v>4208</v>
      </c>
      <c r="I2075" t="s">
        <v>4209</v>
      </c>
      <c r="J2075" s="4">
        <v>46094.408429861112</v>
      </c>
    </row>
    <row r="2076" spans="1:11" x14ac:dyDescent="0.55000000000000004">
      <c r="A2076" t="s">
        <v>4210</v>
      </c>
      <c r="B2076">
        <v>100403</v>
      </c>
      <c r="C2076" t="s">
        <v>19</v>
      </c>
      <c r="D2076" s="3">
        <v>46151</v>
      </c>
      <c r="E2076" t="s">
        <v>20</v>
      </c>
      <c r="F2076" t="s">
        <v>4211</v>
      </c>
      <c r="G2076" t="s">
        <v>15</v>
      </c>
      <c r="H2076" t="s">
        <v>4212</v>
      </c>
      <c r="I2076" t="s">
        <v>4213</v>
      </c>
      <c r="J2076" s="4">
        <v>46084.835513194441</v>
      </c>
    </row>
    <row r="2077" spans="1:11" x14ac:dyDescent="0.55000000000000004">
      <c r="A2077" t="s">
        <v>4210</v>
      </c>
      <c r="B2077">
        <v>100403</v>
      </c>
      <c r="C2077" t="s">
        <v>19</v>
      </c>
      <c r="D2077" s="3">
        <v>46151</v>
      </c>
      <c r="E2077" t="s">
        <v>155</v>
      </c>
      <c r="F2077" t="s">
        <v>4211</v>
      </c>
      <c r="G2077" t="s">
        <v>15</v>
      </c>
      <c r="H2077" t="s">
        <v>4212</v>
      </c>
      <c r="I2077" t="s">
        <v>4213</v>
      </c>
      <c r="J2077" s="4">
        <v>46084.835513194441</v>
      </c>
    </row>
    <row r="2078" spans="1:11" x14ac:dyDescent="0.55000000000000004">
      <c r="A2078" t="s">
        <v>4210</v>
      </c>
      <c r="B2078">
        <v>100403</v>
      </c>
      <c r="C2078" t="s">
        <v>19</v>
      </c>
      <c r="D2078" s="3">
        <v>46151</v>
      </c>
      <c r="E2078" t="s">
        <v>69</v>
      </c>
      <c r="F2078" t="s">
        <v>4211</v>
      </c>
      <c r="G2078" t="s">
        <v>15</v>
      </c>
      <c r="H2078" t="s">
        <v>4212</v>
      </c>
      <c r="I2078" t="s">
        <v>4213</v>
      </c>
      <c r="J2078" s="4">
        <v>46084.835513194441</v>
      </c>
    </row>
    <row r="2079" spans="1:11" x14ac:dyDescent="0.55000000000000004">
      <c r="A2079" t="s">
        <v>4214</v>
      </c>
      <c r="B2079">
        <v>100003</v>
      </c>
      <c r="C2079" t="s">
        <v>248</v>
      </c>
      <c r="D2079" s="3">
        <v>46134</v>
      </c>
      <c r="E2079" t="s">
        <v>20</v>
      </c>
      <c r="F2079" t="s">
        <v>4215</v>
      </c>
      <c r="G2079" t="s">
        <v>15</v>
      </c>
      <c r="H2079" t="s">
        <v>4216</v>
      </c>
      <c r="I2079" t="s">
        <v>4217</v>
      </c>
      <c r="J2079" s="4">
        <v>46055.069540983794</v>
      </c>
    </row>
    <row r="2080" spans="1:11" x14ac:dyDescent="0.55000000000000004">
      <c r="A2080" t="s">
        <v>4218</v>
      </c>
      <c r="B2080">
        <v>101049</v>
      </c>
      <c r="C2080" t="s">
        <v>179</v>
      </c>
      <c r="D2080" s="3">
        <v>46039</v>
      </c>
      <c r="E2080" t="s">
        <v>317</v>
      </c>
      <c r="F2080" t="s">
        <v>4219</v>
      </c>
      <c r="G2080" t="s">
        <v>22</v>
      </c>
      <c r="H2080" t="s">
        <v>4220</v>
      </c>
      <c r="I2080" t="s">
        <v>4221</v>
      </c>
      <c r="J2080" s="4">
        <v>46071.278568761576</v>
      </c>
    </row>
    <row r="2081" spans="1:10" x14ac:dyDescent="0.55000000000000004">
      <c r="A2081" t="s">
        <v>4218</v>
      </c>
      <c r="B2081">
        <v>101049</v>
      </c>
      <c r="C2081" t="s">
        <v>179</v>
      </c>
      <c r="D2081" s="3">
        <v>46039</v>
      </c>
      <c r="E2081" t="s">
        <v>38</v>
      </c>
      <c r="F2081" t="s">
        <v>4219</v>
      </c>
      <c r="G2081" t="s">
        <v>22</v>
      </c>
      <c r="H2081" t="s">
        <v>4220</v>
      </c>
      <c r="I2081" t="s">
        <v>4221</v>
      </c>
      <c r="J2081" s="4">
        <v>46071.278568761576</v>
      </c>
    </row>
    <row r="2082" spans="1:10" x14ac:dyDescent="0.55000000000000004">
      <c r="A2082" t="s">
        <v>4218</v>
      </c>
      <c r="B2082">
        <v>101049</v>
      </c>
      <c r="C2082" t="s">
        <v>179</v>
      </c>
      <c r="D2082" s="3">
        <v>46039</v>
      </c>
      <c r="E2082" t="s">
        <v>20</v>
      </c>
      <c r="F2082" t="s">
        <v>4219</v>
      </c>
      <c r="G2082" t="s">
        <v>22</v>
      </c>
      <c r="H2082" t="s">
        <v>4220</v>
      </c>
      <c r="I2082" t="s">
        <v>4221</v>
      </c>
      <c r="J2082" s="4">
        <v>46071.278568761576</v>
      </c>
    </row>
    <row r="2083" spans="1:10" x14ac:dyDescent="0.55000000000000004">
      <c r="A2083" t="s">
        <v>4222</v>
      </c>
      <c r="B2083">
        <v>101120</v>
      </c>
      <c r="C2083" t="s">
        <v>533</v>
      </c>
      <c r="D2083" s="3">
        <v>45785</v>
      </c>
      <c r="E2083" t="s">
        <v>155</v>
      </c>
      <c r="F2083" t="s">
        <v>4223</v>
      </c>
      <c r="G2083" t="s">
        <v>15</v>
      </c>
      <c r="H2083" t="s">
        <v>4224</v>
      </c>
      <c r="I2083" t="s">
        <v>4225</v>
      </c>
      <c r="J2083" s="4">
        <v>46096.837596550926</v>
      </c>
    </row>
    <row r="2084" spans="1:10" x14ac:dyDescent="0.55000000000000004">
      <c r="A2084" t="s">
        <v>4222</v>
      </c>
      <c r="B2084">
        <v>101120</v>
      </c>
      <c r="C2084" t="s">
        <v>533</v>
      </c>
      <c r="D2084" s="3">
        <v>45785</v>
      </c>
      <c r="E2084" t="s">
        <v>69</v>
      </c>
      <c r="F2084" t="s">
        <v>4223</v>
      </c>
      <c r="G2084" t="s">
        <v>15</v>
      </c>
      <c r="H2084" t="s">
        <v>4224</v>
      </c>
      <c r="I2084" t="s">
        <v>4225</v>
      </c>
      <c r="J2084" s="4">
        <v>46096.837596550926</v>
      </c>
    </row>
    <row r="2085" spans="1:10" x14ac:dyDescent="0.55000000000000004">
      <c r="A2085" t="s">
        <v>4226</v>
      </c>
      <c r="B2085">
        <v>100521</v>
      </c>
      <c r="C2085" t="s">
        <v>248</v>
      </c>
      <c r="D2085" s="3">
        <v>46086</v>
      </c>
      <c r="E2085" t="s">
        <v>69</v>
      </c>
      <c r="F2085" t="s">
        <v>4227</v>
      </c>
      <c r="G2085" t="s">
        <v>15</v>
      </c>
      <c r="H2085" t="s">
        <v>4228</v>
      </c>
      <c r="I2085" t="s">
        <v>4229</v>
      </c>
      <c r="J2085" s="4">
        <v>46082.062596550924</v>
      </c>
    </row>
    <row r="2086" spans="1:10" x14ac:dyDescent="0.55000000000000004">
      <c r="A2086" t="s">
        <v>413</v>
      </c>
      <c r="B2086">
        <v>101426</v>
      </c>
      <c r="C2086" t="s">
        <v>68</v>
      </c>
      <c r="D2086" s="3">
        <v>46145</v>
      </c>
      <c r="E2086" t="s">
        <v>317</v>
      </c>
      <c r="F2086" t="s">
        <v>4230</v>
      </c>
      <c r="G2086" t="s">
        <v>15</v>
      </c>
      <c r="H2086" t="s">
        <v>4231</v>
      </c>
      <c r="I2086" t="s">
        <v>4232</v>
      </c>
      <c r="J2086" s="4">
        <v>46097.229957685187</v>
      </c>
    </row>
    <row r="2087" spans="1:10" x14ac:dyDescent="0.55000000000000004">
      <c r="A2087" t="s">
        <v>413</v>
      </c>
      <c r="B2087">
        <v>101426</v>
      </c>
      <c r="C2087" t="s">
        <v>68</v>
      </c>
      <c r="D2087" s="3">
        <v>46145</v>
      </c>
      <c r="E2087" t="s">
        <v>115</v>
      </c>
      <c r="F2087" t="s">
        <v>4230</v>
      </c>
      <c r="G2087" t="s">
        <v>15</v>
      </c>
      <c r="H2087" t="s">
        <v>4231</v>
      </c>
      <c r="I2087" t="s">
        <v>4232</v>
      </c>
      <c r="J2087" s="4">
        <v>46097.229957685187</v>
      </c>
    </row>
    <row r="2088" spans="1:10" x14ac:dyDescent="0.55000000000000004">
      <c r="A2088" t="s">
        <v>413</v>
      </c>
      <c r="B2088">
        <v>101426</v>
      </c>
      <c r="C2088" t="s">
        <v>68</v>
      </c>
      <c r="D2088" s="3">
        <v>46145</v>
      </c>
      <c r="E2088" t="s">
        <v>69</v>
      </c>
      <c r="F2088" t="s">
        <v>4230</v>
      </c>
      <c r="G2088" t="s">
        <v>15</v>
      </c>
      <c r="H2088" t="s">
        <v>4231</v>
      </c>
      <c r="I2088" t="s">
        <v>4232</v>
      </c>
      <c r="J2088" s="4">
        <v>46097.229957685187</v>
      </c>
    </row>
    <row r="2089" spans="1:10" x14ac:dyDescent="0.55000000000000004">
      <c r="A2089" t="s">
        <v>4233</v>
      </c>
      <c r="B2089">
        <v>101360</v>
      </c>
      <c r="C2089" t="s">
        <v>37</v>
      </c>
      <c r="D2089" s="3">
        <v>45769</v>
      </c>
      <c r="E2089" t="s">
        <v>38</v>
      </c>
      <c r="F2089" t="s">
        <v>4234</v>
      </c>
      <c r="G2089" t="s">
        <v>15</v>
      </c>
      <c r="H2089" t="s">
        <v>4235</v>
      </c>
      <c r="I2089" t="s">
        <v>4236</v>
      </c>
      <c r="J2089" s="4">
        <v>46088.332735497686</v>
      </c>
    </row>
    <row r="2090" spans="1:10" x14ac:dyDescent="0.55000000000000004">
      <c r="A2090" t="s">
        <v>4233</v>
      </c>
      <c r="B2090">
        <v>101360</v>
      </c>
      <c r="C2090" t="s">
        <v>37</v>
      </c>
      <c r="D2090" s="3">
        <v>45769</v>
      </c>
      <c r="E2090" t="s">
        <v>155</v>
      </c>
      <c r="F2090" t="s">
        <v>4234</v>
      </c>
      <c r="G2090" t="s">
        <v>15</v>
      </c>
      <c r="H2090" t="s">
        <v>4235</v>
      </c>
      <c r="I2090" t="s">
        <v>4236</v>
      </c>
      <c r="J2090" s="4">
        <v>46088.332735497686</v>
      </c>
    </row>
    <row r="2091" spans="1:10" x14ac:dyDescent="0.55000000000000004">
      <c r="A2091" t="s">
        <v>2101</v>
      </c>
      <c r="B2091">
        <v>101058</v>
      </c>
      <c r="C2091" t="s">
        <v>179</v>
      </c>
      <c r="D2091" s="3">
        <v>45831</v>
      </c>
      <c r="E2091" t="s">
        <v>38</v>
      </c>
      <c r="F2091" t="s">
        <v>4237</v>
      </c>
      <c r="G2091" t="s">
        <v>15</v>
      </c>
      <c r="H2091" t="s">
        <v>4238</v>
      </c>
      <c r="I2091" t="s">
        <v>4239</v>
      </c>
      <c r="J2091" s="4">
        <v>46085.464679965276</v>
      </c>
    </row>
    <row r="2092" spans="1:10" x14ac:dyDescent="0.55000000000000004">
      <c r="A2092" t="s">
        <v>2101</v>
      </c>
      <c r="B2092">
        <v>101058</v>
      </c>
      <c r="C2092" t="s">
        <v>179</v>
      </c>
      <c r="D2092" s="3">
        <v>45831</v>
      </c>
      <c r="E2092" t="s">
        <v>20</v>
      </c>
      <c r="F2092" t="s">
        <v>4237</v>
      </c>
      <c r="G2092" t="s">
        <v>15</v>
      </c>
      <c r="H2092" t="s">
        <v>4238</v>
      </c>
      <c r="I2092" t="s">
        <v>4239</v>
      </c>
      <c r="J2092" s="4">
        <v>46085.464679965276</v>
      </c>
    </row>
    <row r="2093" spans="1:10" x14ac:dyDescent="0.55000000000000004">
      <c r="A2093" t="s">
        <v>2101</v>
      </c>
      <c r="B2093">
        <v>101058</v>
      </c>
      <c r="C2093" t="s">
        <v>179</v>
      </c>
      <c r="D2093" s="3">
        <v>45831</v>
      </c>
      <c r="E2093" t="s">
        <v>155</v>
      </c>
      <c r="F2093" t="s">
        <v>4237</v>
      </c>
      <c r="G2093" t="s">
        <v>15</v>
      </c>
      <c r="H2093" t="s">
        <v>4238</v>
      </c>
      <c r="I2093" t="s">
        <v>4239</v>
      </c>
      <c r="J2093" s="4">
        <v>46085.464679965276</v>
      </c>
    </row>
    <row r="2094" spans="1:10" x14ac:dyDescent="0.55000000000000004">
      <c r="A2094" t="s">
        <v>4240</v>
      </c>
      <c r="B2094">
        <v>101047</v>
      </c>
      <c r="C2094" t="s">
        <v>68</v>
      </c>
      <c r="D2094" s="3">
        <v>45821</v>
      </c>
      <c r="E2094" t="s">
        <v>20</v>
      </c>
      <c r="F2094" t="s">
        <v>4241</v>
      </c>
      <c r="G2094" t="s">
        <v>15</v>
      </c>
      <c r="H2094" t="s">
        <v>4242</v>
      </c>
      <c r="I2094" t="s">
        <v>4243</v>
      </c>
      <c r="J2094" s="4">
        <v>46075.957731481481</v>
      </c>
    </row>
    <row r="2095" spans="1:10" x14ac:dyDescent="0.55000000000000004">
      <c r="A2095" t="s">
        <v>4244</v>
      </c>
      <c r="B2095">
        <v>100893</v>
      </c>
      <c r="C2095" t="s">
        <v>248</v>
      </c>
      <c r="D2095" s="3">
        <v>45823</v>
      </c>
      <c r="E2095" t="s">
        <v>155</v>
      </c>
      <c r="F2095" t="s">
        <v>4245</v>
      </c>
      <c r="G2095" t="s">
        <v>15</v>
      </c>
      <c r="H2095" t="s">
        <v>4246</v>
      </c>
      <c r="I2095" t="s">
        <v>4247</v>
      </c>
      <c r="J2095" s="4">
        <v>46081.602180000002</v>
      </c>
    </row>
    <row r="2096" spans="1:10" x14ac:dyDescent="0.55000000000000004">
      <c r="A2096" t="s">
        <v>4248</v>
      </c>
      <c r="B2096">
        <v>101199</v>
      </c>
      <c r="C2096" t="s">
        <v>37</v>
      </c>
      <c r="D2096" s="3">
        <v>46157</v>
      </c>
      <c r="E2096" t="s">
        <v>155</v>
      </c>
      <c r="F2096" t="s">
        <v>4249</v>
      </c>
      <c r="G2096" t="s">
        <v>22</v>
      </c>
      <c r="H2096" t="s">
        <v>4250</v>
      </c>
      <c r="I2096" t="s">
        <v>4251</v>
      </c>
      <c r="J2096" s="4">
        <v>46084.312596678239</v>
      </c>
    </row>
    <row r="2097" spans="1:11" x14ac:dyDescent="0.55000000000000004">
      <c r="A2097" t="s">
        <v>4248</v>
      </c>
      <c r="B2097">
        <v>101199</v>
      </c>
      <c r="C2097" t="s">
        <v>37</v>
      </c>
      <c r="D2097" s="3">
        <v>46157</v>
      </c>
      <c r="E2097" t="s">
        <v>115</v>
      </c>
      <c r="F2097" t="s">
        <v>4249</v>
      </c>
      <c r="G2097" t="s">
        <v>22</v>
      </c>
      <c r="H2097" t="s">
        <v>4250</v>
      </c>
      <c r="I2097" t="s">
        <v>4251</v>
      </c>
      <c r="J2097" s="4">
        <v>46084.312596678239</v>
      </c>
    </row>
    <row r="2098" spans="1:11" x14ac:dyDescent="0.55000000000000004">
      <c r="A2098" t="s">
        <v>4248</v>
      </c>
      <c r="B2098">
        <v>101199</v>
      </c>
      <c r="C2098" t="s">
        <v>37</v>
      </c>
      <c r="D2098" s="3">
        <v>46157</v>
      </c>
      <c r="E2098" t="s">
        <v>69</v>
      </c>
      <c r="F2098" t="s">
        <v>4249</v>
      </c>
      <c r="G2098" t="s">
        <v>22</v>
      </c>
      <c r="H2098" t="s">
        <v>4250</v>
      </c>
      <c r="I2098" t="s">
        <v>4251</v>
      </c>
      <c r="J2098" s="4">
        <v>46084.312596678239</v>
      </c>
    </row>
    <row r="2099" spans="1:11" x14ac:dyDescent="0.55000000000000004">
      <c r="A2099" t="s">
        <v>4252</v>
      </c>
      <c r="B2099">
        <v>100707</v>
      </c>
      <c r="C2099" t="s">
        <v>179</v>
      </c>
      <c r="D2099" s="3">
        <v>45854</v>
      </c>
      <c r="E2099" t="s">
        <v>20</v>
      </c>
      <c r="F2099" t="s">
        <v>4253</v>
      </c>
      <c r="G2099" t="s">
        <v>22</v>
      </c>
      <c r="H2099" t="s">
        <v>4254</v>
      </c>
      <c r="I2099" t="s">
        <v>4255</v>
      </c>
      <c r="J2099" s="4">
        <v>46052.65356890046</v>
      </c>
    </row>
    <row r="2100" spans="1:11" x14ac:dyDescent="0.55000000000000004">
      <c r="A2100" t="s">
        <v>4252</v>
      </c>
      <c r="B2100">
        <v>100707</v>
      </c>
      <c r="C2100" t="s">
        <v>179</v>
      </c>
      <c r="D2100" s="3">
        <v>45854</v>
      </c>
      <c r="E2100" t="s">
        <v>115</v>
      </c>
      <c r="F2100" t="s">
        <v>4253</v>
      </c>
      <c r="G2100" t="s">
        <v>22</v>
      </c>
      <c r="H2100" t="s">
        <v>4254</v>
      </c>
      <c r="I2100" t="s">
        <v>4255</v>
      </c>
      <c r="J2100" s="4">
        <v>46052.65356890046</v>
      </c>
    </row>
    <row r="2101" spans="1:11" x14ac:dyDescent="0.55000000000000004">
      <c r="A2101" t="s">
        <v>4256</v>
      </c>
      <c r="D2101" s="3">
        <v>45805</v>
      </c>
      <c r="E2101" t="s">
        <v>115</v>
      </c>
      <c r="F2101" t="s">
        <v>4257</v>
      </c>
      <c r="G2101" t="s">
        <v>15</v>
      </c>
      <c r="H2101" t="s">
        <v>4258</v>
      </c>
      <c r="I2101" t="s">
        <v>4259</v>
      </c>
      <c r="J2101" s="4">
        <v>46063.208430023151</v>
      </c>
      <c r="K2101" t="s">
        <v>4260</v>
      </c>
    </row>
    <row r="2102" spans="1:11" x14ac:dyDescent="0.55000000000000004">
      <c r="A2102" t="s">
        <v>4261</v>
      </c>
      <c r="B2102">
        <v>100222</v>
      </c>
      <c r="C2102" t="s">
        <v>68</v>
      </c>
      <c r="D2102" s="3">
        <v>45894</v>
      </c>
      <c r="E2102" t="s">
        <v>155</v>
      </c>
      <c r="F2102" t="s">
        <v>4262</v>
      </c>
      <c r="G2102" t="s">
        <v>15</v>
      </c>
      <c r="H2102" t="s">
        <v>4263</v>
      </c>
      <c r="I2102" t="s">
        <v>4264</v>
      </c>
      <c r="J2102" s="4">
        <v>46063.327874479168</v>
      </c>
    </row>
    <row r="2103" spans="1:11" x14ac:dyDescent="0.55000000000000004">
      <c r="A2103" t="s">
        <v>4261</v>
      </c>
      <c r="B2103">
        <v>100222</v>
      </c>
      <c r="C2103" t="s">
        <v>68</v>
      </c>
      <c r="D2103" s="3">
        <v>45894</v>
      </c>
      <c r="E2103" t="s">
        <v>115</v>
      </c>
      <c r="F2103" t="s">
        <v>4262</v>
      </c>
      <c r="G2103" t="s">
        <v>15</v>
      </c>
      <c r="H2103" t="s">
        <v>4263</v>
      </c>
      <c r="I2103" t="s">
        <v>4264</v>
      </c>
      <c r="J2103" s="4">
        <v>46063.327874479168</v>
      </c>
    </row>
    <row r="2104" spans="1:11" x14ac:dyDescent="0.55000000000000004">
      <c r="A2104" t="s">
        <v>4261</v>
      </c>
      <c r="B2104">
        <v>100222</v>
      </c>
      <c r="C2104" t="s">
        <v>68</v>
      </c>
      <c r="D2104" s="3">
        <v>45894</v>
      </c>
      <c r="E2104" t="s">
        <v>69</v>
      </c>
      <c r="F2104" t="s">
        <v>4262</v>
      </c>
      <c r="G2104" t="s">
        <v>15</v>
      </c>
      <c r="H2104" t="s">
        <v>4263</v>
      </c>
      <c r="I2104" t="s">
        <v>4264</v>
      </c>
      <c r="J2104" s="4">
        <v>46063.327874479168</v>
      </c>
    </row>
    <row r="2105" spans="1:11" x14ac:dyDescent="0.55000000000000004">
      <c r="A2105" t="s">
        <v>4265</v>
      </c>
      <c r="B2105">
        <v>100078</v>
      </c>
      <c r="C2105" t="s">
        <v>533</v>
      </c>
      <c r="D2105" s="3">
        <v>45899</v>
      </c>
      <c r="E2105" t="s">
        <v>155</v>
      </c>
      <c r="F2105" t="s">
        <v>4266</v>
      </c>
      <c r="G2105" t="s">
        <v>22</v>
      </c>
      <c r="H2105" t="s">
        <v>4267</v>
      </c>
      <c r="I2105" t="s">
        <v>4268</v>
      </c>
      <c r="J2105" s="4">
        <v>46089.023707824075</v>
      </c>
    </row>
    <row r="2106" spans="1:11" x14ac:dyDescent="0.55000000000000004">
      <c r="A2106" t="s">
        <v>4269</v>
      </c>
      <c r="B2106">
        <v>101155</v>
      </c>
      <c r="C2106" t="s">
        <v>19</v>
      </c>
      <c r="D2106" s="3">
        <v>45982</v>
      </c>
      <c r="E2106" t="s">
        <v>317</v>
      </c>
      <c r="F2106" t="s">
        <v>4270</v>
      </c>
      <c r="G2106" t="s">
        <v>15</v>
      </c>
      <c r="H2106" t="s">
        <v>4271</v>
      </c>
      <c r="I2106" t="s">
        <v>4272</v>
      </c>
      <c r="J2106" s="4">
        <v>46066.802874490742</v>
      </c>
    </row>
    <row r="2107" spans="1:11" x14ac:dyDescent="0.55000000000000004">
      <c r="A2107" t="s">
        <v>4273</v>
      </c>
      <c r="B2107">
        <v>101339</v>
      </c>
      <c r="C2107" t="s">
        <v>19</v>
      </c>
      <c r="D2107" s="3">
        <v>45765</v>
      </c>
      <c r="E2107" t="s">
        <v>38</v>
      </c>
      <c r="F2107" t="s">
        <v>4274</v>
      </c>
      <c r="G2107" t="s">
        <v>22</v>
      </c>
      <c r="H2107" t="s">
        <v>4275</v>
      </c>
      <c r="I2107" t="s">
        <v>4276</v>
      </c>
      <c r="J2107" s="4">
        <v>46056.022318946758</v>
      </c>
    </row>
    <row r="2108" spans="1:11" x14ac:dyDescent="0.55000000000000004">
      <c r="A2108" t="s">
        <v>4277</v>
      </c>
      <c r="B2108">
        <v>101174</v>
      </c>
      <c r="C2108" t="s">
        <v>68</v>
      </c>
      <c r="D2108" s="3">
        <v>45987</v>
      </c>
      <c r="E2108" t="s">
        <v>20</v>
      </c>
      <c r="F2108" t="s">
        <v>4278</v>
      </c>
      <c r="G2108" t="s">
        <v>22</v>
      </c>
      <c r="H2108" t="s">
        <v>4279</v>
      </c>
      <c r="I2108" t="s">
        <v>4280</v>
      </c>
      <c r="J2108" s="4">
        <v>46063.758430057867</v>
      </c>
    </row>
    <row r="2109" spans="1:11" x14ac:dyDescent="0.55000000000000004">
      <c r="A2109" t="s">
        <v>4277</v>
      </c>
      <c r="B2109">
        <v>101174</v>
      </c>
      <c r="C2109" t="s">
        <v>68</v>
      </c>
      <c r="D2109" s="3">
        <v>45987</v>
      </c>
      <c r="E2109" t="s">
        <v>115</v>
      </c>
      <c r="F2109" t="s">
        <v>4278</v>
      </c>
      <c r="G2109" t="s">
        <v>22</v>
      </c>
      <c r="H2109" t="s">
        <v>4279</v>
      </c>
      <c r="I2109" t="s">
        <v>4280</v>
      </c>
      <c r="J2109" s="4">
        <v>46063.758430057867</v>
      </c>
    </row>
    <row r="2110" spans="1:11" x14ac:dyDescent="0.55000000000000004">
      <c r="A2110" t="s">
        <v>4277</v>
      </c>
      <c r="B2110">
        <v>101174</v>
      </c>
      <c r="C2110" t="s">
        <v>68</v>
      </c>
      <c r="D2110" s="3">
        <v>45987</v>
      </c>
      <c r="E2110" t="s">
        <v>69</v>
      </c>
      <c r="F2110" t="s">
        <v>4278</v>
      </c>
      <c r="G2110" t="s">
        <v>22</v>
      </c>
      <c r="H2110" t="s">
        <v>4279</v>
      </c>
      <c r="I2110" t="s">
        <v>4280</v>
      </c>
      <c r="J2110" s="4">
        <v>46063.758430057867</v>
      </c>
    </row>
    <row r="2111" spans="1:11" x14ac:dyDescent="0.55000000000000004">
      <c r="A2111" t="s">
        <v>4281</v>
      </c>
      <c r="B2111">
        <v>101137</v>
      </c>
      <c r="C2111" t="s">
        <v>19</v>
      </c>
      <c r="D2111" s="3">
        <v>46098</v>
      </c>
      <c r="E2111" t="s">
        <v>20</v>
      </c>
      <c r="F2111" t="s">
        <v>4282</v>
      </c>
      <c r="G2111" t="s">
        <v>22</v>
      </c>
      <c r="H2111" t="s">
        <v>4283</v>
      </c>
      <c r="I2111" t="s">
        <v>4284</v>
      </c>
      <c r="J2111" s="4">
        <v>46056.916068958337</v>
      </c>
    </row>
    <row r="2112" spans="1:11" x14ac:dyDescent="0.55000000000000004">
      <c r="A2112" t="s">
        <v>4281</v>
      </c>
      <c r="B2112">
        <v>101137</v>
      </c>
      <c r="C2112" t="s">
        <v>19</v>
      </c>
      <c r="D2112" s="3">
        <v>46098</v>
      </c>
      <c r="E2112" t="s">
        <v>69</v>
      </c>
      <c r="F2112" t="s">
        <v>4282</v>
      </c>
      <c r="G2112" t="s">
        <v>22</v>
      </c>
      <c r="H2112" t="s">
        <v>4283</v>
      </c>
      <c r="I2112" t="s">
        <v>4284</v>
      </c>
      <c r="J2112" s="4">
        <v>46056.916068958337</v>
      </c>
    </row>
    <row r="2113" spans="1:11" x14ac:dyDescent="0.55000000000000004">
      <c r="A2113" t="s">
        <v>4285</v>
      </c>
      <c r="B2113">
        <v>100056</v>
      </c>
      <c r="C2113" t="s">
        <v>37</v>
      </c>
      <c r="D2113" s="3">
        <v>45838</v>
      </c>
      <c r="E2113" t="s">
        <v>115</v>
      </c>
      <c r="F2113" t="s">
        <v>4286</v>
      </c>
      <c r="G2113" t="s">
        <v>22</v>
      </c>
      <c r="H2113" t="s">
        <v>4287</v>
      </c>
      <c r="I2113" t="s">
        <v>4288</v>
      </c>
      <c r="J2113" s="4">
        <v>46082.183430081015</v>
      </c>
    </row>
    <row r="2114" spans="1:11" x14ac:dyDescent="0.55000000000000004">
      <c r="A2114" t="s">
        <v>4289</v>
      </c>
      <c r="B2114">
        <v>100678</v>
      </c>
      <c r="C2114" t="s">
        <v>248</v>
      </c>
      <c r="D2114" s="3">
        <v>45888</v>
      </c>
      <c r="E2114" t="s">
        <v>38</v>
      </c>
      <c r="F2114" t="s">
        <v>4290</v>
      </c>
      <c r="G2114" t="s">
        <v>15</v>
      </c>
      <c r="H2114" t="s">
        <v>4291</v>
      </c>
      <c r="I2114" t="s">
        <v>4292</v>
      </c>
      <c r="J2114" s="4">
        <v>46074.384124525466</v>
      </c>
    </row>
    <row r="2115" spans="1:11" x14ac:dyDescent="0.55000000000000004">
      <c r="A2115" t="s">
        <v>4289</v>
      </c>
      <c r="B2115">
        <v>100678</v>
      </c>
      <c r="C2115" t="s">
        <v>248</v>
      </c>
      <c r="D2115" s="3">
        <v>45888</v>
      </c>
      <c r="E2115" t="s">
        <v>69</v>
      </c>
      <c r="F2115" t="s">
        <v>4290</v>
      </c>
      <c r="G2115" t="s">
        <v>15</v>
      </c>
      <c r="H2115" t="s">
        <v>4291</v>
      </c>
      <c r="I2115" t="s">
        <v>4292</v>
      </c>
      <c r="J2115" s="4">
        <v>46074.384124525466</v>
      </c>
    </row>
    <row r="2116" spans="1:11" x14ac:dyDescent="0.55000000000000004">
      <c r="A2116" t="s">
        <v>4293</v>
      </c>
      <c r="B2116">
        <v>100818</v>
      </c>
      <c r="C2116" t="s">
        <v>19</v>
      </c>
      <c r="D2116" s="3">
        <v>45775</v>
      </c>
      <c r="E2116" t="s">
        <v>155</v>
      </c>
      <c r="F2116" t="s">
        <v>4294</v>
      </c>
      <c r="G2116" t="s">
        <v>22</v>
      </c>
      <c r="H2116" t="s">
        <v>4295</v>
      </c>
      <c r="I2116" t="s">
        <v>4296</v>
      </c>
      <c r="J2116" s="4">
        <v>46069.008430081019</v>
      </c>
    </row>
    <row r="2117" spans="1:11" x14ac:dyDescent="0.55000000000000004">
      <c r="A2117" t="s">
        <v>4297</v>
      </c>
      <c r="B2117">
        <v>101371</v>
      </c>
      <c r="C2117" t="s">
        <v>68</v>
      </c>
      <c r="D2117" s="3">
        <v>45849</v>
      </c>
      <c r="E2117" t="s">
        <v>20</v>
      </c>
      <c r="F2117" t="s">
        <v>4298</v>
      </c>
      <c r="G2117" t="s">
        <v>22</v>
      </c>
      <c r="H2117" t="s">
        <v>4299</v>
      </c>
      <c r="I2117" t="s">
        <v>4300</v>
      </c>
      <c r="J2117" s="4">
        <v>46069.08134675926</v>
      </c>
    </row>
    <row r="2118" spans="1:11" x14ac:dyDescent="0.55000000000000004">
      <c r="A2118" t="s">
        <v>4297</v>
      </c>
      <c r="B2118">
        <v>101371</v>
      </c>
      <c r="C2118" t="s">
        <v>68</v>
      </c>
      <c r="D2118" s="3">
        <v>45849</v>
      </c>
      <c r="E2118" t="s">
        <v>155</v>
      </c>
      <c r="F2118" t="s">
        <v>4298</v>
      </c>
      <c r="G2118" t="s">
        <v>22</v>
      </c>
      <c r="H2118" t="s">
        <v>4299</v>
      </c>
      <c r="I2118" t="s">
        <v>4300</v>
      </c>
      <c r="J2118" s="4">
        <v>46069.08134675926</v>
      </c>
    </row>
    <row r="2119" spans="1:11" x14ac:dyDescent="0.55000000000000004">
      <c r="A2119" t="s">
        <v>4297</v>
      </c>
      <c r="B2119">
        <v>101371</v>
      </c>
      <c r="C2119" t="s">
        <v>68</v>
      </c>
      <c r="D2119" s="3">
        <v>45849</v>
      </c>
      <c r="E2119" t="s">
        <v>69</v>
      </c>
      <c r="F2119" t="s">
        <v>4298</v>
      </c>
      <c r="G2119" t="s">
        <v>22</v>
      </c>
      <c r="H2119" t="s">
        <v>4299</v>
      </c>
      <c r="I2119" t="s">
        <v>4300</v>
      </c>
      <c r="J2119" s="4">
        <v>46069.08134675926</v>
      </c>
    </row>
    <row r="2120" spans="1:11" x14ac:dyDescent="0.55000000000000004">
      <c r="A2120" t="s">
        <v>4301</v>
      </c>
      <c r="B2120">
        <v>100719</v>
      </c>
      <c r="C2120" t="s">
        <v>179</v>
      </c>
      <c r="D2120" s="3">
        <v>45941</v>
      </c>
      <c r="E2120" t="s">
        <v>20</v>
      </c>
      <c r="F2120" t="s">
        <v>4302</v>
      </c>
      <c r="G2120" t="s">
        <v>22</v>
      </c>
      <c r="H2120" t="s">
        <v>4303</v>
      </c>
      <c r="I2120" t="s">
        <v>4304</v>
      </c>
      <c r="J2120" s="4">
        <v>46073.711207870372</v>
      </c>
    </row>
    <row r="2121" spans="1:11" x14ac:dyDescent="0.55000000000000004">
      <c r="A2121" t="s">
        <v>4301</v>
      </c>
      <c r="B2121">
        <v>100719</v>
      </c>
      <c r="C2121" t="s">
        <v>179</v>
      </c>
      <c r="D2121" s="3">
        <v>45941</v>
      </c>
      <c r="E2121" t="s">
        <v>69</v>
      </c>
      <c r="F2121" t="s">
        <v>4302</v>
      </c>
      <c r="G2121" t="s">
        <v>22</v>
      </c>
      <c r="H2121" t="s">
        <v>4303</v>
      </c>
      <c r="I2121" t="s">
        <v>4304</v>
      </c>
      <c r="J2121" s="4">
        <v>46073.711207870372</v>
      </c>
    </row>
    <row r="2122" spans="1:11" x14ac:dyDescent="0.55000000000000004">
      <c r="A2122" t="s">
        <v>4305</v>
      </c>
      <c r="B2122">
        <v>100571</v>
      </c>
      <c r="C2122" t="s">
        <v>533</v>
      </c>
      <c r="D2122" s="3">
        <v>45958</v>
      </c>
      <c r="E2122" t="s">
        <v>20</v>
      </c>
      <c r="F2122" t="s">
        <v>4306</v>
      </c>
      <c r="G2122" t="s">
        <v>15</v>
      </c>
      <c r="H2122" t="s">
        <v>4307</v>
      </c>
      <c r="I2122" t="s">
        <v>4308</v>
      </c>
      <c r="J2122" s="4">
        <v>46075.629263437499</v>
      </c>
    </row>
    <row r="2123" spans="1:11" x14ac:dyDescent="0.55000000000000004">
      <c r="A2123" t="s">
        <v>4309</v>
      </c>
      <c r="C2123" t="s">
        <v>68</v>
      </c>
      <c r="D2123" s="3">
        <v>45988</v>
      </c>
      <c r="E2123" t="s">
        <v>38</v>
      </c>
      <c r="F2123" t="s">
        <v>4310</v>
      </c>
      <c r="G2123" t="s">
        <v>15</v>
      </c>
      <c r="H2123" t="s">
        <v>4311</v>
      </c>
      <c r="I2123" t="s">
        <v>4312</v>
      </c>
      <c r="J2123" s="4">
        <v>46091.577874560186</v>
      </c>
      <c r="K2123" t="s">
        <v>112</v>
      </c>
    </row>
    <row r="2124" spans="1:11" x14ac:dyDescent="0.55000000000000004">
      <c r="A2124" t="s">
        <v>4309</v>
      </c>
      <c r="C2124" t="s">
        <v>68</v>
      </c>
      <c r="D2124" s="3">
        <v>45988</v>
      </c>
      <c r="E2124" t="s">
        <v>20</v>
      </c>
      <c r="F2124" t="s">
        <v>4310</v>
      </c>
      <c r="G2124" t="s">
        <v>15</v>
      </c>
      <c r="H2124" t="s">
        <v>4311</v>
      </c>
      <c r="I2124" t="s">
        <v>4312</v>
      </c>
      <c r="J2124" s="4">
        <v>46091.577874560186</v>
      </c>
      <c r="K2124" t="s">
        <v>112</v>
      </c>
    </row>
    <row r="2125" spans="1:11" x14ac:dyDescent="0.55000000000000004">
      <c r="A2125" t="s">
        <v>4309</v>
      </c>
      <c r="C2125" t="s">
        <v>68</v>
      </c>
      <c r="D2125" s="3">
        <v>45988</v>
      </c>
      <c r="E2125" t="s">
        <v>155</v>
      </c>
      <c r="F2125" t="s">
        <v>4310</v>
      </c>
      <c r="G2125" t="s">
        <v>15</v>
      </c>
      <c r="H2125" t="s">
        <v>4311</v>
      </c>
      <c r="I2125" t="s">
        <v>4312</v>
      </c>
      <c r="J2125" s="4">
        <v>46091.577874560186</v>
      </c>
      <c r="K2125" t="s">
        <v>112</v>
      </c>
    </row>
    <row r="2126" spans="1:11" x14ac:dyDescent="0.55000000000000004">
      <c r="A2126" t="s">
        <v>4313</v>
      </c>
      <c r="B2126">
        <v>101452</v>
      </c>
      <c r="C2126" t="s">
        <v>37</v>
      </c>
      <c r="D2126" s="3">
        <v>45916</v>
      </c>
      <c r="E2126" t="s">
        <v>38</v>
      </c>
      <c r="F2126" t="s">
        <v>4314</v>
      </c>
      <c r="G2126" t="s">
        <v>15</v>
      </c>
      <c r="H2126" t="s">
        <v>4315</v>
      </c>
      <c r="I2126" t="s">
        <v>4316</v>
      </c>
      <c r="J2126" s="4">
        <v>46076.466763449076</v>
      </c>
    </row>
    <row r="2127" spans="1:11" x14ac:dyDescent="0.55000000000000004">
      <c r="A2127" t="s">
        <v>4317</v>
      </c>
      <c r="B2127">
        <v>100672</v>
      </c>
      <c r="C2127" t="s">
        <v>68</v>
      </c>
      <c r="D2127" s="3">
        <v>45860</v>
      </c>
      <c r="E2127" t="s">
        <v>317</v>
      </c>
      <c r="F2127" t="s">
        <v>4318</v>
      </c>
      <c r="G2127" t="s">
        <v>15</v>
      </c>
      <c r="H2127" t="s">
        <v>4319</v>
      </c>
      <c r="I2127" t="s">
        <v>4320</v>
      </c>
      <c r="J2127" s="4">
        <v>46051.886902349535</v>
      </c>
    </row>
    <row r="2128" spans="1:11" x14ac:dyDescent="0.55000000000000004">
      <c r="A2128" t="s">
        <v>4317</v>
      </c>
      <c r="B2128">
        <v>100672</v>
      </c>
      <c r="C2128" t="s">
        <v>68</v>
      </c>
      <c r="D2128" s="3">
        <v>45860</v>
      </c>
      <c r="E2128" t="s">
        <v>20</v>
      </c>
      <c r="F2128" t="s">
        <v>4318</v>
      </c>
      <c r="G2128" t="s">
        <v>15</v>
      </c>
      <c r="H2128" t="s">
        <v>4319</v>
      </c>
      <c r="I2128" t="s">
        <v>4320</v>
      </c>
      <c r="J2128" s="4">
        <v>46051.886902349535</v>
      </c>
    </row>
    <row r="2129" spans="1:10" x14ac:dyDescent="0.55000000000000004">
      <c r="A2129" t="s">
        <v>4321</v>
      </c>
      <c r="B2129">
        <v>100816</v>
      </c>
      <c r="C2129" t="s">
        <v>533</v>
      </c>
      <c r="D2129" s="3">
        <v>46117</v>
      </c>
      <c r="E2129" t="s">
        <v>317</v>
      </c>
      <c r="F2129" t="s">
        <v>4322</v>
      </c>
      <c r="G2129" t="s">
        <v>15</v>
      </c>
      <c r="H2129" t="s">
        <v>4323</v>
      </c>
      <c r="I2129" t="s">
        <v>4324</v>
      </c>
      <c r="J2129" s="4">
        <v>46078.345235682871</v>
      </c>
    </row>
    <row r="2130" spans="1:10" x14ac:dyDescent="0.55000000000000004">
      <c r="A2130" t="s">
        <v>4321</v>
      </c>
      <c r="B2130">
        <v>100816</v>
      </c>
      <c r="C2130" t="s">
        <v>533</v>
      </c>
      <c r="D2130" s="3">
        <v>46117</v>
      </c>
      <c r="E2130" t="s">
        <v>38</v>
      </c>
      <c r="F2130" t="s">
        <v>4322</v>
      </c>
      <c r="G2130" t="s">
        <v>15</v>
      </c>
      <c r="H2130" t="s">
        <v>4323</v>
      </c>
      <c r="I2130" t="s">
        <v>4324</v>
      </c>
      <c r="J2130" s="4">
        <v>46078.345235682871</v>
      </c>
    </row>
    <row r="2131" spans="1:10" x14ac:dyDescent="0.55000000000000004">
      <c r="A2131" t="s">
        <v>4321</v>
      </c>
      <c r="B2131">
        <v>100816</v>
      </c>
      <c r="C2131" t="s">
        <v>533</v>
      </c>
      <c r="D2131" s="3">
        <v>46117</v>
      </c>
      <c r="E2131" t="s">
        <v>20</v>
      </c>
      <c r="F2131" t="s">
        <v>4322</v>
      </c>
      <c r="G2131" t="s">
        <v>15</v>
      </c>
      <c r="H2131" t="s">
        <v>4323</v>
      </c>
      <c r="I2131" t="s">
        <v>4324</v>
      </c>
      <c r="J2131" s="4">
        <v>46078.345235682871</v>
      </c>
    </row>
    <row r="2132" spans="1:10" x14ac:dyDescent="0.55000000000000004">
      <c r="A2132" t="s">
        <v>4325</v>
      </c>
      <c r="B2132">
        <v>100395</v>
      </c>
      <c r="C2132" t="s">
        <v>68</v>
      </c>
      <c r="D2132" s="3">
        <v>46132</v>
      </c>
      <c r="E2132" t="s">
        <v>38</v>
      </c>
      <c r="F2132" t="s">
        <v>4326</v>
      </c>
      <c r="G2132" t="s">
        <v>15</v>
      </c>
      <c r="H2132" t="s">
        <v>4327</v>
      </c>
      <c r="I2132" t="s">
        <v>4328</v>
      </c>
      <c r="J2132" s="4">
        <v>46066.816069016204</v>
      </c>
    </row>
    <row r="2133" spans="1:10" x14ac:dyDescent="0.55000000000000004">
      <c r="A2133" t="s">
        <v>4325</v>
      </c>
      <c r="B2133">
        <v>100395</v>
      </c>
      <c r="C2133" t="s">
        <v>68</v>
      </c>
      <c r="D2133" s="3">
        <v>46132</v>
      </c>
      <c r="E2133" t="s">
        <v>69</v>
      </c>
      <c r="F2133" t="s">
        <v>4326</v>
      </c>
      <c r="G2133" t="s">
        <v>15</v>
      </c>
      <c r="H2133" t="s">
        <v>4327</v>
      </c>
      <c r="I2133" t="s">
        <v>4328</v>
      </c>
      <c r="J2133" s="4">
        <v>46066.816069016204</v>
      </c>
    </row>
    <row r="2134" spans="1:10" x14ac:dyDescent="0.55000000000000004">
      <c r="A2134" t="s">
        <v>4329</v>
      </c>
      <c r="B2134">
        <v>100048</v>
      </c>
      <c r="C2134" t="s">
        <v>19</v>
      </c>
      <c r="D2134" s="3">
        <v>46121</v>
      </c>
      <c r="E2134" t="s">
        <v>69</v>
      </c>
      <c r="F2134" t="s">
        <v>4330</v>
      </c>
      <c r="G2134" t="s">
        <v>15</v>
      </c>
      <c r="H2134" t="s">
        <v>4331</v>
      </c>
      <c r="I2134" t="s">
        <v>4332</v>
      </c>
      <c r="J2134" s="4">
        <v>46083.448013472225</v>
      </c>
    </row>
    <row r="2135" spans="1:10" x14ac:dyDescent="0.55000000000000004">
      <c r="A2135" t="s">
        <v>4333</v>
      </c>
      <c r="B2135">
        <v>100456</v>
      </c>
      <c r="C2135" t="s">
        <v>19</v>
      </c>
      <c r="D2135" s="3">
        <v>45851</v>
      </c>
      <c r="E2135" t="s">
        <v>317</v>
      </c>
      <c r="F2135" t="s">
        <v>4334</v>
      </c>
      <c r="G2135" t="s">
        <v>22</v>
      </c>
      <c r="H2135" t="s">
        <v>4335</v>
      </c>
      <c r="I2135" t="s">
        <v>4336</v>
      </c>
      <c r="J2135" s="4">
        <v>46076.624402361114</v>
      </c>
    </row>
    <row r="2136" spans="1:10" x14ac:dyDescent="0.55000000000000004">
      <c r="A2136" t="s">
        <v>4333</v>
      </c>
      <c r="B2136">
        <v>100456</v>
      </c>
      <c r="C2136" t="s">
        <v>19</v>
      </c>
      <c r="D2136" s="3">
        <v>45851</v>
      </c>
      <c r="E2136" t="s">
        <v>38</v>
      </c>
      <c r="F2136" t="s">
        <v>4334</v>
      </c>
      <c r="G2136" t="s">
        <v>22</v>
      </c>
      <c r="H2136" t="s">
        <v>4335</v>
      </c>
      <c r="I2136" t="s">
        <v>4336</v>
      </c>
      <c r="J2136" s="4">
        <v>46076.624402361114</v>
      </c>
    </row>
    <row r="2137" spans="1:10" x14ac:dyDescent="0.55000000000000004">
      <c r="A2137" t="s">
        <v>4333</v>
      </c>
      <c r="B2137">
        <v>100456</v>
      </c>
      <c r="C2137" t="s">
        <v>19</v>
      </c>
      <c r="D2137" s="3">
        <v>45851</v>
      </c>
      <c r="E2137" t="s">
        <v>69</v>
      </c>
      <c r="F2137" t="s">
        <v>4334</v>
      </c>
      <c r="G2137" t="s">
        <v>22</v>
      </c>
      <c r="H2137" t="s">
        <v>4335</v>
      </c>
      <c r="I2137" t="s">
        <v>4336</v>
      </c>
      <c r="J2137" s="4">
        <v>46076.624402361114</v>
      </c>
    </row>
    <row r="2138" spans="1:10" x14ac:dyDescent="0.55000000000000004">
      <c r="A2138" t="s">
        <v>4337</v>
      </c>
      <c r="B2138">
        <v>101434</v>
      </c>
      <c r="C2138" t="s">
        <v>68</v>
      </c>
      <c r="D2138" s="3">
        <v>45828</v>
      </c>
      <c r="E2138" t="s">
        <v>317</v>
      </c>
      <c r="F2138" t="s">
        <v>4338</v>
      </c>
      <c r="G2138" t="s">
        <v>15</v>
      </c>
      <c r="H2138" t="s">
        <v>4339</v>
      </c>
      <c r="I2138" t="s">
        <v>4340</v>
      </c>
      <c r="J2138" s="4">
        <v>46069.106346817127</v>
      </c>
    </row>
    <row r="2139" spans="1:10" x14ac:dyDescent="0.55000000000000004">
      <c r="A2139" t="s">
        <v>4337</v>
      </c>
      <c r="B2139">
        <v>101434</v>
      </c>
      <c r="C2139" t="s">
        <v>68</v>
      </c>
      <c r="D2139" s="3">
        <v>45828</v>
      </c>
      <c r="E2139" t="s">
        <v>69</v>
      </c>
      <c r="F2139" t="s">
        <v>4338</v>
      </c>
      <c r="G2139" t="s">
        <v>15</v>
      </c>
      <c r="H2139" t="s">
        <v>4339</v>
      </c>
      <c r="I2139" t="s">
        <v>4340</v>
      </c>
      <c r="J2139" s="4">
        <v>46069.106346817127</v>
      </c>
    </row>
    <row r="2140" spans="1:10" x14ac:dyDescent="0.55000000000000004">
      <c r="A2140" t="s">
        <v>4341</v>
      </c>
      <c r="B2140">
        <v>100625</v>
      </c>
      <c r="C2140" t="s">
        <v>19</v>
      </c>
      <c r="D2140" s="3">
        <v>45747</v>
      </c>
      <c r="E2140" t="s">
        <v>38</v>
      </c>
      <c r="F2140" t="s">
        <v>4342</v>
      </c>
      <c r="G2140" t="s">
        <v>15</v>
      </c>
      <c r="H2140" t="s">
        <v>4343</v>
      </c>
      <c r="I2140" t="s">
        <v>4344</v>
      </c>
      <c r="J2140" s="4">
        <v>46078.73273570602</v>
      </c>
    </row>
    <row r="2141" spans="1:10" x14ac:dyDescent="0.55000000000000004">
      <c r="A2141" t="s">
        <v>4341</v>
      </c>
      <c r="B2141">
        <v>100625</v>
      </c>
      <c r="C2141" t="s">
        <v>19</v>
      </c>
      <c r="D2141" s="3">
        <v>45747</v>
      </c>
      <c r="E2141" t="s">
        <v>115</v>
      </c>
      <c r="F2141" t="s">
        <v>4342</v>
      </c>
      <c r="G2141" t="s">
        <v>15</v>
      </c>
      <c r="H2141" t="s">
        <v>4343</v>
      </c>
      <c r="I2141" t="s">
        <v>4344</v>
      </c>
      <c r="J2141" s="4">
        <v>46078.73273570602</v>
      </c>
    </row>
    <row r="2142" spans="1:10" x14ac:dyDescent="0.55000000000000004">
      <c r="A2142" t="s">
        <v>4345</v>
      </c>
      <c r="B2142">
        <v>100716</v>
      </c>
      <c r="C2142" t="s">
        <v>19</v>
      </c>
      <c r="D2142" s="3">
        <v>46146</v>
      </c>
      <c r="E2142" t="s">
        <v>317</v>
      </c>
      <c r="F2142" t="s">
        <v>1380</v>
      </c>
      <c r="G2142" t="s">
        <v>22</v>
      </c>
      <c r="H2142" t="s">
        <v>4346</v>
      </c>
      <c r="I2142" t="s">
        <v>4347</v>
      </c>
      <c r="J2142" s="4">
        <v>46069.770930162034</v>
      </c>
    </row>
    <row r="2143" spans="1:10" x14ac:dyDescent="0.55000000000000004">
      <c r="A2143" t="s">
        <v>4345</v>
      </c>
      <c r="B2143">
        <v>100716</v>
      </c>
      <c r="C2143" t="s">
        <v>19</v>
      </c>
      <c r="D2143" s="3">
        <v>46146</v>
      </c>
      <c r="E2143" t="s">
        <v>20</v>
      </c>
      <c r="F2143" t="s">
        <v>1380</v>
      </c>
      <c r="G2143" t="s">
        <v>22</v>
      </c>
      <c r="H2143" t="s">
        <v>4346</v>
      </c>
      <c r="I2143" t="s">
        <v>4347</v>
      </c>
      <c r="J2143" s="4">
        <v>46069.770930162034</v>
      </c>
    </row>
    <row r="2144" spans="1:10" x14ac:dyDescent="0.55000000000000004">
      <c r="A2144" t="s">
        <v>4345</v>
      </c>
      <c r="B2144">
        <v>100716</v>
      </c>
      <c r="C2144" t="s">
        <v>19</v>
      </c>
      <c r="D2144" s="3">
        <v>46146</v>
      </c>
      <c r="E2144" t="s">
        <v>115</v>
      </c>
      <c r="F2144" t="s">
        <v>1380</v>
      </c>
      <c r="G2144" t="s">
        <v>22</v>
      </c>
      <c r="H2144" t="s">
        <v>4346</v>
      </c>
      <c r="I2144" t="s">
        <v>4347</v>
      </c>
      <c r="J2144" s="4">
        <v>46069.770930162034</v>
      </c>
    </row>
    <row r="2145" spans="1:10" x14ac:dyDescent="0.55000000000000004">
      <c r="A2145" t="s">
        <v>4348</v>
      </c>
      <c r="B2145">
        <v>100942</v>
      </c>
      <c r="C2145" t="s">
        <v>179</v>
      </c>
      <c r="D2145" s="3">
        <v>46122</v>
      </c>
      <c r="E2145" t="s">
        <v>317</v>
      </c>
      <c r="F2145" t="s">
        <v>4349</v>
      </c>
      <c r="G2145" t="s">
        <v>15</v>
      </c>
      <c r="H2145" t="s">
        <v>4350</v>
      </c>
      <c r="I2145" t="s">
        <v>4351</v>
      </c>
      <c r="J2145" s="4">
        <v>46061.70079127315</v>
      </c>
    </row>
    <row r="2146" spans="1:10" x14ac:dyDescent="0.55000000000000004">
      <c r="A2146" t="s">
        <v>4348</v>
      </c>
      <c r="B2146">
        <v>100942</v>
      </c>
      <c r="C2146" t="s">
        <v>179</v>
      </c>
      <c r="D2146" s="3">
        <v>46122</v>
      </c>
      <c r="E2146" t="s">
        <v>38</v>
      </c>
      <c r="F2146" t="s">
        <v>4349</v>
      </c>
      <c r="G2146" t="s">
        <v>15</v>
      </c>
      <c r="H2146" t="s">
        <v>4350</v>
      </c>
      <c r="I2146" t="s">
        <v>4351</v>
      </c>
      <c r="J2146" s="4">
        <v>46061.70079127315</v>
      </c>
    </row>
    <row r="2147" spans="1:10" x14ac:dyDescent="0.55000000000000004">
      <c r="A2147" t="s">
        <v>4348</v>
      </c>
      <c r="B2147">
        <v>100942</v>
      </c>
      <c r="C2147" t="s">
        <v>179</v>
      </c>
      <c r="D2147" s="3">
        <v>46122</v>
      </c>
      <c r="E2147" t="s">
        <v>20</v>
      </c>
      <c r="F2147" t="s">
        <v>4349</v>
      </c>
      <c r="G2147" t="s">
        <v>15</v>
      </c>
      <c r="H2147" t="s">
        <v>4350</v>
      </c>
      <c r="I2147" t="s">
        <v>4351</v>
      </c>
      <c r="J2147" s="4">
        <v>46061.70079127315</v>
      </c>
    </row>
    <row r="2148" spans="1:10" x14ac:dyDescent="0.55000000000000004">
      <c r="A2148" t="s">
        <v>4352</v>
      </c>
      <c r="B2148">
        <v>100408</v>
      </c>
      <c r="C2148" t="s">
        <v>533</v>
      </c>
      <c r="D2148" s="3">
        <v>45810</v>
      </c>
      <c r="E2148" t="s">
        <v>317</v>
      </c>
      <c r="F2148" t="s">
        <v>4353</v>
      </c>
      <c r="G2148" t="s">
        <v>22</v>
      </c>
      <c r="H2148" t="s">
        <v>4354</v>
      </c>
      <c r="I2148" t="s">
        <v>4355</v>
      </c>
      <c r="J2148" s="4">
        <v>46073.455652395831</v>
      </c>
    </row>
    <row r="2149" spans="1:10" x14ac:dyDescent="0.55000000000000004">
      <c r="A2149" t="s">
        <v>4352</v>
      </c>
      <c r="B2149">
        <v>100408</v>
      </c>
      <c r="C2149" t="s">
        <v>533</v>
      </c>
      <c r="D2149" s="3">
        <v>45810</v>
      </c>
      <c r="E2149" t="s">
        <v>38</v>
      </c>
      <c r="F2149" t="s">
        <v>4353</v>
      </c>
      <c r="G2149" t="s">
        <v>22</v>
      </c>
      <c r="H2149" t="s">
        <v>4354</v>
      </c>
      <c r="I2149" t="s">
        <v>4355</v>
      </c>
      <c r="J2149" s="4">
        <v>46073.455652395831</v>
      </c>
    </row>
    <row r="2150" spans="1:10" x14ac:dyDescent="0.55000000000000004">
      <c r="A2150" t="s">
        <v>4356</v>
      </c>
      <c r="B2150">
        <v>100455</v>
      </c>
      <c r="C2150" t="s">
        <v>179</v>
      </c>
      <c r="D2150" s="3">
        <v>45764</v>
      </c>
      <c r="E2150" t="s">
        <v>317</v>
      </c>
      <c r="F2150" t="s">
        <v>4357</v>
      </c>
      <c r="G2150" t="s">
        <v>15</v>
      </c>
      <c r="H2150" t="s">
        <v>4358</v>
      </c>
      <c r="I2150" t="s">
        <v>4359</v>
      </c>
      <c r="J2150" s="4">
        <v>46075.936207951388</v>
      </c>
    </row>
    <row r="2151" spans="1:10" x14ac:dyDescent="0.55000000000000004">
      <c r="A2151" t="s">
        <v>4356</v>
      </c>
      <c r="B2151">
        <v>100455</v>
      </c>
      <c r="C2151" t="s">
        <v>179</v>
      </c>
      <c r="D2151" s="3">
        <v>45764</v>
      </c>
      <c r="E2151" t="s">
        <v>115</v>
      </c>
      <c r="F2151" t="s">
        <v>4357</v>
      </c>
      <c r="G2151" t="s">
        <v>15</v>
      </c>
      <c r="H2151" t="s">
        <v>4358</v>
      </c>
      <c r="I2151" t="s">
        <v>4359</v>
      </c>
      <c r="J2151" s="4">
        <v>46075.936207951388</v>
      </c>
    </row>
    <row r="2152" spans="1:10" x14ac:dyDescent="0.55000000000000004">
      <c r="A2152" t="s">
        <v>4356</v>
      </c>
      <c r="B2152">
        <v>100455</v>
      </c>
      <c r="C2152" t="s">
        <v>179</v>
      </c>
      <c r="D2152" s="3">
        <v>45764</v>
      </c>
      <c r="E2152" t="s">
        <v>69</v>
      </c>
      <c r="F2152" t="s">
        <v>4357</v>
      </c>
      <c r="G2152" t="s">
        <v>15</v>
      </c>
      <c r="H2152" t="s">
        <v>4358</v>
      </c>
      <c r="I2152" t="s">
        <v>4359</v>
      </c>
      <c r="J2152" s="4">
        <v>46075.936207951388</v>
      </c>
    </row>
    <row r="2153" spans="1:10" x14ac:dyDescent="0.55000000000000004">
      <c r="A2153" t="s">
        <v>4360</v>
      </c>
      <c r="B2153">
        <v>100963</v>
      </c>
      <c r="C2153" t="s">
        <v>179</v>
      </c>
      <c r="D2153" s="3">
        <v>46059</v>
      </c>
      <c r="E2153" t="s">
        <v>155</v>
      </c>
      <c r="F2153" t="s">
        <v>4361</v>
      </c>
      <c r="G2153" t="s">
        <v>15</v>
      </c>
      <c r="H2153" t="s">
        <v>4362</v>
      </c>
      <c r="I2153" t="s">
        <v>4363</v>
      </c>
      <c r="J2153" s="4">
        <v>46053.959819074073</v>
      </c>
    </row>
    <row r="2154" spans="1:10" x14ac:dyDescent="0.55000000000000004">
      <c r="A2154" t="s">
        <v>4360</v>
      </c>
      <c r="B2154">
        <v>100963</v>
      </c>
      <c r="C2154" t="s">
        <v>179</v>
      </c>
      <c r="D2154" s="3">
        <v>46059</v>
      </c>
      <c r="E2154" t="s">
        <v>115</v>
      </c>
      <c r="F2154" t="s">
        <v>4361</v>
      </c>
      <c r="G2154" t="s">
        <v>15</v>
      </c>
      <c r="H2154" t="s">
        <v>4362</v>
      </c>
      <c r="I2154" t="s">
        <v>4363</v>
      </c>
      <c r="J2154" s="4">
        <v>46053.959819074073</v>
      </c>
    </row>
    <row r="2155" spans="1:10" x14ac:dyDescent="0.55000000000000004">
      <c r="A2155" t="s">
        <v>4364</v>
      </c>
      <c r="B2155">
        <v>100079</v>
      </c>
      <c r="C2155" t="s">
        <v>533</v>
      </c>
      <c r="D2155" s="3">
        <v>45748</v>
      </c>
      <c r="E2155" t="s">
        <v>38</v>
      </c>
      <c r="F2155" t="s">
        <v>4365</v>
      </c>
      <c r="G2155" t="s">
        <v>15</v>
      </c>
      <c r="H2155" t="s">
        <v>4366</v>
      </c>
      <c r="I2155" t="s">
        <v>4367</v>
      </c>
      <c r="J2155" s="4">
        <v>46085.647319074073</v>
      </c>
    </row>
    <row r="2156" spans="1:10" x14ac:dyDescent="0.55000000000000004">
      <c r="A2156" t="s">
        <v>4364</v>
      </c>
      <c r="B2156">
        <v>100079</v>
      </c>
      <c r="C2156" t="s">
        <v>533</v>
      </c>
      <c r="D2156" s="3">
        <v>45748</v>
      </c>
      <c r="E2156" t="s">
        <v>155</v>
      </c>
      <c r="F2156" t="s">
        <v>4365</v>
      </c>
      <c r="G2156" t="s">
        <v>15</v>
      </c>
      <c r="H2156" t="s">
        <v>4366</v>
      </c>
      <c r="I2156" t="s">
        <v>4367</v>
      </c>
      <c r="J2156" s="4">
        <v>46085.647319074073</v>
      </c>
    </row>
    <row r="2157" spans="1:10" x14ac:dyDescent="0.55000000000000004">
      <c r="A2157" t="s">
        <v>4364</v>
      </c>
      <c r="B2157">
        <v>100079</v>
      </c>
      <c r="C2157" t="s">
        <v>533</v>
      </c>
      <c r="D2157" s="3">
        <v>45748</v>
      </c>
      <c r="E2157" t="s">
        <v>69</v>
      </c>
      <c r="F2157" t="s">
        <v>4365</v>
      </c>
      <c r="G2157" t="s">
        <v>15</v>
      </c>
      <c r="H2157" t="s">
        <v>4366</v>
      </c>
      <c r="I2157" t="s">
        <v>4367</v>
      </c>
      <c r="J2157" s="4">
        <v>46085.647319074073</v>
      </c>
    </row>
    <row r="2158" spans="1:10" x14ac:dyDescent="0.55000000000000004">
      <c r="A2158" t="s">
        <v>4368</v>
      </c>
      <c r="B2158">
        <v>100783</v>
      </c>
      <c r="C2158" t="s">
        <v>179</v>
      </c>
      <c r="D2158" s="3">
        <v>45877</v>
      </c>
      <c r="E2158" t="s">
        <v>115</v>
      </c>
      <c r="F2158" t="s">
        <v>4369</v>
      </c>
      <c r="G2158" t="s">
        <v>22</v>
      </c>
      <c r="H2158" t="s">
        <v>4370</v>
      </c>
      <c r="I2158" t="s">
        <v>4371</v>
      </c>
      <c r="J2158" s="4">
        <v>46055.000791307873</v>
      </c>
    </row>
    <row r="2159" spans="1:10" x14ac:dyDescent="0.55000000000000004">
      <c r="A2159" t="s">
        <v>4372</v>
      </c>
      <c r="B2159">
        <v>100221</v>
      </c>
      <c r="C2159" t="s">
        <v>37</v>
      </c>
      <c r="D2159" s="3">
        <v>45964</v>
      </c>
      <c r="E2159" t="s">
        <v>20</v>
      </c>
      <c r="F2159" t="s">
        <v>4373</v>
      </c>
      <c r="G2159" t="s">
        <v>15</v>
      </c>
      <c r="H2159" t="s">
        <v>4374</v>
      </c>
      <c r="I2159" t="s">
        <v>4375</v>
      </c>
      <c r="J2159" s="4">
        <v>46087.281346863427</v>
      </c>
    </row>
    <row r="2160" spans="1:10" x14ac:dyDescent="0.55000000000000004">
      <c r="A2160" t="s">
        <v>4376</v>
      </c>
      <c r="B2160">
        <v>101476</v>
      </c>
      <c r="C2160" t="s">
        <v>179</v>
      </c>
      <c r="D2160" s="3">
        <v>45932</v>
      </c>
      <c r="E2160" t="s">
        <v>155</v>
      </c>
      <c r="F2160" t="s">
        <v>4377</v>
      </c>
      <c r="G2160" t="s">
        <v>15</v>
      </c>
      <c r="H2160" t="s">
        <v>4378</v>
      </c>
      <c r="I2160" t="s">
        <v>4379</v>
      </c>
      <c r="J2160" s="4">
        <v>46063.15148576389</v>
      </c>
    </row>
    <row r="2161" spans="1:10" x14ac:dyDescent="0.55000000000000004">
      <c r="A2161" t="s">
        <v>4380</v>
      </c>
      <c r="B2161">
        <v>101350</v>
      </c>
      <c r="C2161" t="s">
        <v>19</v>
      </c>
      <c r="D2161" s="3">
        <v>46112</v>
      </c>
      <c r="E2161" t="s">
        <v>69</v>
      </c>
      <c r="F2161" t="s">
        <v>4381</v>
      </c>
      <c r="G2161" t="s">
        <v>15</v>
      </c>
      <c r="H2161" t="s">
        <v>4382</v>
      </c>
      <c r="I2161" t="s">
        <v>4383</v>
      </c>
      <c r="J2161" s="4">
        <v>46089.453569097219</v>
      </c>
    </row>
    <row r="2162" spans="1:10" x14ac:dyDescent="0.55000000000000004">
      <c r="A2162" t="s">
        <v>4384</v>
      </c>
      <c r="B2162">
        <v>100508</v>
      </c>
      <c r="C2162" t="s">
        <v>68</v>
      </c>
      <c r="D2162" s="3">
        <v>45953</v>
      </c>
      <c r="E2162" t="s">
        <v>317</v>
      </c>
      <c r="F2162" t="s">
        <v>4385</v>
      </c>
      <c r="G2162" t="s">
        <v>22</v>
      </c>
      <c r="H2162" t="s">
        <v>4386</v>
      </c>
      <c r="I2162" t="s">
        <v>4387</v>
      </c>
      <c r="J2162" s="4">
        <v>46060.457735775461</v>
      </c>
    </row>
    <row r="2163" spans="1:10" x14ac:dyDescent="0.55000000000000004">
      <c r="A2163" t="s">
        <v>4384</v>
      </c>
      <c r="B2163">
        <v>100508</v>
      </c>
      <c r="C2163" t="s">
        <v>68</v>
      </c>
      <c r="D2163" s="3">
        <v>45953</v>
      </c>
      <c r="E2163" t="s">
        <v>115</v>
      </c>
      <c r="F2163" t="s">
        <v>4385</v>
      </c>
      <c r="G2163" t="s">
        <v>22</v>
      </c>
      <c r="H2163" t="s">
        <v>4386</v>
      </c>
      <c r="I2163" t="s">
        <v>4387</v>
      </c>
      <c r="J2163" s="4">
        <v>46060.457735775461</v>
      </c>
    </row>
    <row r="2164" spans="1:10" x14ac:dyDescent="0.55000000000000004">
      <c r="A2164" t="s">
        <v>4384</v>
      </c>
      <c r="B2164">
        <v>100508</v>
      </c>
      <c r="C2164" t="s">
        <v>68</v>
      </c>
      <c r="D2164" s="3">
        <v>45953</v>
      </c>
      <c r="E2164" t="s">
        <v>69</v>
      </c>
      <c r="F2164" t="s">
        <v>4385</v>
      </c>
      <c r="G2164" t="s">
        <v>22</v>
      </c>
      <c r="H2164" t="s">
        <v>4386</v>
      </c>
      <c r="I2164" t="s">
        <v>4387</v>
      </c>
      <c r="J2164" s="4">
        <v>46060.457735775461</v>
      </c>
    </row>
    <row r="2165" spans="1:10" x14ac:dyDescent="0.55000000000000004">
      <c r="A2165" t="s">
        <v>4388</v>
      </c>
      <c r="B2165">
        <v>100843</v>
      </c>
      <c r="C2165" t="s">
        <v>19</v>
      </c>
      <c r="D2165" s="3">
        <v>46098</v>
      </c>
      <c r="E2165" t="s">
        <v>20</v>
      </c>
      <c r="F2165" t="s">
        <v>4389</v>
      </c>
      <c r="G2165" t="s">
        <v>15</v>
      </c>
      <c r="H2165" t="s">
        <v>210</v>
      </c>
      <c r="I2165" t="s">
        <v>4390</v>
      </c>
      <c r="J2165" s="4">
        <v>46088.112596886574</v>
      </c>
    </row>
    <row r="2166" spans="1:10" x14ac:dyDescent="0.55000000000000004">
      <c r="A2166" t="s">
        <v>4388</v>
      </c>
      <c r="B2166">
        <v>100843</v>
      </c>
      <c r="C2166" t="s">
        <v>19</v>
      </c>
      <c r="D2166" s="3">
        <v>46098</v>
      </c>
      <c r="E2166" t="s">
        <v>115</v>
      </c>
      <c r="F2166" t="s">
        <v>4389</v>
      </c>
      <c r="G2166" t="s">
        <v>15</v>
      </c>
      <c r="H2166" t="s">
        <v>210</v>
      </c>
      <c r="I2166" t="s">
        <v>4390</v>
      </c>
      <c r="J2166" s="4">
        <v>46088.112596886574</v>
      </c>
    </row>
    <row r="2167" spans="1:10" x14ac:dyDescent="0.55000000000000004">
      <c r="A2167" t="s">
        <v>4388</v>
      </c>
      <c r="B2167">
        <v>100843</v>
      </c>
      <c r="C2167" t="s">
        <v>19</v>
      </c>
      <c r="D2167" s="3">
        <v>46098</v>
      </c>
      <c r="E2167" t="s">
        <v>69</v>
      </c>
      <c r="F2167" t="s">
        <v>4389</v>
      </c>
      <c r="G2167" t="s">
        <v>15</v>
      </c>
      <c r="H2167" t="s">
        <v>210</v>
      </c>
      <c r="I2167" t="s">
        <v>4390</v>
      </c>
      <c r="J2167" s="4">
        <v>46088.112596886574</v>
      </c>
    </row>
    <row r="2168" spans="1:10" x14ac:dyDescent="0.55000000000000004">
      <c r="A2168" t="s">
        <v>4391</v>
      </c>
      <c r="B2168">
        <v>100680</v>
      </c>
      <c r="C2168" t="s">
        <v>37</v>
      </c>
      <c r="D2168" s="3">
        <v>46154</v>
      </c>
      <c r="E2168" t="s">
        <v>38</v>
      </c>
      <c r="F2168" t="s">
        <v>4392</v>
      </c>
      <c r="G2168" t="s">
        <v>22</v>
      </c>
      <c r="H2168" t="s">
        <v>4393</v>
      </c>
      <c r="I2168" t="s">
        <v>4394</v>
      </c>
      <c r="J2168" s="4">
        <v>46061.048013553242</v>
      </c>
    </row>
    <row r="2169" spans="1:10" x14ac:dyDescent="0.55000000000000004">
      <c r="A2169" t="s">
        <v>4391</v>
      </c>
      <c r="B2169">
        <v>100680</v>
      </c>
      <c r="C2169" t="s">
        <v>37</v>
      </c>
      <c r="D2169" s="3">
        <v>46154</v>
      </c>
      <c r="E2169" t="s">
        <v>115</v>
      </c>
      <c r="F2169" t="s">
        <v>4392</v>
      </c>
      <c r="G2169" t="s">
        <v>22</v>
      </c>
      <c r="H2169" t="s">
        <v>4393</v>
      </c>
      <c r="I2169" t="s">
        <v>4394</v>
      </c>
      <c r="J2169" s="4">
        <v>46061.048013553242</v>
      </c>
    </row>
    <row r="2170" spans="1:10" x14ac:dyDescent="0.55000000000000004">
      <c r="A2170" t="s">
        <v>4395</v>
      </c>
      <c r="B2170">
        <v>100367</v>
      </c>
      <c r="C2170" t="s">
        <v>179</v>
      </c>
      <c r="D2170" s="3">
        <v>45968</v>
      </c>
      <c r="E2170" t="s">
        <v>317</v>
      </c>
      <c r="F2170" t="s">
        <v>4396</v>
      </c>
      <c r="G2170" t="s">
        <v>22</v>
      </c>
      <c r="H2170" t="s">
        <v>4397</v>
      </c>
      <c r="I2170" t="s">
        <v>4398</v>
      </c>
      <c r="J2170" s="4">
        <v>46074.750096898148</v>
      </c>
    </row>
    <row r="2171" spans="1:10" x14ac:dyDescent="0.55000000000000004">
      <c r="A2171" t="s">
        <v>4395</v>
      </c>
      <c r="B2171">
        <v>100367</v>
      </c>
      <c r="C2171" t="s">
        <v>179</v>
      </c>
      <c r="D2171" s="3">
        <v>45968</v>
      </c>
      <c r="E2171" t="s">
        <v>20</v>
      </c>
      <c r="F2171" t="s">
        <v>4396</v>
      </c>
      <c r="G2171" t="s">
        <v>22</v>
      </c>
      <c r="H2171" t="s">
        <v>4397</v>
      </c>
      <c r="I2171" t="s">
        <v>4398</v>
      </c>
      <c r="J2171" s="4">
        <v>46074.750096898148</v>
      </c>
    </row>
    <row r="2172" spans="1:10" x14ac:dyDescent="0.55000000000000004">
      <c r="A2172" t="s">
        <v>4395</v>
      </c>
      <c r="B2172">
        <v>100367</v>
      </c>
      <c r="C2172" t="s">
        <v>179</v>
      </c>
      <c r="D2172" s="3">
        <v>45968</v>
      </c>
      <c r="E2172" t="s">
        <v>155</v>
      </c>
      <c r="F2172" t="s">
        <v>4396</v>
      </c>
      <c r="G2172" t="s">
        <v>22</v>
      </c>
      <c r="H2172" t="s">
        <v>4397</v>
      </c>
      <c r="I2172" t="s">
        <v>4398</v>
      </c>
      <c r="J2172" s="4">
        <v>46074.750096898148</v>
      </c>
    </row>
    <row r="2173" spans="1:10" x14ac:dyDescent="0.55000000000000004">
      <c r="A2173" t="s">
        <v>4399</v>
      </c>
      <c r="B2173">
        <v>100050</v>
      </c>
      <c r="C2173" t="s">
        <v>68</v>
      </c>
      <c r="D2173" s="3">
        <v>45932</v>
      </c>
      <c r="E2173" t="s">
        <v>317</v>
      </c>
      <c r="F2173" t="s">
        <v>4400</v>
      </c>
      <c r="G2173" t="s">
        <v>15</v>
      </c>
      <c r="H2173" t="s">
        <v>4401</v>
      </c>
      <c r="I2173" t="s">
        <v>4402</v>
      </c>
      <c r="J2173" s="4">
        <v>46058.132041354169</v>
      </c>
    </row>
    <row r="2174" spans="1:10" x14ac:dyDescent="0.55000000000000004">
      <c r="A2174" t="s">
        <v>4399</v>
      </c>
      <c r="B2174">
        <v>100050</v>
      </c>
      <c r="C2174" t="s">
        <v>68</v>
      </c>
      <c r="D2174" s="3">
        <v>45932</v>
      </c>
      <c r="E2174" t="s">
        <v>115</v>
      </c>
      <c r="F2174" t="s">
        <v>4400</v>
      </c>
      <c r="G2174" t="s">
        <v>15</v>
      </c>
      <c r="H2174" t="s">
        <v>4401</v>
      </c>
      <c r="I2174" t="s">
        <v>4402</v>
      </c>
      <c r="J2174" s="4">
        <v>46058.132041354169</v>
      </c>
    </row>
    <row r="2175" spans="1:10" x14ac:dyDescent="0.55000000000000004">
      <c r="A2175" t="s">
        <v>4399</v>
      </c>
      <c r="B2175">
        <v>100050</v>
      </c>
      <c r="C2175" t="s">
        <v>68</v>
      </c>
      <c r="D2175" s="3">
        <v>45932</v>
      </c>
      <c r="E2175" t="s">
        <v>69</v>
      </c>
      <c r="F2175" t="s">
        <v>4400</v>
      </c>
      <c r="G2175" t="s">
        <v>15</v>
      </c>
      <c r="H2175" t="s">
        <v>4401</v>
      </c>
      <c r="I2175" t="s">
        <v>4402</v>
      </c>
      <c r="J2175" s="4">
        <v>46058.132041354169</v>
      </c>
    </row>
    <row r="2176" spans="1:10" x14ac:dyDescent="0.55000000000000004">
      <c r="A2176" t="s">
        <v>4403</v>
      </c>
      <c r="B2176">
        <v>100844</v>
      </c>
      <c r="C2176" t="s">
        <v>179</v>
      </c>
      <c r="D2176" s="3">
        <v>45928</v>
      </c>
      <c r="E2176" t="s">
        <v>38</v>
      </c>
      <c r="F2176" t="s">
        <v>4404</v>
      </c>
      <c r="G2176" t="s">
        <v>22</v>
      </c>
      <c r="H2176" t="s">
        <v>4405</v>
      </c>
      <c r="I2176" t="s">
        <v>4406</v>
      </c>
      <c r="J2176" s="4">
        <v>46053.684124687497</v>
      </c>
    </row>
    <row r="2177" spans="1:10" x14ac:dyDescent="0.55000000000000004">
      <c r="A2177" t="s">
        <v>4403</v>
      </c>
      <c r="B2177">
        <v>100844</v>
      </c>
      <c r="C2177" t="s">
        <v>179</v>
      </c>
      <c r="D2177" s="3">
        <v>45928</v>
      </c>
      <c r="E2177" t="s">
        <v>155</v>
      </c>
      <c r="F2177" t="s">
        <v>4404</v>
      </c>
      <c r="G2177" t="s">
        <v>22</v>
      </c>
      <c r="H2177" t="s">
        <v>4405</v>
      </c>
      <c r="I2177" t="s">
        <v>4406</v>
      </c>
      <c r="J2177" s="4">
        <v>46053.684124687497</v>
      </c>
    </row>
    <row r="2178" spans="1:10" x14ac:dyDescent="0.55000000000000004">
      <c r="A2178" t="s">
        <v>4403</v>
      </c>
      <c r="B2178">
        <v>100844</v>
      </c>
      <c r="C2178" t="s">
        <v>179</v>
      </c>
      <c r="D2178" s="3">
        <v>45928</v>
      </c>
      <c r="E2178" t="s">
        <v>115</v>
      </c>
      <c r="F2178" t="s">
        <v>4404</v>
      </c>
      <c r="G2178" t="s">
        <v>22</v>
      </c>
      <c r="H2178" t="s">
        <v>4405</v>
      </c>
      <c r="I2178" t="s">
        <v>4406</v>
      </c>
      <c r="J2178" s="4">
        <v>46053.684124687497</v>
      </c>
    </row>
    <row r="2179" spans="1:10" x14ac:dyDescent="0.55000000000000004">
      <c r="A2179" t="s">
        <v>4407</v>
      </c>
      <c r="B2179">
        <v>100362</v>
      </c>
      <c r="C2179" t="s">
        <v>248</v>
      </c>
      <c r="D2179" s="3">
        <v>45812</v>
      </c>
      <c r="E2179" t="s">
        <v>317</v>
      </c>
      <c r="F2179" t="s">
        <v>4408</v>
      </c>
      <c r="G2179" t="s">
        <v>22</v>
      </c>
      <c r="H2179" t="s">
        <v>4409</v>
      </c>
      <c r="I2179" t="s">
        <v>4410</v>
      </c>
      <c r="J2179" s="4">
        <v>46055.651485810187</v>
      </c>
    </row>
    <row r="2180" spans="1:10" x14ac:dyDescent="0.55000000000000004">
      <c r="A2180" t="s">
        <v>4407</v>
      </c>
      <c r="B2180">
        <v>100362</v>
      </c>
      <c r="C2180" t="s">
        <v>248</v>
      </c>
      <c r="D2180" s="3">
        <v>45812</v>
      </c>
      <c r="E2180" t="s">
        <v>38</v>
      </c>
      <c r="F2180" t="s">
        <v>4408</v>
      </c>
      <c r="G2180" t="s">
        <v>22</v>
      </c>
      <c r="H2180" t="s">
        <v>4409</v>
      </c>
      <c r="I2180" t="s">
        <v>4410</v>
      </c>
      <c r="J2180" s="4">
        <v>46055.651485810187</v>
      </c>
    </row>
    <row r="2181" spans="1:10" x14ac:dyDescent="0.55000000000000004">
      <c r="A2181" t="s">
        <v>4411</v>
      </c>
      <c r="B2181">
        <v>100332</v>
      </c>
      <c r="C2181" t="s">
        <v>248</v>
      </c>
      <c r="D2181" s="3">
        <v>45984</v>
      </c>
      <c r="E2181" t="s">
        <v>38</v>
      </c>
      <c r="F2181" t="s">
        <v>4412</v>
      </c>
      <c r="G2181" t="s">
        <v>22</v>
      </c>
      <c r="H2181" t="s">
        <v>4413</v>
      </c>
      <c r="I2181" t="s">
        <v>4414</v>
      </c>
      <c r="J2181" s="4">
        <v>46093.596624710648</v>
      </c>
    </row>
    <row r="2182" spans="1:10" x14ac:dyDescent="0.55000000000000004">
      <c r="A2182" t="s">
        <v>4411</v>
      </c>
      <c r="B2182">
        <v>100332</v>
      </c>
      <c r="C2182" t="s">
        <v>248</v>
      </c>
      <c r="D2182" s="3">
        <v>45984</v>
      </c>
      <c r="E2182" t="s">
        <v>155</v>
      </c>
      <c r="F2182" t="s">
        <v>4412</v>
      </c>
      <c r="G2182" t="s">
        <v>22</v>
      </c>
      <c r="H2182" t="s">
        <v>4413</v>
      </c>
      <c r="I2182" t="s">
        <v>4414</v>
      </c>
      <c r="J2182" s="4">
        <v>46093.596624710648</v>
      </c>
    </row>
    <row r="2183" spans="1:10" x14ac:dyDescent="0.55000000000000004">
      <c r="A2183" t="s">
        <v>4415</v>
      </c>
      <c r="B2183">
        <v>101225</v>
      </c>
      <c r="C2183" t="s">
        <v>19</v>
      </c>
      <c r="D2183" s="3">
        <v>46124</v>
      </c>
      <c r="E2183" t="s">
        <v>317</v>
      </c>
      <c r="F2183" t="s">
        <v>4416</v>
      </c>
      <c r="G2183" t="s">
        <v>15</v>
      </c>
      <c r="H2183" t="s">
        <v>4417</v>
      </c>
      <c r="I2183" t="s">
        <v>4418</v>
      </c>
      <c r="J2183" s="4">
        <v>46081.451485833335</v>
      </c>
    </row>
    <row r="2184" spans="1:10" x14ac:dyDescent="0.55000000000000004">
      <c r="A2184" t="s">
        <v>4415</v>
      </c>
      <c r="B2184">
        <v>101225</v>
      </c>
      <c r="C2184" t="s">
        <v>19</v>
      </c>
      <c r="D2184" s="3">
        <v>46124</v>
      </c>
      <c r="E2184" t="s">
        <v>69</v>
      </c>
      <c r="F2184" t="s">
        <v>4416</v>
      </c>
      <c r="G2184" t="s">
        <v>15</v>
      </c>
      <c r="H2184" t="s">
        <v>4417</v>
      </c>
      <c r="I2184" t="s">
        <v>4418</v>
      </c>
      <c r="J2184" s="4">
        <v>46081.451485833335</v>
      </c>
    </row>
    <row r="2185" spans="1:10" x14ac:dyDescent="0.55000000000000004">
      <c r="A2185" t="s">
        <v>4419</v>
      </c>
      <c r="B2185">
        <v>100316</v>
      </c>
      <c r="C2185" t="s">
        <v>19</v>
      </c>
      <c r="D2185" s="3">
        <v>45754</v>
      </c>
      <c r="E2185" t="s">
        <v>317</v>
      </c>
      <c r="F2185" t="s">
        <v>4420</v>
      </c>
      <c r="G2185" t="s">
        <v>22</v>
      </c>
      <c r="H2185" t="s">
        <v>4421</v>
      </c>
      <c r="I2185" t="s">
        <v>4422</v>
      </c>
      <c r="J2185" s="4">
        <v>46073.257735844905</v>
      </c>
    </row>
    <row r="2186" spans="1:10" x14ac:dyDescent="0.55000000000000004">
      <c r="A2186" t="s">
        <v>4419</v>
      </c>
      <c r="B2186">
        <v>100316</v>
      </c>
      <c r="C2186" t="s">
        <v>19</v>
      </c>
      <c r="D2186" s="3">
        <v>45754</v>
      </c>
      <c r="E2186" t="s">
        <v>155</v>
      </c>
      <c r="F2186" t="s">
        <v>4420</v>
      </c>
      <c r="G2186" t="s">
        <v>22</v>
      </c>
      <c r="H2186" t="s">
        <v>4421</v>
      </c>
      <c r="I2186" t="s">
        <v>4422</v>
      </c>
      <c r="J2186" s="4">
        <v>46073.257735844905</v>
      </c>
    </row>
    <row r="2187" spans="1:10" x14ac:dyDescent="0.55000000000000004">
      <c r="A2187" t="s">
        <v>4423</v>
      </c>
      <c r="B2187">
        <v>101223</v>
      </c>
      <c r="C2187" t="s">
        <v>179</v>
      </c>
      <c r="D2187" s="3">
        <v>45831</v>
      </c>
      <c r="E2187" t="s">
        <v>317</v>
      </c>
      <c r="F2187" t="s">
        <v>4424</v>
      </c>
      <c r="G2187" t="s">
        <v>22</v>
      </c>
      <c r="H2187" t="s">
        <v>4425</v>
      </c>
      <c r="I2187" t="s">
        <v>4426</v>
      </c>
      <c r="J2187" s="4">
        <v>46090.552180300925</v>
      </c>
    </row>
    <row r="2188" spans="1:10" x14ac:dyDescent="0.55000000000000004">
      <c r="A2188" t="s">
        <v>4423</v>
      </c>
      <c r="B2188">
        <v>101223</v>
      </c>
      <c r="C2188" t="s">
        <v>179</v>
      </c>
      <c r="D2188" s="3">
        <v>45831</v>
      </c>
      <c r="E2188" t="s">
        <v>155</v>
      </c>
      <c r="F2188" t="s">
        <v>4424</v>
      </c>
      <c r="G2188" t="s">
        <v>22</v>
      </c>
      <c r="H2188" t="s">
        <v>4425</v>
      </c>
      <c r="I2188" t="s">
        <v>4426</v>
      </c>
      <c r="J2188" s="4">
        <v>46090.552180300925</v>
      </c>
    </row>
    <row r="2189" spans="1:10" x14ac:dyDescent="0.55000000000000004">
      <c r="A2189" t="s">
        <v>4427</v>
      </c>
      <c r="B2189">
        <v>100724</v>
      </c>
      <c r="C2189" t="s">
        <v>68</v>
      </c>
      <c r="D2189" s="3">
        <v>46075</v>
      </c>
      <c r="E2189" t="s">
        <v>317</v>
      </c>
      <c r="F2189" t="s">
        <v>4428</v>
      </c>
      <c r="G2189" t="s">
        <v>15</v>
      </c>
      <c r="H2189" t="s">
        <v>4429</v>
      </c>
      <c r="I2189" t="s">
        <v>4430</v>
      </c>
      <c r="J2189" s="4">
        <v>46091.966069189817</v>
      </c>
    </row>
    <row r="2190" spans="1:10" x14ac:dyDescent="0.55000000000000004">
      <c r="A2190" t="s">
        <v>4427</v>
      </c>
      <c r="B2190">
        <v>100724</v>
      </c>
      <c r="C2190" t="s">
        <v>68</v>
      </c>
      <c r="D2190" s="3">
        <v>46075</v>
      </c>
      <c r="E2190" t="s">
        <v>38</v>
      </c>
      <c r="F2190" t="s">
        <v>4428</v>
      </c>
      <c r="G2190" t="s">
        <v>15</v>
      </c>
      <c r="H2190" t="s">
        <v>4429</v>
      </c>
      <c r="I2190" t="s">
        <v>4430</v>
      </c>
      <c r="J2190" s="4">
        <v>46091.966069189817</v>
      </c>
    </row>
    <row r="2191" spans="1:10" x14ac:dyDescent="0.55000000000000004">
      <c r="A2191" t="s">
        <v>4427</v>
      </c>
      <c r="B2191">
        <v>100724</v>
      </c>
      <c r="C2191" t="s">
        <v>68</v>
      </c>
      <c r="D2191" s="3">
        <v>46075</v>
      </c>
      <c r="E2191" t="s">
        <v>69</v>
      </c>
      <c r="F2191" t="s">
        <v>4428</v>
      </c>
      <c r="G2191" t="s">
        <v>15</v>
      </c>
      <c r="H2191" t="s">
        <v>4429</v>
      </c>
      <c r="I2191" t="s">
        <v>4430</v>
      </c>
      <c r="J2191" s="4">
        <v>46091.966069189817</v>
      </c>
    </row>
    <row r="2192" spans="1:10" x14ac:dyDescent="0.55000000000000004">
      <c r="A2192" t="s">
        <v>4431</v>
      </c>
      <c r="B2192">
        <v>100210</v>
      </c>
      <c r="C2192" t="s">
        <v>248</v>
      </c>
      <c r="D2192" s="3">
        <v>46097</v>
      </c>
      <c r="E2192" t="s">
        <v>115</v>
      </c>
      <c r="F2192" t="s">
        <v>4432</v>
      </c>
      <c r="G2192" t="s">
        <v>22</v>
      </c>
      <c r="H2192" t="s">
        <v>4433</v>
      </c>
      <c r="I2192" t="s">
        <v>4434</v>
      </c>
      <c r="J2192" s="4">
        <v>46087.503569201392</v>
      </c>
    </row>
    <row r="2193" spans="1:10" x14ac:dyDescent="0.55000000000000004">
      <c r="A2193" t="s">
        <v>4431</v>
      </c>
      <c r="B2193">
        <v>100210</v>
      </c>
      <c r="C2193" t="s">
        <v>248</v>
      </c>
      <c r="D2193" s="3">
        <v>46097</v>
      </c>
      <c r="E2193" t="s">
        <v>69</v>
      </c>
      <c r="F2193" t="s">
        <v>4432</v>
      </c>
      <c r="G2193" t="s">
        <v>22</v>
      </c>
      <c r="H2193" t="s">
        <v>4433</v>
      </c>
      <c r="I2193" t="s">
        <v>4434</v>
      </c>
      <c r="J2193" s="4">
        <v>46087.503569201392</v>
      </c>
    </row>
    <row r="2194" spans="1:10" x14ac:dyDescent="0.55000000000000004">
      <c r="A2194" t="s">
        <v>4435</v>
      </c>
      <c r="B2194">
        <v>101234</v>
      </c>
      <c r="C2194" t="s">
        <v>37</v>
      </c>
      <c r="D2194" s="3">
        <v>46042</v>
      </c>
      <c r="E2194" t="s">
        <v>115</v>
      </c>
      <c r="F2194" t="s">
        <v>4436</v>
      </c>
      <c r="G2194" t="s">
        <v>22</v>
      </c>
      <c r="H2194" t="s">
        <v>4437</v>
      </c>
      <c r="I2194" t="s">
        <v>4438</v>
      </c>
      <c r="J2194" s="4">
        <v>46089.986208101851</v>
      </c>
    </row>
    <row r="2195" spans="1:10" x14ac:dyDescent="0.55000000000000004">
      <c r="A2195" t="s">
        <v>4439</v>
      </c>
      <c r="B2195">
        <v>100430</v>
      </c>
      <c r="C2195" t="s">
        <v>179</v>
      </c>
      <c r="D2195" s="3">
        <v>45818</v>
      </c>
      <c r="E2195" t="s">
        <v>317</v>
      </c>
      <c r="F2195" t="s">
        <v>4440</v>
      </c>
      <c r="G2195" t="s">
        <v>15</v>
      </c>
      <c r="H2195" t="s">
        <v>4441</v>
      </c>
      <c r="I2195" t="s">
        <v>4442</v>
      </c>
      <c r="J2195" s="4">
        <v>46054.357735879632</v>
      </c>
    </row>
    <row r="2196" spans="1:10" x14ac:dyDescent="0.55000000000000004">
      <c r="A2196" t="s">
        <v>4443</v>
      </c>
      <c r="B2196">
        <v>100732</v>
      </c>
      <c r="C2196" t="s">
        <v>533</v>
      </c>
      <c r="D2196" s="3">
        <v>45957</v>
      </c>
      <c r="E2196" t="s">
        <v>317</v>
      </c>
      <c r="F2196" t="s">
        <v>4444</v>
      </c>
      <c r="G2196" t="s">
        <v>15</v>
      </c>
      <c r="H2196" t="s">
        <v>4445</v>
      </c>
      <c r="I2196" t="s">
        <v>4446</v>
      </c>
      <c r="J2196" s="4">
        <v>46053.988985891207</v>
      </c>
    </row>
    <row r="2197" spans="1:10" x14ac:dyDescent="0.55000000000000004">
      <c r="A2197" t="s">
        <v>4443</v>
      </c>
      <c r="B2197">
        <v>100732</v>
      </c>
      <c r="C2197" t="s">
        <v>533</v>
      </c>
      <c r="D2197" s="3">
        <v>45957</v>
      </c>
      <c r="E2197" t="s">
        <v>115</v>
      </c>
      <c r="F2197" t="s">
        <v>4444</v>
      </c>
      <c r="G2197" t="s">
        <v>15</v>
      </c>
      <c r="H2197" t="s">
        <v>4445</v>
      </c>
      <c r="I2197" t="s">
        <v>4446</v>
      </c>
      <c r="J2197" s="4">
        <v>46053.988985891207</v>
      </c>
    </row>
    <row r="2198" spans="1:10" x14ac:dyDescent="0.55000000000000004">
      <c r="A2198" t="s">
        <v>4447</v>
      </c>
      <c r="B2198">
        <v>101263</v>
      </c>
      <c r="C2198" t="s">
        <v>248</v>
      </c>
      <c r="D2198" s="3">
        <v>45958</v>
      </c>
      <c r="E2198" t="s">
        <v>317</v>
      </c>
      <c r="F2198" t="s">
        <v>4448</v>
      </c>
      <c r="G2198" t="s">
        <v>22</v>
      </c>
      <c r="H2198" t="s">
        <v>4449</v>
      </c>
      <c r="I2198" t="s">
        <v>4450</v>
      </c>
      <c r="J2198" s="4">
        <v>46053.307735891205</v>
      </c>
    </row>
    <row r="2199" spans="1:10" x14ac:dyDescent="0.55000000000000004">
      <c r="A2199" t="s">
        <v>4447</v>
      </c>
      <c r="B2199">
        <v>101263</v>
      </c>
      <c r="C2199" t="s">
        <v>248</v>
      </c>
      <c r="D2199" s="3">
        <v>45958</v>
      </c>
      <c r="E2199" t="s">
        <v>38</v>
      </c>
      <c r="F2199" t="s">
        <v>4448</v>
      </c>
      <c r="G2199" t="s">
        <v>22</v>
      </c>
      <c r="H2199" t="s">
        <v>4449</v>
      </c>
      <c r="I2199" t="s">
        <v>4450</v>
      </c>
      <c r="J2199" s="4">
        <v>46053.307735891205</v>
      </c>
    </row>
    <row r="2200" spans="1:10" x14ac:dyDescent="0.55000000000000004">
      <c r="A2200" t="s">
        <v>4447</v>
      </c>
      <c r="B2200">
        <v>101263</v>
      </c>
      <c r="C2200" t="s">
        <v>248</v>
      </c>
      <c r="D2200" s="3">
        <v>45958</v>
      </c>
      <c r="E2200" t="s">
        <v>155</v>
      </c>
      <c r="F2200" t="s">
        <v>4448</v>
      </c>
      <c r="G2200" t="s">
        <v>22</v>
      </c>
      <c r="H2200" t="s">
        <v>4449</v>
      </c>
      <c r="I2200" t="s">
        <v>4450</v>
      </c>
      <c r="J2200" s="4">
        <v>46053.307735891205</v>
      </c>
    </row>
    <row r="2201" spans="1:10" x14ac:dyDescent="0.55000000000000004">
      <c r="A2201" t="s">
        <v>4451</v>
      </c>
      <c r="B2201">
        <v>100746</v>
      </c>
      <c r="C2201" t="s">
        <v>179</v>
      </c>
      <c r="D2201" s="3">
        <v>45758</v>
      </c>
      <c r="E2201" t="s">
        <v>317</v>
      </c>
      <c r="F2201" t="s">
        <v>4452</v>
      </c>
      <c r="G2201" t="s">
        <v>15</v>
      </c>
      <c r="H2201" t="s">
        <v>4453</v>
      </c>
      <c r="I2201" t="s">
        <v>4454</v>
      </c>
      <c r="J2201" s="4">
        <v>46082.213291458334</v>
      </c>
    </row>
    <row r="2202" spans="1:10" x14ac:dyDescent="0.55000000000000004">
      <c r="A2202" t="s">
        <v>4451</v>
      </c>
      <c r="B2202">
        <v>100746</v>
      </c>
      <c r="C2202" t="s">
        <v>179</v>
      </c>
      <c r="D2202" s="3">
        <v>45758</v>
      </c>
      <c r="E2202" t="s">
        <v>155</v>
      </c>
      <c r="F2202" t="s">
        <v>4452</v>
      </c>
      <c r="G2202" t="s">
        <v>15</v>
      </c>
      <c r="H2202" t="s">
        <v>4453</v>
      </c>
      <c r="I2202" t="s">
        <v>4454</v>
      </c>
      <c r="J2202" s="4">
        <v>46082.213291458334</v>
      </c>
    </row>
    <row r="2203" spans="1:10" x14ac:dyDescent="0.55000000000000004">
      <c r="A2203" t="s">
        <v>4451</v>
      </c>
      <c r="B2203">
        <v>100746</v>
      </c>
      <c r="C2203" t="s">
        <v>179</v>
      </c>
      <c r="D2203" s="3">
        <v>45758</v>
      </c>
      <c r="E2203" t="s">
        <v>69</v>
      </c>
      <c r="F2203" t="s">
        <v>4452</v>
      </c>
      <c r="G2203" t="s">
        <v>15</v>
      </c>
      <c r="H2203" t="s">
        <v>4453</v>
      </c>
      <c r="I2203" t="s">
        <v>4454</v>
      </c>
      <c r="J2203" s="4">
        <v>46082.213291458334</v>
      </c>
    </row>
    <row r="2204" spans="1:10" x14ac:dyDescent="0.55000000000000004">
      <c r="A2204" t="s">
        <v>2951</v>
      </c>
      <c r="B2204">
        <v>100631</v>
      </c>
      <c r="C2204" t="s">
        <v>248</v>
      </c>
      <c r="D2204" s="3">
        <v>45834</v>
      </c>
      <c r="E2204" t="s">
        <v>155</v>
      </c>
      <c r="F2204" t="s">
        <v>4455</v>
      </c>
      <c r="G2204" t="s">
        <v>22</v>
      </c>
      <c r="H2204" t="s">
        <v>4456</v>
      </c>
      <c r="I2204" t="s">
        <v>4457</v>
      </c>
      <c r="J2204" s="4">
        <v>46096.725791458332</v>
      </c>
    </row>
    <row r="2205" spans="1:10" x14ac:dyDescent="0.55000000000000004">
      <c r="A2205" t="s">
        <v>4458</v>
      </c>
      <c r="B2205">
        <v>100085</v>
      </c>
      <c r="C2205" t="s">
        <v>68</v>
      </c>
      <c r="D2205" s="3">
        <v>46152</v>
      </c>
      <c r="E2205" t="s">
        <v>317</v>
      </c>
      <c r="F2205" t="s">
        <v>4459</v>
      </c>
      <c r="G2205" t="s">
        <v>15</v>
      </c>
      <c r="H2205" t="s">
        <v>4460</v>
      </c>
      <c r="I2205" t="s">
        <v>4461</v>
      </c>
      <c r="J2205" s="4">
        <v>46083.609124803239</v>
      </c>
    </row>
    <row r="2206" spans="1:10" x14ac:dyDescent="0.55000000000000004">
      <c r="A2206" t="s">
        <v>4462</v>
      </c>
      <c r="B2206">
        <v>100261</v>
      </c>
      <c r="C2206" t="s">
        <v>533</v>
      </c>
      <c r="D2206" s="3">
        <v>46102</v>
      </c>
      <c r="E2206" t="s">
        <v>155</v>
      </c>
      <c r="F2206" t="s">
        <v>4463</v>
      </c>
      <c r="G2206" t="s">
        <v>22</v>
      </c>
      <c r="H2206" t="s">
        <v>4464</v>
      </c>
      <c r="I2206" t="s">
        <v>4465</v>
      </c>
      <c r="J2206" s="4">
        <v>46065.593152581016</v>
      </c>
    </row>
    <row r="2207" spans="1:10" x14ac:dyDescent="0.55000000000000004">
      <c r="A2207" t="s">
        <v>4466</v>
      </c>
      <c r="B2207">
        <v>100880</v>
      </c>
      <c r="C2207" t="s">
        <v>68</v>
      </c>
      <c r="D2207" s="3">
        <v>45897</v>
      </c>
      <c r="E2207" t="s">
        <v>317</v>
      </c>
      <c r="F2207" t="s">
        <v>4467</v>
      </c>
      <c r="G2207" t="s">
        <v>22</v>
      </c>
      <c r="H2207" t="s">
        <v>4468</v>
      </c>
      <c r="I2207" t="s">
        <v>4469</v>
      </c>
      <c r="J2207" s="4">
        <v>46070.574402592596</v>
      </c>
    </row>
    <row r="2208" spans="1:10" x14ac:dyDescent="0.55000000000000004">
      <c r="A2208" t="s">
        <v>4466</v>
      </c>
      <c r="B2208">
        <v>100880</v>
      </c>
      <c r="C2208" t="s">
        <v>68</v>
      </c>
      <c r="D2208" s="3">
        <v>45897</v>
      </c>
      <c r="E2208" t="s">
        <v>38</v>
      </c>
      <c r="F2208" t="s">
        <v>4467</v>
      </c>
      <c r="G2208" t="s">
        <v>22</v>
      </c>
      <c r="H2208" t="s">
        <v>4468</v>
      </c>
      <c r="I2208" t="s">
        <v>4469</v>
      </c>
      <c r="J2208" s="4">
        <v>46070.574402592596</v>
      </c>
    </row>
    <row r="2209" spans="1:11" x14ac:dyDescent="0.55000000000000004">
      <c r="A2209" t="s">
        <v>4466</v>
      </c>
      <c r="B2209">
        <v>100880</v>
      </c>
      <c r="C2209" t="s">
        <v>68</v>
      </c>
      <c r="D2209" s="3">
        <v>45897</v>
      </c>
      <c r="E2209" t="s">
        <v>115</v>
      </c>
      <c r="F2209" t="s">
        <v>4467</v>
      </c>
      <c r="G2209" t="s">
        <v>22</v>
      </c>
      <c r="H2209" t="s">
        <v>4468</v>
      </c>
      <c r="I2209" t="s">
        <v>4469</v>
      </c>
      <c r="J2209" s="4">
        <v>46070.574402592596</v>
      </c>
    </row>
    <row r="2210" spans="1:11" x14ac:dyDescent="0.55000000000000004">
      <c r="A2210" t="s">
        <v>4470</v>
      </c>
      <c r="B2210">
        <v>100303</v>
      </c>
      <c r="C2210" t="s">
        <v>248</v>
      </c>
      <c r="D2210" s="3">
        <v>45841</v>
      </c>
      <c r="E2210" t="s">
        <v>20</v>
      </c>
      <c r="F2210" t="s">
        <v>4471</v>
      </c>
      <c r="G2210" t="s">
        <v>22</v>
      </c>
      <c r="H2210" t="s">
        <v>4472</v>
      </c>
      <c r="I2210" t="s">
        <v>4473</v>
      </c>
      <c r="J2210" s="4">
        <v>46086.725097037037</v>
      </c>
    </row>
    <row r="2211" spans="1:11" x14ac:dyDescent="0.55000000000000004">
      <c r="A2211" t="s">
        <v>4474</v>
      </c>
      <c r="B2211">
        <v>101150</v>
      </c>
      <c r="C2211" t="s">
        <v>179</v>
      </c>
      <c r="D2211" s="3">
        <v>46066</v>
      </c>
      <c r="E2211" t="s">
        <v>155</v>
      </c>
      <c r="F2211" t="s">
        <v>4475</v>
      </c>
      <c r="G2211" t="s">
        <v>15</v>
      </c>
      <c r="H2211" t="s">
        <v>4476</v>
      </c>
      <c r="I2211" t="s">
        <v>4477</v>
      </c>
      <c r="J2211" s="4">
        <v>46068.433430381941</v>
      </c>
    </row>
    <row r="2212" spans="1:11" x14ac:dyDescent="0.55000000000000004">
      <c r="A2212" t="s">
        <v>4474</v>
      </c>
      <c r="B2212">
        <v>101150</v>
      </c>
      <c r="C2212" t="s">
        <v>179</v>
      </c>
      <c r="D2212" s="3">
        <v>46066</v>
      </c>
      <c r="E2212" t="s">
        <v>69</v>
      </c>
      <c r="F2212" t="s">
        <v>4475</v>
      </c>
      <c r="G2212" t="s">
        <v>15</v>
      </c>
      <c r="H2212" t="s">
        <v>4476</v>
      </c>
      <c r="I2212" t="s">
        <v>4477</v>
      </c>
      <c r="J2212" s="4">
        <v>46068.433430381941</v>
      </c>
    </row>
    <row r="2213" spans="1:11" x14ac:dyDescent="0.55000000000000004">
      <c r="A2213" t="s">
        <v>4478</v>
      </c>
      <c r="B2213">
        <v>100073</v>
      </c>
      <c r="C2213" t="s">
        <v>37</v>
      </c>
      <c r="D2213" s="3">
        <v>46068</v>
      </c>
      <c r="E2213" t="s">
        <v>317</v>
      </c>
      <c r="F2213" t="s">
        <v>4479</v>
      </c>
      <c r="G2213" t="s">
        <v>22</v>
      </c>
      <c r="H2213" t="s">
        <v>4480</v>
      </c>
      <c r="I2213" t="s">
        <v>4481</v>
      </c>
      <c r="J2213" s="4">
        <v>46095.650791493055</v>
      </c>
    </row>
    <row r="2214" spans="1:11" x14ac:dyDescent="0.55000000000000004">
      <c r="A2214" t="s">
        <v>4478</v>
      </c>
      <c r="B2214">
        <v>100073</v>
      </c>
      <c r="C2214" t="s">
        <v>37</v>
      </c>
      <c r="D2214" s="3">
        <v>46068</v>
      </c>
      <c r="E2214" t="s">
        <v>38</v>
      </c>
      <c r="F2214" t="s">
        <v>4479</v>
      </c>
      <c r="G2214" t="s">
        <v>22</v>
      </c>
      <c r="H2214" t="s">
        <v>4480</v>
      </c>
      <c r="I2214" t="s">
        <v>4481</v>
      </c>
      <c r="J2214" s="4">
        <v>46095.650791493055</v>
      </c>
    </row>
    <row r="2215" spans="1:11" x14ac:dyDescent="0.55000000000000004">
      <c r="A2215" t="s">
        <v>4482</v>
      </c>
      <c r="C2215" t="s">
        <v>248</v>
      </c>
      <c r="D2215" s="3">
        <v>45942</v>
      </c>
      <c r="E2215" t="s">
        <v>38</v>
      </c>
      <c r="F2215" t="s">
        <v>2878</v>
      </c>
      <c r="G2215" t="s">
        <v>15</v>
      </c>
      <c r="H2215" t="s">
        <v>4483</v>
      </c>
      <c r="I2215" t="s">
        <v>4484</v>
      </c>
      <c r="J2215" s="4">
        <v>46051.98343039352</v>
      </c>
      <c r="K2215" t="s">
        <v>112</v>
      </c>
    </row>
    <row r="2216" spans="1:11" x14ac:dyDescent="0.55000000000000004">
      <c r="A2216" t="s">
        <v>4482</v>
      </c>
      <c r="C2216" t="s">
        <v>248</v>
      </c>
      <c r="D2216" s="3">
        <v>45942</v>
      </c>
      <c r="E2216" t="s">
        <v>69</v>
      </c>
      <c r="F2216" t="s">
        <v>2878</v>
      </c>
      <c r="G2216" t="s">
        <v>15</v>
      </c>
      <c r="H2216" t="s">
        <v>4483</v>
      </c>
      <c r="I2216" t="s">
        <v>4484</v>
      </c>
      <c r="J2216" s="4">
        <v>46051.98343039352</v>
      </c>
      <c r="K2216" t="s">
        <v>112</v>
      </c>
    </row>
    <row r="2217" spans="1:11" x14ac:dyDescent="0.55000000000000004">
      <c r="A2217" t="s">
        <v>4485</v>
      </c>
      <c r="B2217">
        <v>101233</v>
      </c>
      <c r="C2217" t="s">
        <v>19</v>
      </c>
      <c r="D2217" s="3">
        <v>45819</v>
      </c>
      <c r="E2217" t="s">
        <v>38</v>
      </c>
      <c r="F2217" t="s">
        <v>4486</v>
      </c>
      <c r="G2217" t="s">
        <v>22</v>
      </c>
      <c r="H2217" t="s">
        <v>4487</v>
      </c>
      <c r="I2217" t="s">
        <v>4488</v>
      </c>
      <c r="J2217" s="4">
        <v>46056.755652627318</v>
      </c>
    </row>
    <row r="2218" spans="1:11" x14ac:dyDescent="0.55000000000000004">
      <c r="A2218" t="s">
        <v>4485</v>
      </c>
      <c r="B2218">
        <v>101233</v>
      </c>
      <c r="C2218" t="s">
        <v>19</v>
      </c>
      <c r="D2218" s="3">
        <v>45819</v>
      </c>
      <c r="E2218" t="s">
        <v>155</v>
      </c>
      <c r="F2218" t="s">
        <v>4486</v>
      </c>
      <c r="G2218" t="s">
        <v>22</v>
      </c>
      <c r="H2218" t="s">
        <v>4487</v>
      </c>
      <c r="I2218" t="s">
        <v>4488</v>
      </c>
      <c r="J2218" s="4">
        <v>46056.755652627318</v>
      </c>
    </row>
    <row r="2219" spans="1:11" x14ac:dyDescent="0.55000000000000004">
      <c r="A2219" t="s">
        <v>4489</v>
      </c>
      <c r="B2219">
        <v>101320</v>
      </c>
      <c r="C2219" t="s">
        <v>179</v>
      </c>
      <c r="D2219" s="3">
        <v>46079</v>
      </c>
      <c r="E2219" t="s">
        <v>317</v>
      </c>
      <c r="F2219" t="s">
        <v>4490</v>
      </c>
      <c r="G2219" t="s">
        <v>22</v>
      </c>
      <c r="H2219" t="s">
        <v>4491</v>
      </c>
      <c r="I2219" t="s">
        <v>4492</v>
      </c>
      <c r="J2219" s="4">
        <v>46055.060513738426</v>
      </c>
    </row>
    <row r="2220" spans="1:11" x14ac:dyDescent="0.55000000000000004">
      <c r="A2220" t="s">
        <v>4489</v>
      </c>
      <c r="B2220">
        <v>101320</v>
      </c>
      <c r="C2220" t="s">
        <v>179</v>
      </c>
      <c r="D2220" s="3">
        <v>46079</v>
      </c>
      <c r="E2220" t="s">
        <v>20</v>
      </c>
      <c r="F2220" t="s">
        <v>4490</v>
      </c>
      <c r="G2220" t="s">
        <v>22</v>
      </c>
      <c r="H2220" t="s">
        <v>4491</v>
      </c>
      <c r="I2220" t="s">
        <v>4492</v>
      </c>
      <c r="J2220" s="4">
        <v>46055.060513738426</v>
      </c>
    </row>
    <row r="2221" spans="1:11" x14ac:dyDescent="0.55000000000000004">
      <c r="A2221" t="s">
        <v>4489</v>
      </c>
      <c r="B2221">
        <v>101320</v>
      </c>
      <c r="C2221" t="s">
        <v>179</v>
      </c>
      <c r="D2221" s="3">
        <v>46079</v>
      </c>
      <c r="E2221" t="s">
        <v>115</v>
      </c>
      <c r="F2221" t="s">
        <v>4490</v>
      </c>
      <c r="G2221" t="s">
        <v>22</v>
      </c>
      <c r="H2221" t="s">
        <v>4491</v>
      </c>
      <c r="I2221" t="s">
        <v>4492</v>
      </c>
      <c r="J2221" s="4">
        <v>46055.060513738426</v>
      </c>
    </row>
    <row r="2222" spans="1:11" x14ac:dyDescent="0.55000000000000004">
      <c r="A2222" t="s">
        <v>4493</v>
      </c>
      <c r="B2222">
        <v>101163</v>
      </c>
      <c r="C2222" t="s">
        <v>37</v>
      </c>
      <c r="D2222" s="3">
        <v>45903</v>
      </c>
      <c r="E2222" t="s">
        <v>38</v>
      </c>
      <c r="F2222" t="s">
        <v>4494</v>
      </c>
      <c r="G2222" t="s">
        <v>22</v>
      </c>
      <c r="H2222" t="s">
        <v>4495</v>
      </c>
      <c r="I2222" t="s">
        <v>4496</v>
      </c>
      <c r="J2222" s="4">
        <v>46073.019541527778</v>
      </c>
    </row>
    <row r="2223" spans="1:11" x14ac:dyDescent="0.55000000000000004">
      <c r="A2223" t="s">
        <v>4497</v>
      </c>
      <c r="B2223">
        <v>100875</v>
      </c>
      <c r="C2223" t="s">
        <v>248</v>
      </c>
      <c r="D2223" s="3">
        <v>45989</v>
      </c>
      <c r="E2223" t="s">
        <v>317</v>
      </c>
      <c r="F2223" t="s">
        <v>4498</v>
      </c>
      <c r="G2223" t="s">
        <v>15</v>
      </c>
      <c r="H2223" t="s">
        <v>4499</v>
      </c>
      <c r="I2223" t="s">
        <v>4500</v>
      </c>
      <c r="J2223" s="4">
        <v>46058.569541539349</v>
      </c>
    </row>
    <row r="2224" spans="1:11" x14ac:dyDescent="0.55000000000000004">
      <c r="A2224" t="s">
        <v>4497</v>
      </c>
      <c r="B2224">
        <v>100875</v>
      </c>
      <c r="C2224" t="s">
        <v>248</v>
      </c>
      <c r="D2224" s="3">
        <v>45989</v>
      </c>
      <c r="E2224" t="s">
        <v>155</v>
      </c>
      <c r="F2224" t="s">
        <v>4498</v>
      </c>
      <c r="G2224" t="s">
        <v>15</v>
      </c>
      <c r="H2224" t="s">
        <v>4499</v>
      </c>
      <c r="I2224" t="s">
        <v>4500</v>
      </c>
      <c r="J2224" s="4">
        <v>46058.569541539349</v>
      </c>
    </row>
    <row r="2225" spans="1:11" x14ac:dyDescent="0.55000000000000004">
      <c r="A2225" t="s">
        <v>4497</v>
      </c>
      <c r="B2225">
        <v>100875</v>
      </c>
      <c r="C2225" t="s">
        <v>248</v>
      </c>
      <c r="D2225" s="3">
        <v>45989</v>
      </c>
      <c r="E2225" t="s">
        <v>115</v>
      </c>
      <c r="F2225" t="s">
        <v>4498</v>
      </c>
      <c r="G2225" t="s">
        <v>15</v>
      </c>
      <c r="H2225" t="s">
        <v>4499</v>
      </c>
      <c r="I2225" t="s">
        <v>4500</v>
      </c>
      <c r="J2225" s="4">
        <v>46058.569541539349</v>
      </c>
    </row>
    <row r="2226" spans="1:11" x14ac:dyDescent="0.55000000000000004">
      <c r="A2226" t="s">
        <v>4501</v>
      </c>
      <c r="B2226">
        <v>100904</v>
      </c>
      <c r="C2226" t="s">
        <v>68</v>
      </c>
      <c r="D2226" s="3">
        <v>45853</v>
      </c>
      <c r="E2226" t="s">
        <v>155</v>
      </c>
      <c r="F2226" t="s">
        <v>4502</v>
      </c>
      <c r="G2226" t="s">
        <v>15</v>
      </c>
      <c r="H2226" t="s">
        <v>4503</v>
      </c>
      <c r="I2226" t="s">
        <v>4504</v>
      </c>
      <c r="J2226" s="4">
        <v>46089.213291539352</v>
      </c>
    </row>
    <row r="2227" spans="1:11" x14ac:dyDescent="0.55000000000000004">
      <c r="A2227" t="s">
        <v>4501</v>
      </c>
      <c r="B2227">
        <v>100904</v>
      </c>
      <c r="C2227" t="s">
        <v>68</v>
      </c>
      <c r="D2227" s="3">
        <v>45853</v>
      </c>
      <c r="E2227" t="s">
        <v>115</v>
      </c>
      <c r="F2227" t="s">
        <v>4502</v>
      </c>
      <c r="G2227" t="s">
        <v>15</v>
      </c>
      <c r="H2227" t="s">
        <v>4503</v>
      </c>
      <c r="I2227" t="s">
        <v>4504</v>
      </c>
      <c r="J2227" s="4">
        <v>46089.213291539352</v>
      </c>
    </row>
    <row r="2228" spans="1:11" x14ac:dyDescent="0.55000000000000004">
      <c r="A2228" t="s">
        <v>4501</v>
      </c>
      <c r="B2228">
        <v>100904</v>
      </c>
      <c r="C2228" t="s">
        <v>68</v>
      </c>
      <c r="D2228" s="3">
        <v>45853</v>
      </c>
      <c r="E2228" t="s">
        <v>69</v>
      </c>
      <c r="F2228" t="s">
        <v>4502</v>
      </c>
      <c r="G2228" t="s">
        <v>15</v>
      </c>
      <c r="H2228" t="s">
        <v>4503</v>
      </c>
      <c r="I2228" t="s">
        <v>4504</v>
      </c>
      <c r="J2228" s="4">
        <v>46089.213291539352</v>
      </c>
    </row>
    <row r="2229" spans="1:11" x14ac:dyDescent="0.55000000000000004">
      <c r="A2229" t="s">
        <v>4505</v>
      </c>
      <c r="B2229">
        <v>101328</v>
      </c>
      <c r="C2229" t="s">
        <v>19</v>
      </c>
      <c r="D2229" s="3">
        <v>45883</v>
      </c>
      <c r="E2229" t="s">
        <v>115</v>
      </c>
      <c r="F2229" t="s">
        <v>4506</v>
      </c>
      <c r="G2229" t="s">
        <v>22</v>
      </c>
      <c r="H2229" t="s">
        <v>4507</v>
      </c>
      <c r="I2229" t="s">
        <v>4508</v>
      </c>
      <c r="J2229" s="4">
        <v>46083.833430439816</v>
      </c>
    </row>
    <row r="2230" spans="1:11" x14ac:dyDescent="0.55000000000000004">
      <c r="A2230" t="s">
        <v>4509</v>
      </c>
      <c r="B2230">
        <v>100536</v>
      </c>
      <c r="C2230" t="s">
        <v>37</v>
      </c>
      <c r="D2230" s="3">
        <v>45853</v>
      </c>
      <c r="E2230" t="s">
        <v>38</v>
      </c>
      <c r="F2230" t="s">
        <v>4510</v>
      </c>
      <c r="G2230" t="s">
        <v>15</v>
      </c>
      <c r="H2230" t="s">
        <v>4511</v>
      </c>
      <c r="I2230" t="s">
        <v>4512</v>
      </c>
      <c r="J2230" s="4">
        <v>46080.294541550924</v>
      </c>
    </row>
    <row r="2231" spans="1:11" x14ac:dyDescent="0.55000000000000004">
      <c r="A2231" t="s">
        <v>4509</v>
      </c>
      <c r="B2231">
        <v>100536</v>
      </c>
      <c r="C2231" t="s">
        <v>37</v>
      </c>
      <c r="D2231" s="3">
        <v>45853</v>
      </c>
      <c r="E2231" t="s">
        <v>20</v>
      </c>
      <c r="F2231" t="s">
        <v>4510</v>
      </c>
      <c r="G2231" t="s">
        <v>15</v>
      </c>
      <c r="H2231" t="s">
        <v>4511</v>
      </c>
      <c r="I2231" t="s">
        <v>4512</v>
      </c>
      <c r="J2231" s="4">
        <v>46080.294541550924</v>
      </c>
    </row>
    <row r="2232" spans="1:11" x14ac:dyDescent="0.55000000000000004">
      <c r="A2232" t="s">
        <v>4509</v>
      </c>
      <c r="B2232">
        <v>100536</v>
      </c>
      <c r="C2232" t="s">
        <v>37</v>
      </c>
      <c r="D2232" s="3">
        <v>45853</v>
      </c>
      <c r="E2232" t="s">
        <v>69</v>
      </c>
      <c r="F2232" t="s">
        <v>4510</v>
      </c>
      <c r="G2232" t="s">
        <v>15</v>
      </c>
      <c r="H2232" t="s">
        <v>4511</v>
      </c>
      <c r="I2232" t="s">
        <v>4512</v>
      </c>
      <c r="J2232" s="4">
        <v>46080.294541550924</v>
      </c>
    </row>
    <row r="2233" spans="1:11" x14ac:dyDescent="0.55000000000000004">
      <c r="A2233" t="s">
        <v>4513</v>
      </c>
      <c r="B2233">
        <v>100267</v>
      </c>
      <c r="C2233" t="s">
        <v>37</v>
      </c>
      <c r="D2233" s="3">
        <v>45998</v>
      </c>
      <c r="E2233" t="s">
        <v>317</v>
      </c>
      <c r="F2233" t="s">
        <v>4514</v>
      </c>
      <c r="G2233" t="s">
        <v>15</v>
      </c>
      <c r="H2233" t="s">
        <v>4515</v>
      </c>
      <c r="I2233" t="s">
        <v>4516</v>
      </c>
      <c r="J2233" s="4">
        <v>46083.275097118058</v>
      </c>
    </row>
    <row r="2234" spans="1:11" x14ac:dyDescent="0.55000000000000004">
      <c r="A2234" t="s">
        <v>4513</v>
      </c>
      <c r="B2234">
        <v>100267</v>
      </c>
      <c r="C2234" t="s">
        <v>37</v>
      </c>
      <c r="D2234" s="3">
        <v>45998</v>
      </c>
      <c r="E2234" t="s">
        <v>20</v>
      </c>
      <c r="F2234" t="s">
        <v>4514</v>
      </c>
      <c r="G2234" t="s">
        <v>15</v>
      </c>
      <c r="H2234" t="s">
        <v>4515</v>
      </c>
      <c r="I2234" t="s">
        <v>4516</v>
      </c>
      <c r="J2234" s="4">
        <v>46083.275097118058</v>
      </c>
    </row>
    <row r="2235" spans="1:11" x14ac:dyDescent="0.55000000000000004">
      <c r="A2235" t="s">
        <v>4517</v>
      </c>
      <c r="B2235">
        <v>100683</v>
      </c>
      <c r="C2235" t="s">
        <v>68</v>
      </c>
      <c r="D2235" s="3">
        <v>45856</v>
      </c>
      <c r="E2235" t="s">
        <v>38</v>
      </c>
      <c r="F2235" t="s">
        <v>4518</v>
      </c>
      <c r="G2235" t="s">
        <v>15</v>
      </c>
      <c r="H2235" t="s">
        <v>4519</v>
      </c>
      <c r="I2235" t="s">
        <v>4520</v>
      </c>
      <c r="J2235" s="4">
        <v>46055.393152673612</v>
      </c>
    </row>
    <row r="2236" spans="1:11" x14ac:dyDescent="0.55000000000000004">
      <c r="A2236" t="s">
        <v>4521</v>
      </c>
      <c r="B2236">
        <v>100007</v>
      </c>
      <c r="C2236" t="s">
        <v>248</v>
      </c>
      <c r="D2236" s="3">
        <v>46043</v>
      </c>
      <c r="E2236" t="s">
        <v>38</v>
      </c>
      <c r="F2236" t="s">
        <v>4522</v>
      </c>
      <c r="G2236" t="s">
        <v>15</v>
      </c>
      <c r="H2236" t="s">
        <v>4523</v>
      </c>
      <c r="I2236" t="s">
        <v>4524</v>
      </c>
      <c r="J2236" s="4">
        <v>46068.850791562501</v>
      </c>
    </row>
    <row r="2237" spans="1:11" x14ac:dyDescent="0.55000000000000004">
      <c r="A2237" t="s">
        <v>4521</v>
      </c>
      <c r="B2237">
        <v>100007</v>
      </c>
      <c r="C2237" t="s">
        <v>248</v>
      </c>
      <c r="D2237" s="3">
        <v>46043</v>
      </c>
      <c r="E2237" t="s">
        <v>20</v>
      </c>
      <c r="F2237" t="s">
        <v>4522</v>
      </c>
      <c r="G2237" t="s">
        <v>15</v>
      </c>
      <c r="H2237" t="s">
        <v>4523</v>
      </c>
      <c r="I2237" t="s">
        <v>4524</v>
      </c>
      <c r="J2237" s="4">
        <v>46068.850791562501</v>
      </c>
    </row>
    <row r="2238" spans="1:11" x14ac:dyDescent="0.55000000000000004">
      <c r="A2238" t="s">
        <v>4525</v>
      </c>
      <c r="B2238">
        <v>100090</v>
      </c>
      <c r="D2238" s="3">
        <v>45765</v>
      </c>
      <c r="E2238" t="s">
        <v>155</v>
      </c>
      <c r="F2238" t="s">
        <v>4526</v>
      </c>
      <c r="G2238" t="s">
        <v>15</v>
      </c>
      <c r="H2238" t="s">
        <v>4527</v>
      </c>
      <c r="I2238" t="s">
        <v>4528</v>
      </c>
      <c r="J2238" s="4">
        <v>46057.545236018515</v>
      </c>
      <c r="K2238" t="s">
        <v>217</v>
      </c>
    </row>
    <row r="2239" spans="1:11" x14ac:dyDescent="0.55000000000000004">
      <c r="A2239" t="s">
        <v>4525</v>
      </c>
      <c r="B2239">
        <v>100090</v>
      </c>
      <c r="D2239" s="3">
        <v>45765</v>
      </c>
      <c r="E2239" t="s">
        <v>115</v>
      </c>
      <c r="F2239" t="s">
        <v>4526</v>
      </c>
      <c r="G2239" t="s">
        <v>15</v>
      </c>
      <c r="H2239" t="s">
        <v>4527</v>
      </c>
      <c r="I2239" t="s">
        <v>4528</v>
      </c>
      <c r="J2239" s="4">
        <v>46057.545236018515</v>
      </c>
      <c r="K2239" t="s">
        <v>217</v>
      </c>
    </row>
    <row r="2240" spans="1:11" x14ac:dyDescent="0.55000000000000004">
      <c r="A2240" t="s">
        <v>4529</v>
      </c>
      <c r="B2240">
        <v>100566</v>
      </c>
      <c r="C2240" t="s">
        <v>248</v>
      </c>
      <c r="D2240" s="3">
        <v>45796</v>
      </c>
      <c r="E2240" t="s">
        <v>115</v>
      </c>
      <c r="F2240" t="s">
        <v>4530</v>
      </c>
      <c r="G2240" t="s">
        <v>15</v>
      </c>
      <c r="H2240" t="s">
        <v>4531</v>
      </c>
      <c r="I2240" t="s">
        <v>4532</v>
      </c>
      <c r="J2240" s="4">
        <v>46082.024402685187</v>
      </c>
    </row>
    <row r="2241" spans="1:10" x14ac:dyDescent="0.55000000000000004">
      <c r="A2241" t="s">
        <v>4533</v>
      </c>
      <c r="B2241">
        <v>101253</v>
      </c>
      <c r="C2241" t="s">
        <v>37</v>
      </c>
      <c r="D2241" s="3">
        <v>45950</v>
      </c>
      <c r="E2241" t="s">
        <v>20</v>
      </c>
      <c r="F2241" t="s">
        <v>4534</v>
      </c>
      <c r="G2241" t="s">
        <v>15</v>
      </c>
      <c r="H2241" t="s">
        <v>4535</v>
      </c>
      <c r="I2241" t="s">
        <v>4536</v>
      </c>
      <c r="J2241" s="4">
        <v>46082.143152696757</v>
      </c>
    </row>
    <row r="2242" spans="1:10" x14ac:dyDescent="0.55000000000000004">
      <c r="A2242" t="s">
        <v>4533</v>
      </c>
      <c r="B2242">
        <v>101253</v>
      </c>
      <c r="C2242" t="s">
        <v>37</v>
      </c>
      <c r="D2242" s="3">
        <v>45950</v>
      </c>
      <c r="E2242" t="s">
        <v>115</v>
      </c>
      <c r="F2242" t="s">
        <v>4534</v>
      </c>
      <c r="G2242" t="s">
        <v>15</v>
      </c>
      <c r="H2242" t="s">
        <v>4535</v>
      </c>
      <c r="I2242" t="s">
        <v>4536</v>
      </c>
      <c r="J2242" s="4">
        <v>46082.143152696757</v>
      </c>
    </row>
    <row r="2243" spans="1:10" x14ac:dyDescent="0.55000000000000004">
      <c r="A2243" t="s">
        <v>4533</v>
      </c>
      <c r="B2243">
        <v>101253</v>
      </c>
      <c r="C2243" t="s">
        <v>37</v>
      </c>
      <c r="D2243" s="3">
        <v>45950</v>
      </c>
      <c r="E2243" t="s">
        <v>69</v>
      </c>
      <c r="F2243" t="s">
        <v>4534</v>
      </c>
      <c r="G2243" t="s">
        <v>15</v>
      </c>
      <c r="H2243" t="s">
        <v>4535</v>
      </c>
      <c r="I2243" t="s">
        <v>4536</v>
      </c>
      <c r="J2243" s="4">
        <v>46082.143152696757</v>
      </c>
    </row>
    <row r="2244" spans="1:10" x14ac:dyDescent="0.55000000000000004">
      <c r="A2244" t="s">
        <v>4537</v>
      </c>
      <c r="B2244">
        <v>101457</v>
      </c>
      <c r="C2244" t="s">
        <v>533</v>
      </c>
      <c r="D2244" s="3">
        <v>46042</v>
      </c>
      <c r="E2244" t="s">
        <v>20</v>
      </c>
      <c r="F2244" t="s">
        <v>4538</v>
      </c>
      <c r="G2244" t="s">
        <v>22</v>
      </c>
      <c r="H2244" t="s">
        <v>4539</v>
      </c>
      <c r="I2244" t="s">
        <v>4540</v>
      </c>
      <c r="J2244" s="4">
        <v>46061.108430474538</v>
      </c>
    </row>
    <row r="2245" spans="1:10" x14ac:dyDescent="0.55000000000000004">
      <c r="A2245" t="s">
        <v>4541</v>
      </c>
      <c r="B2245">
        <v>100104</v>
      </c>
      <c r="C2245" t="s">
        <v>248</v>
      </c>
      <c r="D2245" s="3">
        <v>45871</v>
      </c>
      <c r="E2245" t="s">
        <v>20</v>
      </c>
      <c r="F2245" t="s">
        <v>4542</v>
      </c>
      <c r="G2245" t="s">
        <v>22</v>
      </c>
      <c r="H2245" t="s">
        <v>4543</v>
      </c>
      <c r="I2245" t="s">
        <v>4544</v>
      </c>
      <c r="J2245" s="4">
        <v>46073.507736041669</v>
      </c>
    </row>
    <row r="2246" spans="1:10" x14ac:dyDescent="0.55000000000000004">
      <c r="A2246" t="s">
        <v>4541</v>
      </c>
      <c r="B2246">
        <v>100104</v>
      </c>
      <c r="C2246" t="s">
        <v>248</v>
      </c>
      <c r="D2246" s="3">
        <v>45871</v>
      </c>
      <c r="E2246" t="s">
        <v>155</v>
      </c>
      <c r="F2246" t="s">
        <v>4542</v>
      </c>
      <c r="G2246" t="s">
        <v>22</v>
      </c>
      <c r="H2246" t="s">
        <v>4543</v>
      </c>
      <c r="I2246" t="s">
        <v>4544</v>
      </c>
      <c r="J2246" s="4">
        <v>46073.507736041669</v>
      </c>
    </row>
    <row r="2247" spans="1:10" x14ac:dyDescent="0.55000000000000004">
      <c r="A2247" t="s">
        <v>4545</v>
      </c>
      <c r="B2247">
        <v>101355</v>
      </c>
      <c r="C2247" t="s">
        <v>19</v>
      </c>
      <c r="D2247" s="3">
        <v>45957</v>
      </c>
      <c r="E2247" t="s">
        <v>317</v>
      </c>
      <c r="F2247" t="s">
        <v>4546</v>
      </c>
      <c r="G2247" t="s">
        <v>22</v>
      </c>
      <c r="H2247" t="s">
        <v>4547</v>
      </c>
      <c r="I2247" t="s">
        <v>4548</v>
      </c>
      <c r="J2247" s="4">
        <v>46088.060513819444</v>
      </c>
    </row>
    <row r="2248" spans="1:10" x14ac:dyDescent="0.55000000000000004">
      <c r="A2248" t="s">
        <v>4545</v>
      </c>
      <c r="B2248">
        <v>101355</v>
      </c>
      <c r="C2248" t="s">
        <v>19</v>
      </c>
      <c r="D2248" s="3">
        <v>45957</v>
      </c>
      <c r="E2248" t="s">
        <v>38</v>
      </c>
      <c r="F2248" t="s">
        <v>4546</v>
      </c>
      <c r="G2248" t="s">
        <v>22</v>
      </c>
      <c r="H2248" t="s">
        <v>4547</v>
      </c>
      <c r="I2248" t="s">
        <v>4548</v>
      </c>
      <c r="J2248" s="4">
        <v>46088.060513819444</v>
      </c>
    </row>
    <row r="2249" spans="1:10" x14ac:dyDescent="0.55000000000000004">
      <c r="A2249" t="s">
        <v>4549</v>
      </c>
      <c r="B2249">
        <v>101322</v>
      </c>
      <c r="C2249" t="s">
        <v>37</v>
      </c>
      <c r="D2249" s="3">
        <v>46122</v>
      </c>
      <c r="E2249" t="s">
        <v>155</v>
      </c>
      <c r="F2249" t="s">
        <v>4550</v>
      </c>
      <c r="G2249" t="s">
        <v>22</v>
      </c>
      <c r="H2249" t="s">
        <v>4551</v>
      </c>
      <c r="I2249" t="s">
        <v>4552</v>
      </c>
      <c r="J2249" s="4">
        <v>46058.982041608797</v>
      </c>
    </row>
    <row r="2250" spans="1:10" x14ac:dyDescent="0.55000000000000004">
      <c r="A2250" t="s">
        <v>4549</v>
      </c>
      <c r="B2250">
        <v>101322</v>
      </c>
      <c r="C2250" t="s">
        <v>37</v>
      </c>
      <c r="D2250" s="3">
        <v>46122</v>
      </c>
      <c r="E2250" t="s">
        <v>69</v>
      </c>
      <c r="F2250" t="s">
        <v>4550</v>
      </c>
      <c r="G2250" t="s">
        <v>22</v>
      </c>
      <c r="H2250" t="s">
        <v>4551</v>
      </c>
      <c r="I2250" t="s">
        <v>4552</v>
      </c>
      <c r="J2250" s="4">
        <v>46058.982041608797</v>
      </c>
    </row>
    <row r="2251" spans="1:10" x14ac:dyDescent="0.55000000000000004">
      <c r="A2251" t="s">
        <v>4553</v>
      </c>
      <c r="B2251">
        <v>101035</v>
      </c>
      <c r="C2251" t="s">
        <v>533</v>
      </c>
      <c r="D2251" s="3">
        <v>46015</v>
      </c>
      <c r="E2251" t="s">
        <v>20</v>
      </c>
      <c r="F2251" t="s">
        <v>4554</v>
      </c>
      <c r="G2251" t="s">
        <v>22</v>
      </c>
      <c r="H2251" t="s">
        <v>4555</v>
      </c>
      <c r="I2251" t="s">
        <v>4556</v>
      </c>
      <c r="J2251" s="4">
        <v>46078.101486053238</v>
      </c>
    </row>
    <row r="2252" spans="1:10" x14ac:dyDescent="0.55000000000000004">
      <c r="A2252" t="s">
        <v>4553</v>
      </c>
      <c r="B2252">
        <v>101035</v>
      </c>
      <c r="C2252" t="s">
        <v>533</v>
      </c>
      <c r="D2252" s="3">
        <v>46015</v>
      </c>
      <c r="E2252" t="s">
        <v>115</v>
      </c>
      <c r="F2252" t="s">
        <v>4554</v>
      </c>
      <c r="G2252" t="s">
        <v>22</v>
      </c>
      <c r="H2252" t="s">
        <v>4555</v>
      </c>
      <c r="I2252" t="s">
        <v>4556</v>
      </c>
      <c r="J2252" s="4">
        <v>46078.101486053238</v>
      </c>
    </row>
    <row r="2253" spans="1:10" x14ac:dyDescent="0.55000000000000004">
      <c r="A2253" t="s">
        <v>4553</v>
      </c>
      <c r="B2253">
        <v>101035</v>
      </c>
      <c r="C2253" t="s">
        <v>533</v>
      </c>
      <c r="D2253" s="3">
        <v>46015</v>
      </c>
      <c r="E2253" t="s">
        <v>69</v>
      </c>
      <c r="F2253" t="s">
        <v>4554</v>
      </c>
      <c r="G2253" t="s">
        <v>22</v>
      </c>
      <c r="H2253" t="s">
        <v>4555</v>
      </c>
      <c r="I2253" t="s">
        <v>4556</v>
      </c>
      <c r="J2253" s="4">
        <v>46078.101486053238</v>
      </c>
    </row>
    <row r="2254" spans="1:10" x14ac:dyDescent="0.55000000000000004">
      <c r="A2254" t="s">
        <v>4557</v>
      </c>
      <c r="B2254">
        <v>100540</v>
      </c>
      <c r="C2254" t="s">
        <v>68</v>
      </c>
      <c r="D2254" s="3">
        <v>45924</v>
      </c>
      <c r="E2254" t="s">
        <v>38</v>
      </c>
      <c r="F2254" t="s">
        <v>4558</v>
      </c>
      <c r="G2254" t="s">
        <v>22</v>
      </c>
      <c r="H2254" t="s">
        <v>4559</v>
      </c>
      <c r="I2254" t="s">
        <v>4560</v>
      </c>
      <c r="J2254" s="4">
        <v>46089.078569398145</v>
      </c>
    </row>
    <row r="2255" spans="1:10" x14ac:dyDescent="0.55000000000000004">
      <c r="A2255" t="s">
        <v>4557</v>
      </c>
      <c r="B2255">
        <v>100540</v>
      </c>
      <c r="C2255" t="s">
        <v>68</v>
      </c>
      <c r="D2255" s="3">
        <v>45924</v>
      </c>
      <c r="E2255" t="s">
        <v>155</v>
      </c>
      <c r="F2255" t="s">
        <v>4558</v>
      </c>
      <c r="G2255" t="s">
        <v>22</v>
      </c>
      <c r="H2255" t="s">
        <v>4559</v>
      </c>
      <c r="I2255" t="s">
        <v>4560</v>
      </c>
      <c r="J2255" s="4">
        <v>46089.078569398145</v>
      </c>
    </row>
    <row r="2256" spans="1:10" x14ac:dyDescent="0.55000000000000004">
      <c r="A2256" t="s">
        <v>4557</v>
      </c>
      <c r="B2256">
        <v>100540</v>
      </c>
      <c r="C2256" t="s">
        <v>68</v>
      </c>
      <c r="D2256" s="3">
        <v>45924</v>
      </c>
      <c r="E2256" t="s">
        <v>69</v>
      </c>
      <c r="F2256" t="s">
        <v>4558</v>
      </c>
      <c r="G2256" t="s">
        <v>22</v>
      </c>
      <c r="H2256" t="s">
        <v>4559</v>
      </c>
      <c r="I2256" t="s">
        <v>4560</v>
      </c>
      <c r="J2256" s="4">
        <v>46089.078569398145</v>
      </c>
    </row>
    <row r="2257" spans="1:11" x14ac:dyDescent="0.55000000000000004">
      <c r="A2257" t="s">
        <v>4561</v>
      </c>
      <c r="B2257">
        <v>100416</v>
      </c>
      <c r="C2257" t="s">
        <v>248</v>
      </c>
      <c r="D2257" s="3">
        <v>45811</v>
      </c>
      <c r="E2257" t="s">
        <v>155</v>
      </c>
      <c r="F2257" t="s">
        <v>4562</v>
      </c>
      <c r="G2257" t="s">
        <v>15</v>
      </c>
      <c r="H2257" t="s">
        <v>4563</v>
      </c>
      <c r="I2257" t="s">
        <v>4564</v>
      </c>
      <c r="J2257" s="4">
        <v>46065.213986064817</v>
      </c>
    </row>
    <row r="2258" spans="1:11" x14ac:dyDescent="0.55000000000000004">
      <c r="A2258" t="s">
        <v>4565</v>
      </c>
      <c r="B2258">
        <v>100702</v>
      </c>
      <c r="C2258" t="s">
        <v>19</v>
      </c>
      <c r="D2258" s="3">
        <v>45939</v>
      </c>
      <c r="E2258" t="s">
        <v>20</v>
      </c>
      <c r="F2258" t="s">
        <v>4566</v>
      </c>
      <c r="G2258" t="s">
        <v>22</v>
      </c>
      <c r="H2258" t="s">
        <v>4567</v>
      </c>
      <c r="I2258" t="s">
        <v>4568</v>
      </c>
      <c r="J2258" s="4">
        <v>46066.308430520832</v>
      </c>
    </row>
    <row r="2259" spans="1:11" x14ac:dyDescent="0.55000000000000004">
      <c r="A2259" t="s">
        <v>4565</v>
      </c>
      <c r="B2259">
        <v>100702</v>
      </c>
      <c r="C2259" t="s">
        <v>19</v>
      </c>
      <c r="D2259" s="3">
        <v>45939</v>
      </c>
      <c r="E2259" t="s">
        <v>69</v>
      </c>
      <c r="F2259" t="s">
        <v>4566</v>
      </c>
      <c r="G2259" t="s">
        <v>22</v>
      </c>
      <c r="H2259" t="s">
        <v>4567</v>
      </c>
      <c r="I2259" t="s">
        <v>4568</v>
      </c>
      <c r="J2259" s="4">
        <v>46066.308430520832</v>
      </c>
    </row>
    <row r="2260" spans="1:11" x14ac:dyDescent="0.55000000000000004">
      <c r="A2260" t="s">
        <v>4569</v>
      </c>
      <c r="B2260">
        <v>100431</v>
      </c>
      <c r="C2260" t="s">
        <v>19</v>
      </c>
      <c r="D2260" s="3">
        <v>45768</v>
      </c>
      <c r="E2260" t="s">
        <v>317</v>
      </c>
      <c r="F2260" t="s">
        <v>4570</v>
      </c>
      <c r="G2260" t="s">
        <v>22</v>
      </c>
      <c r="H2260" t="s">
        <v>4571</v>
      </c>
      <c r="I2260" t="s">
        <v>4572</v>
      </c>
      <c r="J2260" s="4">
        <v>46061.515374965275</v>
      </c>
    </row>
    <row r="2261" spans="1:11" x14ac:dyDescent="0.55000000000000004">
      <c r="A2261" t="s">
        <v>4569</v>
      </c>
      <c r="B2261">
        <v>100431</v>
      </c>
      <c r="C2261" t="s">
        <v>19</v>
      </c>
      <c r="D2261" s="3">
        <v>45768</v>
      </c>
      <c r="E2261" t="s">
        <v>155</v>
      </c>
      <c r="F2261" t="s">
        <v>4570</v>
      </c>
      <c r="G2261" t="s">
        <v>22</v>
      </c>
      <c r="H2261" t="s">
        <v>4571</v>
      </c>
      <c r="I2261" t="s">
        <v>4572</v>
      </c>
      <c r="J2261" s="4">
        <v>46061.515374965275</v>
      </c>
    </row>
    <row r="2262" spans="1:11" x14ac:dyDescent="0.55000000000000004">
      <c r="A2262" t="s">
        <v>4573</v>
      </c>
      <c r="B2262">
        <v>100577</v>
      </c>
      <c r="C2262" t="s">
        <v>248</v>
      </c>
      <c r="D2262" s="3">
        <v>46122</v>
      </c>
      <c r="E2262" t="s">
        <v>317</v>
      </c>
      <c r="F2262" t="s">
        <v>4574</v>
      </c>
      <c r="G2262" t="s">
        <v>22</v>
      </c>
      <c r="H2262" t="s">
        <v>4575</v>
      </c>
      <c r="I2262" t="s">
        <v>4576</v>
      </c>
      <c r="J2262" s="4">
        <v>46056.766763865744</v>
      </c>
    </row>
    <row r="2263" spans="1:11" x14ac:dyDescent="0.55000000000000004">
      <c r="A2263" t="s">
        <v>4573</v>
      </c>
      <c r="B2263">
        <v>100577</v>
      </c>
      <c r="C2263" t="s">
        <v>248</v>
      </c>
      <c r="D2263" s="3">
        <v>46122</v>
      </c>
      <c r="E2263" t="s">
        <v>20</v>
      </c>
      <c r="F2263" t="s">
        <v>4574</v>
      </c>
      <c r="G2263" t="s">
        <v>22</v>
      </c>
      <c r="H2263" t="s">
        <v>4575</v>
      </c>
      <c r="I2263" t="s">
        <v>4576</v>
      </c>
      <c r="J2263" s="4">
        <v>46056.766763865744</v>
      </c>
    </row>
    <row r="2264" spans="1:11" x14ac:dyDescent="0.55000000000000004">
      <c r="A2264" t="s">
        <v>6038</v>
      </c>
      <c r="B2264">
        <v>100557</v>
      </c>
      <c r="C2264" t="s">
        <v>68</v>
      </c>
      <c r="D2264" s="3">
        <v>46088</v>
      </c>
      <c r="E2264" t="s">
        <v>317</v>
      </c>
      <c r="F2264" t="s">
        <v>4578</v>
      </c>
      <c r="G2264" t="s">
        <v>22</v>
      </c>
      <c r="H2264" t="s">
        <v>4579</v>
      </c>
      <c r="I2264" t="s">
        <v>4580</v>
      </c>
      <c r="J2264" s="4">
        <v>46070.395236087963</v>
      </c>
      <c r="K2264" t="s">
        <v>119</v>
      </c>
    </row>
    <row r="2265" spans="1:11" x14ac:dyDescent="0.55000000000000004">
      <c r="A2265" t="s">
        <v>4581</v>
      </c>
      <c r="B2265">
        <v>101461</v>
      </c>
      <c r="C2265" t="s">
        <v>248</v>
      </c>
      <c r="D2265" s="3">
        <v>45976</v>
      </c>
      <c r="E2265" t="s">
        <v>20</v>
      </c>
      <c r="F2265" t="s">
        <v>4582</v>
      </c>
      <c r="G2265" t="s">
        <v>15</v>
      </c>
      <c r="H2265" t="s">
        <v>4583</v>
      </c>
      <c r="I2265" t="s">
        <v>4584</v>
      </c>
      <c r="J2265" s="4">
        <v>46052.799402766206</v>
      </c>
    </row>
    <row r="2266" spans="1:11" x14ac:dyDescent="0.55000000000000004">
      <c r="A2266" t="s">
        <v>4585</v>
      </c>
      <c r="B2266">
        <v>101435</v>
      </c>
      <c r="C2266" t="s">
        <v>533</v>
      </c>
      <c r="D2266" s="3">
        <v>45865</v>
      </c>
      <c r="E2266" t="s">
        <v>20</v>
      </c>
      <c r="F2266" t="s">
        <v>4586</v>
      </c>
      <c r="G2266" t="s">
        <v>15</v>
      </c>
      <c r="H2266" t="s">
        <v>4587</v>
      </c>
      <c r="I2266" t="s">
        <v>4588</v>
      </c>
      <c r="J2266" s="4">
        <v>46058.923708321759</v>
      </c>
    </row>
    <row r="2267" spans="1:11" x14ac:dyDescent="0.55000000000000004">
      <c r="A2267" t="s">
        <v>4585</v>
      </c>
      <c r="B2267">
        <v>101435</v>
      </c>
      <c r="C2267" t="s">
        <v>533</v>
      </c>
      <c r="D2267" s="3">
        <v>45865</v>
      </c>
      <c r="E2267" t="s">
        <v>115</v>
      </c>
      <c r="F2267" t="s">
        <v>4586</v>
      </c>
      <c r="G2267" t="s">
        <v>15</v>
      </c>
      <c r="H2267" t="s">
        <v>4587</v>
      </c>
      <c r="I2267" t="s">
        <v>4588</v>
      </c>
      <c r="J2267" s="4">
        <v>46058.923708321759</v>
      </c>
    </row>
    <row r="2268" spans="1:11" x14ac:dyDescent="0.55000000000000004">
      <c r="A2268" t="s">
        <v>4585</v>
      </c>
      <c r="B2268">
        <v>101435</v>
      </c>
      <c r="C2268" t="s">
        <v>533</v>
      </c>
      <c r="D2268" s="3">
        <v>45865</v>
      </c>
      <c r="E2268" t="s">
        <v>69</v>
      </c>
      <c r="F2268" t="s">
        <v>4586</v>
      </c>
      <c r="G2268" t="s">
        <v>15</v>
      </c>
      <c r="H2268" t="s">
        <v>4587</v>
      </c>
      <c r="I2268" t="s">
        <v>4588</v>
      </c>
      <c r="J2268" s="4">
        <v>46058.923708321759</v>
      </c>
    </row>
    <row r="2269" spans="1:11" x14ac:dyDescent="0.55000000000000004">
      <c r="A2269" t="s">
        <v>4589</v>
      </c>
      <c r="B2269">
        <v>100219</v>
      </c>
      <c r="C2269" t="s">
        <v>533</v>
      </c>
      <c r="D2269" s="3">
        <v>45738</v>
      </c>
      <c r="E2269" t="s">
        <v>155</v>
      </c>
      <c r="F2269" t="s">
        <v>4590</v>
      </c>
      <c r="G2269" t="s">
        <v>22</v>
      </c>
      <c r="H2269" t="s">
        <v>4591</v>
      </c>
      <c r="I2269" t="s">
        <v>4592</v>
      </c>
      <c r="J2269" s="4">
        <v>46071.912597210649</v>
      </c>
    </row>
    <row r="2270" spans="1:11" x14ac:dyDescent="0.55000000000000004">
      <c r="A2270" t="s">
        <v>4593</v>
      </c>
      <c r="B2270">
        <v>100236</v>
      </c>
      <c r="C2270" t="s">
        <v>37</v>
      </c>
      <c r="D2270" s="3">
        <v>45997</v>
      </c>
      <c r="E2270" t="s">
        <v>69</v>
      </c>
      <c r="F2270" t="s">
        <v>4594</v>
      </c>
      <c r="G2270" t="s">
        <v>15</v>
      </c>
      <c r="H2270" t="s">
        <v>4595</v>
      </c>
      <c r="I2270" t="s">
        <v>4596</v>
      </c>
      <c r="J2270" s="4">
        <v>46070.386902777776</v>
      </c>
    </row>
    <row r="2271" spans="1:11" x14ac:dyDescent="0.55000000000000004">
      <c r="A2271" t="s">
        <v>4597</v>
      </c>
      <c r="B2271">
        <v>101451</v>
      </c>
      <c r="C2271" t="s">
        <v>68</v>
      </c>
      <c r="D2271" s="3">
        <v>45988</v>
      </c>
      <c r="E2271" t="s">
        <v>317</v>
      </c>
      <c r="F2271" t="s">
        <v>4598</v>
      </c>
      <c r="G2271" t="s">
        <v>22</v>
      </c>
      <c r="H2271" t="s">
        <v>4599</v>
      </c>
      <c r="I2271" t="s">
        <v>4600</v>
      </c>
      <c r="J2271" s="4">
        <v>46092.591069444446</v>
      </c>
    </row>
    <row r="2272" spans="1:11" x14ac:dyDescent="0.55000000000000004">
      <c r="A2272" t="s">
        <v>4597</v>
      </c>
      <c r="B2272">
        <v>101451</v>
      </c>
      <c r="C2272" t="s">
        <v>68</v>
      </c>
      <c r="D2272" s="3">
        <v>45988</v>
      </c>
      <c r="E2272" t="s">
        <v>20</v>
      </c>
      <c r="F2272" t="s">
        <v>4598</v>
      </c>
      <c r="G2272" t="s">
        <v>22</v>
      </c>
      <c r="H2272" t="s">
        <v>4599</v>
      </c>
      <c r="I2272" t="s">
        <v>4600</v>
      </c>
      <c r="J2272" s="4">
        <v>46092.591069444446</v>
      </c>
    </row>
    <row r="2273" spans="1:10" x14ac:dyDescent="0.55000000000000004">
      <c r="A2273" t="s">
        <v>4597</v>
      </c>
      <c r="B2273">
        <v>101451</v>
      </c>
      <c r="C2273" t="s">
        <v>68</v>
      </c>
      <c r="D2273" s="3">
        <v>45988</v>
      </c>
      <c r="E2273" t="s">
        <v>69</v>
      </c>
      <c r="F2273" t="s">
        <v>4598</v>
      </c>
      <c r="G2273" t="s">
        <v>22</v>
      </c>
      <c r="H2273" t="s">
        <v>4599</v>
      </c>
      <c r="I2273" t="s">
        <v>4600</v>
      </c>
      <c r="J2273" s="4">
        <v>46092.591069444446</v>
      </c>
    </row>
    <row r="2274" spans="1:10" x14ac:dyDescent="0.55000000000000004">
      <c r="A2274" t="s">
        <v>4601</v>
      </c>
      <c r="B2274">
        <v>100275</v>
      </c>
      <c r="C2274" t="s">
        <v>19</v>
      </c>
      <c r="D2274" s="3">
        <v>46129</v>
      </c>
      <c r="E2274" t="s">
        <v>20</v>
      </c>
      <c r="F2274" t="s">
        <v>4602</v>
      </c>
      <c r="G2274" t="s">
        <v>15</v>
      </c>
      <c r="H2274" t="s">
        <v>4603</v>
      </c>
      <c r="I2274" t="s">
        <v>4604</v>
      </c>
      <c r="J2274" s="4">
        <v>46071.752180567128</v>
      </c>
    </row>
    <row r="2275" spans="1:10" x14ac:dyDescent="0.55000000000000004">
      <c r="A2275" t="s">
        <v>4601</v>
      </c>
      <c r="B2275">
        <v>100275</v>
      </c>
      <c r="C2275" t="s">
        <v>19</v>
      </c>
      <c r="D2275" s="3">
        <v>46129</v>
      </c>
      <c r="E2275" t="s">
        <v>115</v>
      </c>
      <c r="F2275" t="s">
        <v>4602</v>
      </c>
      <c r="G2275" t="s">
        <v>15</v>
      </c>
      <c r="H2275" t="s">
        <v>4603</v>
      </c>
      <c r="I2275" t="s">
        <v>4604</v>
      </c>
      <c r="J2275" s="4">
        <v>46071.752180567128</v>
      </c>
    </row>
    <row r="2276" spans="1:10" x14ac:dyDescent="0.55000000000000004">
      <c r="A2276" t="s">
        <v>4605</v>
      </c>
      <c r="B2276">
        <v>100212</v>
      </c>
      <c r="C2276" t="s">
        <v>68</v>
      </c>
      <c r="D2276" s="3">
        <v>45735</v>
      </c>
      <c r="E2276" t="s">
        <v>69</v>
      </c>
      <c r="F2276" t="s">
        <v>4606</v>
      </c>
      <c r="G2276" t="s">
        <v>15</v>
      </c>
      <c r="H2276" t="s">
        <v>4607</v>
      </c>
      <c r="I2276" t="s">
        <v>4608</v>
      </c>
      <c r="J2276" s="4">
        <v>46091.646625011577</v>
      </c>
    </row>
    <row r="2277" spans="1:10" x14ac:dyDescent="0.55000000000000004">
      <c r="A2277" t="s">
        <v>4609</v>
      </c>
      <c r="B2277">
        <v>100613</v>
      </c>
      <c r="C2277" t="s">
        <v>179</v>
      </c>
      <c r="D2277" s="3">
        <v>46000</v>
      </c>
      <c r="E2277" t="s">
        <v>317</v>
      </c>
      <c r="F2277" t="s">
        <v>4610</v>
      </c>
      <c r="G2277" t="s">
        <v>22</v>
      </c>
      <c r="H2277" t="s">
        <v>4611</v>
      </c>
      <c r="I2277" t="s">
        <v>4612</v>
      </c>
      <c r="J2277" s="4">
        <v>46087.495236122682</v>
      </c>
    </row>
    <row r="2278" spans="1:10" x14ac:dyDescent="0.55000000000000004">
      <c r="A2278" t="s">
        <v>4609</v>
      </c>
      <c r="B2278">
        <v>100613</v>
      </c>
      <c r="C2278" t="s">
        <v>179</v>
      </c>
      <c r="D2278" s="3">
        <v>46000</v>
      </c>
      <c r="E2278" t="s">
        <v>20</v>
      </c>
      <c r="F2278" t="s">
        <v>4610</v>
      </c>
      <c r="G2278" t="s">
        <v>22</v>
      </c>
      <c r="H2278" t="s">
        <v>4611</v>
      </c>
      <c r="I2278" t="s">
        <v>4612</v>
      </c>
      <c r="J2278" s="4">
        <v>46087.495236122682</v>
      </c>
    </row>
    <row r="2279" spans="1:10" x14ac:dyDescent="0.55000000000000004">
      <c r="A2279" t="s">
        <v>4613</v>
      </c>
      <c r="B2279">
        <v>101135</v>
      </c>
      <c r="C2279" t="s">
        <v>68</v>
      </c>
      <c r="D2279" s="3">
        <v>45827</v>
      </c>
      <c r="E2279" t="s">
        <v>317</v>
      </c>
      <c r="F2279" t="s">
        <v>4614</v>
      </c>
      <c r="G2279" t="s">
        <v>15</v>
      </c>
      <c r="H2279" t="s">
        <v>4615</v>
      </c>
      <c r="I2279" t="s">
        <v>4616</v>
      </c>
      <c r="J2279" s="4">
        <v>46065.589680578705</v>
      </c>
    </row>
    <row r="2280" spans="1:10" x14ac:dyDescent="0.55000000000000004">
      <c r="A2280" t="s">
        <v>4613</v>
      </c>
      <c r="B2280">
        <v>101135</v>
      </c>
      <c r="C2280" t="s">
        <v>68</v>
      </c>
      <c r="D2280" s="3">
        <v>45827</v>
      </c>
      <c r="E2280" t="s">
        <v>115</v>
      </c>
      <c r="F2280" t="s">
        <v>4614</v>
      </c>
      <c r="G2280" t="s">
        <v>15</v>
      </c>
      <c r="H2280" t="s">
        <v>4615</v>
      </c>
      <c r="I2280" t="s">
        <v>4616</v>
      </c>
      <c r="J2280" s="4">
        <v>46065.589680578705</v>
      </c>
    </row>
    <row r="2281" spans="1:10" x14ac:dyDescent="0.55000000000000004">
      <c r="A2281" t="s">
        <v>4613</v>
      </c>
      <c r="B2281">
        <v>101135</v>
      </c>
      <c r="C2281" t="s">
        <v>68</v>
      </c>
      <c r="D2281" s="3">
        <v>45827</v>
      </c>
      <c r="E2281" t="s">
        <v>69</v>
      </c>
      <c r="F2281" t="s">
        <v>4614</v>
      </c>
      <c r="G2281" t="s">
        <v>15</v>
      </c>
      <c r="H2281" t="s">
        <v>4615</v>
      </c>
      <c r="I2281" t="s">
        <v>4616</v>
      </c>
      <c r="J2281" s="4">
        <v>46065.589680578705</v>
      </c>
    </row>
    <row r="2282" spans="1:10" x14ac:dyDescent="0.55000000000000004">
      <c r="A2282" t="s">
        <v>4617</v>
      </c>
      <c r="B2282">
        <v>100016</v>
      </c>
      <c r="C2282" t="s">
        <v>179</v>
      </c>
      <c r="D2282" s="3">
        <v>46022</v>
      </c>
      <c r="E2282" t="s">
        <v>115</v>
      </c>
      <c r="F2282" t="s">
        <v>4618</v>
      </c>
      <c r="G2282" t="s">
        <v>15</v>
      </c>
      <c r="H2282" t="s">
        <v>4619</v>
      </c>
      <c r="I2282" t="s">
        <v>4620</v>
      </c>
      <c r="J2282" s="4">
        <v>46094.48620835648</v>
      </c>
    </row>
    <row r="2283" spans="1:10" x14ac:dyDescent="0.55000000000000004">
      <c r="A2283" t="s">
        <v>4621</v>
      </c>
      <c r="B2283">
        <v>101356</v>
      </c>
      <c r="C2283" t="s">
        <v>248</v>
      </c>
      <c r="D2283" s="3">
        <v>45864</v>
      </c>
      <c r="E2283" t="s">
        <v>38</v>
      </c>
      <c r="F2283" t="s">
        <v>4622</v>
      </c>
      <c r="G2283" t="s">
        <v>15</v>
      </c>
      <c r="H2283" t="s">
        <v>4623</v>
      </c>
      <c r="I2283" t="s">
        <v>4624</v>
      </c>
      <c r="J2283" s="4">
        <v>46057.509819479164</v>
      </c>
    </row>
    <row r="2284" spans="1:10" x14ac:dyDescent="0.55000000000000004">
      <c r="A2284" t="s">
        <v>4621</v>
      </c>
      <c r="B2284">
        <v>101356</v>
      </c>
      <c r="C2284" t="s">
        <v>248</v>
      </c>
      <c r="D2284" s="3">
        <v>45864</v>
      </c>
      <c r="E2284" t="s">
        <v>69</v>
      </c>
      <c r="F2284" t="s">
        <v>4622</v>
      </c>
      <c r="G2284" t="s">
        <v>15</v>
      </c>
      <c r="H2284" t="s">
        <v>4623</v>
      </c>
      <c r="I2284" t="s">
        <v>4624</v>
      </c>
      <c r="J2284" s="4">
        <v>46057.509819479164</v>
      </c>
    </row>
    <row r="2285" spans="1:10" x14ac:dyDescent="0.55000000000000004">
      <c r="A2285" t="s">
        <v>4625</v>
      </c>
      <c r="B2285">
        <v>100619</v>
      </c>
      <c r="C2285" t="s">
        <v>37</v>
      </c>
      <c r="D2285" s="3">
        <v>45882</v>
      </c>
      <c r="E2285" t="s">
        <v>69</v>
      </c>
      <c r="F2285" t="s">
        <v>4626</v>
      </c>
      <c r="G2285" t="s">
        <v>15</v>
      </c>
      <c r="H2285" t="s">
        <v>4627</v>
      </c>
      <c r="I2285" t="s">
        <v>4628</v>
      </c>
      <c r="J2285" s="4">
        <v>46080.654958368053</v>
      </c>
    </row>
    <row r="2286" spans="1:10" x14ac:dyDescent="0.55000000000000004">
      <c r="A2286" t="s">
        <v>4629</v>
      </c>
      <c r="B2286">
        <v>101112</v>
      </c>
      <c r="C2286" t="s">
        <v>68</v>
      </c>
      <c r="D2286" s="3">
        <v>45747</v>
      </c>
      <c r="E2286" t="s">
        <v>38</v>
      </c>
      <c r="F2286" t="s">
        <v>4630</v>
      </c>
      <c r="G2286" t="s">
        <v>15</v>
      </c>
      <c r="H2286" t="s">
        <v>4631</v>
      </c>
      <c r="I2286" t="s">
        <v>4632</v>
      </c>
      <c r="J2286" s="4">
        <v>46097.659125034719</v>
      </c>
    </row>
    <row r="2287" spans="1:10" x14ac:dyDescent="0.55000000000000004">
      <c r="A2287" t="s">
        <v>4629</v>
      </c>
      <c r="B2287">
        <v>101112</v>
      </c>
      <c r="C2287" t="s">
        <v>68</v>
      </c>
      <c r="D2287" s="3">
        <v>45747</v>
      </c>
      <c r="E2287" t="s">
        <v>115</v>
      </c>
      <c r="F2287" t="s">
        <v>4630</v>
      </c>
      <c r="G2287" t="s">
        <v>15</v>
      </c>
      <c r="H2287" t="s">
        <v>4631</v>
      </c>
      <c r="I2287" t="s">
        <v>4632</v>
      </c>
      <c r="J2287" s="4">
        <v>46097.659125034719</v>
      </c>
    </row>
    <row r="2288" spans="1:10" x14ac:dyDescent="0.55000000000000004">
      <c r="A2288" t="s">
        <v>4629</v>
      </c>
      <c r="B2288">
        <v>101112</v>
      </c>
      <c r="C2288" t="s">
        <v>68</v>
      </c>
      <c r="D2288" s="3">
        <v>45747</v>
      </c>
      <c r="E2288" t="s">
        <v>69</v>
      </c>
      <c r="F2288" t="s">
        <v>4630</v>
      </c>
      <c r="G2288" t="s">
        <v>15</v>
      </c>
      <c r="H2288" t="s">
        <v>4631</v>
      </c>
      <c r="I2288" t="s">
        <v>4632</v>
      </c>
      <c r="J2288" s="4">
        <v>46097.659125034719</v>
      </c>
    </row>
    <row r="2289" spans="1:10" x14ac:dyDescent="0.55000000000000004">
      <c r="A2289" t="s">
        <v>4633</v>
      </c>
      <c r="B2289">
        <v>101293</v>
      </c>
      <c r="C2289" t="s">
        <v>248</v>
      </c>
      <c r="D2289" s="3">
        <v>46116</v>
      </c>
      <c r="E2289" t="s">
        <v>317</v>
      </c>
      <c r="F2289" t="s">
        <v>4634</v>
      </c>
      <c r="G2289" t="s">
        <v>15</v>
      </c>
      <c r="H2289" t="s">
        <v>4635</v>
      </c>
      <c r="I2289" t="s">
        <v>4636</v>
      </c>
      <c r="J2289" s="4">
        <v>46091.445930601854</v>
      </c>
    </row>
    <row r="2290" spans="1:10" x14ac:dyDescent="0.55000000000000004">
      <c r="A2290" t="s">
        <v>4637</v>
      </c>
      <c r="B2290">
        <v>101344</v>
      </c>
      <c r="C2290" t="s">
        <v>19</v>
      </c>
      <c r="D2290" s="3">
        <v>46137</v>
      </c>
      <c r="E2290" t="s">
        <v>69</v>
      </c>
      <c r="F2290" t="s">
        <v>4638</v>
      </c>
      <c r="G2290" t="s">
        <v>22</v>
      </c>
      <c r="H2290" t="s">
        <v>4639</v>
      </c>
      <c r="I2290" t="s">
        <v>4640</v>
      </c>
      <c r="J2290" s="4">
        <v>46066.073013935187</v>
      </c>
    </row>
    <row r="2291" spans="1:10" x14ac:dyDescent="0.55000000000000004">
      <c r="A2291" t="s">
        <v>4641</v>
      </c>
      <c r="B2291">
        <v>100583</v>
      </c>
      <c r="C2291" t="s">
        <v>68</v>
      </c>
      <c r="D2291" s="3">
        <v>46041</v>
      </c>
      <c r="E2291" t="s">
        <v>317</v>
      </c>
      <c r="F2291" t="s">
        <v>4642</v>
      </c>
      <c r="G2291" t="s">
        <v>22</v>
      </c>
      <c r="H2291" t="s">
        <v>4643</v>
      </c>
      <c r="I2291" t="s">
        <v>4644</v>
      </c>
      <c r="J2291" s="4">
        <v>46077.405652835645</v>
      </c>
    </row>
    <row r="2292" spans="1:10" x14ac:dyDescent="0.55000000000000004">
      <c r="A2292" t="s">
        <v>4641</v>
      </c>
      <c r="B2292">
        <v>100583</v>
      </c>
      <c r="C2292" t="s">
        <v>68</v>
      </c>
      <c r="D2292" s="3">
        <v>46041</v>
      </c>
      <c r="E2292" t="s">
        <v>20</v>
      </c>
      <c r="F2292" t="s">
        <v>4642</v>
      </c>
      <c r="G2292" t="s">
        <v>22</v>
      </c>
      <c r="H2292" t="s">
        <v>4643</v>
      </c>
      <c r="I2292" t="s">
        <v>4644</v>
      </c>
      <c r="J2292" s="4">
        <v>46077.405652835645</v>
      </c>
    </row>
    <row r="2293" spans="1:10" x14ac:dyDescent="0.55000000000000004">
      <c r="A2293" t="s">
        <v>4645</v>
      </c>
      <c r="B2293">
        <v>100756</v>
      </c>
      <c r="C2293" t="s">
        <v>68</v>
      </c>
      <c r="D2293" s="3">
        <v>46072</v>
      </c>
      <c r="E2293" t="s">
        <v>38</v>
      </c>
      <c r="F2293" t="s">
        <v>4646</v>
      </c>
      <c r="G2293" t="s">
        <v>15</v>
      </c>
      <c r="H2293" t="s">
        <v>4647</v>
      </c>
      <c r="I2293" t="s">
        <v>4648</v>
      </c>
      <c r="J2293" s="4">
        <v>46075.276486168979</v>
      </c>
    </row>
    <row r="2294" spans="1:10" x14ac:dyDescent="0.55000000000000004">
      <c r="A2294" t="s">
        <v>4645</v>
      </c>
      <c r="B2294">
        <v>100756</v>
      </c>
      <c r="C2294" t="s">
        <v>68</v>
      </c>
      <c r="D2294" s="3">
        <v>46072</v>
      </c>
      <c r="E2294" t="s">
        <v>69</v>
      </c>
      <c r="F2294" t="s">
        <v>4646</v>
      </c>
      <c r="G2294" t="s">
        <v>15</v>
      </c>
      <c r="H2294" t="s">
        <v>4647</v>
      </c>
      <c r="I2294" t="s">
        <v>4648</v>
      </c>
      <c r="J2294" s="4">
        <v>46075.276486168979</v>
      </c>
    </row>
    <row r="2295" spans="1:10" x14ac:dyDescent="0.55000000000000004">
      <c r="A2295" t="s">
        <v>4649</v>
      </c>
      <c r="B2295">
        <v>100500</v>
      </c>
      <c r="C2295" t="s">
        <v>533</v>
      </c>
      <c r="D2295" s="3">
        <v>45733</v>
      </c>
      <c r="E2295" t="s">
        <v>317</v>
      </c>
      <c r="F2295" t="s">
        <v>4650</v>
      </c>
      <c r="G2295" t="s">
        <v>15</v>
      </c>
      <c r="H2295" t="s">
        <v>4651</v>
      </c>
      <c r="I2295" t="s">
        <v>4652</v>
      </c>
      <c r="J2295" s="4">
        <v>46095.890375057868</v>
      </c>
    </row>
    <row r="2296" spans="1:10" x14ac:dyDescent="0.55000000000000004">
      <c r="A2296" t="s">
        <v>4649</v>
      </c>
      <c r="B2296">
        <v>100500</v>
      </c>
      <c r="C2296" t="s">
        <v>533</v>
      </c>
      <c r="D2296" s="3">
        <v>45733</v>
      </c>
      <c r="E2296" t="s">
        <v>69</v>
      </c>
      <c r="F2296" t="s">
        <v>4650</v>
      </c>
      <c r="G2296" t="s">
        <v>15</v>
      </c>
      <c r="H2296" t="s">
        <v>4651</v>
      </c>
      <c r="I2296" t="s">
        <v>4652</v>
      </c>
      <c r="J2296" s="4">
        <v>46095.890375057868</v>
      </c>
    </row>
    <row r="2297" spans="1:10" x14ac:dyDescent="0.55000000000000004">
      <c r="A2297" t="s">
        <v>4653</v>
      </c>
      <c r="B2297">
        <v>101187</v>
      </c>
      <c r="C2297" t="s">
        <v>533</v>
      </c>
      <c r="D2297" s="3">
        <v>46003</v>
      </c>
      <c r="E2297" t="s">
        <v>317</v>
      </c>
      <c r="F2297" t="s">
        <v>4654</v>
      </c>
      <c r="G2297" t="s">
        <v>22</v>
      </c>
      <c r="H2297" t="s">
        <v>4655</v>
      </c>
      <c r="I2297" t="s">
        <v>4656</v>
      </c>
      <c r="J2297" s="4">
        <v>46068.866763958336</v>
      </c>
    </row>
    <row r="2298" spans="1:10" x14ac:dyDescent="0.55000000000000004">
      <c r="A2298" t="s">
        <v>4653</v>
      </c>
      <c r="B2298">
        <v>101187</v>
      </c>
      <c r="C2298" t="s">
        <v>533</v>
      </c>
      <c r="D2298" s="3">
        <v>46003</v>
      </c>
      <c r="E2298" t="s">
        <v>115</v>
      </c>
      <c r="F2298" t="s">
        <v>4654</v>
      </c>
      <c r="G2298" t="s">
        <v>22</v>
      </c>
      <c r="H2298" t="s">
        <v>4655</v>
      </c>
      <c r="I2298" t="s">
        <v>4656</v>
      </c>
      <c r="J2298" s="4">
        <v>46068.866763958336</v>
      </c>
    </row>
    <row r="2299" spans="1:10" x14ac:dyDescent="0.55000000000000004">
      <c r="A2299" t="s">
        <v>4657</v>
      </c>
      <c r="B2299">
        <v>100714</v>
      </c>
      <c r="C2299" t="s">
        <v>19</v>
      </c>
      <c r="D2299" s="3">
        <v>45995</v>
      </c>
      <c r="E2299" t="s">
        <v>317</v>
      </c>
      <c r="F2299" t="s">
        <v>4658</v>
      </c>
      <c r="G2299" t="s">
        <v>15</v>
      </c>
      <c r="H2299" t="s">
        <v>4659</v>
      </c>
      <c r="I2299" t="s">
        <v>4660</v>
      </c>
      <c r="J2299" s="4">
        <v>46057.288291736113</v>
      </c>
    </row>
    <row r="2300" spans="1:10" x14ac:dyDescent="0.55000000000000004">
      <c r="A2300" t="s">
        <v>4657</v>
      </c>
      <c r="B2300">
        <v>100714</v>
      </c>
      <c r="C2300" t="s">
        <v>19</v>
      </c>
      <c r="D2300" s="3">
        <v>45995</v>
      </c>
      <c r="E2300" t="s">
        <v>115</v>
      </c>
      <c r="F2300" t="s">
        <v>4658</v>
      </c>
      <c r="G2300" t="s">
        <v>15</v>
      </c>
      <c r="H2300" t="s">
        <v>4659</v>
      </c>
      <c r="I2300" t="s">
        <v>4660</v>
      </c>
      <c r="J2300" s="4">
        <v>46057.288291736113</v>
      </c>
    </row>
    <row r="2301" spans="1:10" x14ac:dyDescent="0.55000000000000004">
      <c r="A2301" t="s">
        <v>4661</v>
      </c>
      <c r="B2301">
        <v>100271</v>
      </c>
      <c r="C2301" t="s">
        <v>37</v>
      </c>
      <c r="D2301" s="3">
        <v>46056</v>
      </c>
      <c r="E2301" t="s">
        <v>20</v>
      </c>
      <c r="F2301" t="s">
        <v>4662</v>
      </c>
      <c r="G2301" t="s">
        <v>22</v>
      </c>
      <c r="H2301" t="s">
        <v>4663</v>
      </c>
      <c r="I2301" t="s">
        <v>4664</v>
      </c>
      <c r="J2301" s="4">
        <v>46082.883430636575</v>
      </c>
    </row>
    <row r="2302" spans="1:10" x14ac:dyDescent="0.55000000000000004">
      <c r="A2302" t="s">
        <v>4661</v>
      </c>
      <c r="B2302">
        <v>100271</v>
      </c>
      <c r="C2302" t="s">
        <v>37</v>
      </c>
      <c r="D2302" s="3">
        <v>46056</v>
      </c>
      <c r="E2302" t="s">
        <v>155</v>
      </c>
      <c r="F2302" t="s">
        <v>4662</v>
      </c>
      <c r="G2302" t="s">
        <v>22</v>
      </c>
      <c r="H2302" t="s">
        <v>4663</v>
      </c>
      <c r="I2302" t="s">
        <v>4664</v>
      </c>
      <c r="J2302" s="4">
        <v>46082.883430636575</v>
      </c>
    </row>
    <row r="2303" spans="1:10" x14ac:dyDescent="0.55000000000000004">
      <c r="A2303" t="s">
        <v>4665</v>
      </c>
      <c r="B2303">
        <v>101170</v>
      </c>
      <c r="C2303" t="s">
        <v>19</v>
      </c>
      <c r="D2303" s="3">
        <v>45936</v>
      </c>
      <c r="E2303" t="s">
        <v>38</v>
      </c>
      <c r="F2303" t="s">
        <v>4666</v>
      </c>
      <c r="G2303" t="s">
        <v>22</v>
      </c>
      <c r="H2303" t="s">
        <v>4667</v>
      </c>
      <c r="I2303" t="s">
        <v>4668</v>
      </c>
      <c r="J2303" s="4">
        <v>46066.809819525464</v>
      </c>
    </row>
    <row r="2304" spans="1:10" x14ac:dyDescent="0.55000000000000004">
      <c r="A2304" t="s">
        <v>4665</v>
      </c>
      <c r="B2304">
        <v>101170</v>
      </c>
      <c r="C2304" t="s">
        <v>19</v>
      </c>
      <c r="D2304" s="3">
        <v>45936</v>
      </c>
      <c r="E2304" t="s">
        <v>20</v>
      </c>
      <c r="F2304" t="s">
        <v>4666</v>
      </c>
      <c r="G2304" t="s">
        <v>22</v>
      </c>
      <c r="H2304" t="s">
        <v>4667</v>
      </c>
      <c r="I2304" t="s">
        <v>4668</v>
      </c>
      <c r="J2304" s="4">
        <v>46066.809819525464</v>
      </c>
    </row>
    <row r="2305" spans="1:10" x14ac:dyDescent="0.55000000000000004">
      <c r="A2305" t="s">
        <v>4665</v>
      </c>
      <c r="B2305">
        <v>101170</v>
      </c>
      <c r="C2305" t="s">
        <v>19</v>
      </c>
      <c r="D2305" s="3">
        <v>45936</v>
      </c>
      <c r="E2305" t="s">
        <v>155</v>
      </c>
      <c r="F2305" t="s">
        <v>4666</v>
      </c>
      <c r="G2305" t="s">
        <v>22</v>
      </c>
      <c r="H2305" t="s">
        <v>4667</v>
      </c>
      <c r="I2305" t="s">
        <v>4668</v>
      </c>
      <c r="J2305" s="4">
        <v>46066.809819525464</v>
      </c>
    </row>
    <row r="2306" spans="1:10" x14ac:dyDescent="0.55000000000000004">
      <c r="A2306" t="s">
        <v>4669</v>
      </c>
      <c r="B2306">
        <v>101036</v>
      </c>
      <c r="C2306" t="s">
        <v>533</v>
      </c>
      <c r="D2306" s="3">
        <v>46107</v>
      </c>
      <c r="E2306" t="s">
        <v>38</v>
      </c>
      <c r="F2306" t="s">
        <v>4670</v>
      </c>
      <c r="G2306" t="s">
        <v>15</v>
      </c>
      <c r="H2306" t="s">
        <v>4671</v>
      </c>
      <c r="I2306" t="s">
        <v>4672</v>
      </c>
      <c r="J2306" s="4">
        <v>46052.542458414355</v>
      </c>
    </row>
    <row r="2307" spans="1:10" x14ac:dyDescent="0.55000000000000004">
      <c r="A2307" t="s">
        <v>4669</v>
      </c>
      <c r="B2307">
        <v>101036</v>
      </c>
      <c r="C2307" t="s">
        <v>533</v>
      </c>
      <c r="D2307" s="3">
        <v>46107</v>
      </c>
      <c r="E2307" t="s">
        <v>20</v>
      </c>
      <c r="F2307" t="s">
        <v>4670</v>
      </c>
      <c r="G2307" t="s">
        <v>15</v>
      </c>
      <c r="H2307" t="s">
        <v>4671</v>
      </c>
      <c r="I2307" t="s">
        <v>4672</v>
      </c>
      <c r="J2307" s="4">
        <v>46052.542458414355</v>
      </c>
    </row>
    <row r="2308" spans="1:10" x14ac:dyDescent="0.55000000000000004">
      <c r="A2308" t="s">
        <v>4673</v>
      </c>
      <c r="B2308">
        <v>100436</v>
      </c>
      <c r="C2308" t="s">
        <v>19</v>
      </c>
      <c r="D2308" s="3">
        <v>46024</v>
      </c>
      <c r="E2308" t="s">
        <v>38</v>
      </c>
      <c r="F2308" t="s">
        <v>4674</v>
      </c>
      <c r="G2308" t="s">
        <v>22</v>
      </c>
      <c r="H2308" t="s">
        <v>4675</v>
      </c>
      <c r="I2308" t="s">
        <v>4676</v>
      </c>
      <c r="J2308" s="4">
        <v>46092.317458425925</v>
      </c>
    </row>
    <row r="2309" spans="1:10" x14ac:dyDescent="0.55000000000000004">
      <c r="A2309" t="s">
        <v>4673</v>
      </c>
      <c r="B2309">
        <v>100436</v>
      </c>
      <c r="C2309" t="s">
        <v>19</v>
      </c>
      <c r="D2309" s="3">
        <v>46024</v>
      </c>
      <c r="E2309" t="s">
        <v>155</v>
      </c>
      <c r="F2309" t="s">
        <v>4674</v>
      </c>
      <c r="G2309" t="s">
        <v>22</v>
      </c>
      <c r="H2309" t="s">
        <v>4675</v>
      </c>
      <c r="I2309" t="s">
        <v>4676</v>
      </c>
      <c r="J2309" s="4">
        <v>46092.317458425925</v>
      </c>
    </row>
    <row r="2310" spans="1:10" x14ac:dyDescent="0.55000000000000004">
      <c r="A2310" t="s">
        <v>4673</v>
      </c>
      <c r="B2310">
        <v>100436</v>
      </c>
      <c r="C2310" t="s">
        <v>19</v>
      </c>
      <c r="D2310" s="3">
        <v>46024</v>
      </c>
      <c r="E2310" t="s">
        <v>115</v>
      </c>
      <c r="F2310" t="s">
        <v>4674</v>
      </c>
      <c r="G2310" t="s">
        <v>22</v>
      </c>
      <c r="H2310" t="s">
        <v>4675</v>
      </c>
      <c r="I2310" t="s">
        <v>4676</v>
      </c>
      <c r="J2310" s="4">
        <v>46092.317458425925</v>
      </c>
    </row>
    <row r="2311" spans="1:10" x14ac:dyDescent="0.55000000000000004">
      <c r="A2311" t="s">
        <v>4677</v>
      </c>
      <c r="B2311">
        <v>101101</v>
      </c>
      <c r="C2311" t="s">
        <v>19</v>
      </c>
      <c r="D2311" s="3">
        <v>45971</v>
      </c>
      <c r="E2311" t="s">
        <v>69</v>
      </c>
      <c r="F2311" t="s">
        <v>4678</v>
      </c>
      <c r="G2311" t="s">
        <v>15</v>
      </c>
      <c r="H2311" t="s">
        <v>4679</v>
      </c>
      <c r="I2311" t="s">
        <v>4680</v>
      </c>
      <c r="J2311" s="4">
        <v>46066.803569537034</v>
      </c>
    </row>
    <row r="2312" spans="1:10" x14ac:dyDescent="0.55000000000000004">
      <c r="A2312" t="s">
        <v>4681</v>
      </c>
      <c r="B2312">
        <v>100150</v>
      </c>
      <c r="C2312" t="s">
        <v>19</v>
      </c>
      <c r="D2312" s="3">
        <v>45855</v>
      </c>
      <c r="E2312" t="s">
        <v>115</v>
      </c>
      <c r="F2312" t="s">
        <v>4682</v>
      </c>
      <c r="G2312" t="s">
        <v>15</v>
      </c>
      <c r="H2312" t="s">
        <v>4683</v>
      </c>
      <c r="I2312" t="s">
        <v>4684</v>
      </c>
      <c r="J2312" s="4">
        <v>46054.750791770835</v>
      </c>
    </row>
    <row r="2313" spans="1:10" x14ac:dyDescent="0.55000000000000004">
      <c r="A2313" t="s">
        <v>4685</v>
      </c>
      <c r="B2313">
        <v>100204</v>
      </c>
      <c r="C2313" t="s">
        <v>37</v>
      </c>
      <c r="D2313" s="3">
        <v>45786</v>
      </c>
      <c r="E2313" t="s">
        <v>317</v>
      </c>
      <c r="F2313" t="s">
        <v>4686</v>
      </c>
      <c r="G2313" t="s">
        <v>15</v>
      </c>
      <c r="H2313" t="s">
        <v>4687</v>
      </c>
      <c r="I2313" t="s">
        <v>4688</v>
      </c>
      <c r="J2313" s="4">
        <v>46077.200791770832</v>
      </c>
    </row>
    <row r="2314" spans="1:10" x14ac:dyDescent="0.55000000000000004">
      <c r="A2314" t="s">
        <v>4685</v>
      </c>
      <c r="B2314">
        <v>100204</v>
      </c>
      <c r="C2314" t="s">
        <v>37</v>
      </c>
      <c r="D2314" s="3">
        <v>45786</v>
      </c>
      <c r="E2314" t="s">
        <v>155</v>
      </c>
      <c r="F2314" t="s">
        <v>4686</v>
      </c>
      <c r="G2314" t="s">
        <v>15</v>
      </c>
      <c r="H2314" t="s">
        <v>4687</v>
      </c>
      <c r="I2314" t="s">
        <v>4688</v>
      </c>
      <c r="J2314" s="4">
        <v>46077.200791770832</v>
      </c>
    </row>
    <row r="2315" spans="1:10" x14ac:dyDescent="0.55000000000000004">
      <c r="A2315" t="s">
        <v>4689</v>
      </c>
      <c r="B2315">
        <v>101153</v>
      </c>
      <c r="C2315" t="s">
        <v>248</v>
      </c>
      <c r="D2315" s="3">
        <v>45844</v>
      </c>
      <c r="E2315" t="s">
        <v>20</v>
      </c>
      <c r="F2315" t="s">
        <v>4690</v>
      </c>
      <c r="G2315" t="s">
        <v>15</v>
      </c>
      <c r="H2315" t="s">
        <v>4691</v>
      </c>
      <c r="I2315" t="s">
        <v>4692</v>
      </c>
      <c r="J2315" s="4">
        <v>46062.845236215275</v>
      </c>
    </row>
    <row r="2316" spans="1:10" x14ac:dyDescent="0.55000000000000004">
      <c r="A2316" t="s">
        <v>4689</v>
      </c>
      <c r="B2316">
        <v>101153</v>
      </c>
      <c r="C2316" t="s">
        <v>248</v>
      </c>
      <c r="D2316" s="3">
        <v>45844</v>
      </c>
      <c r="E2316" t="s">
        <v>155</v>
      </c>
      <c r="F2316" t="s">
        <v>4690</v>
      </c>
      <c r="G2316" t="s">
        <v>15</v>
      </c>
      <c r="H2316" t="s">
        <v>4691</v>
      </c>
      <c r="I2316" t="s">
        <v>4692</v>
      </c>
      <c r="J2316" s="4">
        <v>46062.845236215275</v>
      </c>
    </row>
    <row r="2317" spans="1:10" x14ac:dyDescent="0.55000000000000004">
      <c r="A2317" t="s">
        <v>4689</v>
      </c>
      <c r="B2317">
        <v>101153</v>
      </c>
      <c r="C2317" t="s">
        <v>248</v>
      </c>
      <c r="D2317" s="3">
        <v>45844</v>
      </c>
      <c r="E2317" t="s">
        <v>69</v>
      </c>
      <c r="F2317" t="s">
        <v>4690</v>
      </c>
      <c r="G2317" t="s">
        <v>15</v>
      </c>
      <c r="H2317" t="s">
        <v>4691</v>
      </c>
      <c r="I2317" t="s">
        <v>4692</v>
      </c>
      <c r="J2317" s="4">
        <v>46062.845236215275</v>
      </c>
    </row>
    <row r="2318" spans="1:10" x14ac:dyDescent="0.55000000000000004">
      <c r="A2318" t="s">
        <v>4693</v>
      </c>
      <c r="B2318">
        <v>100938</v>
      </c>
      <c r="C2318" t="s">
        <v>19</v>
      </c>
      <c r="D2318" s="3">
        <v>45778</v>
      </c>
      <c r="E2318" t="s">
        <v>20</v>
      </c>
      <c r="F2318" t="s">
        <v>4694</v>
      </c>
      <c r="G2318" t="s">
        <v>22</v>
      </c>
      <c r="H2318" t="s">
        <v>4695</v>
      </c>
      <c r="I2318" t="s">
        <v>4696</v>
      </c>
      <c r="J2318" s="4">
        <v>46073.203569560188</v>
      </c>
    </row>
    <row r="2319" spans="1:10" x14ac:dyDescent="0.55000000000000004">
      <c r="A2319" t="s">
        <v>4693</v>
      </c>
      <c r="B2319">
        <v>100938</v>
      </c>
      <c r="C2319" t="s">
        <v>19</v>
      </c>
      <c r="D2319" s="3">
        <v>45778</v>
      </c>
      <c r="E2319" t="s">
        <v>155</v>
      </c>
      <c r="F2319" t="s">
        <v>4694</v>
      </c>
      <c r="G2319" t="s">
        <v>22</v>
      </c>
      <c r="H2319" t="s">
        <v>4695</v>
      </c>
      <c r="I2319" t="s">
        <v>4696</v>
      </c>
      <c r="J2319" s="4">
        <v>46073.203569560188</v>
      </c>
    </row>
    <row r="2320" spans="1:10" x14ac:dyDescent="0.55000000000000004">
      <c r="A2320" t="s">
        <v>4693</v>
      </c>
      <c r="B2320">
        <v>100938</v>
      </c>
      <c r="C2320" t="s">
        <v>19</v>
      </c>
      <c r="D2320" s="3">
        <v>45778</v>
      </c>
      <c r="E2320" t="s">
        <v>115</v>
      </c>
      <c r="F2320" t="s">
        <v>4694</v>
      </c>
      <c r="G2320" t="s">
        <v>22</v>
      </c>
      <c r="H2320" t="s">
        <v>4695</v>
      </c>
      <c r="I2320" t="s">
        <v>4696</v>
      </c>
      <c r="J2320" s="4">
        <v>46073.203569560188</v>
      </c>
    </row>
    <row r="2321" spans="1:11" x14ac:dyDescent="0.55000000000000004">
      <c r="A2321" t="s">
        <v>4697</v>
      </c>
      <c r="B2321">
        <v>100019</v>
      </c>
      <c r="C2321" t="s">
        <v>19</v>
      </c>
      <c r="D2321" s="3">
        <v>45955</v>
      </c>
      <c r="E2321" t="s">
        <v>115</v>
      </c>
      <c r="F2321" t="s">
        <v>4698</v>
      </c>
      <c r="G2321" t="s">
        <v>22</v>
      </c>
      <c r="H2321" t="s">
        <v>4699</v>
      </c>
      <c r="I2321" t="s">
        <v>4700</v>
      </c>
      <c r="J2321" s="4">
        <v>46090.332736226854</v>
      </c>
    </row>
    <row r="2322" spans="1:11" x14ac:dyDescent="0.55000000000000004">
      <c r="A2322" t="s">
        <v>4701</v>
      </c>
      <c r="C2322" t="s">
        <v>37</v>
      </c>
      <c r="D2322" s="3">
        <v>45789</v>
      </c>
      <c r="E2322" t="s">
        <v>20</v>
      </c>
      <c r="F2322" t="s">
        <v>4702</v>
      </c>
      <c r="G2322" t="s">
        <v>15</v>
      </c>
      <c r="H2322" t="s">
        <v>4703</v>
      </c>
      <c r="I2322" t="s">
        <v>4704</v>
      </c>
      <c r="J2322" s="4">
        <v>46089.931347337966</v>
      </c>
      <c r="K2322" t="s">
        <v>112</v>
      </c>
    </row>
    <row r="2323" spans="1:11" x14ac:dyDescent="0.55000000000000004">
      <c r="A2323" t="s">
        <v>4705</v>
      </c>
      <c r="B2323">
        <v>101175</v>
      </c>
      <c r="C2323" t="s">
        <v>68</v>
      </c>
      <c r="D2323" s="3">
        <v>45797</v>
      </c>
      <c r="E2323" t="s">
        <v>38</v>
      </c>
      <c r="F2323" t="s">
        <v>4706</v>
      </c>
      <c r="G2323" t="s">
        <v>15</v>
      </c>
      <c r="H2323" t="s">
        <v>4707</v>
      </c>
      <c r="I2323" t="s">
        <v>4708</v>
      </c>
      <c r="J2323" s="4">
        <v>46078.658430682874</v>
      </c>
    </row>
    <row r="2324" spans="1:11" x14ac:dyDescent="0.55000000000000004">
      <c r="A2324" t="s">
        <v>4705</v>
      </c>
      <c r="B2324">
        <v>101175</v>
      </c>
      <c r="C2324" t="s">
        <v>68</v>
      </c>
      <c r="D2324" s="3">
        <v>45797</v>
      </c>
      <c r="E2324" t="s">
        <v>69</v>
      </c>
      <c r="F2324" t="s">
        <v>4706</v>
      </c>
      <c r="G2324" t="s">
        <v>15</v>
      </c>
      <c r="H2324" t="s">
        <v>4707</v>
      </c>
      <c r="I2324" t="s">
        <v>4708</v>
      </c>
      <c r="J2324" s="4">
        <v>46078.658430682874</v>
      </c>
    </row>
    <row r="2325" spans="1:11" x14ac:dyDescent="0.55000000000000004">
      <c r="A2325" t="s">
        <v>4709</v>
      </c>
      <c r="B2325">
        <v>100936</v>
      </c>
      <c r="C2325" t="s">
        <v>19</v>
      </c>
      <c r="D2325" s="3">
        <v>46006</v>
      </c>
      <c r="E2325" t="s">
        <v>69</v>
      </c>
      <c r="F2325" t="s">
        <v>1259</v>
      </c>
      <c r="G2325" t="s">
        <v>22</v>
      </c>
      <c r="H2325" t="s">
        <v>4710</v>
      </c>
      <c r="I2325" t="s">
        <v>4711</v>
      </c>
      <c r="J2325" s="4">
        <v>46077.227180682872</v>
      </c>
    </row>
    <row r="2326" spans="1:11" x14ac:dyDescent="0.55000000000000004">
      <c r="A2326" t="s">
        <v>2817</v>
      </c>
      <c r="B2326">
        <v>100614</v>
      </c>
      <c r="C2326" t="s">
        <v>533</v>
      </c>
      <c r="D2326" s="3">
        <v>45998</v>
      </c>
      <c r="E2326" t="s">
        <v>317</v>
      </c>
      <c r="F2326" t="s">
        <v>4712</v>
      </c>
      <c r="G2326" t="s">
        <v>15</v>
      </c>
      <c r="H2326" t="s">
        <v>4713</v>
      </c>
      <c r="I2326" t="s">
        <v>4714</v>
      </c>
      <c r="J2326" s="4">
        <v>46072.733430694447</v>
      </c>
    </row>
    <row r="2327" spans="1:11" x14ac:dyDescent="0.55000000000000004">
      <c r="A2327" t="s">
        <v>2817</v>
      </c>
      <c r="B2327">
        <v>100614</v>
      </c>
      <c r="C2327" t="s">
        <v>533</v>
      </c>
      <c r="D2327" s="3">
        <v>45998</v>
      </c>
      <c r="E2327" t="s">
        <v>38</v>
      </c>
      <c r="F2327" t="s">
        <v>4712</v>
      </c>
      <c r="G2327" t="s">
        <v>15</v>
      </c>
      <c r="H2327" t="s">
        <v>4713</v>
      </c>
      <c r="I2327" t="s">
        <v>4714</v>
      </c>
      <c r="J2327" s="4">
        <v>46072.733430694447</v>
      </c>
    </row>
    <row r="2328" spans="1:11" x14ac:dyDescent="0.55000000000000004">
      <c r="A2328" t="s">
        <v>2817</v>
      </c>
      <c r="B2328">
        <v>100614</v>
      </c>
      <c r="C2328" t="s">
        <v>533</v>
      </c>
      <c r="D2328" s="3">
        <v>45998</v>
      </c>
      <c r="E2328" t="s">
        <v>115</v>
      </c>
      <c r="F2328" t="s">
        <v>4712</v>
      </c>
      <c r="G2328" t="s">
        <v>15</v>
      </c>
      <c r="H2328" t="s">
        <v>4713</v>
      </c>
      <c r="I2328" t="s">
        <v>4714</v>
      </c>
      <c r="J2328" s="4">
        <v>46072.733430694447</v>
      </c>
    </row>
    <row r="2329" spans="1:11" x14ac:dyDescent="0.55000000000000004">
      <c r="A2329" t="s">
        <v>6039</v>
      </c>
      <c r="B2329">
        <v>100268</v>
      </c>
      <c r="C2329" t="s">
        <v>19</v>
      </c>
      <c r="D2329" s="3">
        <v>45967</v>
      </c>
      <c r="E2329" t="s">
        <v>20</v>
      </c>
      <c r="F2329" t="s">
        <v>4716</v>
      </c>
      <c r="G2329" t="s">
        <v>15</v>
      </c>
      <c r="H2329" t="s">
        <v>4717</v>
      </c>
      <c r="I2329" t="s">
        <v>4718</v>
      </c>
      <c r="J2329" s="4">
        <v>46065.779264027777</v>
      </c>
      <c r="K2329" t="s">
        <v>119</v>
      </c>
    </row>
    <row r="2330" spans="1:11" x14ac:dyDescent="0.55000000000000004">
      <c r="A2330" t="s">
        <v>6039</v>
      </c>
      <c r="B2330">
        <v>100268</v>
      </c>
      <c r="C2330" t="s">
        <v>19</v>
      </c>
      <c r="D2330" s="3">
        <v>45967</v>
      </c>
      <c r="E2330" t="s">
        <v>115</v>
      </c>
      <c r="F2330" t="s">
        <v>4716</v>
      </c>
      <c r="G2330" t="s">
        <v>15</v>
      </c>
      <c r="H2330" t="s">
        <v>4717</v>
      </c>
      <c r="I2330" t="s">
        <v>4718</v>
      </c>
      <c r="J2330" s="4">
        <v>46065.779264027777</v>
      </c>
      <c r="K2330" t="s">
        <v>119</v>
      </c>
    </row>
    <row r="2331" spans="1:11" x14ac:dyDescent="0.55000000000000004">
      <c r="A2331" t="s">
        <v>4719</v>
      </c>
      <c r="B2331">
        <v>101388</v>
      </c>
      <c r="C2331" t="s">
        <v>179</v>
      </c>
      <c r="D2331" s="3">
        <v>45807</v>
      </c>
      <c r="E2331" t="s">
        <v>20</v>
      </c>
      <c r="F2331" t="s">
        <v>4720</v>
      </c>
      <c r="G2331" t="s">
        <v>22</v>
      </c>
      <c r="H2331" t="s">
        <v>4721</v>
      </c>
      <c r="I2331" t="s">
        <v>4722</v>
      </c>
      <c r="J2331" s="4">
        <v>46078.032041817132</v>
      </c>
    </row>
    <row r="2332" spans="1:11" x14ac:dyDescent="0.55000000000000004">
      <c r="A2332" t="s">
        <v>4719</v>
      </c>
      <c r="B2332">
        <v>101388</v>
      </c>
      <c r="C2332" t="s">
        <v>179</v>
      </c>
      <c r="D2332" s="3">
        <v>45807</v>
      </c>
      <c r="E2332" t="s">
        <v>155</v>
      </c>
      <c r="F2332" t="s">
        <v>4720</v>
      </c>
      <c r="G2332" t="s">
        <v>22</v>
      </c>
      <c r="H2332" t="s">
        <v>4721</v>
      </c>
      <c r="I2332" t="s">
        <v>4722</v>
      </c>
      <c r="J2332" s="4">
        <v>46078.032041817132</v>
      </c>
    </row>
    <row r="2333" spans="1:11" x14ac:dyDescent="0.55000000000000004">
      <c r="A2333" t="s">
        <v>4719</v>
      </c>
      <c r="B2333">
        <v>101388</v>
      </c>
      <c r="C2333" t="s">
        <v>179</v>
      </c>
      <c r="D2333" s="3">
        <v>45807</v>
      </c>
      <c r="E2333" t="s">
        <v>115</v>
      </c>
      <c r="F2333" t="s">
        <v>4720</v>
      </c>
      <c r="G2333" t="s">
        <v>22</v>
      </c>
      <c r="H2333" t="s">
        <v>4721</v>
      </c>
      <c r="I2333" t="s">
        <v>4722</v>
      </c>
      <c r="J2333" s="4">
        <v>46078.032041817132</v>
      </c>
    </row>
    <row r="2334" spans="1:11" x14ac:dyDescent="0.55000000000000004">
      <c r="A2334" t="s">
        <v>3141</v>
      </c>
      <c r="B2334">
        <v>101213</v>
      </c>
      <c r="C2334" t="s">
        <v>533</v>
      </c>
      <c r="D2334" s="3">
        <v>45872</v>
      </c>
      <c r="E2334" t="s">
        <v>38</v>
      </c>
      <c r="F2334" t="s">
        <v>4723</v>
      </c>
      <c r="G2334" t="s">
        <v>22</v>
      </c>
      <c r="H2334" t="s">
        <v>4724</v>
      </c>
      <c r="I2334" t="s">
        <v>4725</v>
      </c>
      <c r="J2334" s="4">
        <v>46079.210514050923</v>
      </c>
    </row>
    <row r="2335" spans="1:11" x14ac:dyDescent="0.55000000000000004">
      <c r="A2335" t="s">
        <v>3141</v>
      </c>
      <c r="B2335">
        <v>101213</v>
      </c>
      <c r="C2335" t="s">
        <v>533</v>
      </c>
      <c r="D2335" s="3">
        <v>45872</v>
      </c>
      <c r="E2335" t="s">
        <v>115</v>
      </c>
      <c r="F2335" t="s">
        <v>4723</v>
      </c>
      <c r="G2335" t="s">
        <v>22</v>
      </c>
      <c r="H2335" t="s">
        <v>4724</v>
      </c>
      <c r="I2335" t="s">
        <v>4725</v>
      </c>
      <c r="J2335" s="4">
        <v>46079.210514050923</v>
      </c>
    </row>
    <row r="2336" spans="1:11" x14ac:dyDescent="0.55000000000000004">
      <c r="A2336" t="s">
        <v>3141</v>
      </c>
      <c r="B2336">
        <v>101213</v>
      </c>
      <c r="C2336" t="s">
        <v>533</v>
      </c>
      <c r="D2336" s="3">
        <v>45872</v>
      </c>
      <c r="E2336" t="s">
        <v>69</v>
      </c>
      <c r="F2336" t="s">
        <v>4723</v>
      </c>
      <c r="G2336" t="s">
        <v>22</v>
      </c>
      <c r="H2336" t="s">
        <v>4724</v>
      </c>
      <c r="I2336" t="s">
        <v>4725</v>
      </c>
      <c r="J2336" s="4">
        <v>46079.210514050923</v>
      </c>
    </row>
    <row r="2337" spans="1:11" x14ac:dyDescent="0.55000000000000004">
      <c r="A2337" t="s">
        <v>4726</v>
      </c>
      <c r="B2337">
        <v>100488</v>
      </c>
      <c r="C2337" t="s">
        <v>37</v>
      </c>
      <c r="D2337" s="3">
        <v>46146</v>
      </c>
      <c r="E2337" t="s">
        <v>317</v>
      </c>
      <c r="F2337" t="s">
        <v>4727</v>
      </c>
      <c r="G2337" t="s">
        <v>15</v>
      </c>
      <c r="H2337" t="s">
        <v>4728</v>
      </c>
      <c r="I2337" t="s">
        <v>4729</v>
      </c>
      <c r="J2337" s="4">
        <v>46053.671625162038</v>
      </c>
    </row>
    <row r="2338" spans="1:11" x14ac:dyDescent="0.55000000000000004">
      <c r="A2338" t="s">
        <v>4726</v>
      </c>
      <c r="B2338">
        <v>100488</v>
      </c>
      <c r="C2338" t="s">
        <v>37</v>
      </c>
      <c r="D2338" s="3">
        <v>46146</v>
      </c>
      <c r="E2338" t="s">
        <v>115</v>
      </c>
      <c r="F2338" t="s">
        <v>4727</v>
      </c>
      <c r="G2338" t="s">
        <v>15</v>
      </c>
      <c r="H2338" t="s">
        <v>4728</v>
      </c>
      <c r="I2338" t="s">
        <v>4729</v>
      </c>
      <c r="J2338" s="4">
        <v>46053.671625162038</v>
      </c>
    </row>
    <row r="2339" spans="1:11" x14ac:dyDescent="0.55000000000000004">
      <c r="A2339" t="s">
        <v>4730</v>
      </c>
      <c r="B2339">
        <v>100643</v>
      </c>
      <c r="C2339" t="s">
        <v>533</v>
      </c>
      <c r="D2339" s="3">
        <v>45981</v>
      </c>
      <c r="E2339" t="s">
        <v>20</v>
      </c>
      <c r="F2339" t="s">
        <v>4731</v>
      </c>
      <c r="G2339" t="s">
        <v>15</v>
      </c>
      <c r="H2339" t="s">
        <v>4732</v>
      </c>
      <c r="I2339" t="s">
        <v>4733</v>
      </c>
      <c r="J2339" s="4">
        <v>46062.188291840277</v>
      </c>
    </row>
    <row r="2340" spans="1:11" x14ac:dyDescent="0.55000000000000004">
      <c r="A2340" t="s">
        <v>4730</v>
      </c>
      <c r="B2340">
        <v>100643</v>
      </c>
      <c r="C2340" t="s">
        <v>533</v>
      </c>
      <c r="D2340" s="3">
        <v>45981</v>
      </c>
      <c r="E2340" t="s">
        <v>115</v>
      </c>
      <c r="F2340" t="s">
        <v>4731</v>
      </c>
      <c r="G2340" t="s">
        <v>15</v>
      </c>
      <c r="H2340" t="s">
        <v>4732</v>
      </c>
      <c r="I2340" t="s">
        <v>4733</v>
      </c>
      <c r="J2340" s="4">
        <v>46062.188291840277</v>
      </c>
    </row>
    <row r="2341" spans="1:11" x14ac:dyDescent="0.55000000000000004">
      <c r="A2341" t="s">
        <v>4730</v>
      </c>
      <c r="B2341">
        <v>100643</v>
      </c>
      <c r="C2341" t="s">
        <v>533</v>
      </c>
      <c r="D2341" s="3">
        <v>45981</v>
      </c>
      <c r="E2341" t="s">
        <v>69</v>
      </c>
      <c r="F2341" t="s">
        <v>4731</v>
      </c>
      <c r="G2341" t="s">
        <v>15</v>
      </c>
      <c r="H2341" t="s">
        <v>4732</v>
      </c>
      <c r="I2341" t="s">
        <v>4733</v>
      </c>
      <c r="J2341" s="4">
        <v>46062.188291840277</v>
      </c>
    </row>
    <row r="2342" spans="1:11" x14ac:dyDescent="0.55000000000000004">
      <c r="A2342" t="s">
        <v>2137</v>
      </c>
      <c r="B2342">
        <v>100418</v>
      </c>
      <c r="C2342" t="s">
        <v>68</v>
      </c>
      <c r="D2342" s="3">
        <v>45948</v>
      </c>
      <c r="E2342" t="s">
        <v>317</v>
      </c>
      <c r="F2342" t="s">
        <v>4734</v>
      </c>
      <c r="G2342" t="s">
        <v>22</v>
      </c>
      <c r="H2342" t="s">
        <v>4735</v>
      </c>
      <c r="I2342" t="s">
        <v>4736</v>
      </c>
      <c r="J2342" s="4">
        <v>46092.995236296294</v>
      </c>
    </row>
    <row r="2343" spans="1:11" x14ac:dyDescent="0.55000000000000004">
      <c r="A2343" t="s">
        <v>2137</v>
      </c>
      <c r="B2343">
        <v>100418</v>
      </c>
      <c r="C2343" t="s">
        <v>68</v>
      </c>
      <c r="D2343" s="3">
        <v>45948</v>
      </c>
      <c r="E2343" t="s">
        <v>20</v>
      </c>
      <c r="F2343" t="s">
        <v>4734</v>
      </c>
      <c r="G2343" t="s">
        <v>22</v>
      </c>
      <c r="H2343" t="s">
        <v>4735</v>
      </c>
      <c r="I2343" t="s">
        <v>4736</v>
      </c>
      <c r="J2343" s="4">
        <v>46092.995236296294</v>
      </c>
    </row>
    <row r="2344" spans="1:11" x14ac:dyDescent="0.55000000000000004">
      <c r="A2344" t="s">
        <v>2137</v>
      </c>
      <c r="B2344">
        <v>100418</v>
      </c>
      <c r="C2344" t="s">
        <v>68</v>
      </c>
      <c r="D2344" s="3">
        <v>45948</v>
      </c>
      <c r="E2344" t="s">
        <v>69</v>
      </c>
      <c r="F2344" t="s">
        <v>4734</v>
      </c>
      <c r="G2344" t="s">
        <v>22</v>
      </c>
      <c r="H2344" t="s">
        <v>4735</v>
      </c>
      <c r="I2344" t="s">
        <v>4736</v>
      </c>
      <c r="J2344" s="4">
        <v>46092.995236296294</v>
      </c>
    </row>
    <row r="2345" spans="1:11" x14ac:dyDescent="0.55000000000000004">
      <c r="A2345" t="s">
        <v>6040</v>
      </c>
      <c r="B2345">
        <v>100534</v>
      </c>
      <c r="C2345" t="s">
        <v>68</v>
      </c>
      <c r="D2345" s="3">
        <v>45876</v>
      </c>
      <c r="E2345" t="s">
        <v>38</v>
      </c>
      <c r="F2345" t="s">
        <v>4738</v>
      </c>
      <c r="G2345" t="s">
        <v>15</v>
      </c>
      <c r="H2345" t="s">
        <v>4739</v>
      </c>
      <c r="I2345" t="s">
        <v>4740</v>
      </c>
      <c r="J2345" s="4">
        <v>46089.286208530095</v>
      </c>
      <c r="K2345" t="s">
        <v>119</v>
      </c>
    </row>
    <row r="2346" spans="1:11" x14ac:dyDescent="0.55000000000000004">
      <c r="A2346" t="s">
        <v>6040</v>
      </c>
      <c r="B2346">
        <v>100534</v>
      </c>
      <c r="C2346" t="s">
        <v>68</v>
      </c>
      <c r="D2346" s="3">
        <v>45876</v>
      </c>
      <c r="E2346" t="s">
        <v>115</v>
      </c>
      <c r="F2346" t="s">
        <v>4738</v>
      </c>
      <c r="G2346" t="s">
        <v>15</v>
      </c>
      <c r="H2346" t="s">
        <v>4739</v>
      </c>
      <c r="I2346" t="s">
        <v>4740</v>
      </c>
      <c r="J2346" s="4">
        <v>46089.286208530095</v>
      </c>
      <c r="K2346" t="s">
        <v>119</v>
      </c>
    </row>
    <row r="2347" spans="1:11" x14ac:dyDescent="0.55000000000000004">
      <c r="A2347" t="s">
        <v>6040</v>
      </c>
      <c r="B2347">
        <v>100534</v>
      </c>
      <c r="C2347" t="s">
        <v>68</v>
      </c>
      <c r="D2347" s="3">
        <v>45876</v>
      </c>
      <c r="E2347" t="s">
        <v>69</v>
      </c>
      <c r="F2347" t="s">
        <v>4738</v>
      </c>
      <c r="G2347" t="s">
        <v>15</v>
      </c>
      <c r="H2347" t="s">
        <v>4739</v>
      </c>
      <c r="I2347" t="s">
        <v>4740</v>
      </c>
      <c r="J2347" s="4">
        <v>46089.286208530095</v>
      </c>
      <c r="K2347" t="s">
        <v>119</v>
      </c>
    </row>
    <row r="2348" spans="1:11" x14ac:dyDescent="0.55000000000000004">
      <c r="A2348" t="s">
        <v>4741</v>
      </c>
      <c r="B2348">
        <v>100647</v>
      </c>
      <c r="C2348" t="s">
        <v>19</v>
      </c>
      <c r="D2348" s="3">
        <v>46144</v>
      </c>
      <c r="E2348" t="s">
        <v>317</v>
      </c>
      <c r="F2348" t="s">
        <v>4742</v>
      </c>
      <c r="G2348" t="s">
        <v>22</v>
      </c>
      <c r="H2348" t="s">
        <v>4743</v>
      </c>
      <c r="I2348" t="s">
        <v>4744</v>
      </c>
      <c r="J2348" s="4">
        <v>46067.815375196762</v>
      </c>
    </row>
    <row r="2349" spans="1:11" x14ac:dyDescent="0.55000000000000004">
      <c r="A2349" t="s">
        <v>4745</v>
      </c>
      <c r="B2349">
        <v>101070</v>
      </c>
      <c r="C2349" t="s">
        <v>533</v>
      </c>
      <c r="D2349" s="3">
        <v>46027</v>
      </c>
      <c r="E2349" t="s">
        <v>69</v>
      </c>
      <c r="F2349" t="s">
        <v>4746</v>
      </c>
      <c r="G2349" t="s">
        <v>22</v>
      </c>
      <c r="H2349" t="s">
        <v>4747</v>
      </c>
      <c r="I2349" t="s">
        <v>4748</v>
      </c>
      <c r="J2349" s="4">
        <v>46079.540375196761</v>
      </c>
    </row>
    <row r="2350" spans="1:11" x14ac:dyDescent="0.55000000000000004">
      <c r="A2350" t="s">
        <v>4749</v>
      </c>
      <c r="B2350">
        <v>101157</v>
      </c>
      <c r="C2350" t="s">
        <v>248</v>
      </c>
      <c r="D2350" s="3">
        <v>45843</v>
      </c>
      <c r="E2350" t="s">
        <v>20</v>
      </c>
      <c r="F2350" t="s">
        <v>4750</v>
      </c>
      <c r="G2350" t="s">
        <v>15</v>
      </c>
      <c r="H2350" t="s">
        <v>4751</v>
      </c>
      <c r="I2350" t="s">
        <v>4752</v>
      </c>
      <c r="J2350" s="4">
        <v>46054.536208541664</v>
      </c>
    </row>
    <row r="2351" spans="1:11" x14ac:dyDescent="0.55000000000000004">
      <c r="A2351" t="s">
        <v>4749</v>
      </c>
      <c r="B2351">
        <v>101157</v>
      </c>
      <c r="C2351" t="s">
        <v>248</v>
      </c>
      <c r="D2351" s="3">
        <v>45843</v>
      </c>
      <c r="E2351" t="s">
        <v>155</v>
      </c>
      <c r="F2351" t="s">
        <v>4750</v>
      </c>
      <c r="G2351" t="s">
        <v>15</v>
      </c>
      <c r="H2351" t="s">
        <v>4751</v>
      </c>
      <c r="I2351" t="s">
        <v>4752</v>
      </c>
      <c r="J2351" s="4">
        <v>46054.536208541664</v>
      </c>
    </row>
    <row r="2352" spans="1:11" x14ac:dyDescent="0.55000000000000004">
      <c r="A2352" t="s">
        <v>4749</v>
      </c>
      <c r="B2352">
        <v>101157</v>
      </c>
      <c r="C2352" t="s">
        <v>248</v>
      </c>
      <c r="D2352" s="3">
        <v>45843</v>
      </c>
      <c r="E2352" t="s">
        <v>115</v>
      </c>
      <c r="F2352" t="s">
        <v>4750</v>
      </c>
      <c r="G2352" t="s">
        <v>15</v>
      </c>
      <c r="H2352" t="s">
        <v>4751</v>
      </c>
      <c r="I2352" t="s">
        <v>4752</v>
      </c>
      <c r="J2352" s="4">
        <v>46054.536208541664</v>
      </c>
    </row>
    <row r="2353" spans="1:11" x14ac:dyDescent="0.55000000000000004">
      <c r="A2353" t="s">
        <v>4753</v>
      </c>
      <c r="B2353">
        <v>100858</v>
      </c>
      <c r="C2353" t="s">
        <v>179</v>
      </c>
      <c r="D2353" s="3">
        <v>45950</v>
      </c>
      <c r="E2353" t="s">
        <v>38</v>
      </c>
      <c r="F2353" t="s">
        <v>4754</v>
      </c>
      <c r="G2353" t="s">
        <v>22</v>
      </c>
      <c r="H2353" t="s">
        <v>714</v>
      </c>
      <c r="I2353" t="s">
        <v>4755</v>
      </c>
      <c r="J2353" s="4">
        <v>46067.49106965278</v>
      </c>
    </row>
    <row r="2354" spans="1:11" x14ac:dyDescent="0.55000000000000004">
      <c r="A2354" t="s">
        <v>4753</v>
      </c>
      <c r="B2354">
        <v>100858</v>
      </c>
      <c r="C2354" t="s">
        <v>179</v>
      </c>
      <c r="D2354" s="3">
        <v>45950</v>
      </c>
      <c r="E2354" t="s">
        <v>155</v>
      </c>
      <c r="F2354" t="s">
        <v>4754</v>
      </c>
      <c r="G2354" t="s">
        <v>22</v>
      </c>
      <c r="H2354" t="s">
        <v>714</v>
      </c>
      <c r="I2354" t="s">
        <v>4755</v>
      </c>
      <c r="J2354" s="4">
        <v>46067.49106965278</v>
      </c>
    </row>
    <row r="2355" spans="1:11" x14ac:dyDescent="0.55000000000000004">
      <c r="A2355" t="s">
        <v>4753</v>
      </c>
      <c r="B2355">
        <v>100858</v>
      </c>
      <c r="C2355" t="s">
        <v>179</v>
      </c>
      <c r="D2355" s="3">
        <v>45950</v>
      </c>
      <c r="E2355" t="s">
        <v>115</v>
      </c>
      <c r="F2355" t="s">
        <v>4754</v>
      </c>
      <c r="G2355" t="s">
        <v>22</v>
      </c>
      <c r="H2355" t="s">
        <v>714</v>
      </c>
      <c r="I2355" t="s">
        <v>4755</v>
      </c>
      <c r="J2355" s="4">
        <v>46067.49106965278</v>
      </c>
    </row>
    <row r="2356" spans="1:11" x14ac:dyDescent="0.55000000000000004">
      <c r="A2356" t="s">
        <v>4756</v>
      </c>
      <c r="B2356">
        <v>100167</v>
      </c>
      <c r="C2356" t="s">
        <v>37</v>
      </c>
      <c r="D2356" s="3">
        <v>45792</v>
      </c>
      <c r="E2356" t="s">
        <v>317</v>
      </c>
      <c r="F2356" t="s">
        <v>4757</v>
      </c>
      <c r="G2356" t="s">
        <v>15</v>
      </c>
      <c r="H2356" t="s">
        <v>4758</v>
      </c>
      <c r="I2356" t="s">
        <v>4759</v>
      </c>
      <c r="J2356" s="4">
        <v>46057.171625219904</v>
      </c>
    </row>
    <row r="2357" spans="1:11" x14ac:dyDescent="0.55000000000000004">
      <c r="A2357" t="s">
        <v>4756</v>
      </c>
      <c r="B2357">
        <v>100167</v>
      </c>
      <c r="C2357" t="s">
        <v>37</v>
      </c>
      <c r="D2357" s="3">
        <v>45792</v>
      </c>
      <c r="E2357" t="s">
        <v>20</v>
      </c>
      <c r="F2357" t="s">
        <v>4757</v>
      </c>
      <c r="G2357" t="s">
        <v>15</v>
      </c>
      <c r="H2357" t="s">
        <v>4758</v>
      </c>
      <c r="I2357" t="s">
        <v>4759</v>
      </c>
      <c r="J2357" s="4">
        <v>46057.171625219904</v>
      </c>
    </row>
    <row r="2358" spans="1:11" x14ac:dyDescent="0.55000000000000004">
      <c r="A2358" t="s">
        <v>4756</v>
      </c>
      <c r="B2358">
        <v>100167</v>
      </c>
      <c r="C2358" t="s">
        <v>37</v>
      </c>
      <c r="D2358" s="3">
        <v>45792</v>
      </c>
      <c r="E2358" t="s">
        <v>69</v>
      </c>
      <c r="F2358" t="s">
        <v>4757</v>
      </c>
      <c r="G2358" t="s">
        <v>15</v>
      </c>
      <c r="H2358" t="s">
        <v>4758</v>
      </c>
      <c r="I2358" t="s">
        <v>4759</v>
      </c>
      <c r="J2358" s="4">
        <v>46057.171625219904</v>
      </c>
    </row>
    <row r="2359" spans="1:11" x14ac:dyDescent="0.55000000000000004">
      <c r="A2359" t="s">
        <v>4760</v>
      </c>
      <c r="B2359">
        <v>100081</v>
      </c>
      <c r="D2359" s="3">
        <v>45749</v>
      </c>
      <c r="E2359" t="s">
        <v>115</v>
      </c>
      <c r="F2359" t="s">
        <v>4761</v>
      </c>
      <c r="G2359" t="s">
        <v>22</v>
      </c>
      <c r="H2359" t="s">
        <v>4762</v>
      </c>
      <c r="I2359" t="s">
        <v>4763</v>
      </c>
      <c r="J2359" s="4">
        <v>46066.316069664354</v>
      </c>
      <c r="K2359" t="s">
        <v>217</v>
      </c>
    </row>
    <row r="2360" spans="1:11" x14ac:dyDescent="0.55000000000000004">
      <c r="A2360" t="s">
        <v>4764</v>
      </c>
      <c r="B2360">
        <v>100504</v>
      </c>
      <c r="C2360" t="s">
        <v>19</v>
      </c>
      <c r="D2360" s="3">
        <v>45820</v>
      </c>
      <c r="E2360" t="s">
        <v>317</v>
      </c>
      <c r="F2360" t="s">
        <v>4765</v>
      </c>
      <c r="G2360" t="s">
        <v>22</v>
      </c>
      <c r="H2360" t="s">
        <v>4766</v>
      </c>
      <c r="I2360" t="s">
        <v>4767</v>
      </c>
      <c r="J2360" s="4">
        <v>46056.202875219904</v>
      </c>
    </row>
    <row r="2361" spans="1:11" x14ac:dyDescent="0.55000000000000004">
      <c r="A2361" t="s">
        <v>4764</v>
      </c>
      <c r="B2361">
        <v>100504</v>
      </c>
      <c r="C2361" t="s">
        <v>19</v>
      </c>
      <c r="D2361" s="3">
        <v>45820</v>
      </c>
      <c r="E2361" t="s">
        <v>155</v>
      </c>
      <c r="F2361" t="s">
        <v>4765</v>
      </c>
      <c r="G2361" t="s">
        <v>22</v>
      </c>
      <c r="H2361" t="s">
        <v>4766</v>
      </c>
      <c r="I2361" t="s">
        <v>4767</v>
      </c>
      <c r="J2361" s="4">
        <v>46056.202875219904</v>
      </c>
    </row>
    <row r="2362" spans="1:11" x14ac:dyDescent="0.55000000000000004">
      <c r="A2362" t="s">
        <v>4764</v>
      </c>
      <c r="B2362">
        <v>100504</v>
      </c>
      <c r="C2362" t="s">
        <v>19</v>
      </c>
      <c r="D2362" s="3">
        <v>45820</v>
      </c>
      <c r="E2362" t="s">
        <v>69</v>
      </c>
      <c r="F2362" t="s">
        <v>4765</v>
      </c>
      <c r="G2362" t="s">
        <v>22</v>
      </c>
      <c r="H2362" t="s">
        <v>4766</v>
      </c>
      <c r="I2362" t="s">
        <v>4767</v>
      </c>
      <c r="J2362" s="4">
        <v>46056.202875219904</v>
      </c>
    </row>
    <row r="2363" spans="1:11" x14ac:dyDescent="0.55000000000000004">
      <c r="A2363" t="s">
        <v>4768</v>
      </c>
      <c r="B2363">
        <v>101166</v>
      </c>
      <c r="C2363" t="s">
        <v>248</v>
      </c>
      <c r="D2363" s="3">
        <v>46055</v>
      </c>
      <c r="E2363" t="s">
        <v>20</v>
      </c>
      <c r="F2363" t="s">
        <v>4769</v>
      </c>
      <c r="G2363" t="s">
        <v>15</v>
      </c>
      <c r="H2363" t="s">
        <v>4770</v>
      </c>
      <c r="I2363" t="s">
        <v>4771</v>
      </c>
      <c r="J2363" s="4">
        <v>46090.628569675922</v>
      </c>
    </row>
    <row r="2364" spans="1:11" x14ac:dyDescent="0.55000000000000004">
      <c r="A2364" t="s">
        <v>4768</v>
      </c>
      <c r="B2364">
        <v>101166</v>
      </c>
      <c r="C2364" t="s">
        <v>248</v>
      </c>
      <c r="D2364" s="3">
        <v>46055</v>
      </c>
      <c r="E2364" t="s">
        <v>155</v>
      </c>
      <c r="F2364" t="s">
        <v>4769</v>
      </c>
      <c r="G2364" t="s">
        <v>15</v>
      </c>
      <c r="H2364" t="s">
        <v>4770</v>
      </c>
      <c r="I2364" t="s">
        <v>4771</v>
      </c>
      <c r="J2364" s="4">
        <v>46090.628569675922</v>
      </c>
    </row>
    <row r="2365" spans="1:11" x14ac:dyDescent="0.55000000000000004">
      <c r="A2365" t="s">
        <v>4768</v>
      </c>
      <c r="B2365">
        <v>101166</v>
      </c>
      <c r="C2365" t="s">
        <v>248</v>
      </c>
      <c r="D2365" s="3">
        <v>46055</v>
      </c>
      <c r="E2365" t="s">
        <v>69</v>
      </c>
      <c r="F2365" t="s">
        <v>4769</v>
      </c>
      <c r="G2365" t="s">
        <v>15</v>
      </c>
      <c r="H2365" t="s">
        <v>4770</v>
      </c>
      <c r="I2365" t="s">
        <v>4771</v>
      </c>
      <c r="J2365" s="4">
        <v>46090.628569675922</v>
      </c>
    </row>
    <row r="2366" spans="1:11" x14ac:dyDescent="0.55000000000000004">
      <c r="A2366" t="s">
        <v>4772</v>
      </c>
      <c r="B2366">
        <v>100245</v>
      </c>
      <c r="C2366" t="s">
        <v>533</v>
      </c>
      <c r="D2366" s="3">
        <v>45982</v>
      </c>
      <c r="E2366" t="s">
        <v>317</v>
      </c>
      <c r="F2366" t="s">
        <v>4773</v>
      </c>
      <c r="G2366" t="s">
        <v>15</v>
      </c>
      <c r="H2366" t="s">
        <v>4774</v>
      </c>
      <c r="I2366" t="s">
        <v>4775</v>
      </c>
      <c r="J2366" s="4">
        <v>46059.931347453705</v>
      </c>
    </row>
    <row r="2367" spans="1:11" x14ac:dyDescent="0.55000000000000004">
      <c r="A2367" t="s">
        <v>4772</v>
      </c>
      <c r="B2367">
        <v>100245</v>
      </c>
      <c r="C2367" t="s">
        <v>533</v>
      </c>
      <c r="D2367" s="3">
        <v>45982</v>
      </c>
      <c r="E2367" t="s">
        <v>38</v>
      </c>
      <c r="F2367" t="s">
        <v>4773</v>
      </c>
      <c r="G2367" t="s">
        <v>15</v>
      </c>
      <c r="H2367" t="s">
        <v>4774</v>
      </c>
      <c r="I2367" t="s">
        <v>4775</v>
      </c>
      <c r="J2367" s="4">
        <v>46059.931347453705</v>
      </c>
    </row>
    <row r="2368" spans="1:11" x14ac:dyDescent="0.55000000000000004">
      <c r="A2368" t="s">
        <v>4772</v>
      </c>
      <c r="B2368">
        <v>100245</v>
      </c>
      <c r="C2368" t="s">
        <v>533</v>
      </c>
      <c r="D2368" s="3">
        <v>45982</v>
      </c>
      <c r="E2368" t="s">
        <v>115</v>
      </c>
      <c r="F2368" t="s">
        <v>4773</v>
      </c>
      <c r="G2368" t="s">
        <v>15</v>
      </c>
      <c r="H2368" t="s">
        <v>4774</v>
      </c>
      <c r="I2368" t="s">
        <v>4775</v>
      </c>
      <c r="J2368" s="4">
        <v>46059.931347453705</v>
      </c>
    </row>
    <row r="2369" spans="1:11" x14ac:dyDescent="0.55000000000000004">
      <c r="A2369" t="s">
        <v>4776</v>
      </c>
      <c r="B2369">
        <v>100826</v>
      </c>
      <c r="C2369" t="s">
        <v>19</v>
      </c>
      <c r="D2369" s="3">
        <v>45977</v>
      </c>
      <c r="E2369" t="s">
        <v>317</v>
      </c>
      <c r="F2369" t="s">
        <v>4777</v>
      </c>
      <c r="G2369" t="s">
        <v>15</v>
      </c>
      <c r="H2369" t="s">
        <v>4778</v>
      </c>
      <c r="I2369" t="s">
        <v>4779</v>
      </c>
      <c r="J2369" s="4">
        <v>46073.057736342591</v>
      </c>
    </row>
    <row r="2370" spans="1:11" x14ac:dyDescent="0.55000000000000004">
      <c r="A2370" t="s">
        <v>4776</v>
      </c>
      <c r="B2370">
        <v>100826</v>
      </c>
      <c r="C2370" t="s">
        <v>19</v>
      </c>
      <c r="D2370" s="3">
        <v>45977</v>
      </c>
      <c r="E2370" t="s">
        <v>155</v>
      </c>
      <c r="F2370" t="s">
        <v>4777</v>
      </c>
      <c r="G2370" t="s">
        <v>15</v>
      </c>
      <c r="H2370" t="s">
        <v>4778</v>
      </c>
      <c r="I2370" t="s">
        <v>4779</v>
      </c>
      <c r="J2370" s="4">
        <v>46073.057736342591</v>
      </c>
    </row>
    <row r="2371" spans="1:11" x14ac:dyDescent="0.55000000000000004">
      <c r="A2371" t="s">
        <v>2026</v>
      </c>
      <c r="B2371">
        <v>100481</v>
      </c>
      <c r="C2371" t="s">
        <v>179</v>
      </c>
      <c r="D2371" s="3">
        <v>45884</v>
      </c>
      <c r="E2371" t="s">
        <v>20</v>
      </c>
      <c r="F2371" t="s">
        <v>4781</v>
      </c>
      <c r="G2371" t="s">
        <v>15</v>
      </c>
      <c r="H2371" t="s">
        <v>4782</v>
      </c>
      <c r="I2371" t="s">
        <v>4783</v>
      </c>
      <c r="J2371" s="4">
        <v>46051.982041909723</v>
      </c>
      <c r="K2371" t="s">
        <v>119</v>
      </c>
    </row>
    <row r="2372" spans="1:11" x14ac:dyDescent="0.55000000000000004">
      <c r="A2372" t="s">
        <v>2026</v>
      </c>
      <c r="B2372">
        <v>100481</v>
      </c>
      <c r="C2372" t="s">
        <v>179</v>
      </c>
      <c r="D2372" s="3">
        <v>45884</v>
      </c>
      <c r="E2372" t="s">
        <v>155</v>
      </c>
      <c r="F2372" t="s">
        <v>4781</v>
      </c>
      <c r="G2372" t="s">
        <v>15</v>
      </c>
      <c r="H2372" t="s">
        <v>4782</v>
      </c>
      <c r="I2372" t="s">
        <v>4783</v>
      </c>
      <c r="J2372" s="4">
        <v>46051.982041909723</v>
      </c>
      <c r="K2372" t="s">
        <v>119</v>
      </c>
    </row>
    <row r="2373" spans="1:11" x14ac:dyDescent="0.55000000000000004">
      <c r="A2373" t="s">
        <v>2026</v>
      </c>
      <c r="B2373">
        <v>100481</v>
      </c>
      <c r="C2373" t="s">
        <v>179</v>
      </c>
      <c r="D2373" s="3">
        <v>45884</v>
      </c>
      <c r="E2373" t="s">
        <v>115</v>
      </c>
      <c r="F2373" t="s">
        <v>4781</v>
      </c>
      <c r="G2373" t="s">
        <v>15</v>
      </c>
      <c r="H2373" t="s">
        <v>4782</v>
      </c>
      <c r="I2373" t="s">
        <v>4783</v>
      </c>
      <c r="J2373" s="4">
        <v>46051.982041909723</v>
      </c>
      <c r="K2373" t="s">
        <v>119</v>
      </c>
    </row>
    <row r="2374" spans="1:11" x14ac:dyDescent="0.55000000000000004">
      <c r="A2374" t="s">
        <v>4784</v>
      </c>
      <c r="B2374">
        <v>100139</v>
      </c>
      <c r="C2374" t="s">
        <v>533</v>
      </c>
      <c r="D2374" s="3">
        <v>45939</v>
      </c>
      <c r="E2374" t="s">
        <v>38</v>
      </c>
      <c r="F2374" t="s">
        <v>4785</v>
      </c>
      <c r="G2374" t="s">
        <v>15</v>
      </c>
      <c r="H2374" t="s">
        <v>4786</v>
      </c>
      <c r="I2374" t="s">
        <v>4787</v>
      </c>
      <c r="J2374" s="4">
        <v>46063.914680810187</v>
      </c>
    </row>
    <row r="2375" spans="1:11" x14ac:dyDescent="0.55000000000000004">
      <c r="A2375" t="s">
        <v>4784</v>
      </c>
      <c r="B2375">
        <v>100139</v>
      </c>
      <c r="C2375" t="s">
        <v>533</v>
      </c>
      <c r="D2375" s="3">
        <v>45939</v>
      </c>
      <c r="E2375" t="s">
        <v>155</v>
      </c>
      <c r="F2375" t="s">
        <v>4785</v>
      </c>
      <c r="G2375" t="s">
        <v>15</v>
      </c>
      <c r="H2375" t="s">
        <v>4786</v>
      </c>
      <c r="I2375" t="s">
        <v>4787</v>
      </c>
      <c r="J2375" s="4">
        <v>46063.914680810187</v>
      </c>
    </row>
    <row r="2376" spans="1:11" x14ac:dyDescent="0.55000000000000004">
      <c r="A2376" t="s">
        <v>4784</v>
      </c>
      <c r="B2376">
        <v>100139</v>
      </c>
      <c r="C2376" t="s">
        <v>533</v>
      </c>
      <c r="D2376" s="3">
        <v>45939</v>
      </c>
      <c r="E2376" t="s">
        <v>69</v>
      </c>
      <c r="F2376" t="s">
        <v>4785</v>
      </c>
      <c r="G2376" t="s">
        <v>15</v>
      </c>
      <c r="H2376" t="s">
        <v>4786</v>
      </c>
      <c r="I2376" t="s">
        <v>4787</v>
      </c>
      <c r="J2376" s="4">
        <v>46063.914680810187</v>
      </c>
    </row>
    <row r="2377" spans="1:11" x14ac:dyDescent="0.55000000000000004">
      <c r="A2377" t="s">
        <v>4788</v>
      </c>
      <c r="B2377">
        <v>100140</v>
      </c>
      <c r="C2377" t="s">
        <v>19</v>
      </c>
      <c r="D2377" s="3">
        <v>46097</v>
      </c>
      <c r="E2377" t="s">
        <v>317</v>
      </c>
      <c r="F2377" t="s">
        <v>4789</v>
      </c>
      <c r="G2377" t="s">
        <v>15</v>
      </c>
      <c r="H2377" t="s">
        <v>4790</v>
      </c>
      <c r="I2377" t="s">
        <v>4791</v>
      </c>
      <c r="J2377" s="4">
        <v>46058.75773636574</v>
      </c>
    </row>
    <row r="2378" spans="1:11" x14ac:dyDescent="0.55000000000000004">
      <c r="A2378" t="s">
        <v>4788</v>
      </c>
      <c r="B2378">
        <v>100140</v>
      </c>
      <c r="C2378" t="s">
        <v>19</v>
      </c>
      <c r="D2378" s="3">
        <v>46097</v>
      </c>
      <c r="E2378" t="s">
        <v>155</v>
      </c>
      <c r="F2378" t="s">
        <v>4789</v>
      </c>
      <c r="G2378" t="s">
        <v>15</v>
      </c>
      <c r="H2378" t="s">
        <v>4790</v>
      </c>
      <c r="I2378" t="s">
        <v>4791</v>
      </c>
      <c r="J2378" s="4">
        <v>46058.75773636574</v>
      </c>
    </row>
    <row r="2379" spans="1:11" x14ac:dyDescent="0.55000000000000004">
      <c r="A2379" t="s">
        <v>4788</v>
      </c>
      <c r="B2379">
        <v>100140</v>
      </c>
      <c r="C2379" t="s">
        <v>19</v>
      </c>
      <c r="D2379" s="3">
        <v>46097</v>
      </c>
      <c r="E2379" t="s">
        <v>115</v>
      </c>
      <c r="F2379" t="s">
        <v>4789</v>
      </c>
      <c r="G2379" t="s">
        <v>15</v>
      </c>
      <c r="H2379" t="s">
        <v>4790</v>
      </c>
      <c r="I2379" t="s">
        <v>4791</v>
      </c>
      <c r="J2379" s="4">
        <v>46058.75773636574</v>
      </c>
    </row>
    <row r="2380" spans="1:11" x14ac:dyDescent="0.55000000000000004">
      <c r="A2380" t="s">
        <v>4792</v>
      </c>
      <c r="B2380">
        <v>100380</v>
      </c>
      <c r="C2380" t="s">
        <v>533</v>
      </c>
      <c r="D2380" s="3">
        <v>45734</v>
      </c>
      <c r="E2380" t="s">
        <v>20</v>
      </c>
      <c r="F2380" t="s">
        <v>4793</v>
      </c>
      <c r="G2380" t="s">
        <v>15</v>
      </c>
      <c r="H2380" t="s">
        <v>4794</v>
      </c>
      <c r="I2380" t="s">
        <v>4795</v>
      </c>
      <c r="J2380" s="4">
        <v>46088.928569710646</v>
      </c>
    </row>
    <row r="2381" spans="1:11" x14ac:dyDescent="0.55000000000000004">
      <c r="A2381" t="s">
        <v>4792</v>
      </c>
      <c r="B2381">
        <v>100380</v>
      </c>
      <c r="C2381" t="s">
        <v>533</v>
      </c>
      <c r="D2381" s="3">
        <v>45734</v>
      </c>
      <c r="E2381" t="s">
        <v>155</v>
      </c>
      <c r="F2381" t="s">
        <v>4793</v>
      </c>
      <c r="G2381" t="s">
        <v>15</v>
      </c>
      <c r="H2381" t="s">
        <v>4794</v>
      </c>
      <c r="I2381" t="s">
        <v>4795</v>
      </c>
      <c r="J2381" s="4">
        <v>46088.928569710646</v>
      </c>
    </row>
    <row r="2382" spans="1:11" x14ac:dyDescent="0.55000000000000004">
      <c r="A2382" t="s">
        <v>4792</v>
      </c>
      <c r="B2382">
        <v>100380</v>
      </c>
      <c r="C2382" t="s">
        <v>533</v>
      </c>
      <c r="D2382" s="3">
        <v>45734</v>
      </c>
      <c r="E2382" t="s">
        <v>69</v>
      </c>
      <c r="F2382" t="s">
        <v>4793</v>
      </c>
      <c r="G2382" t="s">
        <v>15</v>
      </c>
      <c r="H2382" t="s">
        <v>4794</v>
      </c>
      <c r="I2382" t="s">
        <v>4795</v>
      </c>
      <c r="J2382" s="4">
        <v>46088.928569710646</v>
      </c>
    </row>
    <row r="2383" spans="1:11" x14ac:dyDescent="0.55000000000000004">
      <c r="A2383" t="s">
        <v>4796</v>
      </c>
      <c r="B2383">
        <v>100164</v>
      </c>
      <c r="C2383" t="s">
        <v>248</v>
      </c>
      <c r="D2383" s="3">
        <v>46066</v>
      </c>
      <c r="E2383" t="s">
        <v>155</v>
      </c>
      <c r="F2383" t="s">
        <v>4562</v>
      </c>
      <c r="G2383" t="s">
        <v>22</v>
      </c>
      <c r="H2383" t="s">
        <v>4797</v>
      </c>
      <c r="I2383" t="s">
        <v>4798</v>
      </c>
      <c r="J2383" s="4">
        <v>46095.625791932871</v>
      </c>
    </row>
    <row r="2384" spans="1:11" x14ac:dyDescent="0.55000000000000004">
      <c r="A2384" t="s">
        <v>4799</v>
      </c>
      <c r="B2384">
        <v>101040</v>
      </c>
      <c r="C2384" t="s">
        <v>533</v>
      </c>
      <c r="D2384" s="3">
        <v>45991</v>
      </c>
      <c r="E2384" t="s">
        <v>38</v>
      </c>
      <c r="F2384" t="s">
        <v>4800</v>
      </c>
      <c r="G2384" t="s">
        <v>15</v>
      </c>
      <c r="H2384" t="s">
        <v>4801</v>
      </c>
      <c r="I2384" t="s">
        <v>4802</v>
      </c>
      <c r="J2384" s="4">
        <v>46069.810514166667</v>
      </c>
    </row>
    <row r="2385" spans="1:10" x14ac:dyDescent="0.55000000000000004">
      <c r="A2385" t="s">
        <v>4799</v>
      </c>
      <c r="B2385">
        <v>101040</v>
      </c>
      <c r="C2385" t="s">
        <v>533</v>
      </c>
      <c r="D2385" s="3">
        <v>45991</v>
      </c>
      <c r="E2385" t="s">
        <v>20</v>
      </c>
      <c r="F2385" t="s">
        <v>4800</v>
      </c>
      <c r="G2385" t="s">
        <v>15</v>
      </c>
      <c r="H2385" t="s">
        <v>4801</v>
      </c>
      <c r="I2385" t="s">
        <v>4802</v>
      </c>
      <c r="J2385" s="4">
        <v>46069.810514166667</v>
      </c>
    </row>
    <row r="2386" spans="1:10" x14ac:dyDescent="0.55000000000000004">
      <c r="A2386" t="s">
        <v>4803</v>
      </c>
      <c r="B2386">
        <v>100116</v>
      </c>
      <c r="C2386" t="s">
        <v>37</v>
      </c>
      <c r="D2386" s="3">
        <v>45859</v>
      </c>
      <c r="E2386" t="s">
        <v>38</v>
      </c>
      <c r="F2386" t="s">
        <v>4804</v>
      </c>
      <c r="G2386" t="s">
        <v>22</v>
      </c>
      <c r="H2386" t="s">
        <v>4805</v>
      </c>
      <c r="I2386" t="s">
        <v>4806</v>
      </c>
      <c r="J2386" s="4">
        <v>46054.986903055556</v>
      </c>
    </row>
    <row r="2387" spans="1:10" x14ac:dyDescent="0.55000000000000004">
      <c r="A2387" t="s">
        <v>4803</v>
      </c>
      <c r="B2387">
        <v>100116</v>
      </c>
      <c r="C2387" t="s">
        <v>37</v>
      </c>
      <c r="D2387" s="3">
        <v>45859</v>
      </c>
      <c r="E2387" t="s">
        <v>155</v>
      </c>
      <c r="F2387" t="s">
        <v>4804</v>
      </c>
      <c r="G2387" t="s">
        <v>22</v>
      </c>
      <c r="H2387" t="s">
        <v>4805</v>
      </c>
      <c r="I2387" t="s">
        <v>4806</v>
      </c>
      <c r="J2387" s="4">
        <v>46054.986903055556</v>
      </c>
    </row>
    <row r="2388" spans="1:10" x14ac:dyDescent="0.55000000000000004">
      <c r="A2388" t="s">
        <v>4807</v>
      </c>
      <c r="B2388">
        <v>100322</v>
      </c>
      <c r="C2388" t="s">
        <v>179</v>
      </c>
      <c r="D2388" s="3">
        <v>45803</v>
      </c>
      <c r="E2388" t="s">
        <v>38</v>
      </c>
      <c r="F2388" t="s">
        <v>4808</v>
      </c>
      <c r="G2388" t="s">
        <v>15</v>
      </c>
      <c r="H2388" t="s">
        <v>4809</v>
      </c>
      <c r="I2388" t="s">
        <v>4810</v>
      </c>
      <c r="J2388" s="4">
        <v>46053.605653067127</v>
      </c>
    </row>
    <row r="2389" spans="1:10" x14ac:dyDescent="0.55000000000000004">
      <c r="A2389" t="s">
        <v>4807</v>
      </c>
      <c r="B2389">
        <v>100322</v>
      </c>
      <c r="C2389" t="s">
        <v>179</v>
      </c>
      <c r="D2389" s="3">
        <v>45803</v>
      </c>
      <c r="E2389" t="s">
        <v>20</v>
      </c>
      <c r="F2389" t="s">
        <v>4808</v>
      </c>
      <c r="G2389" t="s">
        <v>15</v>
      </c>
      <c r="H2389" t="s">
        <v>4809</v>
      </c>
      <c r="I2389" t="s">
        <v>4810</v>
      </c>
      <c r="J2389" s="4">
        <v>46053.605653067127</v>
      </c>
    </row>
    <row r="2390" spans="1:10" x14ac:dyDescent="0.55000000000000004">
      <c r="A2390" t="s">
        <v>4807</v>
      </c>
      <c r="B2390">
        <v>100322</v>
      </c>
      <c r="C2390" t="s">
        <v>179</v>
      </c>
      <c r="D2390" s="3">
        <v>45803</v>
      </c>
      <c r="E2390" t="s">
        <v>69</v>
      </c>
      <c r="F2390" t="s">
        <v>4808</v>
      </c>
      <c r="G2390" t="s">
        <v>15</v>
      </c>
      <c r="H2390" t="s">
        <v>4809</v>
      </c>
      <c r="I2390" t="s">
        <v>4810</v>
      </c>
      <c r="J2390" s="4">
        <v>46053.605653067127</v>
      </c>
    </row>
    <row r="2391" spans="1:10" x14ac:dyDescent="0.55000000000000004">
      <c r="A2391" t="s">
        <v>4811</v>
      </c>
      <c r="B2391">
        <v>101087</v>
      </c>
      <c r="C2391" t="s">
        <v>37</v>
      </c>
      <c r="D2391" s="3">
        <v>45853</v>
      </c>
      <c r="E2391" t="s">
        <v>115</v>
      </c>
      <c r="F2391" t="s">
        <v>4812</v>
      </c>
      <c r="G2391" t="s">
        <v>15</v>
      </c>
      <c r="H2391" t="s">
        <v>4813</v>
      </c>
      <c r="I2391" t="s">
        <v>4814</v>
      </c>
      <c r="J2391" s="4">
        <v>46078.440375289349</v>
      </c>
    </row>
    <row r="2392" spans="1:10" x14ac:dyDescent="0.55000000000000004">
      <c r="A2392" t="s">
        <v>4815</v>
      </c>
      <c r="B2392">
        <v>101029</v>
      </c>
      <c r="C2392" t="s">
        <v>533</v>
      </c>
      <c r="D2392" s="3">
        <v>46040</v>
      </c>
      <c r="E2392" t="s">
        <v>38</v>
      </c>
      <c r="F2392" t="s">
        <v>4816</v>
      </c>
      <c r="G2392" t="s">
        <v>22</v>
      </c>
      <c r="H2392" t="s">
        <v>4817</v>
      </c>
      <c r="I2392" t="s">
        <v>4818</v>
      </c>
      <c r="J2392" s="4">
        <v>46088.861208634262</v>
      </c>
    </row>
    <row r="2393" spans="1:10" x14ac:dyDescent="0.55000000000000004">
      <c r="A2393" t="s">
        <v>4815</v>
      </c>
      <c r="B2393">
        <v>101029</v>
      </c>
      <c r="C2393" t="s">
        <v>533</v>
      </c>
      <c r="D2393" s="3">
        <v>46040</v>
      </c>
      <c r="E2393" t="s">
        <v>20</v>
      </c>
      <c r="F2393" t="s">
        <v>4816</v>
      </c>
      <c r="G2393" t="s">
        <v>22</v>
      </c>
      <c r="H2393" t="s">
        <v>4817</v>
      </c>
      <c r="I2393" t="s">
        <v>4818</v>
      </c>
      <c r="J2393" s="4">
        <v>46088.861208634262</v>
      </c>
    </row>
    <row r="2394" spans="1:10" x14ac:dyDescent="0.55000000000000004">
      <c r="A2394" t="s">
        <v>4815</v>
      </c>
      <c r="B2394">
        <v>101029</v>
      </c>
      <c r="C2394" t="s">
        <v>533</v>
      </c>
      <c r="D2394" s="3">
        <v>46040</v>
      </c>
      <c r="E2394" t="s">
        <v>115</v>
      </c>
      <c r="F2394" t="s">
        <v>4816</v>
      </c>
      <c r="G2394" t="s">
        <v>22</v>
      </c>
      <c r="H2394" t="s">
        <v>4817</v>
      </c>
      <c r="I2394" t="s">
        <v>4818</v>
      </c>
      <c r="J2394" s="4">
        <v>46088.861208634262</v>
      </c>
    </row>
    <row r="2395" spans="1:10" x14ac:dyDescent="0.55000000000000004">
      <c r="A2395" t="s">
        <v>4819</v>
      </c>
      <c r="B2395">
        <v>100976</v>
      </c>
      <c r="C2395" t="s">
        <v>179</v>
      </c>
      <c r="D2395" s="3">
        <v>45770</v>
      </c>
      <c r="E2395" t="s">
        <v>317</v>
      </c>
      <c r="F2395" t="s">
        <v>4820</v>
      </c>
      <c r="G2395" t="s">
        <v>15</v>
      </c>
      <c r="H2395" t="s">
        <v>4821</v>
      </c>
      <c r="I2395" t="s">
        <v>4822</v>
      </c>
      <c r="J2395" s="4">
        <v>46072.097319745371</v>
      </c>
    </row>
    <row r="2396" spans="1:10" x14ac:dyDescent="0.55000000000000004">
      <c r="A2396" t="s">
        <v>4819</v>
      </c>
      <c r="B2396">
        <v>100976</v>
      </c>
      <c r="C2396" t="s">
        <v>179</v>
      </c>
      <c r="D2396" s="3">
        <v>45770</v>
      </c>
      <c r="E2396" t="s">
        <v>20</v>
      </c>
      <c r="F2396" t="s">
        <v>4820</v>
      </c>
      <c r="G2396" t="s">
        <v>15</v>
      </c>
      <c r="H2396" t="s">
        <v>4821</v>
      </c>
      <c r="I2396" t="s">
        <v>4822</v>
      </c>
      <c r="J2396" s="4">
        <v>46072.097319745371</v>
      </c>
    </row>
    <row r="2397" spans="1:10" x14ac:dyDescent="0.55000000000000004">
      <c r="A2397" t="s">
        <v>4819</v>
      </c>
      <c r="B2397">
        <v>100976</v>
      </c>
      <c r="C2397" t="s">
        <v>179</v>
      </c>
      <c r="D2397" s="3">
        <v>45770</v>
      </c>
      <c r="E2397" t="s">
        <v>69</v>
      </c>
      <c r="F2397" t="s">
        <v>4820</v>
      </c>
      <c r="G2397" t="s">
        <v>15</v>
      </c>
      <c r="H2397" t="s">
        <v>4821</v>
      </c>
      <c r="I2397" t="s">
        <v>4822</v>
      </c>
      <c r="J2397" s="4">
        <v>46072.097319745371</v>
      </c>
    </row>
    <row r="2398" spans="1:10" x14ac:dyDescent="0.55000000000000004">
      <c r="A2398" t="s">
        <v>4823</v>
      </c>
      <c r="B2398">
        <v>101196</v>
      </c>
      <c r="C2398" t="s">
        <v>37</v>
      </c>
      <c r="D2398" s="3">
        <v>45862</v>
      </c>
      <c r="E2398" t="s">
        <v>38</v>
      </c>
      <c r="F2398" t="s">
        <v>4824</v>
      </c>
      <c r="G2398" t="s">
        <v>15</v>
      </c>
      <c r="H2398" t="s">
        <v>4825</v>
      </c>
      <c r="I2398" t="s">
        <v>4826</v>
      </c>
      <c r="J2398" s="4">
        <v>46057.363291979163</v>
      </c>
    </row>
    <row r="2399" spans="1:10" x14ac:dyDescent="0.55000000000000004">
      <c r="A2399" t="s">
        <v>4823</v>
      </c>
      <c r="B2399">
        <v>101196</v>
      </c>
      <c r="C2399" t="s">
        <v>37</v>
      </c>
      <c r="D2399" s="3">
        <v>45862</v>
      </c>
      <c r="E2399" t="s">
        <v>115</v>
      </c>
      <c r="F2399" t="s">
        <v>4824</v>
      </c>
      <c r="G2399" t="s">
        <v>15</v>
      </c>
      <c r="H2399" t="s">
        <v>4825</v>
      </c>
      <c r="I2399" t="s">
        <v>4826</v>
      </c>
      <c r="J2399" s="4">
        <v>46057.363291979163</v>
      </c>
    </row>
    <row r="2400" spans="1:10" x14ac:dyDescent="0.55000000000000004">
      <c r="A2400" t="s">
        <v>4823</v>
      </c>
      <c r="B2400">
        <v>101196</v>
      </c>
      <c r="C2400" t="s">
        <v>37</v>
      </c>
      <c r="D2400" s="3">
        <v>45862</v>
      </c>
      <c r="E2400" t="s">
        <v>69</v>
      </c>
      <c r="F2400" t="s">
        <v>4824</v>
      </c>
      <c r="G2400" t="s">
        <v>15</v>
      </c>
      <c r="H2400" t="s">
        <v>4825</v>
      </c>
      <c r="I2400" t="s">
        <v>4826</v>
      </c>
      <c r="J2400" s="4">
        <v>46057.363291979163</v>
      </c>
    </row>
    <row r="2401" spans="1:10" x14ac:dyDescent="0.55000000000000004">
      <c r="A2401" t="s">
        <v>4827</v>
      </c>
      <c r="B2401">
        <v>100102</v>
      </c>
      <c r="C2401" t="s">
        <v>248</v>
      </c>
      <c r="D2401" s="3">
        <v>46097</v>
      </c>
      <c r="E2401" t="s">
        <v>317</v>
      </c>
      <c r="F2401" t="s">
        <v>4828</v>
      </c>
      <c r="G2401" t="s">
        <v>15</v>
      </c>
      <c r="H2401" t="s">
        <v>4829</v>
      </c>
      <c r="I2401" t="s">
        <v>4830</v>
      </c>
      <c r="J2401" s="4">
        <v>46071.527875312502</v>
      </c>
    </row>
    <row r="2402" spans="1:10" x14ac:dyDescent="0.55000000000000004">
      <c r="A2402" t="s">
        <v>4827</v>
      </c>
      <c r="B2402">
        <v>100102</v>
      </c>
      <c r="C2402" t="s">
        <v>248</v>
      </c>
      <c r="D2402" s="3">
        <v>46097</v>
      </c>
      <c r="E2402" t="s">
        <v>38</v>
      </c>
      <c r="F2402" t="s">
        <v>4828</v>
      </c>
      <c r="G2402" t="s">
        <v>15</v>
      </c>
      <c r="H2402" t="s">
        <v>4829</v>
      </c>
      <c r="I2402" t="s">
        <v>4830</v>
      </c>
      <c r="J2402" s="4">
        <v>46071.527875312502</v>
      </c>
    </row>
    <row r="2403" spans="1:10" x14ac:dyDescent="0.55000000000000004">
      <c r="A2403" t="s">
        <v>4831</v>
      </c>
      <c r="B2403">
        <v>100117</v>
      </c>
      <c r="C2403" t="s">
        <v>68</v>
      </c>
      <c r="D2403" s="3">
        <v>46135</v>
      </c>
      <c r="E2403" t="s">
        <v>155</v>
      </c>
      <c r="F2403" t="s">
        <v>4832</v>
      </c>
      <c r="G2403" t="s">
        <v>15</v>
      </c>
      <c r="H2403" t="s">
        <v>4833</v>
      </c>
      <c r="I2403" t="s">
        <v>4834</v>
      </c>
      <c r="J2403" s="4">
        <v>46093.361903101853</v>
      </c>
    </row>
    <row r="2404" spans="1:10" x14ac:dyDescent="0.55000000000000004">
      <c r="A2404" t="s">
        <v>4831</v>
      </c>
      <c r="B2404">
        <v>100117</v>
      </c>
      <c r="C2404" t="s">
        <v>68</v>
      </c>
      <c r="D2404" s="3">
        <v>46135</v>
      </c>
      <c r="E2404" t="s">
        <v>69</v>
      </c>
      <c r="F2404" t="s">
        <v>4832</v>
      </c>
      <c r="G2404" t="s">
        <v>15</v>
      </c>
      <c r="H2404" t="s">
        <v>4833</v>
      </c>
      <c r="I2404" t="s">
        <v>4834</v>
      </c>
      <c r="J2404" s="4">
        <v>46093.361903101853</v>
      </c>
    </row>
    <row r="2405" spans="1:10" x14ac:dyDescent="0.55000000000000004">
      <c r="A2405" t="s">
        <v>4835</v>
      </c>
      <c r="B2405">
        <v>100642</v>
      </c>
      <c r="C2405" t="s">
        <v>533</v>
      </c>
      <c r="D2405" s="3">
        <v>46004</v>
      </c>
      <c r="E2405" t="s">
        <v>317</v>
      </c>
      <c r="F2405" t="s">
        <v>4836</v>
      </c>
      <c r="G2405" t="s">
        <v>22</v>
      </c>
      <c r="H2405" t="s">
        <v>4837</v>
      </c>
      <c r="I2405" t="s">
        <v>4838</v>
      </c>
      <c r="J2405" s="4">
        <v>46093.277875324071</v>
      </c>
    </row>
    <row r="2406" spans="1:10" x14ac:dyDescent="0.55000000000000004">
      <c r="A2406" t="s">
        <v>4839</v>
      </c>
      <c r="B2406">
        <v>101248</v>
      </c>
      <c r="C2406" t="s">
        <v>37</v>
      </c>
      <c r="D2406" s="3">
        <v>45917</v>
      </c>
      <c r="E2406" t="s">
        <v>20</v>
      </c>
      <c r="F2406" t="s">
        <v>4840</v>
      </c>
      <c r="G2406" t="s">
        <v>15</v>
      </c>
      <c r="H2406" t="s">
        <v>4841</v>
      </c>
      <c r="I2406" t="s">
        <v>4842</v>
      </c>
      <c r="J2406" s="4">
        <v>46080.732041990741</v>
      </c>
    </row>
    <row r="2407" spans="1:10" x14ac:dyDescent="0.55000000000000004">
      <c r="A2407" t="s">
        <v>4839</v>
      </c>
      <c r="B2407">
        <v>101248</v>
      </c>
      <c r="C2407" t="s">
        <v>37</v>
      </c>
      <c r="D2407" s="3">
        <v>45917</v>
      </c>
      <c r="E2407" t="s">
        <v>115</v>
      </c>
      <c r="F2407" t="s">
        <v>4840</v>
      </c>
      <c r="G2407" t="s">
        <v>15</v>
      </c>
      <c r="H2407" t="s">
        <v>4841</v>
      </c>
      <c r="I2407" t="s">
        <v>4842</v>
      </c>
      <c r="J2407" s="4">
        <v>46080.732041990741</v>
      </c>
    </row>
    <row r="2408" spans="1:10" x14ac:dyDescent="0.55000000000000004">
      <c r="A2408" t="s">
        <v>4843</v>
      </c>
      <c r="B2408">
        <v>101110</v>
      </c>
      <c r="C2408" t="s">
        <v>533</v>
      </c>
      <c r="D2408" s="3">
        <v>45925</v>
      </c>
      <c r="E2408" t="s">
        <v>69</v>
      </c>
      <c r="F2408" t="s">
        <v>4844</v>
      </c>
      <c r="G2408" t="s">
        <v>15</v>
      </c>
      <c r="H2408" t="s">
        <v>4845</v>
      </c>
      <c r="I2408" t="s">
        <v>4846</v>
      </c>
      <c r="J2408" s="4">
        <v>46090.496625335647</v>
      </c>
    </row>
    <row r="2409" spans="1:10" x14ac:dyDescent="0.55000000000000004">
      <c r="A2409" t="s">
        <v>4847</v>
      </c>
      <c r="B2409">
        <v>101186</v>
      </c>
      <c r="C2409" t="s">
        <v>19</v>
      </c>
      <c r="D2409" s="3">
        <v>46104</v>
      </c>
      <c r="E2409" t="s">
        <v>38</v>
      </c>
      <c r="F2409" t="s">
        <v>4848</v>
      </c>
      <c r="G2409" t="s">
        <v>15</v>
      </c>
      <c r="H2409" t="s">
        <v>4849</v>
      </c>
      <c r="I2409" t="s">
        <v>4850</v>
      </c>
      <c r="J2409" s="4">
        <v>46064.250097557873</v>
      </c>
    </row>
    <row r="2410" spans="1:10" x14ac:dyDescent="0.55000000000000004">
      <c r="A2410" t="s">
        <v>4847</v>
      </c>
      <c r="B2410">
        <v>101186</v>
      </c>
      <c r="C2410" t="s">
        <v>19</v>
      </c>
      <c r="D2410" s="3">
        <v>46104</v>
      </c>
      <c r="E2410" t="s">
        <v>69</v>
      </c>
      <c r="F2410" t="s">
        <v>4848</v>
      </c>
      <c r="G2410" t="s">
        <v>15</v>
      </c>
      <c r="H2410" t="s">
        <v>4849</v>
      </c>
      <c r="I2410" t="s">
        <v>4850</v>
      </c>
      <c r="J2410" s="4">
        <v>46064.250097557873</v>
      </c>
    </row>
    <row r="2411" spans="1:10" x14ac:dyDescent="0.55000000000000004">
      <c r="A2411" t="s">
        <v>4851</v>
      </c>
      <c r="B2411">
        <v>100119</v>
      </c>
      <c r="C2411" t="s">
        <v>19</v>
      </c>
      <c r="D2411" s="3">
        <v>45876</v>
      </c>
      <c r="E2411" t="s">
        <v>38</v>
      </c>
      <c r="F2411" t="s">
        <v>4852</v>
      </c>
      <c r="G2411" t="s">
        <v>15</v>
      </c>
      <c r="H2411" t="s">
        <v>4853</v>
      </c>
      <c r="I2411" t="s">
        <v>4854</v>
      </c>
      <c r="J2411" s="4">
        <v>46087.293847569446</v>
      </c>
    </row>
    <row r="2412" spans="1:10" x14ac:dyDescent="0.55000000000000004">
      <c r="A2412" t="s">
        <v>4851</v>
      </c>
      <c r="B2412">
        <v>100119</v>
      </c>
      <c r="C2412" t="s">
        <v>19</v>
      </c>
      <c r="D2412" s="3">
        <v>45876</v>
      </c>
      <c r="E2412" t="s">
        <v>20</v>
      </c>
      <c r="F2412" t="s">
        <v>4852</v>
      </c>
      <c r="G2412" t="s">
        <v>15</v>
      </c>
      <c r="H2412" t="s">
        <v>4853</v>
      </c>
      <c r="I2412" t="s">
        <v>4854</v>
      </c>
      <c r="J2412" s="4">
        <v>46087.293847569446</v>
      </c>
    </row>
    <row r="2413" spans="1:10" x14ac:dyDescent="0.55000000000000004">
      <c r="A2413" t="s">
        <v>4851</v>
      </c>
      <c r="B2413">
        <v>100119</v>
      </c>
      <c r="C2413" t="s">
        <v>19</v>
      </c>
      <c r="D2413" s="3">
        <v>45876</v>
      </c>
      <c r="E2413" t="s">
        <v>155</v>
      </c>
      <c r="F2413" t="s">
        <v>4852</v>
      </c>
      <c r="G2413" t="s">
        <v>15</v>
      </c>
      <c r="H2413" t="s">
        <v>4853</v>
      </c>
      <c r="I2413" t="s">
        <v>4854</v>
      </c>
      <c r="J2413" s="4">
        <v>46087.293847569446</v>
      </c>
    </row>
    <row r="2414" spans="1:10" x14ac:dyDescent="0.55000000000000004">
      <c r="A2414" t="s">
        <v>4855</v>
      </c>
      <c r="B2414">
        <v>100445</v>
      </c>
      <c r="C2414" t="s">
        <v>179</v>
      </c>
      <c r="D2414" s="3">
        <v>45824</v>
      </c>
      <c r="E2414" t="s">
        <v>317</v>
      </c>
      <c r="F2414" t="s">
        <v>3564</v>
      </c>
      <c r="G2414" t="s">
        <v>22</v>
      </c>
      <c r="H2414" t="s">
        <v>4856</v>
      </c>
      <c r="I2414" t="s">
        <v>4857</v>
      </c>
      <c r="J2414" s="4">
        <v>46066.90356979167</v>
      </c>
    </row>
    <row r="2415" spans="1:10" x14ac:dyDescent="0.55000000000000004">
      <c r="A2415" t="s">
        <v>4855</v>
      </c>
      <c r="B2415">
        <v>100445</v>
      </c>
      <c r="C2415" t="s">
        <v>179</v>
      </c>
      <c r="D2415" s="3">
        <v>45824</v>
      </c>
      <c r="E2415" t="s">
        <v>38</v>
      </c>
      <c r="F2415" t="s">
        <v>3564</v>
      </c>
      <c r="G2415" t="s">
        <v>22</v>
      </c>
      <c r="H2415" t="s">
        <v>4856</v>
      </c>
      <c r="I2415" t="s">
        <v>4857</v>
      </c>
      <c r="J2415" s="4">
        <v>46066.90356979167</v>
      </c>
    </row>
    <row r="2416" spans="1:10" x14ac:dyDescent="0.55000000000000004">
      <c r="A2416" t="s">
        <v>4858</v>
      </c>
      <c r="B2416">
        <v>100607</v>
      </c>
      <c r="C2416" t="s">
        <v>533</v>
      </c>
      <c r="D2416" s="3">
        <v>45864</v>
      </c>
      <c r="E2416" t="s">
        <v>317</v>
      </c>
      <c r="F2416" t="s">
        <v>4859</v>
      </c>
      <c r="G2416" t="s">
        <v>15</v>
      </c>
      <c r="H2416" t="s">
        <v>4860</v>
      </c>
      <c r="I2416" t="s">
        <v>4861</v>
      </c>
      <c r="J2416" s="4">
        <v>46055.566764247684</v>
      </c>
    </row>
    <row r="2417" spans="1:11" x14ac:dyDescent="0.55000000000000004">
      <c r="A2417" t="s">
        <v>4862</v>
      </c>
      <c r="B2417">
        <v>100388</v>
      </c>
      <c r="C2417" t="s">
        <v>533</v>
      </c>
      <c r="D2417" s="3">
        <v>45925</v>
      </c>
      <c r="E2417" t="s">
        <v>317</v>
      </c>
      <c r="F2417" t="s">
        <v>4863</v>
      </c>
      <c r="G2417" t="s">
        <v>22</v>
      </c>
      <c r="H2417" t="s">
        <v>4864</v>
      </c>
      <c r="I2417" t="s">
        <v>4865</v>
      </c>
      <c r="J2417" s="4">
        <v>46052.391764247688</v>
      </c>
    </row>
    <row r="2418" spans="1:11" x14ac:dyDescent="0.55000000000000004">
      <c r="A2418" t="s">
        <v>4862</v>
      </c>
      <c r="B2418">
        <v>100388</v>
      </c>
      <c r="C2418" t="s">
        <v>533</v>
      </c>
      <c r="D2418" s="3">
        <v>45925</v>
      </c>
      <c r="E2418" t="s">
        <v>20</v>
      </c>
      <c r="F2418" t="s">
        <v>4863</v>
      </c>
      <c r="G2418" t="s">
        <v>22</v>
      </c>
      <c r="H2418" t="s">
        <v>4864</v>
      </c>
      <c r="I2418" t="s">
        <v>4865</v>
      </c>
      <c r="J2418" s="4">
        <v>46052.391764247688</v>
      </c>
    </row>
    <row r="2419" spans="1:11" x14ac:dyDescent="0.55000000000000004">
      <c r="A2419" t="s">
        <v>4862</v>
      </c>
      <c r="B2419">
        <v>100388</v>
      </c>
      <c r="C2419" t="s">
        <v>533</v>
      </c>
      <c r="D2419" s="3">
        <v>45925</v>
      </c>
      <c r="E2419" t="s">
        <v>155</v>
      </c>
      <c r="F2419" t="s">
        <v>4863</v>
      </c>
      <c r="G2419" t="s">
        <v>22</v>
      </c>
      <c r="H2419" t="s">
        <v>4864</v>
      </c>
      <c r="I2419" t="s">
        <v>4865</v>
      </c>
      <c r="J2419" s="4">
        <v>46052.391764247688</v>
      </c>
    </row>
    <row r="2420" spans="1:11" x14ac:dyDescent="0.55000000000000004">
      <c r="A2420" t="s">
        <v>4866</v>
      </c>
      <c r="B2420">
        <v>100317</v>
      </c>
      <c r="C2420" t="s">
        <v>19</v>
      </c>
      <c r="D2420" s="3">
        <v>45946</v>
      </c>
      <c r="E2420" t="s">
        <v>317</v>
      </c>
      <c r="F2420" t="s">
        <v>4867</v>
      </c>
      <c r="G2420" t="s">
        <v>22</v>
      </c>
      <c r="H2420" t="s">
        <v>4868</v>
      </c>
      <c r="I2420" t="s">
        <v>4869</v>
      </c>
      <c r="J2420" s="4">
        <v>46068.032042025465</v>
      </c>
    </row>
    <row r="2421" spans="1:11" x14ac:dyDescent="0.55000000000000004">
      <c r="A2421" t="s">
        <v>4866</v>
      </c>
      <c r="B2421">
        <v>100317</v>
      </c>
      <c r="C2421" t="s">
        <v>19</v>
      </c>
      <c r="D2421" s="3">
        <v>45946</v>
      </c>
      <c r="E2421" t="s">
        <v>115</v>
      </c>
      <c r="F2421" t="s">
        <v>4867</v>
      </c>
      <c r="G2421" t="s">
        <v>22</v>
      </c>
      <c r="H2421" t="s">
        <v>4868</v>
      </c>
      <c r="I2421" t="s">
        <v>4869</v>
      </c>
      <c r="J2421" s="4">
        <v>46068.032042025465</v>
      </c>
    </row>
    <row r="2422" spans="1:11" x14ac:dyDescent="0.55000000000000004">
      <c r="A2422" t="s">
        <v>4866</v>
      </c>
      <c r="B2422">
        <v>100317</v>
      </c>
      <c r="C2422" t="s">
        <v>19</v>
      </c>
      <c r="D2422" s="3">
        <v>45946</v>
      </c>
      <c r="E2422" t="s">
        <v>69</v>
      </c>
      <c r="F2422" t="s">
        <v>4867</v>
      </c>
      <c r="G2422" t="s">
        <v>22</v>
      </c>
      <c r="H2422" t="s">
        <v>4868</v>
      </c>
      <c r="I2422" t="s">
        <v>4869</v>
      </c>
      <c r="J2422" s="4">
        <v>46068.032042025465</v>
      </c>
    </row>
    <row r="2423" spans="1:11" x14ac:dyDescent="0.55000000000000004">
      <c r="A2423" t="s">
        <v>4870</v>
      </c>
      <c r="B2423">
        <v>100996</v>
      </c>
      <c r="C2423" t="s">
        <v>68</v>
      </c>
      <c r="D2423" s="3">
        <v>45873</v>
      </c>
      <c r="E2423" t="s">
        <v>38</v>
      </c>
      <c r="F2423" t="s">
        <v>4871</v>
      </c>
      <c r="G2423" t="s">
        <v>22</v>
      </c>
      <c r="H2423" t="s">
        <v>4872</v>
      </c>
      <c r="I2423" t="s">
        <v>4873</v>
      </c>
      <c r="J2423" s="4">
        <v>46057.622319814815</v>
      </c>
    </row>
    <row r="2424" spans="1:11" x14ac:dyDescent="0.55000000000000004">
      <c r="A2424" t="s">
        <v>4870</v>
      </c>
      <c r="B2424">
        <v>100996</v>
      </c>
      <c r="C2424" t="s">
        <v>68</v>
      </c>
      <c r="D2424" s="3">
        <v>45873</v>
      </c>
      <c r="E2424" t="s">
        <v>115</v>
      </c>
      <c r="F2424" t="s">
        <v>4871</v>
      </c>
      <c r="G2424" t="s">
        <v>22</v>
      </c>
      <c r="H2424" t="s">
        <v>4872</v>
      </c>
      <c r="I2424" t="s">
        <v>4873</v>
      </c>
      <c r="J2424" s="4">
        <v>46057.622319814815</v>
      </c>
    </row>
    <row r="2425" spans="1:11" x14ac:dyDescent="0.55000000000000004">
      <c r="A2425" t="s">
        <v>4874</v>
      </c>
      <c r="B2425">
        <v>101138</v>
      </c>
      <c r="C2425" t="s">
        <v>68</v>
      </c>
      <c r="D2425" s="3">
        <v>45940</v>
      </c>
      <c r="E2425" t="s">
        <v>317</v>
      </c>
      <c r="F2425" t="s">
        <v>4875</v>
      </c>
      <c r="G2425" t="s">
        <v>15</v>
      </c>
      <c r="H2425" t="s">
        <v>4876</v>
      </c>
      <c r="I2425" t="s">
        <v>4877</v>
      </c>
      <c r="J2425" s="4">
        <v>46082.613292037036</v>
      </c>
    </row>
    <row r="2426" spans="1:11" x14ac:dyDescent="0.55000000000000004">
      <c r="A2426" t="s">
        <v>4874</v>
      </c>
      <c r="B2426">
        <v>101138</v>
      </c>
      <c r="C2426" t="s">
        <v>68</v>
      </c>
      <c r="D2426" s="3">
        <v>45940</v>
      </c>
      <c r="E2426" t="s">
        <v>155</v>
      </c>
      <c r="F2426" t="s">
        <v>4875</v>
      </c>
      <c r="G2426" t="s">
        <v>15</v>
      </c>
      <c r="H2426" t="s">
        <v>4876</v>
      </c>
      <c r="I2426" t="s">
        <v>4877</v>
      </c>
      <c r="J2426" s="4">
        <v>46082.613292037036</v>
      </c>
    </row>
    <row r="2427" spans="1:11" x14ac:dyDescent="0.55000000000000004">
      <c r="A2427" t="s">
        <v>4878</v>
      </c>
      <c r="C2427" t="s">
        <v>533</v>
      </c>
      <c r="D2427" s="3">
        <v>46026</v>
      </c>
      <c r="E2427" t="s">
        <v>155</v>
      </c>
      <c r="F2427" t="s">
        <v>4879</v>
      </c>
      <c r="G2427" t="s">
        <v>22</v>
      </c>
      <c r="H2427" t="s">
        <v>4880</v>
      </c>
      <c r="I2427" t="s">
        <v>4881</v>
      </c>
      <c r="J2427" s="4">
        <v>46062.045236493053</v>
      </c>
      <c r="K2427" t="s">
        <v>112</v>
      </c>
    </row>
    <row r="2428" spans="1:11" x14ac:dyDescent="0.55000000000000004">
      <c r="A2428" t="s">
        <v>4882</v>
      </c>
      <c r="B2428">
        <v>100584</v>
      </c>
      <c r="C2428" t="s">
        <v>37</v>
      </c>
      <c r="D2428" s="3">
        <v>45949</v>
      </c>
      <c r="E2428" t="s">
        <v>38</v>
      </c>
      <c r="F2428" t="s">
        <v>4883</v>
      </c>
      <c r="G2428" t="s">
        <v>22</v>
      </c>
      <c r="H2428" t="s">
        <v>4884</v>
      </c>
      <c r="I2428" t="s">
        <v>4885</v>
      </c>
      <c r="J2428" s="4">
        <v>46064.771625381945</v>
      </c>
    </row>
    <row r="2429" spans="1:11" x14ac:dyDescent="0.55000000000000004">
      <c r="A2429" t="s">
        <v>4882</v>
      </c>
      <c r="B2429">
        <v>100584</v>
      </c>
      <c r="C2429" t="s">
        <v>37</v>
      </c>
      <c r="D2429" s="3">
        <v>45949</v>
      </c>
      <c r="E2429" t="s">
        <v>115</v>
      </c>
      <c r="F2429" t="s">
        <v>4883</v>
      </c>
      <c r="G2429" t="s">
        <v>22</v>
      </c>
      <c r="H2429" t="s">
        <v>4884</v>
      </c>
      <c r="I2429" t="s">
        <v>4885</v>
      </c>
      <c r="J2429" s="4">
        <v>46064.771625381945</v>
      </c>
    </row>
    <row r="2430" spans="1:11" x14ac:dyDescent="0.55000000000000004">
      <c r="A2430" t="s">
        <v>4882</v>
      </c>
      <c r="B2430">
        <v>100584</v>
      </c>
      <c r="C2430" t="s">
        <v>37</v>
      </c>
      <c r="D2430" s="3">
        <v>45949</v>
      </c>
      <c r="E2430" t="s">
        <v>69</v>
      </c>
      <c r="F2430" t="s">
        <v>4883</v>
      </c>
      <c r="G2430" t="s">
        <v>22</v>
      </c>
      <c r="H2430" t="s">
        <v>4884</v>
      </c>
      <c r="I2430" t="s">
        <v>4885</v>
      </c>
      <c r="J2430" s="4">
        <v>46064.771625381945</v>
      </c>
    </row>
    <row r="2431" spans="1:11" x14ac:dyDescent="0.55000000000000004">
      <c r="A2431" t="s">
        <v>4886</v>
      </c>
      <c r="B2431">
        <v>100931</v>
      </c>
      <c r="C2431" t="s">
        <v>19</v>
      </c>
      <c r="D2431" s="3">
        <v>46089</v>
      </c>
      <c r="E2431" t="s">
        <v>69</v>
      </c>
      <c r="F2431" t="s">
        <v>4887</v>
      </c>
      <c r="G2431" t="s">
        <v>15</v>
      </c>
      <c r="H2431" t="s">
        <v>4888</v>
      </c>
      <c r="I2431" t="s">
        <v>4889</v>
      </c>
      <c r="J2431" s="4">
        <v>46058.475792060184</v>
      </c>
    </row>
    <row r="2432" spans="1:11" x14ac:dyDescent="0.55000000000000004">
      <c r="A2432" t="s">
        <v>4890</v>
      </c>
      <c r="B2432">
        <v>100543</v>
      </c>
      <c r="C2432" t="s">
        <v>37</v>
      </c>
      <c r="D2432" s="3">
        <v>46097</v>
      </c>
      <c r="E2432" t="s">
        <v>317</v>
      </c>
      <c r="F2432" t="s">
        <v>4891</v>
      </c>
      <c r="G2432" t="s">
        <v>22</v>
      </c>
      <c r="H2432" t="s">
        <v>4892</v>
      </c>
      <c r="I2432" t="s">
        <v>4893</v>
      </c>
      <c r="J2432" s="4">
        <v>46081.805653171294</v>
      </c>
    </row>
    <row r="2433" spans="1:10" x14ac:dyDescent="0.55000000000000004">
      <c r="A2433" t="s">
        <v>4890</v>
      </c>
      <c r="B2433">
        <v>100543</v>
      </c>
      <c r="C2433" t="s">
        <v>37</v>
      </c>
      <c r="D2433" s="3">
        <v>46097</v>
      </c>
      <c r="E2433" t="s">
        <v>38</v>
      </c>
      <c r="F2433" t="s">
        <v>4891</v>
      </c>
      <c r="G2433" t="s">
        <v>22</v>
      </c>
      <c r="H2433" t="s">
        <v>4892</v>
      </c>
      <c r="I2433" t="s">
        <v>4893</v>
      </c>
      <c r="J2433" s="4">
        <v>46081.805653171294</v>
      </c>
    </row>
    <row r="2434" spans="1:10" x14ac:dyDescent="0.55000000000000004">
      <c r="A2434" t="s">
        <v>4894</v>
      </c>
      <c r="B2434">
        <v>100799</v>
      </c>
      <c r="C2434" t="s">
        <v>19</v>
      </c>
      <c r="D2434" s="3">
        <v>46082</v>
      </c>
      <c r="E2434" t="s">
        <v>38</v>
      </c>
      <c r="F2434" t="s">
        <v>4895</v>
      </c>
      <c r="G2434" t="s">
        <v>15</v>
      </c>
      <c r="H2434" t="s">
        <v>4896</v>
      </c>
      <c r="I2434" t="s">
        <v>4897</v>
      </c>
      <c r="J2434" s="4">
        <v>46054.001486504632</v>
      </c>
    </row>
    <row r="2435" spans="1:10" x14ac:dyDescent="0.55000000000000004">
      <c r="A2435" t="s">
        <v>4894</v>
      </c>
      <c r="B2435">
        <v>100799</v>
      </c>
      <c r="C2435" t="s">
        <v>19</v>
      </c>
      <c r="D2435" s="3">
        <v>46082</v>
      </c>
      <c r="E2435" t="s">
        <v>155</v>
      </c>
      <c r="F2435" t="s">
        <v>4895</v>
      </c>
      <c r="G2435" t="s">
        <v>15</v>
      </c>
      <c r="H2435" t="s">
        <v>4896</v>
      </c>
      <c r="I2435" t="s">
        <v>4897</v>
      </c>
      <c r="J2435" s="4">
        <v>46054.001486504632</v>
      </c>
    </row>
    <row r="2436" spans="1:10" x14ac:dyDescent="0.55000000000000004">
      <c r="A2436" t="s">
        <v>4894</v>
      </c>
      <c r="B2436">
        <v>100799</v>
      </c>
      <c r="C2436" t="s">
        <v>19</v>
      </c>
      <c r="D2436" s="3">
        <v>46082</v>
      </c>
      <c r="E2436" t="s">
        <v>69</v>
      </c>
      <c r="F2436" t="s">
        <v>4895</v>
      </c>
      <c r="G2436" t="s">
        <v>15</v>
      </c>
      <c r="H2436" t="s">
        <v>4896</v>
      </c>
      <c r="I2436" t="s">
        <v>4897</v>
      </c>
      <c r="J2436" s="4">
        <v>46054.001486504632</v>
      </c>
    </row>
    <row r="2437" spans="1:10" x14ac:dyDescent="0.55000000000000004">
      <c r="A2437" t="s">
        <v>4898</v>
      </c>
      <c r="B2437">
        <v>100004</v>
      </c>
      <c r="C2437" t="s">
        <v>248</v>
      </c>
      <c r="D2437" s="3">
        <v>45821</v>
      </c>
      <c r="E2437" t="s">
        <v>20</v>
      </c>
      <c r="F2437" t="s">
        <v>4899</v>
      </c>
      <c r="G2437" t="s">
        <v>15</v>
      </c>
      <c r="H2437" t="s">
        <v>4900</v>
      </c>
      <c r="I2437" t="s">
        <v>4901</v>
      </c>
      <c r="J2437" s="4">
        <v>46065.243847627316</v>
      </c>
    </row>
    <row r="2438" spans="1:10" x14ac:dyDescent="0.55000000000000004">
      <c r="A2438" t="s">
        <v>4902</v>
      </c>
      <c r="B2438">
        <v>100776</v>
      </c>
      <c r="C2438" t="s">
        <v>37</v>
      </c>
      <c r="D2438" s="3">
        <v>45948</v>
      </c>
      <c r="E2438" t="s">
        <v>115</v>
      </c>
      <c r="F2438" t="s">
        <v>4903</v>
      </c>
      <c r="G2438" t="s">
        <v>22</v>
      </c>
      <c r="H2438" t="s">
        <v>4904</v>
      </c>
      <c r="I2438" t="s">
        <v>4905</v>
      </c>
      <c r="J2438" s="4">
        <v>46090.265375405092</v>
      </c>
    </row>
    <row r="2439" spans="1:10" x14ac:dyDescent="0.55000000000000004">
      <c r="A2439" t="s">
        <v>4902</v>
      </c>
      <c r="B2439">
        <v>100776</v>
      </c>
      <c r="C2439" t="s">
        <v>37</v>
      </c>
      <c r="D2439" s="3">
        <v>45948</v>
      </c>
      <c r="E2439" t="s">
        <v>69</v>
      </c>
      <c r="F2439" t="s">
        <v>4903</v>
      </c>
      <c r="G2439" t="s">
        <v>22</v>
      </c>
      <c r="H2439" t="s">
        <v>4904</v>
      </c>
      <c r="I2439" t="s">
        <v>4905</v>
      </c>
      <c r="J2439" s="4">
        <v>46090.265375405092</v>
      </c>
    </row>
    <row r="2440" spans="1:10" x14ac:dyDescent="0.55000000000000004">
      <c r="A2440" t="s">
        <v>4906</v>
      </c>
      <c r="B2440">
        <v>100337</v>
      </c>
      <c r="C2440" t="s">
        <v>248</v>
      </c>
      <c r="D2440" s="3">
        <v>46157</v>
      </c>
      <c r="E2440" t="s">
        <v>38</v>
      </c>
      <c r="F2440" t="s">
        <v>4907</v>
      </c>
      <c r="G2440" t="s">
        <v>22</v>
      </c>
      <c r="H2440" t="s">
        <v>4908</v>
      </c>
      <c r="I2440" t="s">
        <v>4909</v>
      </c>
      <c r="J2440" s="4">
        <v>46079.369542071756</v>
      </c>
    </row>
    <row r="2441" spans="1:10" x14ac:dyDescent="0.55000000000000004">
      <c r="A2441" t="s">
        <v>4906</v>
      </c>
      <c r="B2441">
        <v>100337</v>
      </c>
      <c r="C2441" t="s">
        <v>248</v>
      </c>
      <c r="D2441" s="3">
        <v>46157</v>
      </c>
      <c r="E2441" t="s">
        <v>20</v>
      </c>
      <c r="F2441" t="s">
        <v>4907</v>
      </c>
      <c r="G2441" t="s">
        <v>22</v>
      </c>
      <c r="H2441" t="s">
        <v>4908</v>
      </c>
      <c r="I2441" t="s">
        <v>4909</v>
      </c>
      <c r="J2441" s="4">
        <v>46079.369542071756</v>
      </c>
    </row>
    <row r="2442" spans="1:10" x14ac:dyDescent="0.55000000000000004">
      <c r="A2442" t="s">
        <v>4906</v>
      </c>
      <c r="B2442">
        <v>100337</v>
      </c>
      <c r="C2442" t="s">
        <v>248</v>
      </c>
      <c r="D2442" s="3">
        <v>46157</v>
      </c>
      <c r="E2442" t="s">
        <v>155</v>
      </c>
      <c r="F2442" t="s">
        <v>4907</v>
      </c>
      <c r="G2442" t="s">
        <v>22</v>
      </c>
      <c r="H2442" t="s">
        <v>4908</v>
      </c>
      <c r="I2442" t="s">
        <v>4909</v>
      </c>
      <c r="J2442" s="4">
        <v>46079.369542071756</v>
      </c>
    </row>
    <row r="2443" spans="1:10" x14ac:dyDescent="0.55000000000000004">
      <c r="A2443" t="s">
        <v>4910</v>
      </c>
      <c r="B2443">
        <v>101277</v>
      </c>
      <c r="C2443" t="s">
        <v>248</v>
      </c>
      <c r="D2443" s="3">
        <v>45733</v>
      </c>
      <c r="E2443" t="s">
        <v>317</v>
      </c>
      <c r="F2443" t="s">
        <v>4911</v>
      </c>
      <c r="G2443" t="s">
        <v>15</v>
      </c>
      <c r="H2443" t="s">
        <v>4912</v>
      </c>
      <c r="I2443" t="s">
        <v>4913</v>
      </c>
      <c r="J2443" s="4">
        <v>46077.832042083333</v>
      </c>
    </row>
    <row r="2444" spans="1:10" x14ac:dyDescent="0.55000000000000004">
      <c r="A2444" t="s">
        <v>4910</v>
      </c>
      <c r="B2444">
        <v>101277</v>
      </c>
      <c r="C2444" t="s">
        <v>248</v>
      </c>
      <c r="D2444" s="3">
        <v>45733</v>
      </c>
      <c r="E2444" t="s">
        <v>38</v>
      </c>
      <c r="F2444" t="s">
        <v>4911</v>
      </c>
      <c r="G2444" t="s">
        <v>15</v>
      </c>
      <c r="H2444" t="s">
        <v>4912</v>
      </c>
      <c r="I2444" t="s">
        <v>4913</v>
      </c>
      <c r="J2444" s="4">
        <v>46077.832042083333</v>
      </c>
    </row>
    <row r="2445" spans="1:10" x14ac:dyDescent="0.55000000000000004">
      <c r="A2445" t="s">
        <v>4910</v>
      </c>
      <c r="B2445">
        <v>101277</v>
      </c>
      <c r="C2445" t="s">
        <v>248</v>
      </c>
      <c r="D2445" s="3">
        <v>45733</v>
      </c>
      <c r="E2445" t="s">
        <v>69</v>
      </c>
      <c r="F2445" t="s">
        <v>4911</v>
      </c>
      <c r="G2445" t="s">
        <v>15</v>
      </c>
      <c r="H2445" t="s">
        <v>4912</v>
      </c>
      <c r="I2445" t="s">
        <v>4913</v>
      </c>
      <c r="J2445" s="4">
        <v>46077.832042083333</v>
      </c>
    </row>
    <row r="2446" spans="1:10" x14ac:dyDescent="0.55000000000000004">
      <c r="A2446" t="s">
        <v>4914</v>
      </c>
      <c r="B2446">
        <v>101397</v>
      </c>
      <c r="C2446" t="s">
        <v>19</v>
      </c>
      <c r="D2446" s="3">
        <v>46154</v>
      </c>
      <c r="E2446" t="s">
        <v>69</v>
      </c>
      <c r="F2446" t="s">
        <v>4915</v>
      </c>
      <c r="G2446" t="s">
        <v>22</v>
      </c>
      <c r="H2446" t="s">
        <v>4916</v>
      </c>
      <c r="I2446" t="s">
        <v>4917</v>
      </c>
      <c r="J2446" s="4">
        <v>46094.240375416666</v>
      </c>
    </row>
    <row r="2447" spans="1:10" x14ac:dyDescent="0.55000000000000004">
      <c r="A2447" t="s">
        <v>4918</v>
      </c>
      <c r="B2447">
        <v>100437</v>
      </c>
      <c r="C2447" t="s">
        <v>37</v>
      </c>
      <c r="D2447" s="3">
        <v>46047</v>
      </c>
      <c r="E2447" t="s">
        <v>317</v>
      </c>
      <c r="F2447" t="s">
        <v>4919</v>
      </c>
      <c r="G2447" t="s">
        <v>22</v>
      </c>
      <c r="H2447" t="s">
        <v>4920</v>
      </c>
      <c r="I2447" t="s">
        <v>4921</v>
      </c>
      <c r="J2447" s="4">
        <v>46091.738986539349</v>
      </c>
    </row>
    <row r="2448" spans="1:10" x14ac:dyDescent="0.55000000000000004">
      <c r="A2448" t="s">
        <v>4918</v>
      </c>
      <c r="B2448">
        <v>100437</v>
      </c>
      <c r="C2448" t="s">
        <v>37</v>
      </c>
      <c r="D2448" s="3">
        <v>46047</v>
      </c>
      <c r="E2448" t="s">
        <v>20</v>
      </c>
      <c r="F2448" t="s">
        <v>4919</v>
      </c>
      <c r="G2448" t="s">
        <v>22</v>
      </c>
      <c r="H2448" t="s">
        <v>4920</v>
      </c>
      <c r="I2448" t="s">
        <v>4921</v>
      </c>
      <c r="J2448" s="4">
        <v>46091.738986539349</v>
      </c>
    </row>
    <row r="2449" spans="1:11" x14ac:dyDescent="0.55000000000000004">
      <c r="A2449" t="s">
        <v>4922</v>
      </c>
      <c r="B2449">
        <v>100985</v>
      </c>
      <c r="C2449" t="s">
        <v>68</v>
      </c>
      <c r="D2449" s="3">
        <v>46101</v>
      </c>
      <c r="E2449" t="s">
        <v>69</v>
      </c>
      <c r="F2449" t="s">
        <v>4923</v>
      </c>
      <c r="G2449" t="s">
        <v>22</v>
      </c>
      <c r="H2449" t="s">
        <v>4924</v>
      </c>
      <c r="I2449" t="s">
        <v>4925</v>
      </c>
      <c r="J2449" s="4">
        <v>46097.602180983798</v>
      </c>
    </row>
    <row r="2450" spans="1:11" x14ac:dyDescent="0.55000000000000004">
      <c r="A2450" t="s">
        <v>4926</v>
      </c>
      <c r="B2450">
        <v>101268</v>
      </c>
      <c r="C2450" t="s">
        <v>179</v>
      </c>
      <c r="D2450" s="3">
        <v>45983</v>
      </c>
      <c r="E2450" t="s">
        <v>155</v>
      </c>
      <c r="F2450" t="s">
        <v>4927</v>
      </c>
      <c r="G2450" t="s">
        <v>15</v>
      </c>
      <c r="H2450" t="s">
        <v>4928</v>
      </c>
      <c r="I2450" t="s">
        <v>4929</v>
      </c>
      <c r="J2450" s="4">
        <v>46071.570236539352</v>
      </c>
    </row>
    <row r="2451" spans="1:11" x14ac:dyDescent="0.55000000000000004">
      <c r="A2451" t="s">
        <v>4930</v>
      </c>
      <c r="B2451">
        <v>100832</v>
      </c>
      <c r="C2451" t="s">
        <v>19</v>
      </c>
      <c r="D2451" s="3">
        <v>45735</v>
      </c>
      <c r="E2451" t="s">
        <v>317</v>
      </c>
      <c r="F2451" t="s">
        <v>4931</v>
      </c>
      <c r="G2451" t="s">
        <v>22</v>
      </c>
      <c r="H2451" t="s">
        <v>4932</v>
      </c>
      <c r="I2451" t="s">
        <v>4933</v>
      </c>
      <c r="J2451" s="4">
        <v>46083.077180995373</v>
      </c>
    </row>
    <row r="2452" spans="1:11" x14ac:dyDescent="0.55000000000000004">
      <c r="A2452" t="s">
        <v>4934</v>
      </c>
      <c r="B2452">
        <v>100340</v>
      </c>
      <c r="C2452" t="s">
        <v>179</v>
      </c>
      <c r="D2452" s="3">
        <v>45923</v>
      </c>
      <c r="E2452" t="s">
        <v>20</v>
      </c>
      <c r="F2452" t="s">
        <v>4935</v>
      </c>
      <c r="G2452" t="s">
        <v>15</v>
      </c>
      <c r="H2452" t="s">
        <v>4936</v>
      </c>
      <c r="I2452" t="s">
        <v>4937</v>
      </c>
      <c r="J2452" s="4">
        <v>46063.363292106478</v>
      </c>
    </row>
    <row r="2453" spans="1:11" x14ac:dyDescent="0.55000000000000004">
      <c r="A2453" t="s">
        <v>4934</v>
      </c>
      <c r="B2453">
        <v>100340</v>
      </c>
      <c r="C2453" t="s">
        <v>179</v>
      </c>
      <c r="D2453" s="3">
        <v>45923</v>
      </c>
      <c r="E2453" t="s">
        <v>69</v>
      </c>
      <c r="F2453" t="s">
        <v>4935</v>
      </c>
      <c r="G2453" t="s">
        <v>15</v>
      </c>
      <c r="H2453" t="s">
        <v>4936</v>
      </c>
      <c r="I2453" t="s">
        <v>4937</v>
      </c>
      <c r="J2453" s="4">
        <v>46063.363292106478</v>
      </c>
    </row>
    <row r="2454" spans="1:11" x14ac:dyDescent="0.55000000000000004">
      <c r="A2454" t="s">
        <v>4938</v>
      </c>
      <c r="B2454">
        <v>100484</v>
      </c>
      <c r="C2454" t="s">
        <v>533</v>
      </c>
      <c r="D2454" s="3">
        <v>45956</v>
      </c>
      <c r="E2454" t="s">
        <v>38</v>
      </c>
      <c r="F2454" t="s">
        <v>4939</v>
      </c>
      <c r="G2454" t="s">
        <v>22</v>
      </c>
      <c r="H2454" t="s">
        <v>4940</v>
      </c>
      <c r="I2454" t="s">
        <v>4941</v>
      </c>
      <c r="J2454" s="4">
        <v>46070.738292106478</v>
      </c>
    </row>
    <row r="2455" spans="1:11" x14ac:dyDescent="0.55000000000000004">
      <c r="A2455" t="s">
        <v>4938</v>
      </c>
      <c r="B2455">
        <v>100484</v>
      </c>
      <c r="C2455" t="s">
        <v>533</v>
      </c>
      <c r="D2455" s="3">
        <v>45956</v>
      </c>
      <c r="E2455" t="s">
        <v>115</v>
      </c>
      <c r="F2455" t="s">
        <v>4939</v>
      </c>
      <c r="G2455" t="s">
        <v>22</v>
      </c>
      <c r="H2455" t="s">
        <v>4940</v>
      </c>
      <c r="I2455" t="s">
        <v>4941</v>
      </c>
      <c r="J2455" s="4">
        <v>46070.738292106478</v>
      </c>
    </row>
    <row r="2456" spans="1:11" x14ac:dyDescent="0.55000000000000004">
      <c r="A2456" t="s">
        <v>4938</v>
      </c>
      <c r="B2456">
        <v>100484</v>
      </c>
      <c r="C2456" t="s">
        <v>533</v>
      </c>
      <c r="D2456" s="3">
        <v>45956</v>
      </c>
      <c r="E2456" t="s">
        <v>69</v>
      </c>
      <c r="F2456" t="s">
        <v>4939</v>
      </c>
      <c r="G2456" t="s">
        <v>22</v>
      </c>
      <c r="H2456" t="s">
        <v>4940</v>
      </c>
      <c r="I2456" t="s">
        <v>4941</v>
      </c>
      <c r="J2456" s="4">
        <v>46070.738292106478</v>
      </c>
    </row>
    <row r="2457" spans="1:11" x14ac:dyDescent="0.55000000000000004">
      <c r="A2457" t="s">
        <v>4942</v>
      </c>
      <c r="B2457">
        <v>101484</v>
      </c>
      <c r="D2457" s="3">
        <v>46095</v>
      </c>
      <c r="E2457" t="s">
        <v>155</v>
      </c>
      <c r="F2457" t="s">
        <v>4943</v>
      </c>
      <c r="G2457" t="s">
        <v>15</v>
      </c>
      <c r="H2457" t="s">
        <v>4944</v>
      </c>
      <c r="I2457" t="s">
        <v>4945</v>
      </c>
      <c r="J2457" s="4">
        <v>46079.688986562498</v>
      </c>
      <c r="K2457" t="s">
        <v>217</v>
      </c>
    </row>
    <row r="2458" spans="1:11" x14ac:dyDescent="0.55000000000000004">
      <c r="A2458" t="s">
        <v>4946</v>
      </c>
      <c r="B2458">
        <v>100030</v>
      </c>
      <c r="C2458" t="s">
        <v>533</v>
      </c>
      <c r="D2458" s="3">
        <v>45934</v>
      </c>
      <c r="E2458" t="s">
        <v>317</v>
      </c>
      <c r="F2458" t="s">
        <v>4947</v>
      </c>
      <c r="G2458" t="s">
        <v>15</v>
      </c>
      <c r="H2458" t="s">
        <v>224</v>
      </c>
      <c r="I2458" t="s">
        <v>4948</v>
      </c>
      <c r="J2458" s="4">
        <v>46086.798708784721</v>
      </c>
    </row>
    <row r="2459" spans="1:11" x14ac:dyDescent="0.55000000000000004">
      <c r="A2459" t="s">
        <v>4946</v>
      </c>
      <c r="B2459">
        <v>100030</v>
      </c>
      <c r="C2459" t="s">
        <v>533</v>
      </c>
      <c r="D2459" s="3">
        <v>45934</v>
      </c>
      <c r="E2459" t="s">
        <v>20</v>
      </c>
      <c r="F2459" t="s">
        <v>4947</v>
      </c>
      <c r="G2459" t="s">
        <v>15</v>
      </c>
      <c r="H2459" t="s">
        <v>224</v>
      </c>
      <c r="I2459" t="s">
        <v>4948</v>
      </c>
      <c r="J2459" s="4">
        <v>46086.798708784721</v>
      </c>
    </row>
    <row r="2460" spans="1:11" x14ac:dyDescent="0.55000000000000004">
      <c r="A2460" t="s">
        <v>4949</v>
      </c>
      <c r="B2460">
        <v>101107</v>
      </c>
      <c r="C2460" t="s">
        <v>248</v>
      </c>
      <c r="D2460" s="3">
        <v>45977</v>
      </c>
      <c r="E2460" t="s">
        <v>20</v>
      </c>
      <c r="F2460" t="s">
        <v>4950</v>
      </c>
      <c r="G2460" t="s">
        <v>22</v>
      </c>
      <c r="H2460" t="s">
        <v>4951</v>
      </c>
      <c r="I2460" t="s">
        <v>4952</v>
      </c>
      <c r="J2460" s="4">
        <v>46062.041764340276</v>
      </c>
    </row>
    <row r="2461" spans="1:11" x14ac:dyDescent="0.55000000000000004">
      <c r="A2461" t="s">
        <v>4949</v>
      </c>
      <c r="B2461">
        <v>101107</v>
      </c>
      <c r="C2461" t="s">
        <v>248</v>
      </c>
      <c r="D2461" s="3">
        <v>45977</v>
      </c>
      <c r="E2461" t="s">
        <v>155</v>
      </c>
      <c r="F2461" t="s">
        <v>4950</v>
      </c>
      <c r="G2461" t="s">
        <v>22</v>
      </c>
      <c r="H2461" t="s">
        <v>4951</v>
      </c>
      <c r="I2461" t="s">
        <v>4952</v>
      </c>
      <c r="J2461" s="4">
        <v>46062.041764340276</v>
      </c>
    </row>
    <row r="2462" spans="1:11" x14ac:dyDescent="0.55000000000000004">
      <c r="A2462" t="s">
        <v>4949</v>
      </c>
      <c r="B2462">
        <v>101107</v>
      </c>
      <c r="C2462" t="s">
        <v>248</v>
      </c>
      <c r="D2462" s="3">
        <v>45977</v>
      </c>
      <c r="E2462" t="s">
        <v>69</v>
      </c>
      <c r="F2462" t="s">
        <v>4950</v>
      </c>
      <c r="G2462" t="s">
        <v>22</v>
      </c>
      <c r="H2462" t="s">
        <v>4951</v>
      </c>
      <c r="I2462" t="s">
        <v>4952</v>
      </c>
      <c r="J2462" s="4">
        <v>46062.041764340276</v>
      </c>
    </row>
    <row r="2463" spans="1:11" x14ac:dyDescent="0.55000000000000004">
      <c r="A2463" t="s">
        <v>4953</v>
      </c>
      <c r="B2463">
        <v>100103</v>
      </c>
      <c r="C2463" t="s">
        <v>533</v>
      </c>
      <c r="D2463" s="3">
        <v>45898</v>
      </c>
      <c r="E2463" t="s">
        <v>38</v>
      </c>
      <c r="F2463" t="s">
        <v>4954</v>
      </c>
      <c r="G2463" t="s">
        <v>15</v>
      </c>
      <c r="H2463" t="s">
        <v>4955</v>
      </c>
      <c r="I2463" t="s">
        <v>4956</v>
      </c>
      <c r="J2463" s="4">
        <v>46090.593153240741</v>
      </c>
    </row>
    <row r="2464" spans="1:11" x14ac:dyDescent="0.55000000000000004">
      <c r="A2464" t="s">
        <v>4953</v>
      </c>
      <c r="B2464">
        <v>100103</v>
      </c>
      <c r="C2464" t="s">
        <v>533</v>
      </c>
      <c r="D2464" s="3">
        <v>45898</v>
      </c>
      <c r="E2464" t="s">
        <v>69</v>
      </c>
      <c r="F2464" t="s">
        <v>4954</v>
      </c>
      <c r="G2464" t="s">
        <v>15</v>
      </c>
      <c r="H2464" t="s">
        <v>4955</v>
      </c>
      <c r="I2464" t="s">
        <v>4956</v>
      </c>
      <c r="J2464" s="4">
        <v>46090.593153240741</v>
      </c>
    </row>
    <row r="2465" spans="1:10" x14ac:dyDescent="0.55000000000000004">
      <c r="A2465" t="s">
        <v>4957</v>
      </c>
      <c r="B2465">
        <v>100200</v>
      </c>
      <c r="C2465" t="s">
        <v>37</v>
      </c>
      <c r="D2465" s="3">
        <v>45796</v>
      </c>
      <c r="E2465" t="s">
        <v>20</v>
      </c>
      <c r="F2465" t="s">
        <v>4958</v>
      </c>
      <c r="G2465" t="s">
        <v>15</v>
      </c>
      <c r="H2465" t="s">
        <v>4959</v>
      </c>
      <c r="I2465" t="s">
        <v>4960</v>
      </c>
      <c r="J2465" s="4">
        <v>46054.409819907407</v>
      </c>
    </row>
    <row r="2466" spans="1:10" x14ac:dyDescent="0.55000000000000004">
      <c r="A2466" t="s">
        <v>4961</v>
      </c>
      <c r="B2466">
        <v>101127</v>
      </c>
      <c r="C2466" t="s">
        <v>37</v>
      </c>
      <c r="D2466" s="3">
        <v>46079</v>
      </c>
      <c r="E2466" t="s">
        <v>38</v>
      </c>
      <c r="F2466" t="s">
        <v>4962</v>
      </c>
      <c r="G2466" t="s">
        <v>15</v>
      </c>
      <c r="H2466" t="s">
        <v>4963</v>
      </c>
      <c r="I2466" t="s">
        <v>4964</v>
      </c>
      <c r="J2466" s="4">
        <v>46070.063292129627</v>
      </c>
    </row>
    <row r="2467" spans="1:10" x14ac:dyDescent="0.55000000000000004">
      <c r="A2467" t="s">
        <v>4961</v>
      </c>
      <c r="B2467">
        <v>101127</v>
      </c>
      <c r="C2467" t="s">
        <v>37</v>
      </c>
      <c r="D2467" s="3">
        <v>46079</v>
      </c>
      <c r="E2467" t="s">
        <v>69</v>
      </c>
      <c r="F2467" t="s">
        <v>4962</v>
      </c>
      <c r="G2467" t="s">
        <v>15</v>
      </c>
      <c r="H2467" t="s">
        <v>4963</v>
      </c>
      <c r="I2467" t="s">
        <v>4964</v>
      </c>
      <c r="J2467" s="4">
        <v>46070.063292129627</v>
      </c>
    </row>
    <row r="2468" spans="1:10" x14ac:dyDescent="0.55000000000000004">
      <c r="A2468" t="s">
        <v>4965</v>
      </c>
      <c r="B2468">
        <v>100907</v>
      </c>
      <c r="C2468" t="s">
        <v>68</v>
      </c>
      <c r="D2468" s="3">
        <v>45876</v>
      </c>
      <c r="E2468" t="s">
        <v>155</v>
      </c>
      <c r="F2468" t="s">
        <v>4966</v>
      </c>
      <c r="G2468" t="s">
        <v>15</v>
      </c>
      <c r="H2468" t="s">
        <v>4967</v>
      </c>
      <c r="I2468" t="s">
        <v>4968</v>
      </c>
      <c r="J2468" s="4">
        <v>46058.529264363424</v>
      </c>
    </row>
    <row r="2469" spans="1:10" x14ac:dyDescent="0.55000000000000004">
      <c r="A2469" t="s">
        <v>4965</v>
      </c>
      <c r="B2469">
        <v>100907</v>
      </c>
      <c r="C2469" t="s">
        <v>68</v>
      </c>
      <c r="D2469" s="3">
        <v>45876</v>
      </c>
      <c r="E2469" t="s">
        <v>69</v>
      </c>
      <c r="F2469" t="s">
        <v>4966</v>
      </c>
      <c r="G2469" t="s">
        <v>15</v>
      </c>
      <c r="H2469" t="s">
        <v>4967</v>
      </c>
      <c r="I2469" t="s">
        <v>4968</v>
      </c>
      <c r="J2469" s="4">
        <v>46058.529264363424</v>
      </c>
    </row>
    <row r="2470" spans="1:10" x14ac:dyDescent="0.55000000000000004">
      <c r="A2470" t="s">
        <v>4969</v>
      </c>
      <c r="B2470">
        <v>100154</v>
      </c>
      <c r="C2470" t="s">
        <v>19</v>
      </c>
      <c r="D2470" s="3">
        <v>45827</v>
      </c>
      <c r="E2470" t="s">
        <v>20</v>
      </c>
      <c r="F2470" t="s">
        <v>4970</v>
      </c>
      <c r="G2470" t="s">
        <v>15</v>
      </c>
      <c r="H2470" t="s">
        <v>4971</v>
      </c>
      <c r="I2470" t="s">
        <v>4972</v>
      </c>
      <c r="J2470" s="4">
        <v>46080.749403252317</v>
      </c>
    </row>
    <row r="2471" spans="1:10" x14ac:dyDescent="0.55000000000000004">
      <c r="A2471" t="s">
        <v>4973</v>
      </c>
      <c r="B2471">
        <v>100511</v>
      </c>
      <c r="C2471" t="s">
        <v>248</v>
      </c>
      <c r="D2471" s="3">
        <v>46073</v>
      </c>
      <c r="E2471" t="s">
        <v>115</v>
      </c>
      <c r="F2471" t="s">
        <v>4974</v>
      </c>
      <c r="G2471" t="s">
        <v>15</v>
      </c>
      <c r="H2471" t="s">
        <v>4975</v>
      </c>
      <c r="I2471" t="s">
        <v>4976</v>
      </c>
      <c r="J2471" s="4">
        <v>46053.032042152779</v>
      </c>
    </row>
    <row r="2472" spans="1:10" x14ac:dyDescent="0.55000000000000004">
      <c r="A2472" t="s">
        <v>4973</v>
      </c>
      <c r="B2472">
        <v>100511</v>
      </c>
      <c r="C2472" t="s">
        <v>248</v>
      </c>
      <c r="D2472" s="3">
        <v>46073</v>
      </c>
      <c r="E2472" t="s">
        <v>69</v>
      </c>
      <c r="F2472" t="s">
        <v>4974</v>
      </c>
      <c r="G2472" t="s">
        <v>15</v>
      </c>
      <c r="H2472" t="s">
        <v>4975</v>
      </c>
      <c r="I2472" t="s">
        <v>4976</v>
      </c>
      <c r="J2472" s="4">
        <v>46053.032042152779</v>
      </c>
    </row>
    <row r="2473" spans="1:10" x14ac:dyDescent="0.55000000000000004">
      <c r="A2473" t="s">
        <v>4977</v>
      </c>
      <c r="B2473">
        <v>100947</v>
      </c>
      <c r="C2473" t="s">
        <v>19</v>
      </c>
      <c r="D2473" s="3">
        <v>45824</v>
      </c>
      <c r="E2473" t="s">
        <v>38</v>
      </c>
      <c r="F2473" t="s">
        <v>4978</v>
      </c>
      <c r="G2473" t="s">
        <v>15</v>
      </c>
      <c r="H2473" t="s">
        <v>4979</v>
      </c>
      <c r="I2473" t="s">
        <v>4980</v>
      </c>
      <c r="J2473" s="4">
        <v>46083.57509770833</v>
      </c>
    </row>
    <row r="2474" spans="1:10" x14ac:dyDescent="0.55000000000000004">
      <c r="A2474" t="s">
        <v>4981</v>
      </c>
      <c r="B2474">
        <v>101269</v>
      </c>
      <c r="C2474" t="s">
        <v>533</v>
      </c>
      <c r="D2474" s="3">
        <v>45937</v>
      </c>
      <c r="E2474" t="s">
        <v>20</v>
      </c>
      <c r="F2474" t="s">
        <v>4982</v>
      </c>
      <c r="G2474" t="s">
        <v>15</v>
      </c>
      <c r="H2474" t="s">
        <v>4983</v>
      </c>
      <c r="I2474" t="s">
        <v>4984</v>
      </c>
      <c r="J2474" s="4">
        <v>46088.139681053239</v>
      </c>
    </row>
    <row r="2475" spans="1:10" x14ac:dyDescent="0.55000000000000004">
      <c r="A2475" t="s">
        <v>4985</v>
      </c>
      <c r="B2475">
        <v>100375</v>
      </c>
      <c r="C2475" t="s">
        <v>37</v>
      </c>
      <c r="D2475" s="3">
        <v>46047</v>
      </c>
      <c r="E2475" t="s">
        <v>155</v>
      </c>
      <c r="F2475" t="s">
        <v>4986</v>
      </c>
      <c r="G2475" t="s">
        <v>15</v>
      </c>
      <c r="H2475" t="s">
        <v>4987</v>
      </c>
      <c r="I2475" t="s">
        <v>4988</v>
      </c>
      <c r="J2475" s="4">
        <v>46073.166764386573</v>
      </c>
    </row>
    <row r="2476" spans="1:10" x14ac:dyDescent="0.55000000000000004">
      <c r="A2476" t="s">
        <v>4989</v>
      </c>
      <c r="B2476">
        <v>101363</v>
      </c>
      <c r="C2476" t="s">
        <v>19</v>
      </c>
      <c r="D2476" s="3">
        <v>45888</v>
      </c>
      <c r="E2476" t="s">
        <v>317</v>
      </c>
      <c r="F2476" t="s">
        <v>4990</v>
      </c>
      <c r="G2476" t="s">
        <v>22</v>
      </c>
      <c r="H2476" t="s">
        <v>4991</v>
      </c>
      <c r="I2476" t="s">
        <v>4992</v>
      </c>
      <c r="J2476" s="4">
        <v>46070.064681053242</v>
      </c>
    </row>
    <row r="2477" spans="1:10" x14ac:dyDescent="0.55000000000000004">
      <c r="A2477" t="s">
        <v>4989</v>
      </c>
      <c r="B2477">
        <v>101363</v>
      </c>
      <c r="C2477" t="s">
        <v>19</v>
      </c>
      <c r="D2477" s="3">
        <v>45888</v>
      </c>
      <c r="E2477" t="s">
        <v>38</v>
      </c>
      <c r="F2477" t="s">
        <v>4990</v>
      </c>
      <c r="G2477" t="s">
        <v>22</v>
      </c>
      <c r="H2477" t="s">
        <v>4991</v>
      </c>
      <c r="I2477" t="s">
        <v>4992</v>
      </c>
      <c r="J2477" s="4">
        <v>46070.064681053242</v>
      </c>
    </row>
    <row r="2478" spans="1:10" x14ac:dyDescent="0.55000000000000004">
      <c r="A2478" t="s">
        <v>4989</v>
      </c>
      <c r="B2478">
        <v>101363</v>
      </c>
      <c r="C2478" t="s">
        <v>19</v>
      </c>
      <c r="D2478" s="3">
        <v>45888</v>
      </c>
      <c r="E2478" t="s">
        <v>115</v>
      </c>
      <c r="F2478" t="s">
        <v>4990</v>
      </c>
      <c r="G2478" t="s">
        <v>22</v>
      </c>
      <c r="H2478" t="s">
        <v>4991</v>
      </c>
      <c r="I2478" t="s">
        <v>4992</v>
      </c>
      <c r="J2478" s="4">
        <v>46070.064681053242</v>
      </c>
    </row>
    <row r="2479" spans="1:10" x14ac:dyDescent="0.55000000000000004">
      <c r="A2479" t="s">
        <v>4993</v>
      </c>
      <c r="B2479">
        <v>100287</v>
      </c>
      <c r="C2479" t="s">
        <v>37</v>
      </c>
      <c r="D2479" s="3">
        <v>45993</v>
      </c>
      <c r="E2479" t="s">
        <v>317</v>
      </c>
      <c r="F2479" t="s">
        <v>4994</v>
      </c>
      <c r="G2479" t="s">
        <v>22</v>
      </c>
      <c r="H2479" t="s">
        <v>4995</v>
      </c>
      <c r="I2479" t="s">
        <v>4996</v>
      </c>
      <c r="J2479" s="4">
        <v>46090.363292175927</v>
      </c>
    </row>
    <row r="2480" spans="1:10" x14ac:dyDescent="0.55000000000000004">
      <c r="A2480" t="s">
        <v>4993</v>
      </c>
      <c r="B2480">
        <v>100287</v>
      </c>
      <c r="C2480" t="s">
        <v>37</v>
      </c>
      <c r="D2480" s="3">
        <v>45993</v>
      </c>
      <c r="E2480" t="s">
        <v>155</v>
      </c>
      <c r="F2480" t="s">
        <v>4994</v>
      </c>
      <c r="G2480" t="s">
        <v>22</v>
      </c>
      <c r="H2480" t="s">
        <v>4995</v>
      </c>
      <c r="I2480" t="s">
        <v>4996</v>
      </c>
      <c r="J2480" s="4">
        <v>46090.363292175927</v>
      </c>
    </row>
    <row r="2481" spans="1:11" x14ac:dyDescent="0.55000000000000004">
      <c r="A2481" t="s">
        <v>4997</v>
      </c>
      <c r="B2481">
        <v>100918</v>
      </c>
      <c r="C2481" t="s">
        <v>68</v>
      </c>
      <c r="D2481" s="3">
        <v>45875</v>
      </c>
      <c r="E2481" t="s">
        <v>317</v>
      </c>
      <c r="F2481" t="s">
        <v>4998</v>
      </c>
      <c r="G2481" t="s">
        <v>15</v>
      </c>
      <c r="H2481" t="s">
        <v>4999</v>
      </c>
      <c r="I2481" t="s">
        <v>5000</v>
      </c>
      <c r="J2481" s="4">
        <v>46077.678569953707</v>
      </c>
    </row>
    <row r="2482" spans="1:11" x14ac:dyDescent="0.55000000000000004">
      <c r="A2482" t="s">
        <v>4997</v>
      </c>
      <c r="B2482">
        <v>100918</v>
      </c>
      <c r="C2482" t="s">
        <v>68</v>
      </c>
      <c r="D2482" s="3">
        <v>45875</v>
      </c>
      <c r="E2482" t="s">
        <v>69</v>
      </c>
      <c r="F2482" t="s">
        <v>4998</v>
      </c>
      <c r="G2482" t="s">
        <v>15</v>
      </c>
      <c r="H2482" t="s">
        <v>4999</v>
      </c>
      <c r="I2482" t="s">
        <v>5000</v>
      </c>
      <c r="J2482" s="4">
        <v>46077.678569953707</v>
      </c>
    </row>
    <row r="2483" spans="1:11" x14ac:dyDescent="0.55000000000000004">
      <c r="A2483" t="s">
        <v>5001</v>
      </c>
      <c r="B2483">
        <v>101448</v>
      </c>
      <c r="C2483" t="s">
        <v>533</v>
      </c>
      <c r="D2483" s="3">
        <v>45752</v>
      </c>
      <c r="E2483" t="s">
        <v>155</v>
      </c>
      <c r="F2483" t="s">
        <v>5002</v>
      </c>
      <c r="G2483" t="s">
        <v>22</v>
      </c>
      <c r="H2483" t="s">
        <v>5003</v>
      </c>
      <c r="I2483" t="s">
        <v>5004</v>
      </c>
      <c r="J2483" s="4">
        <v>46084.340375520835</v>
      </c>
    </row>
    <row r="2484" spans="1:11" x14ac:dyDescent="0.55000000000000004">
      <c r="A2484" t="s">
        <v>5005</v>
      </c>
      <c r="B2484">
        <v>101258</v>
      </c>
      <c r="C2484" t="s">
        <v>19</v>
      </c>
      <c r="D2484" s="3">
        <v>45875</v>
      </c>
      <c r="E2484" t="s">
        <v>155</v>
      </c>
      <c r="F2484" t="s">
        <v>5006</v>
      </c>
      <c r="G2484" t="s">
        <v>22</v>
      </c>
      <c r="H2484" t="s">
        <v>5007</v>
      </c>
      <c r="I2484" t="s">
        <v>5008</v>
      </c>
      <c r="J2484" s="4">
        <v>46066.229264409725</v>
      </c>
    </row>
    <row r="2485" spans="1:11" x14ac:dyDescent="0.55000000000000004">
      <c r="A2485" t="s">
        <v>5005</v>
      </c>
      <c r="B2485">
        <v>101258</v>
      </c>
      <c r="C2485" t="s">
        <v>19</v>
      </c>
      <c r="D2485" s="3">
        <v>45875</v>
      </c>
      <c r="E2485" t="s">
        <v>115</v>
      </c>
      <c r="F2485" t="s">
        <v>5006</v>
      </c>
      <c r="G2485" t="s">
        <v>22</v>
      </c>
      <c r="H2485" t="s">
        <v>5007</v>
      </c>
      <c r="I2485" t="s">
        <v>5008</v>
      </c>
      <c r="J2485" s="4">
        <v>46066.229264409725</v>
      </c>
    </row>
    <row r="2486" spans="1:11" x14ac:dyDescent="0.55000000000000004">
      <c r="A2486" t="s">
        <v>5005</v>
      </c>
      <c r="B2486">
        <v>101258</v>
      </c>
      <c r="C2486" t="s">
        <v>19</v>
      </c>
      <c r="D2486" s="3">
        <v>45875</v>
      </c>
      <c r="E2486" t="s">
        <v>69</v>
      </c>
      <c r="F2486" t="s">
        <v>5006</v>
      </c>
      <c r="G2486" t="s">
        <v>22</v>
      </c>
      <c r="H2486" t="s">
        <v>5007</v>
      </c>
      <c r="I2486" t="s">
        <v>5008</v>
      </c>
      <c r="J2486" s="4">
        <v>46066.229264409725</v>
      </c>
    </row>
    <row r="2487" spans="1:11" x14ac:dyDescent="0.55000000000000004">
      <c r="A2487" t="s">
        <v>5009</v>
      </c>
      <c r="B2487">
        <v>100392</v>
      </c>
      <c r="C2487" t="s">
        <v>68</v>
      </c>
      <c r="D2487" s="3">
        <v>45887</v>
      </c>
      <c r="E2487" t="s">
        <v>155</v>
      </c>
      <c r="F2487" t="s">
        <v>5010</v>
      </c>
      <c r="G2487" t="s">
        <v>15</v>
      </c>
      <c r="H2487" t="s">
        <v>5011</v>
      </c>
      <c r="I2487" t="s">
        <v>5012</v>
      </c>
      <c r="J2487" s="4">
        <v>46053.961208854169</v>
      </c>
    </row>
    <row r="2488" spans="1:11" x14ac:dyDescent="0.55000000000000004">
      <c r="A2488" t="s">
        <v>5013</v>
      </c>
      <c r="B2488">
        <v>100509</v>
      </c>
      <c r="C2488" t="s">
        <v>533</v>
      </c>
      <c r="D2488" s="3">
        <v>45901</v>
      </c>
      <c r="E2488" t="s">
        <v>317</v>
      </c>
      <c r="F2488" t="s">
        <v>5014</v>
      </c>
      <c r="G2488" t="s">
        <v>22</v>
      </c>
      <c r="H2488" t="s">
        <v>5015</v>
      </c>
      <c r="I2488" t="s">
        <v>5016</v>
      </c>
      <c r="J2488" s="4">
        <v>46081.821625532408</v>
      </c>
    </row>
    <row r="2489" spans="1:11" x14ac:dyDescent="0.55000000000000004">
      <c r="A2489" t="s">
        <v>5013</v>
      </c>
      <c r="B2489">
        <v>100509</v>
      </c>
      <c r="C2489" t="s">
        <v>533</v>
      </c>
      <c r="D2489" s="3">
        <v>45901</v>
      </c>
      <c r="E2489" t="s">
        <v>20</v>
      </c>
      <c r="F2489" t="s">
        <v>5014</v>
      </c>
      <c r="G2489" t="s">
        <v>22</v>
      </c>
      <c r="H2489" t="s">
        <v>5015</v>
      </c>
      <c r="I2489" t="s">
        <v>5016</v>
      </c>
      <c r="J2489" s="4">
        <v>46081.821625532408</v>
      </c>
    </row>
    <row r="2490" spans="1:11" x14ac:dyDescent="0.55000000000000004">
      <c r="A2490" t="s">
        <v>5017</v>
      </c>
      <c r="B2490">
        <v>100223</v>
      </c>
      <c r="C2490" t="s">
        <v>248</v>
      </c>
      <c r="D2490" s="3">
        <v>45839</v>
      </c>
      <c r="E2490" t="s">
        <v>38</v>
      </c>
      <c r="F2490" t="s">
        <v>5018</v>
      </c>
      <c r="G2490" t="s">
        <v>15</v>
      </c>
      <c r="H2490" t="s">
        <v>5019</v>
      </c>
      <c r="I2490" t="s">
        <v>5020</v>
      </c>
      <c r="J2490" s="4">
        <v>46056.890375532406</v>
      </c>
    </row>
    <row r="2491" spans="1:11" x14ac:dyDescent="0.55000000000000004">
      <c r="A2491" t="s">
        <v>5017</v>
      </c>
      <c r="B2491">
        <v>100223</v>
      </c>
      <c r="C2491" t="s">
        <v>248</v>
      </c>
      <c r="D2491" s="3">
        <v>45839</v>
      </c>
      <c r="E2491" t="s">
        <v>155</v>
      </c>
      <c r="F2491" t="s">
        <v>5018</v>
      </c>
      <c r="G2491" t="s">
        <v>15</v>
      </c>
      <c r="H2491" t="s">
        <v>5019</v>
      </c>
      <c r="I2491" t="s">
        <v>5020</v>
      </c>
      <c r="J2491" s="4">
        <v>46056.890375532406</v>
      </c>
    </row>
    <row r="2492" spans="1:11" x14ac:dyDescent="0.55000000000000004">
      <c r="A2492" t="s">
        <v>5017</v>
      </c>
      <c r="B2492">
        <v>100223</v>
      </c>
      <c r="C2492" t="s">
        <v>248</v>
      </c>
      <c r="D2492" s="3">
        <v>45839</v>
      </c>
      <c r="E2492" t="s">
        <v>69</v>
      </c>
      <c r="F2492" t="s">
        <v>5018</v>
      </c>
      <c r="G2492" t="s">
        <v>15</v>
      </c>
      <c r="H2492" t="s">
        <v>5019</v>
      </c>
      <c r="I2492" t="s">
        <v>5020</v>
      </c>
      <c r="J2492" s="4">
        <v>46056.890375532406</v>
      </c>
    </row>
    <row r="2493" spans="1:11" x14ac:dyDescent="0.55000000000000004">
      <c r="A2493" t="s">
        <v>77</v>
      </c>
      <c r="B2493">
        <v>100694</v>
      </c>
      <c r="C2493" t="s">
        <v>533</v>
      </c>
      <c r="D2493" s="3">
        <v>45753</v>
      </c>
      <c r="E2493" t="s">
        <v>317</v>
      </c>
      <c r="F2493" t="s">
        <v>5021</v>
      </c>
      <c r="G2493" t="s">
        <v>22</v>
      </c>
      <c r="H2493" t="s">
        <v>5022</v>
      </c>
      <c r="I2493" t="s">
        <v>5023</v>
      </c>
      <c r="J2493" s="4">
        <v>46091.639681099536</v>
      </c>
    </row>
    <row r="2494" spans="1:11" x14ac:dyDescent="0.55000000000000004">
      <c r="A2494" t="s">
        <v>77</v>
      </c>
      <c r="B2494">
        <v>100694</v>
      </c>
      <c r="C2494" t="s">
        <v>533</v>
      </c>
      <c r="D2494" s="3">
        <v>45753</v>
      </c>
      <c r="E2494" t="s">
        <v>38</v>
      </c>
      <c r="F2494" t="s">
        <v>5021</v>
      </c>
      <c r="G2494" t="s">
        <v>22</v>
      </c>
      <c r="H2494" t="s">
        <v>5022</v>
      </c>
      <c r="I2494" t="s">
        <v>5023</v>
      </c>
      <c r="J2494" s="4">
        <v>46091.639681099536</v>
      </c>
    </row>
    <row r="2495" spans="1:11" x14ac:dyDescent="0.55000000000000004">
      <c r="A2495" t="s">
        <v>77</v>
      </c>
      <c r="B2495">
        <v>100694</v>
      </c>
      <c r="C2495" t="s">
        <v>533</v>
      </c>
      <c r="D2495" s="3">
        <v>45753</v>
      </c>
      <c r="E2495" t="s">
        <v>115</v>
      </c>
      <c r="F2495" t="s">
        <v>5021</v>
      </c>
      <c r="G2495" t="s">
        <v>22</v>
      </c>
      <c r="H2495" t="s">
        <v>5022</v>
      </c>
      <c r="I2495" t="s">
        <v>5023</v>
      </c>
      <c r="J2495" s="4">
        <v>46091.639681099536</v>
      </c>
    </row>
    <row r="2496" spans="1:11" x14ac:dyDescent="0.55000000000000004">
      <c r="A2496" t="s">
        <v>5024</v>
      </c>
      <c r="B2496">
        <v>100824</v>
      </c>
      <c r="D2496" s="3">
        <v>46048</v>
      </c>
      <c r="E2496" t="s">
        <v>20</v>
      </c>
      <c r="F2496" t="s">
        <v>5025</v>
      </c>
      <c r="G2496" t="s">
        <v>15</v>
      </c>
      <c r="H2496" t="s">
        <v>5026</v>
      </c>
      <c r="I2496" t="s">
        <v>5027</v>
      </c>
      <c r="J2496" s="4">
        <v>46063.527875543979</v>
      </c>
      <c r="K2496" t="s">
        <v>217</v>
      </c>
    </row>
    <row r="2497" spans="1:11" x14ac:dyDescent="0.55000000000000004">
      <c r="A2497" t="s">
        <v>5024</v>
      </c>
      <c r="B2497">
        <v>100824</v>
      </c>
      <c r="D2497" s="3">
        <v>46048</v>
      </c>
      <c r="E2497" t="s">
        <v>69</v>
      </c>
      <c r="F2497" t="s">
        <v>5025</v>
      </c>
      <c r="G2497" t="s">
        <v>15</v>
      </c>
      <c r="H2497" t="s">
        <v>5026</v>
      </c>
      <c r="I2497" t="s">
        <v>5027</v>
      </c>
      <c r="J2497" s="4">
        <v>46063.527875543979</v>
      </c>
      <c r="K2497" t="s">
        <v>217</v>
      </c>
    </row>
    <row r="2498" spans="1:11" x14ac:dyDescent="0.55000000000000004">
      <c r="A2498" t="s">
        <v>5028</v>
      </c>
      <c r="B2498">
        <v>100124</v>
      </c>
      <c r="C2498" t="s">
        <v>37</v>
      </c>
      <c r="D2498" s="3">
        <v>45797</v>
      </c>
      <c r="E2498" t="s">
        <v>69</v>
      </c>
      <c r="F2498" t="s">
        <v>5029</v>
      </c>
      <c r="G2498" t="s">
        <v>22</v>
      </c>
      <c r="H2498" t="s">
        <v>5030</v>
      </c>
      <c r="I2498" t="s">
        <v>5031</v>
      </c>
      <c r="J2498" s="4">
        <v>46062.252181111115</v>
      </c>
    </row>
    <row r="2499" spans="1:11" x14ac:dyDescent="0.55000000000000004">
      <c r="A2499" t="s">
        <v>5032</v>
      </c>
      <c r="B2499">
        <v>100201</v>
      </c>
      <c r="C2499" t="s">
        <v>68</v>
      </c>
      <c r="D2499" s="3">
        <v>45961</v>
      </c>
      <c r="E2499" t="s">
        <v>317</v>
      </c>
      <c r="F2499" t="s">
        <v>5033</v>
      </c>
      <c r="G2499" t="s">
        <v>15</v>
      </c>
      <c r="H2499" t="s">
        <v>5034</v>
      </c>
      <c r="I2499" t="s">
        <v>5035</v>
      </c>
      <c r="J2499" s="4">
        <v>46067.150097777776</v>
      </c>
    </row>
    <row r="2500" spans="1:11" x14ac:dyDescent="0.55000000000000004">
      <c r="A2500" t="s">
        <v>5032</v>
      </c>
      <c r="B2500">
        <v>100201</v>
      </c>
      <c r="C2500" t="s">
        <v>68</v>
      </c>
      <c r="D2500" s="3">
        <v>45961</v>
      </c>
      <c r="E2500" t="s">
        <v>155</v>
      </c>
      <c r="F2500" t="s">
        <v>5033</v>
      </c>
      <c r="G2500" t="s">
        <v>15</v>
      </c>
      <c r="H2500" t="s">
        <v>5034</v>
      </c>
      <c r="I2500" t="s">
        <v>5035</v>
      </c>
      <c r="J2500" s="4">
        <v>46067.150097777776</v>
      </c>
    </row>
    <row r="2501" spans="1:11" x14ac:dyDescent="0.55000000000000004">
      <c r="A2501" t="s">
        <v>5032</v>
      </c>
      <c r="B2501">
        <v>100201</v>
      </c>
      <c r="C2501" t="s">
        <v>68</v>
      </c>
      <c r="D2501" s="3">
        <v>45961</v>
      </c>
      <c r="E2501" t="s">
        <v>69</v>
      </c>
      <c r="F2501" t="s">
        <v>5033</v>
      </c>
      <c r="G2501" t="s">
        <v>15</v>
      </c>
      <c r="H2501" t="s">
        <v>5034</v>
      </c>
      <c r="I2501" t="s">
        <v>5035</v>
      </c>
      <c r="J2501" s="4">
        <v>46067.150097777776</v>
      </c>
    </row>
    <row r="2502" spans="1:11" x14ac:dyDescent="0.55000000000000004">
      <c r="A2502" t="s">
        <v>5036</v>
      </c>
      <c r="B2502">
        <v>100110</v>
      </c>
      <c r="C2502" t="s">
        <v>19</v>
      </c>
      <c r="D2502" s="3">
        <v>45989</v>
      </c>
      <c r="E2502" t="s">
        <v>115</v>
      </c>
      <c r="F2502" t="s">
        <v>5037</v>
      </c>
      <c r="G2502" t="s">
        <v>22</v>
      </c>
      <c r="H2502" t="s">
        <v>5038</v>
      </c>
      <c r="I2502" t="s">
        <v>5039</v>
      </c>
      <c r="J2502" s="4">
        <v>46053.562597777774</v>
      </c>
    </row>
    <row r="2503" spans="1:11" x14ac:dyDescent="0.55000000000000004">
      <c r="A2503" t="s">
        <v>5040</v>
      </c>
      <c r="B2503">
        <v>100956</v>
      </c>
      <c r="C2503" t="s">
        <v>68</v>
      </c>
      <c r="D2503" s="3">
        <v>45755</v>
      </c>
      <c r="E2503" t="s">
        <v>155</v>
      </c>
      <c r="F2503" t="s">
        <v>5041</v>
      </c>
      <c r="G2503" t="s">
        <v>22</v>
      </c>
      <c r="H2503" t="s">
        <v>5042</v>
      </c>
      <c r="I2503" t="s">
        <v>5043</v>
      </c>
      <c r="J2503" s="4">
        <v>46053.98898667824</v>
      </c>
    </row>
    <row r="2504" spans="1:11" x14ac:dyDescent="0.55000000000000004">
      <c r="A2504" t="s">
        <v>5040</v>
      </c>
      <c r="B2504">
        <v>100956</v>
      </c>
      <c r="C2504" t="s">
        <v>68</v>
      </c>
      <c r="D2504" s="3">
        <v>45755</v>
      </c>
      <c r="E2504" t="s">
        <v>115</v>
      </c>
      <c r="F2504" t="s">
        <v>5041</v>
      </c>
      <c r="G2504" t="s">
        <v>22</v>
      </c>
      <c r="H2504" t="s">
        <v>5042</v>
      </c>
      <c r="I2504" t="s">
        <v>5043</v>
      </c>
      <c r="J2504" s="4">
        <v>46053.98898667824</v>
      </c>
    </row>
    <row r="2505" spans="1:11" x14ac:dyDescent="0.55000000000000004">
      <c r="A2505" t="s">
        <v>5040</v>
      </c>
      <c r="B2505">
        <v>100956</v>
      </c>
      <c r="C2505" t="s">
        <v>68</v>
      </c>
      <c r="D2505" s="3">
        <v>45755</v>
      </c>
      <c r="E2505" t="s">
        <v>69</v>
      </c>
      <c r="F2505" t="s">
        <v>5041</v>
      </c>
      <c r="G2505" t="s">
        <v>22</v>
      </c>
      <c r="H2505" t="s">
        <v>5042</v>
      </c>
      <c r="I2505" t="s">
        <v>5043</v>
      </c>
      <c r="J2505" s="4">
        <v>46053.98898667824</v>
      </c>
    </row>
    <row r="2506" spans="1:11" x14ac:dyDescent="0.55000000000000004">
      <c r="A2506" t="s">
        <v>5044</v>
      </c>
      <c r="B2506">
        <v>100841</v>
      </c>
      <c r="C2506" t="s">
        <v>19</v>
      </c>
      <c r="D2506" s="3">
        <v>45770</v>
      </c>
      <c r="E2506" t="s">
        <v>69</v>
      </c>
      <c r="F2506" t="s">
        <v>5045</v>
      </c>
      <c r="G2506" t="s">
        <v>22</v>
      </c>
      <c r="H2506" t="s">
        <v>5046</v>
      </c>
      <c r="I2506" t="s">
        <v>5047</v>
      </c>
      <c r="J2506" s="4">
        <v>46062.191070011577</v>
      </c>
    </row>
    <row r="2507" spans="1:11" x14ac:dyDescent="0.55000000000000004">
      <c r="A2507" t="s">
        <v>5048</v>
      </c>
      <c r="B2507">
        <v>100867</v>
      </c>
      <c r="C2507" t="s">
        <v>179</v>
      </c>
      <c r="D2507" s="3">
        <v>46042</v>
      </c>
      <c r="E2507" t="s">
        <v>317</v>
      </c>
      <c r="F2507" t="s">
        <v>5049</v>
      </c>
      <c r="G2507" t="s">
        <v>15</v>
      </c>
      <c r="H2507" t="s">
        <v>5050</v>
      </c>
      <c r="I2507" t="s">
        <v>5051</v>
      </c>
      <c r="J2507" s="4">
        <v>46086.932736678238</v>
      </c>
    </row>
    <row r="2508" spans="1:11" x14ac:dyDescent="0.55000000000000004">
      <c r="A2508" t="s">
        <v>5048</v>
      </c>
      <c r="B2508">
        <v>100867</v>
      </c>
      <c r="C2508" t="s">
        <v>179</v>
      </c>
      <c r="D2508" s="3">
        <v>46042</v>
      </c>
      <c r="E2508" t="s">
        <v>115</v>
      </c>
      <c r="F2508" t="s">
        <v>5049</v>
      </c>
      <c r="G2508" t="s">
        <v>15</v>
      </c>
      <c r="H2508" t="s">
        <v>5050</v>
      </c>
      <c r="I2508" t="s">
        <v>5051</v>
      </c>
      <c r="J2508" s="4">
        <v>46086.932736678238</v>
      </c>
    </row>
    <row r="2509" spans="1:11" x14ac:dyDescent="0.55000000000000004">
      <c r="A2509" t="s">
        <v>5052</v>
      </c>
      <c r="B2509">
        <v>100725</v>
      </c>
      <c r="C2509" t="s">
        <v>248</v>
      </c>
      <c r="D2509" s="3">
        <v>46035</v>
      </c>
      <c r="E2509" t="s">
        <v>38</v>
      </c>
      <c r="F2509" t="s">
        <v>5053</v>
      </c>
      <c r="G2509" t="s">
        <v>22</v>
      </c>
      <c r="H2509" t="s">
        <v>5054</v>
      </c>
      <c r="I2509" t="s">
        <v>5055</v>
      </c>
      <c r="J2509" s="4">
        <v>46078.432736689814</v>
      </c>
    </row>
    <row r="2510" spans="1:11" x14ac:dyDescent="0.55000000000000004">
      <c r="A2510" t="s">
        <v>5052</v>
      </c>
      <c r="B2510">
        <v>100725</v>
      </c>
      <c r="C2510" t="s">
        <v>248</v>
      </c>
      <c r="D2510" s="3">
        <v>46035</v>
      </c>
      <c r="E2510" t="s">
        <v>155</v>
      </c>
      <c r="F2510" t="s">
        <v>5053</v>
      </c>
      <c r="G2510" t="s">
        <v>22</v>
      </c>
      <c r="H2510" t="s">
        <v>5054</v>
      </c>
      <c r="I2510" t="s">
        <v>5055</v>
      </c>
      <c r="J2510" s="4">
        <v>46078.432736689814</v>
      </c>
    </row>
    <row r="2511" spans="1:11" x14ac:dyDescent="0.55000000000000004">
      <c r="A2511" t="s">
        <v>5052</v>
      </c>
      <c r="B2511">
        <v>100725</v>
      </c>
      <c r="C2511" t="s">
        <v>248</v>
      </c>
      <c r="D2511" s="3">
        <v>46035</v>
      </c>
      <c r="E2511" t="s">
        <v>69</v>
      </c>
      <c r="F2511" t="s">
        <v>5053</v>
      </c>
      <c r="G2511" t="s">
        <v>22</v>
      </c>
      <c r="H2511" t="s">
        <v>5054</v>
      </c>
      <c r="I2511" t="s">
        <v>5055</v>
      </c>
      <c r="J2511" s="4">
        <v>46078.432736689814</v>
      </c>
    </row>
    <row r="2512" spans="1:11" x14ac:dyDescent="0.55000000000000004">
      <c r="A2512" t="s">
        <v>3853</v>
      </c>
      <c r="B2512">
        <v>100882</v>
      </c>
      <c r="C2512" t="s">
        <v>68</v>
      </c>
      <c r="D2512" s="3">
        <v>46094</v>
      </c>
      <c r="E2512" t="s">
        <v>38</v>
      </c>
      <c r="F2512" t="s">
        <v>5056</v>
      </c>
      <c r="G2512" t="s">
        <v>15</v>
      </c>
      <c r="H2512" t="s">
        <v>5057</v>
      </c>
      <c r="I2512" t="s">
        <v>5058</v>
      </c>
      <c r="J2512" s="4">
        <v>46083.681347800928</v>
      </c>
    </row>
    <row r="2513" spans="1:10" x14ac:dyDescent="0.55000000000000004">
      <c r="A2513" t="s">
        <v>3853</v>
      </c>
      <c r="B2513">
        <v>100882</v>
      </c>
      <c r="C2513" t="s">
        <v>68</v>
      </c>
      <c r="D2513" s="3">
        <v>46094</v>
      </c>
      <c r="E2513" t="s">
        <v>155</v>
      </c>
      <c r="F2513" t="s">
        <v>5056</v>
      </c>
      <c r="G2513" t="s">
        <v>15</v>
      </c>
      <c r="H2513" t="s">
        <v>5057</v>
      </c>
      <c r="I2513" t="s">
        <v>5058</v>
      </c>
      <c r="J2513" s="4">
        <v>46083.681347800928</v>
      </c>
    </row>
    <row r="2514" spans="1:10" x14ac:dyDescent="0.55000000000000004">
      <c r="A2514" t="s">
        <v>5059</v>
      </c>
      <c r="B2514">
        <v>101455</v>
      </c>
      <c r="C2514" t="s">
        <v>19</v>
      </c>
      <c r="D2514" s="3">
        <v>45853</v>
      </c>
      <c r="E2514" t="s">
        <v>155</v>
      </c>
      <c r="F2514" t="s">
        <v>5060</v>
      </c>
      <c r="G2514" t="s">
        <v>22</v>
      </c>
      <c r="H2514" t="s">
        <v>5061</v>
      </c>
      <c r="I2514" t="s">
        <v>5062</v>
      </c>
      <c r="J2514" s="4">
        <v>46089.361903356483</v>
      </c>
    </row>
    <row r="2515" spans="1:10" x14ac:dyDescent="0.55000000000000004">
      <c r="A2515" t="s">
        <v>5059</v>
      </c>
      <c r="B2515">
        <v>101455</v>
      </c>
      <c r="C2515" t="s">
        <v>19</v>
      </c>
      <c r="D2515" s="3">
        <v>45853</v>
      </c>
      <c r="E2515" t="s">
        <v>115</v>
      </c>
      <c r="F2515" t="s">
        <v>5060</v>
      </c>
      <c r="G2515" t="s">
        <v>22</v>
      </c>
      <c r="H2515" t="s">
        <v>5061</v>
      </c>
      <c r="I2515" t="s">
        <v>5062</v>
      </c>
      <c r="J2515" s="4">
        <v>46089.361903356483</v>
      </c>
    </row>
    <row r="2516" spans="1:10" x14ac:dyDescent="0.55000000000000004">
      <c r="A2516" t="s">
        <v>5063</v>
      </c>
      <c r="B2516">
        <v>100193</v>
      </c>
      <c r="C2516" t="s">
        <v>37</v>
      </c>
      <c r="D2516" s="3">
        <v>46060</v>
      </c>
      <c r="E2516" t="s">
        <v>115</v>
      </c>
      <c r="F2516" t="s">
        <v>5064</v>
      </c>
      <c r="G2516" t="s">
        <v>15</v>
      </c>
      <c r="H2516" t="s">
        <v>5065</v>
      </c>
      <c r="I2516" t="s">
        <v>5066</v>
      </c>
      <c r="J2516" s="4">
        <v>46096.823708923614</v>
      </c>
    </row>
    <row r="2517" spans="1:10" x14ac:dyDescent="0.55000000000000004">
      <c r="A2517" t="s">
        <v>5067</v>
      </c>
      <c r="B2517">
        <v>100389</v>
      </c>
      <c r="C2517" t="s">
        <v>68</v>
      </c>
      <c r="D2517" s="3">
        <v>46055</v>
      </c>
      <c r="E2517" t="s">
        <v>317</v>
      </c>
      <c r="F2517" t="s">
        <v>5068</v>
      </c>
      <c r="G2517" t="s">
        <v>22</v>
      </c>
      <c r="H2517" t="s">
        <v>5069</v>
      </c>
      <c r="I2517" t="s">
        <v>5070</v>
      </c>
      <c r="J2517" s="4">
        <v>46089.165375590281</v>
      </c>
    </row>
    <row r="2518" spans="1:10" x14ac:dyDescent="0.55000000000000004">
      <c r="A2518" t="s">
        <v>5067</v>
      </c>
      <c r="B2518">
        <v>100389</v>
      </c>
      <c r="C2518" t="s">
        <v>68</v>
      </c>
      <c r="D2518" s="3">
        <v>46055</v>
      </c>
      <c r="E2518" t="s">
        <v>20</v>
      </c>
      <c r="F2518" t="s">
        <v>5068</v>
      </c>
      <c r="G2518" t="s">
        <v>22</v>
      </c>
      <c r="H2518" t="s">
        <v>5069</v>
      </c>
      <c r="I2518" t="s">
        <v>5070</v>
      </c>
      <c r="J2518" s="4">
        <v>46089.165375590281</v>
      </c>
    </row>
    <row r="2519" spans="1:10" x14ac:dyDescent="0.55000000000000004">
      <c r="A2519" t="s">
        <v>5067</v>
      </c>
      <c r="B2519">
        <v>100389</v>
      </c>
      <c r="C2519" t="s">
        <v>68</v>
      </c>
      <c r="D2519" s="3">
        <v>46055</v>
      </c>
      <c r="E2519" t="s">
        <v>155</v>
      </c>
      <c r="F2519" t="s">
        <v>5068</v>
      </c>
      <c r="G2519" t="s">
        <v>22</v>
      </c>
      <c r="H2519" t="s">
        <v>5069</v>
      </c>
      <c r="I2519" t="s">
        <v>5070</v>
      </c>
      <c r="J2519" s="4">
        <v>46089.165375590281</v>
      </c>
    </row>
    <row r="2520" spans="1:10" x14ac:dyDescent="0.55000000000000004">
      <c r="A2520" t="s">
        <v>5071</v>
      </c>
      <c r="B2520">
        <v>100833</v>
      </c>
      <c r="C2520" t="s">
        <v>19</v>
      </c>
      <c r="D2520" s="3">
        <v>45882</v>
      </c>
      <c r="E2520" t="s">
        <v>317</v>
      </c>
      <c r="F2520" t="s">
        <v>5072</v>
      </c>
      <c r="G2520" t="s">
        <v>22</v>
      </c>
      <c r="H2520" t="s">
        <v>5073</v>
      </c>
      <c r="I2520" t="s">
        <v>5074</v>
      </c>
      <c r="J2520" s="4">
        <v>46083.348708935184</v>
      </c>
    </row>
    <row r="2521" spans="1:10" x14ac:dyDescent="0.55000000000000004">
      <c r="A2521" t="s">
        <v>5071</v>
      </c>
      <c r="B2521">
        <v>100833</v>
      </c>
      <c r="C2521" t="s">
        <v>19</v>
      </c>
      <c r="D2521" s="3">
        <v>45882</v>
      </c>
      <c r="E2521" t="s">
        <v>155</v>
      </c>
      <c r="F2521" t="s">
        <v>5072</v>
      </c>
      <c r="G2521" t="s">
        <v>22</v>
      </c>
      <c r="H2521" t="s">
        <v>5073</v>
      </c>
      <c r="I2521" t="s">
        <v>5074</v>
      </c>
      <c r="J2521" s="4">
        <v>46083.348708935184</v>
      </c>
    </row>
    <row r="2522" spans="1:10" x14ac:dyDescent="0.55000000000000004">
      <c r="A2522" t="s">
        <v>5075</v>
      </c>
      <c r="B2522">
        <v>101262</v>
      </c>
      <c r="C2522" t="s">
        <v>533</v>
      </c>
      <c r="D2522" s="3">
        <v>45863</v>
      </c>
      <c r="E2522" t="s">
        <v>38</v>
      </c>
      <c r="F2522" t="s">
        <v>5076</v>
      </c>
      <c r="G2522" t="s">
        <v>15</v>
      </c>
      <c r="H2522" t="s">
        <v>5077</v>
      </c>
      <c r="I2522" t="s">
        <v>5078</v>
      </c>
      <c r="J2522" s="4">
        <v>46053.202875601855</v>
      </c>
    </row>
    <row r="2523" spans="1:10" x14ac:dyDescent="0.55000000000000004">
      <c r="A2523" t="s">
        <v>5079</v>
      </c>
      <c r="B2523">
        <v>100497</v>
      </c>
      <c r="C2523" t="s">
        <v>248</v>
      </c>
      <c r="D2523" s="3">
        <v>46052</v>
      </c>
      <c r="E2523" t="s">
        <v>317</v>
      </c>
      <c r="F2523" t="s">
        <v>5080</v>
      </c>
      <c r="G2523" t="s">
        <v>22</v>
      </c>
      <c r="H2523" t="s">
        <v>5081</v>
      </c>
      <c r="I2523" t="s">
        <v>5082</v>
      </c>
      <c r="J2523" s="4">
        <v>46083.284820057874</v>
      </c>
    </row>
    <row r="2524" spans="1:10" x14ac:dyDescent="0.55000000000000004">
      <c r="A2524" t="s">
        <v>5079</v>
      </c>
      <c r="B2524">
        <v>100497</v>
      </c>
      <c r="C2524" t="s">
        <v>248</v>
      </c>
      <c r="D2524" s="3">
        <v>46052</v>
      </c>
      <c r="E2524" t="s">
        <v>38</v>
      </c>
      <c r="F2524" t="s">
        <v>5080</v>
      </c>
      <c r="G2524" t="s">
        <v>22</v>
      </c>
      <c r="H2524" t="s">
        <v>5081</v>
      </c>
      <c r="I2524" t="s">
        <v>5082</v>
      </c>
      <c r="J2524" s="4">
        <v>46083.284820057874</v>
      </c>
    </row>
    <row r="2525" spans="1:10" x14ac:dyDescent="0.55000000000000004">
      <c r="A2525" t="s">
        <v>5079</v>
      </c>
      <c r="B2525">
        <v>100497</v>
      </c>
      <c r="C2525" t="s">
        <v>248</v>
      </c>
      <c r="D2525" s="3">
        <v>46052</v>
      </c>
      <c r="E2525" t="s">
        <v>115</v>
      </c>
      <c r="F2525" t="s">
        <v>5080</v>
      </c>
      <c r="G2525" t="s">
        <v>22</v>
      </c>
      <c r="H2525" t="s">
        <v>5081</v>
      </c>
      <c r="I2525" t="s">
        <v>5082</v>
      </c>
      <c r="J2525" s="4">
        <v>46083.284820057874</v>
      </c>
    </row>
    <row r="2526" spans="1:10" x14ac:dyDescent="0.55000000000000004">
      <c r="A2526" t="s">
        <v>5083</v>
      </c>
      <c r="B2526">
        <v>100968</v>
      </c>
      <c r="C2526" t="s">
        <v>248</v>
      </c>
      <c r="D2526" s="3">
        <v>45836</v>
      </c>
      <c r="E2526" t="s">
        <v>317</v>
      </c>
      <c r="F2526" t="s">
        <v>5084</v>
      </c>
      <c r="G2526" t="s">
        <v>22</v>
      </c>
      <c r="H2526" t="s">
        <v>5085</v>
      </c>
      <c r="I2526" t="s">
        <v>5086</v>
      </c>
      <c r="J2526" s="4">
        <v>46083.129264502313</v>
      </c>
    </row>
    <row r="2527" spans="1:10" x14ac:dyDescent="0.55000000000000004">
      <c r="A2527" t="s">
        <v>5083</v>
      </c>
      <c r="B2527">
        <v>100968</v>
      </c>
      <c r="C2527" t="s">
        <v>248</v>
      </c>
      <c r="D2527" s="3">
        <v>45836</v>
      </c>
      <c r="E2527" t="s">
        <v>115</v>
      </c>
      <c r="F2527" t="s">
        <v>5084</v>
      </c>
      <c r="G2527" t="s">
        <v>22</v>
      </c>
      <c r="H2527" t="s">
        <v>5085</v>
      </c>
      <c r="I2527" t="s">
        <v>5086</v>
      </c>
      <c r="J2527" s="4">
        <v>46083.129264502313</v>
      </c>
    </row>
    <row r="2528" spans="1:10" x14ac:dyDescent="0.55000000000000004">
      <c r="A2528" t="s">
        <v>5083</v>
      </c>
      <c r="B2528">
        <v>100968</v>
      </c>
      <c r="C2528" t="s">
        <v>248</v>
      </c>
      <c r="D2528" s="3">
        <v>45836</v>
      </c>
      <c r="E2528" t="s">
        <v>69</v>
      </c>
      <c r="F2528" t="s">
        <v>5084</v>
      </c>
      <c r="G2528" t="s">
        <v>22</v>
      </c>
      <c r="H2528" t="s">
        <v>5085</v>
      </c>
      <c r="I2528" t="s">
        <v>5086</v>
      </c>
      <c r="J2528" s="4">
        <v>46083.129264502313</v>
      </c>
    </row>
    <row r="2529" spans="1:10" x14ac:dyDescent="0.55000000000000004">
      <c r="A2529" t="s">
        <v>5087</v>
      </c>
      <c r="B2529">
        <v>101180</v>
      </c>
      <c r="C2529" t="s">
        <v>68</v>
      </c>
      <c r="D2529" s="3">
        <v>45807</v>
      </c>
      <c r="E2529" t="s">
        <v>155</v>
      </c>
      <c r="F2529" t="s">
        <v>5088</v>
      </c>
      <c r="G2529" t="s">
        <v>15</v>
      </c>
      <c r="H2529" t="s">
        <v>5089</v>
      </c>
      <c r="I2529" t="s">
        <v>5090</v>
      </c>
      <c r="J2529" s="4">
        <v>46068.483431168985</v>
      </c>
    </row>
    <row r="2530" spans="1:10" x14ac:dyDescent="0.55000000000000004">
      <c r="A2530" t="s">
        <v>5087</v>
      </c>
      <c r="B2530">
        <v>101180</v>
      </c>
      <c r="C2530" t="s">
        <v>68</v>
      </c>
      <c r="D2530" s="3">
        <v>45807</v>
      </c>
      <c r="E2530" t="s">
        <v>69</v>
      </c>
      <c r="F2530" t="s">
        <v>5088</v>
      </c>
      <c r="G2530" t="s">
        <v>15</v>
      </c>
      <c r="H2530" t="s">
        <v>5089</v>
      </c>
      <c r="I2530" t="s">
        <v>5090</v>
      </c>
      <c r="J2530" s="4">
        <v>46068.483431168985</v>
      </c>
    </row>
    <row r="2531" spans="1:10" x14ac:dyDescent="0.55000000000000004">
      <c r="A2531" t="s">
        <v>5091</v>
      </c>
      <c r="B2531">
        <v>101169</v>
      </c>
      <c r="C2531" t="s">
        <v>533</v>
      </c>
      <c r="D2531" s="3">
        <v>45828</v>
      </c>
      <c r="E2531" t="s">
        <v>20</v>
      </c>
      <c r="F2531" t="s">
        <v>5092</v>
      </c>
      <c r="G2531" t="s">
        <v>15</v>
      </c>
      <c r="H2531" t="s">
        <v>5093</v>
      </c>
      <c r="I2531" t="s">
        <v>5094</v>
      </c>
      <c r="J2531" s="4">
        <v>46078.514681180553</v>
      </c>
    </row>
    <row r="2532" spans="1:10" x14ac:dyDescent="0.55000000000000004">
      <c r="A2532" t="s">
        <v>5091</v>
      </c>
      <c r="B2532">
        <v>101169</v>
      </c>
      <c r="C2532" t="s">
        <v>533</v>
      </c>
      <c r="D2532" s="3">
        <v>45828</v>
      </c>
      <c r="E2532" t="s">
        <v>115</v>
      </c>
      <c r="F2532" t="s">
        <v>5092</v>
      </c>
      <c r="G2532" t="s">
        <v>15</v>
      </c>
      <c r="H2532" t="s">
        <v>5093</v>
      </c>
      <c r="I2532" t="s">
        <v>5094</v>
      </c>
      <c r="J2532" s="4">
        <v>46078.514681180553</v>
      </c>
    </row>
    <row r="2533" spans="1:10" x14ac:dyDescent="0.55000000000000004">
      <c r="A2533" t="s">
        <v>5091</v>
      </c>
      <c r="B2533">
        <v>101169</v>
      </c>
      <c r="C2533" t="s">
        <v>533</v>
      </c>
      <c r="D2533" s="3">
        <v>45828</v>
      </c>
      <c r="E2533" t="s">
        <v>69</v>
      </c>
      <c r="F2533" t="s">
        <v>5092</v>
      </c>
      <c r="G2533" t="s">
        <v>15</v>
      </c>
      <c r="H2533" t="s">
        <v>5093</v>
      </c>
      <c r="I2533" t="s">
        <v>5094</v>
      </c>
      <c r="J2533" s="4">
        <v>46078.514681180553</v>
      </c>
    </row>
    <row r="2534" spans="1:10" x14ac:dyDescent="0.55000000000000004">
      <c r="A2534" t="s">
        <v>5095</v>
      </c>
      <c r="B2534">
        <v>100270</v>
      </c>
      <c r="C2534" t="s">
        <v>533</v>
      </c>
      <c r="D2534" s="3">
        <v>46150</v>
      </c>
      <c r="E2534" t="s">
        <v>317</v>
      </c>
      <c r="F2534" t="s">
        <v>5096</v>
      </c>
      <c r="G2534" t="s">
        <v>15</v>
      </c>
      <c r="H2534" t="s">
        <v>5097</v>
      </c>
      <c r="I2534" t="s">
        <v>5098</v>
      </c>
      <c r="J2534" s="4">
        <v>46093.542458958334</v>
      </c>
    </row>
    <row r="2535" spans="1:10" x14ac:dyDescent="0.55000000000000004">
      <c r="A2535" t="s">
        <v>5095</v>
      </c>
      <c r="B2535">
        <v>100270</v>
      </c>
      <c r="C2535" t="s">
        <v>533</v>
      </c>
      <c r="D2535" s="3">
        <v>46150</v>
      </c>
      <c r="E2535" t="s">
        <v>38</v>
      </c>
      <c r="F2535" t="s">
        <v>5096</v>
      </c>
      <c r="G2535" t="s">
        <v>15</v>
      </c>
      <c r="H2535" t="s">
        <v>5097</v>
      </c>
      <c r="I2535" t="s">
        <v>5098</v>
      </c>
      <c r="J2535" s="4">
        <v>46093.542458958334</v>
      </c>
    </row>
    <row r="2536" spans="1:10" x14ac:dyDescent="0.55000000000000004">
      <c r="A2536" t="s">
        <v>5099</v>
      </c>
      <c r="B2536">
        <v>101298</v>
      </c>
      <c r="C2536" t="s">
        <v>37</v>
      </c>
      <c r="D2536" s="3">
        <v>45950</v>
      </c>
      <c r="E2536" t="s">
        <v>69</v>
      </c>
      <c r="F2536" t="s">
        <v>5100</v>
      </c>
      <c r="G2536" t="s">
        <v>22</v>
      </c>
      <c r="H2536" t="s">
        <v>5101</v>
      </c>
      <c r="I2536" t="s">
        <v>5102</v>
      </c>
      <c r="J2536" s="4">
        <v>46090.99732008102</v>
      </c>
    </row>
    <row r="2537" spans="1:10" x14ac:dyDescent="0.55000000000000004">
      <c r="A2537" t="s">
        <v>5103</v>
      </c>
      <c r="B2537">
        <v>100438</v>
      </c>
      <c r="C2537" t="s">
        <v>533</v>
      </c>
      <c r="D2537" s="3">
        <v>46104</v>
      </c>
      <c r="E2537" t="s">
        <v>38</v>
      </c>
      <c r="F2537" t="s">
        <v>5104</v>
      </c>
      <c r="G2537" t="s">
        <v>15</v>
      </c>
      <c r="H2537" t="s">
        <v>5105</v>
      </c>
      <c r="I2537" t="s">
        <v>5106</v>
      </c>
      <c r="J2537" s="4">
        <v>46073.200097858797</v>
      </c>
    </row>
    <row r="2538" spans="1:10" x14ac:dyDescent="0.55000000000000004">
      <c r="A2538" t="s">
        <v>5107</v>
      </c>
      <c r="B2538">
        <v>100994</v>
      </c>
      <c r="C2538" t="s">
        <v>37</v>
      </c>
      <c r="D2538" s="3">
        <v>45788</v>
      </c>
      <c r="E2538" t="s">
        <v>317</v>
      </c>
      <c r="F2538" t="s">
        <v>5108</v>
      </c>
      <c r="G2538" t="s">
        <v>15</v>
      </c>
      <c r="H2538" t="s">
        <v>5109</v>
      </c>
      <c r="I2538" t="s">
        <v>5110</v>
      </c>
      <c r="J2538" s="4">
        <v>46089.393153414348</v>
      </c>
    </row>
    <row r="2539" spans="1:10" x14ac:dyDescent="0.55000000000000004">
      <c r="A2539" t="s">
        <v>5111</v>
      </c>
      <c r="B2539">
        <v>100570</v>
      </c>
      <c r="C2539" t="s">
        <v>37</v>
      </c>
      <c r="D2539" s="3">
        <v>45869</v>
      </c>
      <c r="E2539" t="s">
        <v>317</v>
      </c>
      <c r="F2539" t="s">
        <v>5112</v>
      </c>
      <c r="G2539" t="s">
        <v>15</v>
      </c>
      <c r="H2539" t="s">
        <v>5113</v>
      </c>
      <c r="I2539" t="s">
        <v>5114</v>
      </c>
      <c r="J2539" s="4">
        <v>46097.595236759262</v>
      </c>
    </row>
    <row r="2540" spans="1:10" x14ac:dyDescent="0.55000000000000004">
      <c r="A2540" t="s">
        <v>1059</v>
      </c>
      <c r="B2540">
        <v>100487</v>
      </c>
      <c r="C2540" t="s">
        <v>19</v>
      </c>
      <c r="D2540" s="3">
        <v>46108</v>
      </c>
      <c r="E2540" t="s">
        <v>317</v>
      </c>
      <c r="F2540" t="s">
        <v>5115</v>
      </c>
      <c r="G2540" t="s">
        <v>15</v>
      </c>
      <c r="H2540" t="s">
        <v>5116</v>
      </c>
      <c r="I2540" t="s">
        <v>5117</v>
      </c>
      <c r="J2540" s="4">
        <v>46089.063292314815</v>
      </c>
    </row>
    <row r="2541" spans="1:10" x14ac:dyDescent="0.55000000000000004">
      <c r="A2541" t="s">
        <v>1059</v>
      </c>
      <c r="B2541">
        <v>100487</v>
      </c>
      <c r="C2541" t="s">
        <v>19</v>
      </c>
      <c r="D2541" s="3">
        <v>46108</v>
      </c>
      <c r="E2541" t="s">
        <v>155</v>
      </c>
      <c r="F2541" t="s">
        <v>5115</v>
      </c>
      <c r="G2541" t="s">
        <v>15</v>
      </c>
      <c r="H2541" t="s">
        <v>5116</v>
      </c>
      <c r="I2541" t="s">
        <v>5117</v>
      </c>
      <c r="J2541" s="4">
        <v>46089.063292314815</v>
      </c>
    </row>
    <row r="2542" spans="1:10" x14ac:dyDescent="0.55000000000000004">
      <c r="A2542" t="s">
        <v>5118</v>
      </c>
      <c r="B2542">
        <v>101052</v>
      </c>
      <c r="C2542" t="s">
        <v>19</v>
      </c>
      <c r="D2542" s="3">
        <v>45959</v>
      </c>
      <c r="E2542" t="s">
        <v>20</v>
      </c>
      <c r="F2542" t="s">
        <v>5119</v>
      </c>
      <c r="G2542" t="s">
        <v>22</v>
      </c>
      <c r="H2542" t="s">
        <v>5120</v>
      </c>
      <c r="I2542" t="s">
        <v>5121</v>
      </c>
      <c r="J2542" s="4">
        <v>46067.526486770832</v>
      </c>
    </row>
    <row r="2543" spans="1:10" x14ac:dyDescent="0.55000000000000004">
      <c r="A2543" t="s">
        <v>5122</v>
      </c>
      <c r="B2543">
        <v>101278</v>
      </c>
      <c r="C2543" t="s">
        <v>248</v>
      </c>
      <c r="D2543" s="3">
        <v>45760</v>
      </c>
      <c r="E2543" t="s">
        <v>317</v>
      </c>
      <c r="F2543" t="s">
        <v>5123</v>
      </c>
      <c r="G2543" t="s">
        <v>15</v>
      </c>
      <c r="H2543" t="s">
        <v>5124</v>
      </c>
      <c r="I2543" t="s">
        <v>5125</v>
      </c>
      <c r="J2543" s="4">
        <v>46095.600097881943</v>
      </c>
    </row>
    <row r="2544" spans="1:10" x14ac:dyDescent="0.55000000000000004">
      <c r="A2544" t="s">
        <v>5122</v>
      </c>
      <c r="B2544">
        <v>101278</v>
      </c>
      <c r="C2544" t="s">
        <v>248</v>
      </c>
      <c r="D2544" s="3">
        <v>45760</v>
      </c>
      <c r="E2544" t="s">
        <v>20</v>
      </c>
      <c r="F2544" t="s">
        <v>5123</v>
      </c>
      <c r="G2544" t="s">
        <v>15</v>
      </c>
      <c r="H2544" t="s">
        <v>5124</v>
      </c>
      <c r="I2544" t="s">
        <v>5125</v>
      </c>
      <c r="J2544" s="4">
        <v>46095.600097881943</v>
      </c>
    </row>
    <row r="2545" spans="1:11" x14ac:dyDescent="0.55000000000000004">
      <c r="A2545" t="s">
        <v>5122</v>
      </c>
      <c r="B2545">
        <v>101278</v>
      </c>
      <c r="C2545" t="s">
        <v>248</v>
      </c>
      <c r="D2545" s="3">
        <v>45760</v>
      </c>
      <c r="E2545" t="s">
        <v>155</v>
      </c>
      <c r="F2545" t="s">
        <v>5123</v>
      </c>
      <c r="G2545" t="s">
        <v>15</v>
      </c>
      <c r="H2545" t="s">
        <v>5124</v>
      </c>
      <c r="I2545" t="s">
        <v>5125</v>
      </c>
      <c r="J2545" s="4">
        <v>46095.600097881943</v>
      </c>
    </row>
    <row r="2546" spans="1:11" x14ac:dyDescent="0.55000000000000004">
      <c r="A2546" t="s">
        <v>5126</v>
      </c>
      <c r="B2546">
        <v>100676</v>
      </c>
      <c r="C2546" t="s">
        <v>19</v>
      </c>
      <c r="D2546" s="3">
        <v>45883</v>
      </c>
      <c r="E2546" t="s">
        <v>38</v>
      </c>
      <c r="F2546" t="s">
        <v>5127</v>
      </c>
      <c r="G2546" t="s">
        <v>22</v>
      </c>
      <c r="H2546" t="s">
        <v>5128</v>
      </c>
      <c r="I2546" t="s">
        <v>5129</v>
      </c>
      <c r="J2546" s="4">
        <v>46088.744542326385</v>
      </c>
    </row>
    <row r="2547" spans="1:11" x14ac:dyDescent="0.55000000000000004">
      <c r="A2547" t="s">
        <v>5130</v>
      </c>
      <c r="B2547">
        <v>100064</v>
      </c>
      <c r="C2547" t="s">
        <v>248</v>
      </c>
      <c r="D2547" s="3">
        <v>45744</v>
      </c>
      <c r="E2547" t="s">
        <v>69</v>
      </c>
      <c r="F2547" t="s">
        <v>5131</v>
      </c>
      <c r="G2547" t="s">
        <v>22</v>
      </c>
      <c r="H2547" t="s">
        <v>4246</v>
      </c>
      <c r="I2547" t="s">
        <v>5132</v>
      </c>
      <c r="J2547" s="4">
        <v>46088.243847893522</v>
      </c>
    </row>
    <row r="2548" spans="1:11" x14ac:dyDescent="0.55000000000000004">
      <c r="A2548" t="s">
        <v>5133</v>
      </c>
      <c r="B2548">
        <v>100138</v>
      </c>
      <c r="C2548" t="s">
        <v>68</v>
      </c>
      <c r="D2548" s="3">
        <v>45847</v>
      </c>
      <c r="E2548" t="s">
        <v>317</v>
      </c>
      <c r="F2548" t="s">
        <v>5134</v>
      </c>
      <c r="G2548" t="s">
        <v>15</v>
      </c>
      <c r="H2548" t="s">
        <v>5135</v>
      </c>
      <c r="I2548" t="s">
        <v>5136</v>
      </c>
      <c r="J2548" s="4">
        <v>46090.427181226849</v>
      </c>
    </row>
    <row r="2549" spans="1:11" x14ac:dyDescent="0.55000000000000004">
      <c r="A2549" t="s">
        <v>5133</v>
      </c>
      <c r="B2549">
        <v>100138</v>
      </c>
      <c r="C2549" t="s">
        <v>68</v>
      </c>
      <c r="D2549" s="3">
        <v>45847</v>
      </c>
      <c r="E2549" t="s">
        <v>155</v>
      </c>
      <c r="F2549" t="s">
        <v>5134</v>
      </c>
      <c r="G2549" t="s">
        <v>15</v>
      </c>
      <c r="H2549" t="s">
        <v>5135</v>
      </c>
      <c r="I2549" t="s">
        <v>5136</v>
      </c>
      <c r="J2549" s="4">
        <v>46090.427181226849</v>
      </c>
    </row>
    <row r="2550" spans="1:11" x14ac:dyDescent="0.55000000000000004">
      <c r="A2550" t="s">
        <v>5133</v>
      </c>
      <c r="B2550">
        <v>100138</v>
      </c>
      <c r="C2550" t="s">
        <v>68</v>
      </c>
      <c r="D2550" s="3">
        <v>45847</v>
      </c>
      <c r="E2550" t="s">
        <v>69</v>
      </c>
      <c r="F2550" t="s">
        <v>5134</v>
      </c>
      <c r="G2550" t="s">
        <v>15</v>
      </c>
      <c r="H2550" t="s">
        <v>5135</v>
      </c>
      <c r="I2550" t="s">
        <v>5136</v>
      </c>
      <c r="J2550" s="4">
        <v>46090.427181226849</v>
      </c>
    </row>
    <row r="2551" spans="1:11" x14ac:dyDescent="0.55000000000000004">
      <c r="A2551" t="s">
        <v>5137</v>
      </c>
      <c r="B2551">
        <v>100468</v>
      </c>
      <c r="C2551" t="s">
        <v>533</v>
      </c>
      <c r="D2551" s="3">
        <v>45876</v>
      </c>
      <c r="E2551" t="s">
        <v>38</v>
      </c>
      <c r="F2551" t="s">
        <v>5138</v>
      </c>
      <c r="G2551" t="s">
        <v>22</v>
      </c>
      <c r="H2551" t="s">
        <v>5139</v>
      </c>
      <c r="I2551" t="s">
        <v>5140</v>
      </c>
      <c r="J2551" s="4">
        <v>46090.23343122685</v>
      </c>
    </row>
    <row r="2552" spans="1:11" x14ac:dyDescent="0.55000000000000004">
      <c r="A2552" t="s">
        <v>5137</v>
      </c>
      <c r="B2552">
        <v>100468</v>
      </c>
      <c r="C2552" t="s">
        <v>533</v>
      </c>
      <c r="D2552" s="3">
        <v>45876</v>
      </c>
      <c r="E2552" t="s">
        <v>155</v>
      </c>
      <c r="F2552" t="s">
        <v>5138</v>
      </c>
      <c r="G2552" t="s">
        <v>22</v>
      </c>
      <c r="H2552" t="s">
        <v>5139</v>
      </c>
      <c r="I2552" t="s">
        <v>5140</v>
      </c>
      <c r="J2552" s="4">
        <v>46090.23343122685</v>
      </c>
    </row>
    <row r="2553" spans="1:11" x14ac:dyDescent="0.55000000000000004">
      <c r="A2553" t="s">
        <v>5141</v>
      </c>
      <c r="B2553">
        <v>100120</v>
      </c>
      <c r="C2553" t="s">
        <v>37</v>
      </c>
      <c r="D2553" s="3">
        <v>45754</v>
      </c>
      <c r="E2553" t="s">
        <v>317</v>
      </c>
      <c r="F2553" t="s">
        <v>5142</v>
      </c>
      <c r="G2553" t="s">
        <v>22</v>
      </c>
      <c r="H2553" t="s">
        <v>5143</v>
      </c>
      <c r="I2553" t="s">
        <v>5144</v>
      </c>
      <c r="J2553" s="4">
        <v>46059.488292349539</v>
      </c>
    </row>
    <row r="2554" spans="1:11" x14ac:dyDescent="0.55000000000000004">
      <c r="A2554" t="s">
        <v>5141</v>
      </c>
      <c r="B2554">
        <v>100120</v>
      </c>
      <c r="C2554" t="s">
        <v>37</v>
      </c>
      <c r="D2554" s="3">
        <v>45754</v>
      </c>
      <c r="E2554" t="s">
        <v>115</v>
      </c>
      <c r="F2554" t="s">
        <v>5142</v>
      </c>
      <c r="G2554" t="s">
        <v>22</v>
      </c>
      <c r="H2554" t="s">
        <v>5143</v>
      </c>
      <c r="I2554" t="s">
        <v>5144</v>
      </c>
      <c r="J2554" s="4">
        <v>46059.488292349539</v>
      </c>
    </row>
    <row r="2555" spans="1:11" x14ac:dyDescent="0.55000000000000004">
      <c r="A2555" t="s">
        <v>5141</v>
      </c>
      <c r="B2555">
        <v>100120</v>
      </c>
      <c r="C2555" t="s">
        <v>37</v>
      </c>
      <c r="D2555" s="3">
        <v>45754</v>
      </c>
      <c r="E2555" t="s">
        <v>69</v>
      </c>
      <c r="F2555" t="s">
        <v>5142</v>
      </c>
      <c r="G2555" t="s">
        <v>22</v>
      </c>
      <c r="H2555" t="s">
        <v>5143</v>
      </c>
      <c r="I2555" t="s">
        <v>5144</v>
      </c>
      <c r="J2555" s="4">
        <v>46059.488292349539</v>
      </c>
    </row>
    <row r="2556" spans="1:11" x14ac:dyDescent="0.55000000000000004">
      <c r="A2556" t="s">
        <v>5145</v>
      </c>
      <c r="B2556">
        <v>100145</v>
      </c>
      <c r="D2556" s="3">
        <v>45808</v>
      </c>
      <c r="E2556" t="s">
        <v>317</v>
      </c>
      <c r="F2556" t="s">
        <v>5146</v>
      </c>
      <c r="G2556" t="s">
        <v>22</v>
      </c>
      <c r="H2556" t="s">
        <v>5147</v>
      </c>
      <c r="I2556" t="s">
        <v>5148</v>
      </c>
      <c r="J2556" s="4">
        <v>46091.360514571759</v>
      </c>
      <c r="K2556" t="s">
        <v>217</v>
      </c>
    </row>
    <row r="2557" spans="1:11" x14ac:dyDescent="0.55000000000000004">
      <c r="A2557" t="s">
        <v>5145</v>
      </c>
      <c r="B2557">
        <v>100145</v>
      </c>
      <c r="D2557" s="3">
        <v>45808</v>
      </c>
      <c r="E2557" t="s">
        <v>38</v>
      </c>
      <c r="F2557" t="s">
        <v>5146</v>
      </c>
      <c r="G2557" t="s">
        <v>22</v>
      </c>
      <c r="H2557" t="s">
        <v>5147</v>
      </c>
      <c r="I2557" t="s">
        <v>5148</v>
      </c>
      <c r="J2557" s="4">
        <v>46091.360514571759</v>
      </c>
      <c r="K2557" t="s">
        <v>217</v>
      </c>
    </row>
    <row r="2558" spans="1:11" x14ac:dyDescent="0.55000000000000004">
      <c r="A2558" t="s">
        <v>5145</v>
      </c>
      <c r="B2558">
        <v>100145</v>
      </c>
      <c r="D2558" s="3">
        <v>45808</v>
      </c>
      <c r="E2558" t="s">
        <v>20</v>
      </c>
      <c r="F2558" t="s">
        <v>5146</v>
      </c>
      <c r="G2558" t="s">
        <v>22</v>
      </c>
      <c r="H2558" t="s">
        <v>5147</v>
      </c>
      <c r="I2558" t="s">
        <v>5148</v>
      </c>
      <c r="J2558" s="4">
        <v>46091.360514571759</v>
      </c>
      <c r="K2558" t="s">
        <v>217</v>
      </c>
    </row>
    <row r="2559" spans="1:11" x14ac:dyDescent="0.55000000000000004">
      <c r="A2559" t="s">
        <v>5149</v>
      </c>
      <c r="B2559">
        <v>100014</v>
      </c>
      <c r="C2559" t="s">
        <v>19</v>
      </c>
      <c r="D2559" s="3">
        <v>46070</v>
      </c>
      <c r="E2559" t="s">
        <v>20</v>
      </c>
      <c r="F2559" t="s">
        <v>5150</v>
      </c>
      <c r="G2559" t="s">
        <v>15</v>
      </c>
      <c r="H2559" t="s">
        <v>5151</v>
      </c>
      <c r="I2559" t="s">
        <v>5152</v>
      </c>
      <c r="J2559" s="4">
        <v>46087.813292349536</v>
      </c>
    </row>
    <row r="2560" spans="1:11" x14ac:dyDescent="0.55000000000000004">
      <c r="A2560" t="s">
        <v>5149</v>
      </c>
      <c r="B2560">
        <v>100014</v>
      </c>
      <c r="C2560" t="s">
        <v>19</v>
      </c>
      <c r="D2560" s="3">
        <v>46070</v>
      </c>
      <c r="E2560" t="s">
        <v>155</v>
      </c>
      <c r="F2560" t="s">
        <v>5150</v>
      </c>
      <c r="G2560" t="s">
        <v>15</v>
      </c>
      <c r="H2560" t="s">
        <v>5151</v>
      </c>
      <c r="I2560" t="s">
        <v>5152</v>
      </c>
      <c r="J2560" s="4">
        <v>46087.813292349536</v>
      </c>
    </row>
    <row r="2561" spans="1:10" x14ac:dyDescent="0.55000000000000004">
      <c r="A2561" t="s">
        <v>5153</v>
      </c>
      <c r="B2561">
        <v>101471</v>
      </c>
      <c r="C2561" t="s">
        <v>533</v>
      </c>
      <c r="D2561" s="3">
        <v>45895</v>
      </c>
      <c r="E2561" t="s">
        <v>69</v>
      </c>
      <c r="F2561" t="s">
        <v>5154</v>
      </c>
      <c r="G2561" t="s">
        <v>22</v>
      </c>
      <c r="H2561" t="s">
        <v>5155</v>
      </c>
      <c r="I2561" t="s">
        <v>5156</v>
      </c>
      <c r="J2561" s="4">
        <v>46067.650792361113</v>
      </c>
    </row>
    <row r="2562" spans="1:10" x14ac:dyDescent="0.55000000000000004">
      <c r="A2562" t="s">
        <v>5157</v>
      </c>
      <c r="B2562">
        <v>101205</v>
      </c>
      <c r="C2562" t="s">
        <v>533</v>
      </c>
      <c r="D2562" s="3">
        <v>46027</v>
      </c>
      <c r="E2562" t="s">
        <v>317</v>
      </c>
      <c r="F2562" t="s">
        <v>5158</v>
      </c>
      <c r="G2562" t="s">
        <v>15</v>
      </c>
      <c r="H2562" t="s">
        <v>5159</v>
      </c>
      <c r="I2562" t="s">
        <v>5160</v>
      </c>
      <c r="J2562" s="4">
        <v>46092.286903472224</v>
      </c>
    </row>
    <row r="2563" spans="1:10" x14ac:dyDescent="0.55000000000000004">
      <c r="A2563" t="s">
        <v>5157</v>
      </c>
      <c r="B2563">
        <v>101205</v>
      </c>
      <c r="C2563" t="s">
        <v>533</v>
      </c>
      <c r="D2563" s="3">
        <v>46027</v>
      </c>
      <c r="E2563" t="s">
        <v>20</v>
      </c>
      <c r="F2563" t="s">
        <v>5158</v>
      </c>
      <c r="G2563" t="s">
        <v>15</v>
      </c>
      <c r="H2563" t="s">
        <v>5159</v>
      </c>
      <c r="I2563" t="s">
        <v>5160</v>
      </c>
      <c r="J2563" s="4">
        <v>46092.286903472224</v>
      </c>
    </row>
    <row r="2564" spans="1:10" x14ac:dyDescent="0.55000000000000004">
      <c r="A2564" t="s">
        <v>5161</v>
      </c>
      <c r="B2564">
        <v>100471</v>
      </c>
      <c r="C2564" t="s">
        <v>533</v>
      </c>
      <c r="D2564" s="3">
        <v>45825</v>
      </c>
      <c r="E2564" t="s">
        <v>317</v>
      </c>
      <c r="F2564" t="s">
        <v>5162</v>
      </c>
      <c r="G2564" t="s">
        <v>22</v>
      </c>
      <c r="H2564" t="s">
        <v>5163</v>
      </c>
      <c r="I2564" t="s">
        <v>5164</v>
      </c>
      <c r="J2564" s="4">
        <v>46070.061903483795</v>
      </c>
    </row>
    <row r="2565" spans="1:10" x14ac:dyDescent="0.55000000000000004">
      <c r="A2565" t="s">
        <v>5161</v>
      </c>
      <c r="B2565">
        <v>100471</v>
      </c>
      <c r="C2565" t="s">
        <v>533</v>
      </c>
      <c r="D2565" s="3">
        <v>45825</v>
      </c>
      <c r="E2565" t="s">
        <v>20</v>
      </c>
      <c r="F2565" t="s">
        <v>5162</v>
      </c>
      <c r="G2565" t="s">
        <v>22</v>
      </c>
      <c r="H2565" t="s">
        <v>5163</v>
      </c>
      <c r="I2565" t="s">
        <v>5164</v>
      </c>
      <c r="J2565" s="4">
        <v>46070.061903483795</v>
      </c>
    </row>
    <row r="2566" spans="1:10" x14ac:dyDescent="0.55000000000000004">
      <c r="A2566" t="s">
        <v>5165</v>
      </c>
      <c r="B2566">
        <v>101134</v>
      </c>
      <c r="C2566" t="s">
        <v>179</v>
      </c>
      <c r="D2566" s="3">
        <v>46040</v>
      </c>
      <c r="E2566" t="s">
        <v>38</v>
      </c>
      <c r="F2566" t="s">
        <v>5166</v>
      </c>
      <c r="G2566" t="s">
        <v>22</v>
      </c>
      <c r="H2566" t="s">
        <v>5167</v>
      </c>
      <c r="I2566" t="s">
        <v>5168</v>
      </c>
      <c r="J2566" s="4">
        <v>46070.964681261576</v>
      </c>
    </row>
    <row r="2567" spans="1:10" x14ac:dyDescent="0.55000000000000004">
      <c r="A2567" t="s">
        <v>5165</v>
      </c>
      <c r="B2567">
        <v>101134</v>
      </c>
      <c r="C2567" t="s">
        <v>179</v>
      </c>
      <c r="D2567" s="3">
        <v>46040</v>
      </c>
      <c r="E2567" t="s">
        <v>20</v>
      </c>
      <c r="F2567" t="s">
        <v>5166</v>
      </c>
      <c r="G2567" t="s">
        <v>22</v>
      </c>
      <c r="H2567" t="s">
        <v>5167</v>
      </c>
      <c r="I2567" t="s">
        <v>5168</v>
      </c>
      <c r="J2567" s="4">
        <v>46070.964681261576</v>
      </c>
    </row>
    <row r="2568" spans="1:10" x14ac:dyDescent="0.55000000000000004">
      <c r="A2568" t="s">
        <v>5165</v>
      </c>
      <c r="B2568">
        <v>101134</v>
      </c>
      <c r="C2568" t="s">
        <v>179</v>
      </c>
      <c r="D2568" s="3">
        <v>46040</v>
      </c>
      <c r="E2568" t="s">
        <v>115</v>
      </c>
      <c r="F2568" t="s">
        <v>5166</v>
      </c>
      <c r="G2568" t="s">
        <v>22</v>
      </c>
      <c r="H2568" t="s">
        <v>5167</v>
      </c>
      <c r="I2568" t="s">
        <v>5168</v>
      </c>
      <c r="J2568" s="4">
        <v>46070.964681261576</v>
      </c>
    </row>
    <row r="2569" spans="1:10" x14ac:dyDescent="0.55000000000000004">
      <c r="A2569" t="s">
        <v>5169</v>
      </c>
      <c r="B2569">
        <v>101204</v>
      </c>
      <c r="C2569" t="s">
        <v>19</v>
      </c>
      <c r="D2569" s="3">
        <v>46007</v>
      </c>
      <c r="E2569" t="s">
        <v>38</v>
      </c>
      <c r="F2569" t="s">
        <v>5170</v>
      </c>
      <c r="G2569" t="s">
        <v>22</v>
      </c>
      <c r="H2569" t="s">
        <v>5171</v>
      </c>
      <c r="I2569" t="s">
        <v>5172</v>
      </c>
      <c r="J2569" s="4">
        <v>46091.920236828701</v>
      </c>
    </row>
    <row r="2570" spans="1:10" x14ac:dyDescent="0.55000000000000004">
      <c r="A2570" t="s">
        <v>5169</v>
      </c>
      <c r="B2570">
        <v>101204</v>
      </c>
      <c r="C2570" t="s">
        <v>19</v>
      </c>
      <c r="D2570" s="3">
        <v>46007</v>
      </c>
      <c r="E2570" t="s">
        <v>115</v>
      </c>
      <c r="F2570" t="s">
        <v>5170</v>
      </c>
      <c r="G2570" t="s">
        <v>22</v>
      </c>
      <c r="H2570" t="s">
        <v>5171</v>
      </c>
      <c r="I2570" t="s">
        <v>5172</v>
      </c>
      <c r="J2570" s="4">
        <v>46091.920236828701</v>
      </c>
    </row>
    <row r="2571" spans="1:10" x14ac:dyDescent="0.55000000000000004">
      <c r="A2571" t="s">
        <v>5169</v>
      </c>
      <c r="B2571">
        <v>101204</v>
      </c>
      <c r="C2571" t="s">
        <v>19</v>
      </c>
      <c r="D2571" s="3">
        <v>46007</v>
      </c>
      <c r="E2571" t="s">
        <v>69</v>
      </c>
      <c r="F2571" t="s">
        <v>5170</v>
      </c>
      <c r="G2571" t="s">
        <v>22</v>
      </c>
      <c r="H2571" t="s">
        <v>5171</v>
      </c>
      <c r="I2571" t="s">
        <v>5172</v>
      </c>
      <c r="J2571" s="4">
        <v>46091.920236828701</v>
      </c>
    </row>
    <row r="2572" spans="1:10" x14ac:dyDescent="0.55000000000000004">
      <c r="A2572" t="s">
        <v>5173</v>
      </c>
      <c r="B2572">
        <v>100043</v>
      </c>
      <c r="C2572" t="s">
        <v>179</v>
      </c>
      <c r="D2572" s="3">
        <v>46001</v>
      </c>
      <c r="E2572" t="s">
        <v>317</v>
      </c>
      <c r="F2572" t="s">
        <v>5174</v>
      </c>
      <c r="G2572" t="s">
        <v>15</v>
      </c>
      <c r="H2572" t="s">
        <v>5175</v>
      </c>
      <c r="I2572" t="s">
        <v>5176</v>
      </c>
      <c r="J2572" s="4">
        <v>46074.742459050925</v>
      </c>
    </row>
    <row r="2573" spans="1:10" x14ac:dyDescent="0.55000000000000004">
      <c r="A2573" t="s">
        <v>5173</v>
      </c>
      <c r="B2573">
        <v>100043</v>
      </c>
      <c r="C2573" t="s">
        <v>179</v>
      </c>
      <c r="D2573" s="3">
        <v>46001</v>
      </c>
      <c r="E2573" t="s">
        <v>155</v>
      </c>
      <c r="F2573" t="s">
        <v>5174</v>
      </c>
      <c r="G2573" t="s">
        <v>15</v>
      </c>
      <c r="H2573" t="s">
        <v>5175</v>
      </c>
      <c r="I2573" t="s">
        <v>5176</v>
      </c>
      <c r="J2573" s="4">
        <v>46074.742459050925</v>
      </c>
    </row>
    <row r="2574" spans="1:10" x14ac:dyDescent="0.55000000000000004">
      <c r="A2574" t="s">
        <v>5173</v>
      </c>
      <c r="B2574">
        <v>100043</v>
      </c>
      <c r="C2574" t="s">
        <v>179</v>
      </c>
      <c r="D2574" s="3">
        <v>46001</v>
      </c>
      <c r="E2574" t="s">
        <v>115</v>
      </c>
      <c r="F2574" t="s">
        <v>5174</v>
      </c>
      <c r="G2574" t="s">
        <v>15</v>
      </c>
      <c r="H2574" t="s">
        <v>5175</v>
      </c>
      <c r="I2574" t="s">
        <v>5176</v>
      </c>
      <c r="J2574" s="4">
        <v>46074.742459050925</v>
      </c>
    </row>
    <row r="2575" spans="1:10" x14ac:dyDescent="0.55000000000000004">
      <c r="A2575" t="s">
        <v>5177</v>
      </c>
      <c r="B2575">
        <v>100692</v>
      </c>
      <c r="C2575" t="s">
        <v>248</v>
      </c>
      <c r="D2575" s="3">
        <v>45740</v>
      </c>
      <c r="E2575" t="s">
        <v>38</v>
      </c>
      <c r="F2575" t="s">
        <v>5178</v>
      </c>
      <c r="G2575" t="s">
        <v>15</v>
      </c>
      <c r="H2575" t="s">
        <v>5179</v>
      </c>
      <c r="I2575" t="s">
        <v>5180</v>
      </c>
      <c r="J2575" s="4">
        <v>46090.661209062499</v>
      </c>
    </row>
    <row r="2576" spans="1:10" x14ac:dyDescent="0.55000000000000004">
      <c r="A2576" t="s">
        <v>5177</v>
      </c>
      <c r="B2576">
        <v>100692</v>
      </c>
      <c r="C2576" t="s">
        <v>248</v>
      </c>
      <c r="D2576" s="3">
        <v>45740</v>
      </c>
      <c r="E2576" t="s">
        <v>69</v>
      </c>
      <c r="F2576" t="s">
        <v>5178</v>
      </c>
      <c r="G2576" t="s">
        <v>15</v>
      </c>
      <c r="H2576" t="s">
        <v>5179</v>
      </c>
      <c r="I2576" t="s">
        <v>5180</v>
      </c>
      <c r="J2576" s="4">
        <v>46090.661209062499</v>
      </c>
    </row>
    <row r="2577" spans="1:11" x14ac:dyDescent="0.55000000000000004">
      <c r="A2577" t="s">
        <v>5181</v>
      </c>
      <c r="B2577">
        <v>100131</v>
      </c>
      <c r="C2577" t="s">
        <v>68</v>
      </c>
      <c r="D2577" s="3">
        <v>45916</v>
      </c>
      <c r="E2577" t="s">
        <v>20</v>
      </c>
      <c r="F2577" t="s">
        <v>5182</v>
      </c>
      <c r="G2577" t="s">
        <v>22</v>
      </c>
      <c r="H2577" t="s">
        <v>5183</v>
      </c>
      <c r="I2577" t="s">
        <v>5184</v>
      </c>
      <c r="J2577" s="4">
        <v>46087.961903506941</v>
      </c>
    </row>
    <row r="2578" spans="1:11" x14ac:dyDescent="0.55000000000000004">
      <c r="A2578" t="s">
        <v>5185</v>
      </c>
      <c r="B2578">
        <v>100460</v>
      </c>
      <c r="C2578" t="s">
        <v>179</v>
      </c>
      <c r="D2578" s="3">
        <v>45856</v>
      </c>
      <c r="E2578" t="s">
        <v>115</v>
      </c>
      <c r="F2578" t="s">
        <v>5186</v>
      </c>
      <c r="G2578" t="s">
        <v>15</v>
      </c>
      <c r="H2578" t="s">
        <v>5187</v>
      </c>
      <c r="I2578" t="s">
        <v>5188</v>
      </c>
      <c r="J2578" s="4">
        <v>46089.579264629632</v>
      </c>
    </row>
    <row r="2579" spans="1:11" x14ac:dyDescent="0.55000000000000004">
      <c r="A2579" t="s">
        <v>5189</v>
      </c>
      <c r="B2579">
        <v>100507</v>
      </c>
      <c r="C2579" t="s">
        <v>533</v>
      </c>
      <c r="D2579" s="3">
        <v>45925</v>
      </c>
      <c r="E2579" t="s">
        <v>20</v>
      </c>
      <c r="F2579" t="s">
        <v>5190</v>
      </c>
      <c r="G2579" t="s">
        <v>15</v>
      </c>
      <c r="H2579" t="s">
        <v>5191</v>
      </c>
      <c r="I2579" t="s">
        <v>5192</v>
      </c>
      <c r="J2579" s="4">
        <v>46053.595236851848</v>
      </c>
    </row>
    <row r="2580" spans="1:11" x14ac:dyDescent="0.55000000000000004">
      <c r="A2580" t="s">
        <v>5189</v>
      </c>
      <c r="B2580">
        <v>100507</v>
      </c>
      <c r="C2580" t="s">
        <v>533</v>
      </c>
      <c r="D2580" s="3">
        <v>45925</v>
      </c>
      <c r="E2580" t="s">
        <v>155</v>
      </c>
      <c r="F2580" t="s">
        <v>5190</v>
      </c>
      <c r="G2580" t="s">
        <v>15</v>
      </c>
      <c r="H2580" t="s">
        <v>5191</v>
      </c>
      <c r="I2580" t="s">
        <v>5192</v>
      </c>
      <c r="J2580" s="4">
        <v>46053.595236851848</v>
      </c>
    </row>
    <row r="2581" spans="1:11" x14ac:dyDescent="0.55000000000000004">
      <c r="A2581" t="s">
        <v>5189</v>
      </c>
      <c r="B2581">
        <v>100507</v>
      </c>
      <c r="C2581" t="s">
        <v>533</v>
      </c>
      <c r="D2581" s="3">
        <v>45925</v>
      </c>
      <c r="E2581" t="s">
        <v>69</v>
      </c>
      <c r="F2581" t="s">
        <v>5190</v>
      </c>
      <c r="G2581" t="s">
        <v>15</v>
      </c>
      <c r="H2581" t="s">
        <v>5191</v>
      </c>
      <c r="I2581" t="s">
        <v>5192</v>
      </c>
      <c r="J2581" s="4">
        <v>46053.595236851848</v>
      </c>
    </row>
    <row r="2582" spans="1:11" x14ac:dyDescent="0.55000000000000004">
      <c r="A2582" t="s">
        <v>5193</v>
      </c>
      <c r="B2582">
        <v>100247</v>
      </c>
      <c r="C2582" t="s">
        <v>19</v>
      </c>
      <c r="D2582" s="3">
        <v>45769</v>
      </c>
      <c r="E2582" t="s">
        <v>38</v>
      </c>
      <c r="F2582" t="s">
        <v>5194</v>
      </c>
      <c r="G2582" t="s">
        <v>15</v>
      </c>
      <c r="H2582" t="s">
        <v>5195</v>
      </c>
      <c r="I2582" t="s">
        <v>5196</v>
      </c>
      <c r="J2582" s="4">
        <v>46088.226486851854</v>
      </c>
    </row>
    <row r="2583" spans="1:11" x14ac:dyDescent="0.55000000000000004">
      <c r="A2583" t="s">
        <v>5193</v>
      </c>
      <c r="B2583">
        <v>100247</v>
      </c>
      <c r="C2583" t="s">
        <v>19</v>
      </c>
      <c r="D2583" s="3">
        <v>45769</v>
      </c>
      <c r="E2583" t="s">
        <v>115</v>
      </c>
      <c r="F2583" t="s">
        <v>5194</v>
      </c>
      <c r="G2583" t="s">
        <v>15</v>
      </c>
      <c r="H2583" t="s">
        <v>5195</v>
      </c>
      <c r="I2583" t="s">
        <v>5196</v>
      </c>
      <c r="J2583" s="4">
        <v>46088.226486851854</v>
      </c>
    </row>
    <row r="2584" spans="1:11" x14ac:dyDescent="0.55000000000000004">
      <c r="A2584" t="s">
        <v>5197</v>
      </c>
      <c r="B2584">
        <v>100924</v>
      </c>
      <c r="C2584" t="s">
        <v>533</v>
      </c>
      <c r="D2584" s="3">
        <v>45772</v>
      </c>
      <c r="E2584" t="s">
        <v>155</v>
      </c>
      <c r="F2584" t="s">
        <v>5198</v>
      </c>
      <c r="G2584" t="s">
        <v>15</v>
      </c>
      <c r="H2584" t="s">
        <v>5199</v>
      </c>
      <c r="I2584" t="s">
        <v>5200</v>
      </c>
      <c r="J2584" s="4">
        <v>46061.154264641205</v>
      </c>
    </row>
    <row r="2585" spans="1:11" x14ac:dyDescent="0.55000000000000004">
      <c r="A2585" t="s">
        <v>5201</v>
      </c>
      <c r="B2585">
        <v>101059</v>
      </c>
      <c r="C2585" t="s">
        <v>533</v>
      </c>
      <c r="D2585" s="3">
        <v>46123</v>
      </c>
      <c r="E2585" t="s">
        <v>69</v>
      </c>
      <c r="F2585" t="s">
        <v>5202</v>
      </c>
      <c r="G2585" t="s">
        <v>15</v>
      </c>
      <c r="H2585" t="s">
        <v>5203</v>
      </c>
      <c r="I2585" t="s">
        <v>5204</v>
      </c>
      <c r="J2585" s="4">
        <v>46063.752875752318</v>
      </c>
    </row>
    <row r="2586" spans="1:11" x14ac:dyDescent="0.55000000000000004">
      <c r="A2586" t="s">
        <v>5205</v>
      </c>
      <c r="B2586">
        <v>100897</v>
      </c>
      <c r="C2586" t="s">
        <v>68</v>
      </c>
      <c r="D2586" s="3">
        <v>45972</v>
      </c>
      <c r="E2586" t="s">
        <v>317</v>
      </c>
      <c r="F2586" t="s">
        <v>5206</v>
      </c>
      <c r="G2586" t="s">
        <v>22</v>
      </c>
      <c r="H2586" t="s">
        <v>5207</v>
      </c>
      <c r="I2586" t="s">
        <v>5208</v>
      </c>
      <c r="J2586" s="4">
        <v>46055.757736874999</v>
      </c>
    </row>
    <row r="2587" spans="1:11" x14ac:dyDescent="0.55000000000000004">
      <c r="A2587" t="s">
        <v>5205</v>
      </c>
      <c r="B2587">
        <v>100897</v>
      </c>
      <c r="C2587" t="s">
        <v>68</v>
      </c>
      <c r="D2587" s="3">
        <v>45972</v>
      </c>
      <c r="E2587" t="s">
        <v>20</v>
      </c>
      <c r="F2587" t="s">
        <v>5206</v>
      </c>
      <c r="G2587" t="s">
        <v>22</v>
      </c>
      <c r="H2587" t="s">
        <v>5207</v>
      </c>
      <c r="I2587" t="s">
        <v>5208</v>
      </c>
      <c r="J2587" s="4">
        <v>46055.757736874999</v>
      </c>
    </row>
    <row r="2588" spans="1:11" x14ac:dyDescent="0.55000000000000004">
      <c r="A2588" t="s">
        <v>5209</v>
      </c>
      <c r="B2588">
        <v>100764</v>
      </c>
      <c r="C2588" t="s">
        <v>37</v>
      </c>
      <c r="D2588" s="3">
        <v>45878</v>
      </c>
      <c r="E2588" t="s">
        <v>115</v>
      </c>
      <c r="F2588" t="s">
        <v>5210</v>
      </c>
      <c r="G2588" t="s">
        <v>15</v>
      </c>
      <c r="H2588" t="s">
        <v>5211</v>
      </c>
      <c r="I2588" t="s">
        <v>5212</v>
      </c>
      <c r="J2588" s="4">
        <v>46056.700792430558</v>
      </c>
    </row>
    <row r="2589" spans="1:11" x14ac:dyDescent="0.55000000000000004">
      <c r="A2589" t="s">
        <v>5213</v>
      </c>
      <c r="B2589">
        <v>101375</v>
      </c>
      <c r="C2589" t="s">
        <v>19</v>
      </c>
      <c r="D2589" s="3">
        <v>46116</v>
      </c>
      <c r="E2589" t="s">
        <v>38</v>
      </c>
      <c r="F2589" t="s">
        <v>5214</v>
      </c>
      <c r="G2589" t="s">
        <v>15</v>
      </c>
      <c r="H2589" t="s">
        <v>5215</v>
      </c>
      <c r="I2589" t="s">
        <v>5216</v>
      </c>
      <c r="J2589" s="4">
        <v>46097.182736875002</v>
      </c>
    </row>
    <row r="2590" spans="1:11" x14ac:dyDescent="0.55000000000000004">
      <c r="A2590" t="s">
        <v>5217</v>
      </c>
      <c r="B2590">
        <v>100638</v>
      </c>
      <c r="C2590" t="s">
        <v>179</v>
      </c>
      <c r="D2590" s="3">
        <v>46080</v>
      </c>
      <c r="E2590" t="s">
        <v>38</v>
      </c>
      <c r="F2590" t="s">
        <v>5218</v>
      </c>
      <c r="G2590" t="s">
        <v>22</v>
      </c>
      <c r="H2590" t="s">
        <v>5219</v>
      </c>
      <c r="I2590" t="s">
        <v>5220</v>
      </c>
      <c r="J2590" s="4">
        <v>46052.423014664353</v>
      </c>
    </row>
    <row r="2591" spans="1:11" x14ac:dyDescent="0.55000000000000004">
      <c r="A2591" t="s">
        <v>5217</v>
      </c>
      <c r="B2591">
        <v>100638</v>
      </c>
      <c r="C2591" t="s">
        <v>179</v>
      </c>
      <c r="D2591" s="3">
        <v>46080</v>
      </c>
      <c r="E2591" t="s">
        <v>20</v>
      </c>
      <c r="F2591" t="s">
        <v>5218</v>
      </c>
      <c r="G2591" t="s">
        <v>22</v>
      </c>
      <c r="H2591" t="s">
        <v>5219</v>
      </c>
      <c r="I2591" t="s">
        <v>5220</v>
      </c>
      <c r="J2591" s="4">
        <v>46052.423014664353</v>
      </c>
    </row>
    <row r="2592" spans="1:11" x14ac:dyDescent="0.55000000000000004">
      <c r="A2592" t="s">
        <v>5221</v>
      </c>
      <c r="B2592">
        <v>101008</v>
      </c>
      <c r="C2592" t="s">
        <v>179</v>
      </c>
      <c r="D2592" s="3">
        <v>45812</v>
      </c>
      <c r="E2592" t="s">
        <v>38</v>
      </c>
      <c r="F2592" t="s">
        <v>4191</v>
      </c>
      <c r="G2592" t="s">
        <v>22</v>
      </c>
      <c r="H2592" t="s">
        <v>5222</v>
      </c>
      <c r="I2592" t="s">
        <v>5223</v>
      </c>
      <c r="J2592" s="4">
        <v>46089.445236886575</v>
      </c>
      <c r="K2592" t="s">
        <v>139</v>
      </c>
    </row>
    <row r="2593" spans="1:11" x14ac:dyDescent="0.55000000000000004">
      <c r="A2593" t="s">
        <v>5221</v>
      </c>
      <c r="B2593">
        <v>101008</v>
      </c>
      <c r="C2593" t="s">
        <v>179</v>
      </c>
      <c r="D2593" s="3">
        <v>45812</v>
      </c>
      <c r="E2593" t="s">
        <v>155</v>
      </c>
      <c r="F2593" t="s">
        <v>4191</v>
      </c>
      <c r="G2593" t="s">
        <v>22</v>
      </c>
      <c r="H2593" t="s">
        <v>5222</v>
      </c>
      <c r="I2593" t="s">
        <v>5223</v>
      </c>
      <c r="J2593" s="4">
        <v>46089.445236886575</v>
      </c>
      <c r="K2593" t="s">
        <v>139</v>
      </c>
    </row>
    <row r="2594" spans="1:11" x14ac:dyDescent="0.55000000000000004">
      <c r="A2594" t="s">
        <v>5224</v>
      </c>
      <c r="C2594" t="s">
        <v>179</v>
      </c>
      <c r="D2594" s="3">
        <v>46048</v>
      </c>
      <c r="E2594" t="s">
        <v>115</v>
      </c>
      <c r="F2594" t="s">
        <v>5225</v>
      </c>
      <c r="G2594" t="s">
        <v>22</v>
      </c>
      <c r="H2594" t="s">
        <v>5226</v>
      </c>
      <c r="I2594" t="s">
        <v>5227</v>
      </c>
      <c r="J2594" s="4">
        <v>46085.950792453703</v>
      </c>
      <c r="K2594" t="s">
        <v>112</v>
      </c>
    </row>
    <row r="2595" spans="1:11" x14ac:dyDescent="0.55000000000000004">
      <c r="A2595" t="s">
        <v>5228</v>
      </c>
      <c r="B2595">
        <v>100433</v>
      </c>
      <c r="C2595" t="s">
        <v>19</v>
      </c>
      <c r="D2595" s="3">
        <v>45771</v>
      </c>
      <c r="E2595" t="s">
        <v>317</v>
      </c>
      <c r="F2595" t="s">
        <v>5229</v>
      </c>
      <c r="G2595" t="s">
        <v>22</v>
      </c>
      <c r="H2595" t="s">
        <v>5230</v>
      </c>
      <c r="I2595" t="s">
        <v>5231</v>
      </c>
      <c r="J2595" s="4">
        <v>46073.511903564817</v>
      </c>
    </row>
    <row r="2596" spans="1:11" x14ac:dyDescent="0.55000000000000004">
      <c r="A2596" t="s">
        <v>5228</v>
      </c>
      <c r="B2596">
        <v>100433</v>
      </c>
      <c r="C2596" t="s">
        <v>19</v>
      </c>
      <c r="D2596" s="3">
        <v>45771</v>
      </c>
      <c r="E2596" t="s">
        <v>20</v>
      </c>
      <c r="F2596" t="s">
        <v>5229</v>
      </c>
      <c r="G2596" t="s">
        <v>22</v>
      </c>
      <c r="H2596" t="s">
        <v>5230</v>
      </c>
      <c r="I2596" t="s">
        <v>5231</v>
      </c>
      <c r="J2596" s="4">
        <v>46073.511903564817</v>
      </c>
    </row>
    <row r="2597" spans="1:11" x14ac:dyDescent="0.55000000000000004">
      <c r="A2597" t="s">
        <v>5228</v>
      </c>
      <c r="B2597">
        <v>100433</v>
      </c>
      <c r="C2597" t="s">
        <v>19</v>
      </c>
      <c r="D2597" s="3">
        <v>45771</v>
      </c>
      <c r="E2597" t="s">
        <v>69</v>
      </c>
      <c r="F2597" t="s">
        <v>5229</v>
      </c>
      <c r="G2597" t="s">
        <v>22</v>
      </c>
      <c r="H2597" t="s">
        <v>5230</v>
      </c>
      <c r="I2597" t="s">
        <v>5231</v>
      </c>
      <c r="J2597" s="4">
        <v>46073.511903564817</v>
      </c>
    </row>
    <row r="2598" spans="1:11" x14ac:dyDescent="0.55000000000000004">
      <c r="A2598" t="s">
        <v>5232</v>
      </c>
      <c r="B2598">
        <v>100866</v>
      </c>
      <c r="C2598" t="s">
        <v>37</v>
      </c>
      <c r="D2598" s="3">
        <v>46143</v>
      </c>
      <c r="E2598" t="s">
        <v>317</v>
      </c>
      <c r="F2598" t="s">
        <v>5233</v>
      </c>
      <c r="G2598" t="s">
        <v>15</v>
      </c>
      <c r="H2598" t="s">
        <v>5234</v>
      </c>
      <c r="I2598" t="s">
        <v>5235</v>
      </c>
      <c r="J2598" s="4">
        <v>46080.591764675926</v>
      </c>
    </row>
    <row r="2599" spans="1:11" x14ac:dyDescent="0.55000000000000004">
      <c r="A2599" t="s">
        <v>5232</v>
      </c>
      <c r="B2599">
        <v>100866</v>
      </c>
      <c r="C2599" t="s">
        <v>37</v>
      </c>
      <c r="D2599" s="3">
        <v>46143</v>
      </c>
      <c r="E2599" t="s">
        <v>69</v>
      </c>
      <c r="F2599" t="s">
        <v>5233</v>
      </c>
      <c r="G2599" t="s">
        <v>15</v>
      </c>
      <c r="H2599" t="s">
        <v>5234</v>
      </c>
      <c r="I2599" t="s">
        <v>5235</v>
      </c>
      <c r="J2599" s="4">
        <v>46080.591764675926</v>
      </c>
    </row>
    <row r="2600" spans="1:11" x14ac:dyDescent="0.55000000000000004">
      <c r="A2600" t="s">
        <v>5236</v>
      </c>
      <c r="B2600">
        <v>101242</v>
      </c>
      <c r="C2600" t="s">
        <v>533</v>
      </c>
      <c r="D2600" s="3">
        <v>45771</v>
      </c>
      <c r="E2600" t="s">
        <v>38</v>
      </c>
      <c r="F2600" t="s">
        <v>5237</v>
      </c>
      <c r="G2600" t="s">
        <v>15</v>
      </c>
      <c r="H2600" t="s">
        <v>5238</v>
      </c>
      <c r="I2600" t="s">
        <v>5239</v>
      </c>
      <c r="J2600" s="4">
        <v>46082.345236909721</v>
      </c>
    </row>
    <row r="2601" spans="1:11" x14ac:dyDescent="0.55000000000000004">
      <c r="A2601" t="s">
        <v>5236</v>
      </c>
      <c r="B2601">
        <v>101242</v>
      </c>
      <c r="C2601" t="s">
        <v>533</v>
      </c>
      <c r="D2601" s="3">
        <v>45771</v>
      </c>
      <c r="E2601" t="s">
        <v>20</v>
      </c>
      <c r="F2601" t="s">
        <v>5237</v>
      </c>
      <c r="G2601" t="s">
        <v>15</v>
      </c>
      <c r="H2601" t="s">
        <v>5238</v>
      </c>
      <c r="I2601" t="s">
        <v>5239</v>
      </c>
      <c r="J2601" s="4">
        <v>46082.345236909721</v>
      </c>
    </row>
    <row r="2602" spans="1:11" x14ac:dyDescent="0.55000000000000004">
      <c r="A2602" t="s">
        <v>5240</v>
      </c>
      <c r="B2602">
        <v>101080</v>
      </c>
      <c r="C2602" t="s">
        <v>533</v>
      </c>
      <c r="D2602" s="3">
        <v>46009</v>
      </c>
      <c r="E2602" t="s">
        <v>155</v>
      </c>
      <c r="F2602" t="s">
        <v>5241</v>
      </c>
      <c r="G2602" t="s">
        <v>15</v>
      </c>
      <c r="H2602" t="s">
        <v>5242</v>
      </c>
      <c r="I2602" t="s">
        <v>5243</v>
      </c>
      <c r="J2602" s="4">
        <v>46059.730653576386</v>
      </c>
    </row>
    <row r="2603" spans="1:11" x14ac:dyDescent="0.55000000000000004">
      <c r="A2603" t="s">
        <v>5244</v>
      </c>
      <c r="B2603">
        <v>101384</v>
      </c>
      <c r="C2603" t="s">
        <v>68</v>
      </c>
      <c r="D2603" s="3">
        <v>45828</v>
      </c>
      <c r="E2603" t="s">
        <v>317</v>
      </c>
      <c r="F2603" t="s">
        <v>5245</v>
      </c>
      <c r="G2603" t="s">
        <v>22</v>
      </c>
      <c r="H2603" t="s">
        <v>5246</v>
      </c>
      <c r="I2603" t="s">
        <v>5247</v>
      </c>
      <c r="J2603" s="4">
        <v>46091.935514699071</v>
      </c>
    </row>
    <row r="2604" spans="1:11" x14ac:dyDescent="0.55000000000000004">
      <c r="A2604" t="s">
        <v>5244</v>
      </c>
      <c r="B2604">
        <v>101384</v>
      </c>
      <c r="C2604" t="s">
        <v>68</v>
      </c>
      <c r="D2604" s="3">
        <v>45828</v>
      </c>
      <c r="E2604" t="s">
        <v>155</v>
      </c>
      <c r="F2604" t="s">
        <v>5245</v>
      </c>
      <c r="G2604" t="s">
        <v>22</v>
      </c>
      <c r="H2604" t="s">
        <v>5246</v>
      </c>
      <c r="I2604" t="s">
        <v>5247</v>
      </c>
      <c r="J2604" s="4">
        <v>46091.935514699071</v>
      </c>
    </row>
    <row r="2605" spans="1:11" x14ac:dyDescent="0.55000000000000004">
      <c r="A2605" t="s">
        <v>5244</v>
      </c>
      <c r="B2605">
        <v>101384</v>
      </c>
      <c r="C2605" t="s">
        <v>68</v>
      </c>
      <c r="D2605" s="3">
        <v>45828</v>
      </c>
      <c r="E2605" t="s">
        <v>115</v>
      </c>
      <c r="F2605" t="s">
        <v>5245</v>
      </c>
      <c r="G2605" t="s">
        <v>22</v>
      </c>
      <c r="H2605" t="s">
        <v>5246</v>
      </c>
      <c r="I2605" t="s">
        <v>5247</v>
      </c>
      <c r="J2605" s="4">
        <v>46091.935514699071</v>
      </c>
    </row>
    <row r="2606" spans="1:11" x14ac:dyDescent="0.55000000000000004">
      <c r="A2606" t="s">
        <v>3714</v>
      </c>
      <c r="B2606">
        <v>100338</v>
      </c>
      <c r="C2606" t="s">
        <v>19</v>
      </c>
      <c r="D2606" s="3">
        <v>45754</v>
      </c>
      <c r="E2606" t="s">
        <v>38</v>
      </c>
      <c r="F2606" t="s">
        <v>5248</v>
      </c>
      <c r="G2606" t="s">
        <v>22</v>
      </c>
      <c r="H2606" t="s">
        <v>5249</v>
      </c>
      <c r="I2606" t="s">
        <v>5250</v>
      </c>
      <c r="J2606" s="4">
        <v>46092.307042476852</v>
      </c>
    </row>
    <row r="2607" spans="1:11" x14ac:dyDescent="0.55000000000000004">
      <c r="A2607" t="s">
        <v>3714</v>
      </c>
      <c r="B2607">
        <v>100338</v>
      </c>
      <c r="C2607" t="s">
        <v>19</v>
      </c>
      <c r="D2607" s="3">
        <v>45754</v>
      </c>
      <c r="E2607" t="s">
        <v>155</v>
      </c>
      <c r="F2607" t="s">
        <v>5248</v>
      </c>
      <c r="G2607" t="s">
        <v>22</v>
      </c>
      <c r="H2607" t="s">
        <v>5249</v>
      </c>
      <c r="I2607" t="s">
        <v>5250</v>
      </c>
      <c r="J2607" s="4">
        <v>46092.307042476852</v>
      </c>
    </row>
    <row r="2608" spans="1:11" x14ac:dyDescent="0.55000000000000004">
      <c r="A2608" t="s">
        <v>3714</v>
      </c>
      <c r="B2608">
        <v>100338</v>
      </c>
      <c r="C2608" t="s">
        <v>19</v>
      </c>
      <c r="D2608" s="3">
        <v>45754</v>
      </c>
      <c r="E2608" t="s">
        <v>69</v>
      </c>
      <c r="F2608" t="s">
        <v>5248</v>
      </c>
      <c r="G2608" t="s">
        <v>22</v>
      </c>
      <c r="H2608" t="s">
        <v>5249</v>
      </c>
      <c r="I2608" t="s">
        <v>5250</v>
      </c>
      <c r="J2608" s="4">
        <v>46092.307042476852</v>
      </c>
    </row>
    <row r="2609" spans="1:10" x14ac:dyDescent="0.55000000000000004">
      <c r="A2609" t="s">
        <v>5251</v>
      </c>
      <c r="B2609">
        <v>101125</v>
      </c>
      <c r="C2609" t="s">
        <v>37</v>
      </c>
      <c r="D2609" s="3">
        <v>45914</v>
      </c>
      <c r="E2609" t="s">
        <v>38</v>
      </c>
      <c r="F2609" t="s">
        <v>5252</v>
      </c>
      <c r="G2609" t="s">
        <v>15</v>
      </c>
      <c r="H2609" t="s">
        <v>5253</v>
      </c>
      <c r="I2609" t="s">
        <v>5254</v>
      </c>
      <c r="J2609" s="4">
        <v>46077.19037582176</v>
      </c>
    </row>
    <row r="2610" spans="1:10" x14ac:dyDescent="0.55000000000000004">
      <c r="A2610" t="s">
        <v>5251</v>
      </c>
      <c r="B2610">
        <v>101125</v>
      </c>
      <c r="C2610" t="s">
        <v>37</v>
      </c>
      <c r="D2610" s="3">
        <v>45914</v>
      </c>
      <c r="E2610" t="s">
        <v>69</v>
      </c>
      <c r="F2610" t="s">
        <v>5252</v>
      </c>
      <c r="G2610" t="s">
        <v>15</v>
      </c>
      <c r="H2610" t="s">
        <v>5253</v>
      </c>
      <c r="I2610" t="s">
        <v>5254</v>
      </c>
      <c r="J2610" s="4">
        <v>46077.19037582176</v>
      </c>
    </row>
    <row r="2611" spans="1:10" x14ac:dyDescent="0.55000000000000004">
      <c r="A2611" t="s">
        <v>5255</v>
      </c>
      <c r="B2611">
        <v>100973</v>
      </c>
      <c r="C2611" t="s">
        <v>68</v>
      </c>
      <c r="D2611" s="3">
        <v>45798</v>
      </c>
      <c r="E2611" t="s">
        <v>317</v>
      </c>
      <c r="F2611" t="s">
        <v>5256</v>
      </c>
      <c r="G2611" t="s">
        <v>22</v>
      </c>
      <c r="H2611" t="s">
        <v>5257</v>
      </c>
      <c r="I2611" t="s">
        <v>5258</v>
      </c>
      <c r="J2611" s="4">
        <v>46065.602875821758</v>
      </c>
    </row>
    <row r="2612" spans="1:10" x14ac:dyDescent="0.55000000000000004">
      <c r="A2612" t="s">
        <v>5255</v>
      </c>
      <c r="B2612">
        <v>100973</v>
      </c>
      <c r="C2612" t="s">
        <v>68</v>
      </c>
      <c r="D2612" s="3">
        <v>45798</v>
      </c>
      <c r="E2612" t="s">
        <v>20</v>
      </c>
      <c r="F2612" t="s">
        <v>5256</v>
      </c>
      <c r="G2612" t="s">
        <v>22</v>
      </c>
      <c r="H2612" t="s">
        <v>5257</v>
      </c>
      <c r="I2612" t="s">
        <v>5258</v>
      </c>
      <c r="J2612" s="4">
        <v>46065.602875821758</v>
      </c>
    </row>
    <row r="2613" spans="1:10" x14ac:dyDescent="0.55000000000000004">
      <c r="A2613" t="s">
        <v>5255</v>
      </c>
      <c r="B2613">
        <v>100973</v>
      </c>
      <c r="C2613" t="s">
        <v>68</v>
      </c>
      <c r="D2613" s="3">
        <v>45798</v>
      </c>
      <c r="E2613" t="s">
        <v>155</v>
      </c>
      <c r="F2613" t="s">
        <v>5256</v>
      </c>
      <c r="G2613" t="s">
        <v>22</v>
      </c>
      <c r="H2613" t="s">
        <v>5257</v>
      </c>
      <c r="I2613" t="s">
        <v>5258</v>
      </c>
      <c r="J2613" s="4">
        <v>46065.602875821758</v>
      </c>
    </row>
    <row r="2614" spans="1:10" x14ac:dyDescent="0.55000000000000004">
      <c r="A2614" t="s">
        <v>5259</v>
      </c>
      <c r="B2614">
        <v>100262</v>
      </c>
      <c r="C2614" t="s">
        <v>19</v>
      </c>
      <c r="D2614" s="3">
        <v>46145</v>
      </c>
      <c r="E2614" t="s">
        <v>155</v>
      </c>
      <c r="F2614" t="s">
        <v>5260</v>
      </c>
      <c r="G2614" t="s">
        <v>22</v>
      </c>
      <c r="H2614" t="s">
        <v>5261</v>
      </c>
      <c r="I2614" t="s">
        <v>5262</v>
      </c>
      <c r="J2614" s="4">
        <v>46066.912598055555</v>
      </c>
    </row>
    <row r="2615" spans="1:10" x14ac:dyDescent="0.55000000000000004">
      <c r="A2615" t="s">
        <v>5263</v>
      </c>
      <c r="B2615">
        <v>100257</v>
      </c>
      <c r="C2615" t="s">
        <v>37</v>
      </c>
      <c r="D2615" s="3">
        <v>45880</v>
      </c>
      <c r="E2615" t="s">
        <v>115</v>
      </c>
      <c r="F2615" t="s">
        <v>5264</v>
      </c>
      <c r="G2615" t="s">
        <v>22</v>
      </c>
      <c r="H2615" t="s">
        <v>5265</v>
      </c>
      <c r="I2615" t="s">
        <v>5266</v>
      </c>
      <c r="J2615" s="4">
        <v>46091.856348055553</v>
      </c>
    </row>
    <row r="2616" spans="1:10" x14ac:dyDescent="0.55000000000000004">
      <c r="A2616" t="s">
        <v>5267</v>
      </c>
      <c r="B2616">
        <v>101090</v>
      </c>
      <c r="C2616" t="s">
        <v>37</v>
      </c>
      <c r="D2616" s="3">
        <v>46099</v>
      </c>
      <c r="E2616" t="s">
        <v>115</v>
      </c>
      <c r="F2616" t="s">
        <v>5268</v>
      </c>
      <c r="G2616" t="s">
        <v>15</v>
      </c>
      <c r="H2616" t="s">
        <v>5269</v>
      </c>
      <c r="I2616" t="s">
        <v>5270</v>
      </c>
      <c r="J2616" s="4">
        <v>46052.517459166666</v>
      </c>
    </row>
    <row r="2617" spans="1:10" x14ac:dyDescent="0.55000000000000004">
      <c r="A2617" t="s">
        <v>5271</v>
      </c>
      <c r="B2617">
        <v>100141</v>
      </c>
      <c r="C2617" t="s">
        <v>19</v>
      </c>
      <c r="D2617" s="3">
        <v>45996</v>
      </c>
      <c r="E2617" t="s">
        <v>317</v>
      </c>
      <c r="F2617" t="s">
        <v>5272</v>
      </c>
      <c r="G2617" t="s">
        <v>22</v>
      </c>
      <c r="H2617" t="s">
        <v>5273</v>
      </c>
      <c r="I2617" t="s">
        <v>5274</v>
      </c>
      <c r="J2617" s="4">
        <v>46089.263986956015</v>
      </c>
    </row>
    <row r="2618" spans="1:10" x14ac:dyDescent="0.55000000000000004">
      <c r="A2618" t="s">
        <v>5271</v>
      </c>
      <c r="B2618">
        <v>100141</v>
      </c>
      <c r="C2618" t="s">
        <v>19</v>
      </c>
      <c r="D2618" s="3">
        <v>45996</v>
      </c>
      <c r="E2618" t="s">
        <v>38</v>
      </c>
      <c r="F2618" t="s">
        <v>5272</v>
      </c>
      <c r="G2618" t="s">
        <v>22</v>
      </c>
      <c r="H2618" t="s">
        <v>5273</v>
      </c>
      <c r="I2618" t="s">
        <v>5274</v>
      </c>
      <c r="J2618" s="4">
        <v>46089.263986956015</v>
      </c>
    </row>
    <row r="2619" spans="1:10" x14ac:dyDescent="0.55000000000000004">
      <c r="A2619" t="s">
        <v>5271</v>
      </c>
      <c r="B2619">
        <v>100141</v>
      </c>
      <c r="C2619" t="s">
        <v>19</v>
      </c>
      <c r="D2619" s="3">
        <v>45996</v>
      </c>
      <c r="E2619" t="s">
        <v>20</v>
      </c>
      <c r="F2619" t="s">
        <v>5272</v>
      </c>
      <c r="G2619" t="s">
        <v>22</v>
      </c>
      <c r="H2619" t="s">
        <v>5273</v>
      </c>
      <c r="I2619" t="s">
        <v>5274</v>
      </c>
      <c r="J2619" s="4">
        <v>46089.263986956015</v>
      </c>
    </row>
    <row r="2620" spans="1:10" x14ac:dyDescent="0.55000000000000004">
      <c r="A2620" t="s">
        <v>5275</v>
      </c>
      <c r="B2620">
        <v>100995</v>
      </c>
      <c r="C2620" t="s">
        <v>68</v>
      </c>
      <c r="D2620" s="3">
        <v>45916</v>
      </c>
      <c r="E2620" t="s">
        <v>317</v>
      </c>
      <c r="F2620" t="s">
        <v>5276</v>
      </c>
      <c r="G2620" t="s">
        <v>15</v>
      </c>
      <c r="H2620" t="s">
        <v>5277</v>
      </c>
      <c r="I2620" t="s">
        <v>5278</v>
      </c>
      <c r="J2620" s="4">
        <v>46083.877875844904</v>
      </c>
    </row>
    <row r="2621" spans="1:10" x14ac:dyDescent="0.55000000000000004">
      <c r="A2621" t="s">
        <v>5275</v>
      </c>
      <c r="B2621">
        <v>100995</v>
      </c>
      <c r="C2621" t="s">
        <v>68</v>
      </c>
      <c r="D2621" s="3">
        <v>45916</v>
      </c>
      <c r="E2621" t="s">
        <v>155</v>
      </c>
      <c r="F2621" t="s">
        <v>5276</v>
      </c>
      <c r="G2621" t="s">
        <v>15</v>
      </c>
      <c r="H2621" t="s">
        <v>5277</v>
      </c>
      <c r="I2621" t="s">
        <v>5278</v>
      </c>
      <c r="J2621" s="4">
        <v>46083.877875844904</v>
      </c>
    </row>
    <row r="2622" spans="1:10" x14ac:dyDescent="0.55000000000000004">
      <c r="A2622" t="s">
        <v>5275</v>
      </c>
      <c r="B2622">
        <v>100995</v>
      </c>
      <c r="C2622" t="s">
        <v>68</v>
      </c>
      <c r="D2622" s="3">
        <v>45916</v>
      </c>
      <c r="E2622" t="s">
        <v>69</v>
      </c>
      <c r="F2622" t="s">
        <v>5276</v>
      </c>
      <c r="G2622" t="s">
        <v>15</v>
      </c>
      <c r="H2622" t="s">
        <v>5277</v>
      </c>
      <c r="I2622" t="s">
        <v>5278</v>
      </c>
      <c r="J2622" s="4">
        <v>46083.877875844904</v>
      </c>
    </row>
    <row r="2623" spans="1:10" x14ac:dyDescent="0.55000000000000004">
      <c r="A2623" t="s">
        <v>5279</v>
      </c>
      <c r="B2623">
        <v>100175</v>
      </c>
      <c r="C2623" t="s">
        <v>19</v>
      </c>
      <c r="D2623" s="3">
        <v>45770</v>
      </c>
      <c r="E2623" t="s">
        <v>38</v>
      </c>
      <c r="F2623" t="s">
        <v>5280</v>
      </c>
      <c r="G2623" t="s">
        <v>22</v>
      </c>
      <c r="H2623" t="s">
        <v>5281</v>
      </c>
      <c r="I2623" t="s">
        <v>5282</v>
      </c>
      <c r="J2623" s="4">
        <v>46091.725098078707</v>
      </c>
    </row>
    <row r="2624" spans="1:10" x14ac:dyDescent="0.55000000000000004">
      <c r="A2624" t="s">
        <v>5283</v>
      </c>
      <c r="B2624">
        <v>101445</v>
      </c>
      <c r="C2624" t="s">
        <v>533</v>
      </c>
      <c r="D2624" s="3">
        <v>46124</v>
      </c>
      <c r="E2624" t="s">
        <v>38</v>
      </c>
      <c r="F2624" t="s">
        <v>5284</v>
      </c>
      <c r="G2624" t="s">
        <v>22</v>
      </c>
      <c r="H2624" t="s">
        <v>5285</v>
      </c>
      <c r="I2624" t="s">
        <v>5286</v>
      </c>
      <c r="J2624" s="4">
        <v>46091.09940363426</v>
      </c>
    </row>
    <row r="2625" spans="1:10" x14ac:dyDescent="0.55000000000000004">
      <c r="A2625" t="s">
        <v>5283</v>
      </c>
      <c r="B2625">
        <v>101445</v>
      </c>
      <c r="C2625" t="s">
        <v>533</v>
      </c>
      <c r="D2625" s="3">
        <v>46124</v>
      </c>
      <c r="E2625" t="s">
        <v>155</v>
      </c>
      <c r="F2625" t="s">
        <v>5284</v>
      </c>
      <c r="G2625" t="s">
        <v>22</v>
      </c>
      <c r="H2625" t="s">
        <v>5285</v>
      </c>
      <c r="I2625" t="s">
        <v>5286</v>
      </c>
      <c r="J2625" s="4">
        <v>46091.09940363426</v>
      </c>
    </row>
    <row r="2626" spans="1:10" x14ac:dyDescent="0.55000000000000004">
      <c r="A2626" t="s">
        <v>5287</v>
      </c>
      <c r="B2626">
        <v>101393</v>
      </c>
      <c r="C2626" t="s">
        <v>68</v>
      </c>
      <c r="D2626" s="3">
        <v>45818</v>
      </c>
      <c r="E2626" t="s">
        <v>155</v>
      </c>
      <c r="F2626" t="s">
        <v>5288</v>
      </c>
      <c r="G2626" t="s">
        <v>22</v>
      </c>
      <c r="H2626" t="s">
        <v>5289</v>
      </c>
      <c r="I2626" t="s">
        <v>5290</v>
      </c>
      <c r="J2626" s="4">
        <v>46061.229264745372</v>
      </c>
    </row>
    <row r="2627" spans="1:10" x14ac:dyDescent="0.55000000000000004">
      <c r="A2627" t="s">
        <v>5287</v>
      </c>
      <c r="B2627">
        <v>101393</v>
      </c>
      <c r="C2627" t="s">
        <v>68</v>
      </c>
      <c r="D2627" s="3">
        <v>45818</v>
      </c>
      <c r="E2627" t="s">
        <v>115</v>
      </c>
      <c r="F2627" t="s">
        <v>5288</v>
      </c>
      <c r="G2627" t="s">
        <v>22</v>
      </c>
      <c r="H2627" t="s">
        <v>5289</v>
      </c>
      <c r="I2627" t="s">
        <v>5290</v>
      </c>
      <c r="J2627" s="4">
        <v>46061.229264745372</v>
      </c>
    </row>
    <row r="2628" spans="1:10" x14ac:dyDescent="0.55000000000000004">
      <c r="A2628" t="s">
        <v>5291</v>
      </c>
      <c r="B2628">
        <v>100493</v>
      </c>
      <c r="C2628" t="s">
        <v>68</v>
      </c>
      <c r="D2628" s="3">
        <v>45777</v>
      </c>
      <c r="E2628" t="s">
        <v>115</v>
      </c>
      <c r="F2628" t="s">
        <v>5292</v>
      </c>
      <c r="G2628" t="s">
        <v>22</v>
      </c>
      <c r="H2628" t="s">
        <v>5293</v>
      </c>
      <c r="I2628" t="s">
        <v>5294</v>
      </c>
      <c r="J2628" s="4">
        <v>46081.073014756941</v>
      </c>
    </row>
    <row r="2629" spans="1:10" x14ac:dyDescent="0.55000000000000004">
      <c r="A2629" t="s">
        <v>5295</v>
      </c>
      <c r="B2629">
        <v>100118</v>
      </c>
      <c r="C2629" t="s">
        <v>248</v>
      </c>
      <c r="D2629" s="3">
        <v>46122</v>
      </c>
      <c r="E2629" t="s">
        <v>317</v>
      </c>
      <c r="F2629" t="s">
        <v>5296</v>
      </c>
      <c r="G2629" t="s">
        <v>15</v>
      </c>
      <c r="H2629" t="s">
        <v>5297</v>
      </c>
      <c r="I2629" t="s">
        <v>5298</v>
      </c>
      <c r="J2629" s="4">
        <v>46061.052181423613</v>
      </c>
    </row>
    <row r="2630" spans="1:10" x14ac:dyDescent="0.55000000000000004">
      <c r="A2630" t="s">
        <v>5295</v>
      </c>
      <c r="B2630">
        <v>100118</v>
      </c>
      <c r="C2630" t="s">
        <v>248</v>
      </c>
      <c r="D2630" s="3">
        <v>46122</v>
      </c>
      <c r="E2630" t="s">
        <v>115</v>
      </c>
      <c r="F2630" t="s">
        <v>5296</v>
      </c>
      <c r="G2630" t="s">
        <v>15</v>
      </c>
      <c r="H2630" t="s">
        <v>5297</v>
      </c>
      <c r="I2630" t="s">
        <v>5298</v>
      </c>
      <c r="J2630" s="4">
        <v>46061.052181423613</v>
      </c>
    </row>
    <row r="2631" spans="1:10" x14ac:dyDescent="0.55000000000000004">
      <c r="A2631" t="s">
        <v>5299</v>
      </c>
      <c r="B2631">
        <v>100490</v>
      </c>
      <c r="C2631" t="s">
        <v>37</v>
      </c>
      <c r="D2631" s="3">
        <v>45918</v>
      </c>
      <c r="E2631" t="s">
        <v>317</v>
      </c>
      <c r="F2631" t="s">
        <v>5300</v>
      </c>
      <c r="G2631" t="s">
        <v>15</v>
      </c>
      <c r="H2631" t="s">
        <v>5301</v>
      </c>
      <c r="I2631" t="s">
        <v>5302</v>
      </c>
      <c r="J2631" s="4">
        <v>46069.224403645836</v>
      </c>
    </row>
    <row r="2632" spans="1:10" x14ac:dyDescent="0.55000000000000004">
      <c r="A2632" t="s">
        <v>5299</v>
      </c>
      <c r="B2632">
        <v>100490</v>
      </c>
      <c r="C2632" t="s">
        <v>37</v>
      </c>
      <c r="D2632" s="3">
        <v>45918</v>
      </c>
      <c r="E2632" t="s">
        <v>69</v>
      </c>
      <c r="F2632" t="s">
        <v>5300</v>
      </c>
      <c r="G2632" t="s">
        <v>15</v>
      </c>
      <c r="H2632" t="s">
        <v>5301</v>
      </c>
      <c r="I2632" t="s">
        <v>5302</v>
      </c>
      <c r="J2632" s="4">
        <v>46069.224403645836</v>
      </c>
    </row>
    <row r="2633" spans="1:10" x14ac:dyDescent="0.55000000000000004">
      <c r="A2633" t="s">
        <v>5303</v>
      </c>
      <c r="B2633">
        <v>100629</v>
      </c>
      <c r="C2633" t="s">
        <v>19</v>
      </c>
      <c r="D2633" s="3">
        <v>46051</v>
      </c>
      <c r="E2633" t="s">
        <v>20</v>
      </c>
      <c r="F2633" t="s">
        <v>5304</v>
      </c>
      <c r="G2633" t="s">
        <v>22</v>
      </c>
      <c r="H2633" t="s">
        <v>5305</v>
      </c>
      <c r="I2633" t="s">
        <v>5306</v>
      </c>
      <c r="J2633" s="4">
        <v>46065.10634810185</v>
      </c>
    </row>
    <row r="2634" spans="1:10" x14ac:dyDescent="0.55000000000000004">
      <c r="A2634" t="s">
        <v>5303</v>
      </c>
      <c r="B2634">
        <v>100629</v>
      </c>
      <c r="C2634" t="s">
        <v>19</v>
      </c>
      <c r="D2634" s="3">
        <v>46051</v>
      </c>
      <c r="E2634" t="s">
        <v>155</v>
      </c>
      <c r="F2634" t="s">
        <v>5304</v>
      </c>
      <c r="G2634" t="s">
        <v>22</v>
      </c>
      <c r="H2634" t="s">
        <v>5305</v>
      </c>
      <c r="I2634" t="s">
        <v>5306</v>
      </c>
      <c r="J2634" s="4">
        <v>46065.10634810185</v>
      </c>
    </row>
    <row r="2635" spans="1:10" x14ac:dyDescent="0.55000000000000004">
      <c r="A2635" t="s">
        <v>5307</v>
      </c>
      <c r="B2635">
        <v>100743</v>
      </c>
      <c r="C2635" t="s">
        <v>248</v>
      </c>
      <c r="D2635" s="3">
        <v>46081</v>
      </c>
      <c r="E2635" t="s">
        <v>38</v>
      </c>
      <c r="F2635" t="s">
        <v>5308</v>
      </c>
      <c r="G2635" t="s">
        <v>15</v>
      </c>
      <c r="H2635" t="s">
        <v>5309</v>
      </c>
      <c r="I2635" t="s">
        <v>5310</v>
      </c>
      <c r="J2635" s="4">
        <v>46081.7507925463</v>
      </c>
    </row>
    <row r="2636" spans="1:10" x14ac:dyDescent="0.55000000000000004">
      <c r="A2636" t="s">
        <v>5311</v>
      </c>
      <c r="B2636">
        <v>100229</v>
      </c>
      <c r="C2636" t="s">
        <v>19</v>
      </c>
      <c r="D2636" s="3">
        <v>45736</v>
      </c>
      <c r="E2636" t="s">
        <v>155</v>
      </c>
      <c r="F2636" t="s">
        <v>5312</v>
      </c>
      <c r="G2636" t="s">
        <v>22</v>
      </c>
      <c r="H2636" t="s">
        <v>5313</v>
      </c>
      <c r="I2636" t="s">
        <v>5314</v>
      </c>
      <c r="J2636" s="4">
        <v>46073.520931446757</v>
      </c>
    </row>
    <row r="2637" spans="1:10" x14ac:dyDescent="0.55000000000000004">
      <c r="A2637" t="s">
        <v>5315</v>
      </c>
      <c r="B2637">
        <v>100039</v>
      </c>
      <c r="C2637" t="s">
        <v>19</v>
      </c>
      <c r="D2637" s="3">
        <v>45936</v>
      </c>
      <c r="E2637" t="s">
        <v>115</v>
      </c>
      <c r="F2637" t="s">
        <v>5316</v>
      </c>
      <c r="G2637" t="s">
        <v>22</v>
      </c>
      <c r="H2637" t="s">
        <v>5317</v>
      </c>
      <c r="I2637" t="s">
        <v>5318</v>
      </c>
      <c r="J2637" s="4">
        <v>46067.794542557873</v>
      </c>
    </row>
    <row r="2638" spans="1:10" x14ac:dyDescent="0.55000000000000004">
      <c r="A2638" t="s">
        <v>5319</v>
      </c>
      <c r="B2638">
        <v>101000</v>
      </c>
      <c r="C2638" t="s">
        <v>37</v>
      </c>
      <c r="D2638" s="3">
        <v>45910</v>
      </c>
      <c r="E2638" t="s">
        <v>38</v>
      </c>
      <c r="F2638" t="s">
        <v>5320</v>
      </c>
      <c r="G2638" t="s">
        <v>22</v>
      </c>
      <c r="H2638" t="s">
        <v>5321</v>
      </c>
      <c r="I2638" t="s">
        <v>5322</v>
      </c>
      <c r="J2638" s="4">
        <v>46091.624403668982</v>
      </c>
    </row>
    <row r="2639" spans="1:10" x14ac:dyDescent="0.55000000000000004">
      <c r="A2639" t="s">
        <v>5319</v>
      </c>
      <c r="B2639">
        <v>101000</v>
      </c>
      <c r="C2639" t="s">
        <v>37</v>
      </c>
      <c r="D2639" s="3">
        <v>45910</v>
      </c>
      <c r="E2639" t="s">
        <v>69</v>
      </c>
      <c r="F2639" t="s">
        <v>5320</v>
      </c>
      <c r="G2639" t="s">
        <v>22</v>
      </c>
      <c r="H2639" t="s">
        <v>5321</v>
      </c>
      <c r="I2639" t="s">
        <v>5322</v>
      </c>
      <c r="J2639" s="4">
        <v>46091.624403668982</v>
      </c>
    </row>
    <row r="2640" spans="1:10" x14ac:dyDescent="0.55000000000000004">
      <c r="A2640" t="s">
        <v>5323</v>
      </c>
      <c r="B2640">
        <v>100663</v>
      </c>
      <c r="C2640" t="s">
        <v>533</v>
      </c>
      <c r="D2640" s="3">
        <v>46106</v>
      </c>
      <c r="E2640" t="s">
        <v>69</v>
      </c>
      <c r="F2640" t="s">
        <v>5324</v>
      </c>
      <c r="G2640" t="s">
        <v>22</v>
      </c>
      <c r="H2640" t="s">
        <v>5325</v>
      </c>
      <c r="I2640" t="s">
        <v>5326</v>
      </c>
      <c r="J2640" s="4">
        <v>46085.175098125001</v>
      </c>
    </row>
    <row r="2641" spans="1:10" x14ac:dyDescent="0.55000000000000004">
      <c r="A2641" t="s">
        <v>5327</v>
      </c>
      <c r="B2641">
        <v>101226</v>
      </c>
      <c r="C2641" t="s">
        <v>68</v>
      </c>
      <c r="D2641" s="3">
        <v>45765</v>
      </c>
      <c r="E2641" t="s">
        <v>38</v>
      </c>
      <c r="F2641" t="s">
        <v>5328</v>
      </c>
      <c r="G2641" t="s">
        <v>22</v>
      </c>
      <c r="H2641" t="s">
        <v>5329</v>
      </c>
      <c r="I2641" t="s">
        <v>5330</v>
      </c>
      <c r="J2641" s="4">
        <v>46083.747320347225</v>
      </c>
    </row>
    <row r="2642" spans="1:10" x14ac:dyDescent="0.55000000000000004">
      <c r="A2642" t="s">
        <v>5327</v>
      </c>
      <c r="B2642">
        <v>101226</v>
      </c>
      <c r="C2642" t="s">
        <v>68</v>
      </c>
      <c r="D2642" s="3">
        <v>45765</v>
      </c>
      <c r="E2642" t="s">
        <v>20</v>
      </c>
      <c r="F2642" t="s">
        <v>5328</v>
      </c>
      <c r="G2642" t="s">
        <v>22</v>
      </c>
      <c r="H2642" t="s">
        <v>5329</v>
      </c>
      <c r="I2642" t="s">
        <v>5330</v>
      </c>
      <c r="J2642" s="4">
        <v>46083.747320347225</v>
      </c>
    </row>
    <row r="2643" spans="1:10" x14ac:dyDescent="0.55000000000000004">
      <c r="A2643" t="s">
        <v>5331</v>
      </c>
      <c r="B2643">
        <v>100001</v>
      </c>
      <c r="C2643" t="s">
        <v>19</v>
      </c>
      <c r="D2643" s="3">
        <v>45790</v>
      </c>
      <c r="E2643" t="s">
        <v>155</v>
      </c>
      <c r="F2643" t="s">
        <v>5332</v>
      </c>
      <c r="G2643" t="s">
        <v>15</v>
      </c>
      <c r="H2643" t="s">
        <v>5333</v>
      </c>
      <c r="I2643" t="s">
        <v>5334</v>
      </c>
      <c r="J2643" s="4">
        <v>46067.53898701389</v>
      </c>
    </row>
    <row r="2644" spans="1:10" x14ac:dyDescent="0.55000000000000004">
      <c r="A2644" t="s">
        <v>5331</v>
      </c>
      <c r="B2644">
        <v>100001</v>
      </c>
      <c r="C2644" t="s">
        <v>19</v>
      </c>
      <c r="D2644" s="3">
        <v>45790</v>
      </c>
      <c r="E2644" t="s">
        <v>69</v>
      </c>
      <c r="F2644" t="s">
        <v>5332</v>
      </c>
      <c r="G2644" t="s">
        <v>15</v>
      </c>
      <c r="H2644" t="s">
        <v>5333</v>
      </c>
      <c r="I2644" t="s">
        <v>5334</v>
      </c>
      <c r="J2644" s="4">
        <v>46067.53898701389</v>
      </c>
    </row>
    <row r="2645" spans="1:10" x14ac:dyDescent="0.55000000000000004">
      <c r="A2645" t="s">
        <v>5335</v>
      </c>
      <c r="B2645">
        <v>101086</v>
      </c>
      <c r="C2645" t="s">
        <v>248</v>
      </c>
      <c r="D2645" s="3">
        <v>45895</v>
      </c>
      <c r="E2645" t="s">
        <v>38</v>
      </c>
      <c r="F2645" t="s">
        <v>5336</v>
      </c>
      <c r="G2645" t="s">
        <v>15</v>
      </c>
      <c r="H2645" t="s">
        <v>5337</v>
      </c>
      <c r="I2645" t="s">
        <v>5338</v>
      </c>
      <c r="J2645" s="4">
        <v>46074.134820358799</v>
      </c>
    </row>
    <row r="2646" spans="1:10" x14ac:dyDescent="0.55000000000000004">
      <c r="A2646" t="s">
        <v>5335</v>
      </c>
      <c r="B2646">
        <v>101086</v>
      </c>
      <c r="C2646" t="s">
        <v>248</v>
      </c>
      <c r="D2646" s="3">
        <v>45895</v>
      </c>
      <c r="E2646" t="s">
        <v>155</v>
      </c>
      <c r="F2646" t="s">
        <v>5336</v>
      </c>
      <c r="G2646" t="s">
        <v>15</v>
      </c>
      <c r="H2646" t="s">
        <v>5337</v>
      </c>
      <c r="I2646" t="s">
        <v>5338</v>
      </c>
      <c r="J2646" s="4">
        <v>46074.134820358799</v>
      </c>
    </row>
    <row r="2647" spans="1:10" x14ac:dyDescent="0.55000000000000004">
      <c r="A2647" t="s">
        <v>5335</v>
      </c>
      <c r="B2647">
        <v>101086</v>
      </c>
      <c r="C2647" t="s">
        <v>248</v>
      </c>
      <c r="D2647" s="3">
        <v>45895</v>
      </c>
      <c r="E2647" t="s">
        <v>69</v>
      </c>
      <c r="F2647" t="s">
        <v>5336</v>
      </c>
      <c r="G2647" t="s">
        <v>15</v>
      </c>
      <c r="H2647" t="s">
        <v>5337</v>
      </c>
      <c r="I2647" t="s">
        <v>5338</v>
      </c>
      <c r="J2647" s="4">
        <v>46074.134820358799</v>
      </c>
    </row>
    <row r="2648" spans="1:10" x14ac:dyDescent="0.55000000000000004">
      <c r="A2648" t="s">
        <v>5339</v>
      </c>
      <c r="B2648">
        <v>101104</v>
      </c>
      <c r="C2648" t="s">
        <v>19</v>
      </c>
      <c r="D2648" s="3">
        <v>45841</v>
      </c>
      <c r="E2648" t="s">
        <v>115</v>
      </c>
      <c r="F2648" t="s">
        <v>5340</v>
      </c>
      <c r="G2648" t="s">
        <v>15</v>
      </c>
      <c r="H2648" t="s">
        <v>5341</v>
      </c>
      <c r="I2648" t="s">
        <v>5342</v>
      </c>
      <c r="J2648" s="4">
        <v>46054.144542581016</v>
      </c>
    </row>
    <row r="2649" spans="1:10" x14ac:dyDescent="0.55000000000000004">
      <c r="A2649" t="s">
        <v>5343</v>
      </c>
      <c r="B2649">
        <v>100330</v>
      </c>
      <c r="C2649" t="s">
        <v>248</v>
      </c>
      <c r="D2649" s="3">
        <v>45861</v>
      </c>
      <c r="E2649" t="s">
        <v>317</v>
      </c>
      <c r="F2649" t="s">
        <v>5344</v>
      </c>
      <c r="G2649" t="s">
        <v>15</v>
      </c>
      <c r="H2649" t="s">
        <v>5345</v>
      </c>
      <c r="I2649" t="s">
        <v>5346</v>
      </c>
      <c r="J2649" s="4">
        <v>46080.17023703704</v>
      </c>
    </row>
    <row r="2650" spans="1:10" x14ac:dyDescent="0.55000000000000004">
      <c r="A2650" t="s">
        <v>5343</v>
      </c>
      <c r="B2650">
        <v>100330</v>
      </c>
      <c r="C2650" t="s">
        <v>248</v>
      </c>
      <c r="D2650" s="3">
        <v>45861</v>
      </c>
      <c r="E2650" t="s">
        <v>155</v>
      </c>
      <c r="F2650" t="s">
        <v>5344</v>
      </c>
      <c r="G2650" t="s">
        <v>15</v>
      </c>
      <c r="H2650" t="s">
        <v>5345</v>
      </c>
      <c r="I2650" t="s">
        <v>5346</v>
      </c>
      <c r="J2650" s="4">
        <v>46080.17023703704</v>
      </c>
    </row>
    <row r="2651" spans="1:10" x14ac:dyDescent="0.55000000000000004">
      <c r="A2651" t="s">
        <v>5343</v>
      </c>
      <c r="B2651">
        <v>100330</v>
      </c>
      <c r="C2651" t="s">
        <v>248</v>
      </c>
      <c r="D2651" s="3">
        <v>45861</v>
      </c>
      <c r="E2651" t="s">
        <v>115</v>
      </c>
      <c r="F2651" t="s">
        <v>5344</v>
      </c>
      <c r="G2651" t="s">
        <v>15</v>
      </c>
      <c r="H2651" t="s">
        <v>5345</v>
      </c>
      <c r="I2651" t="s">
        <v>5346</v>
      </c>
      <c r="J2651" s="4">
        <v>46080.17023703704</v>
      </c>
    </row>
    <row r="2652" spans="1:10" x14ac:dyDescent="0.55000000000000004">
      <c r="A2652" t="s">
        <v>5347</v>
      </c>
      <c r="B2652">
        <v>100765</v>
      </c>
      <c r="C2652" t="s">
        <v>37</v>
      </c>
      <c r="D2652" s="3">
        <v>45884</v>
      </c>
      <c r="E2652" t="s">
        <v>317</v>
      </c>
      <c r="F2652" t="s">
        <v>5348</v>
      </c>
      <c r="G2652" t="s">
        <v>22</v>
      </c>
      <c r="H2652" t="s">
        <v>5349</v>
      </c>
      <c r="I2652" t="s">
        <v>5350</v>
      </c>
      <c r="J2652" s="4">
        <v>46086.669542592594</v>
      </c>
    </row>
    <row r="2653" spans="1:10" x14ac:dyDescent="0.55000000000000004">
      <c r="A2653" t="s">
        <v>5347</v>
      </c>
      <c r="B2653">
        <v>100765</v>
      </c>
      <c r="C2653" t="s">
        <v>37</v>
      </c>
      <c r="D2653" s="3">
        <v>45884</v>
      </c>
      <c r="E2653" t="s">
        <v>115</v>
      </c>
      <c r="F2653" t="s">
        <v>5348</v>
      </c>
      <c r="G2653" t="s">
        <v>22</v>
      </c>
      <c r="H2653" t="s">
        <v>5349</v>
      </c>
      <c r="I2653" t="s">
        <v>5350</v>
      </c>
      <c r="J2653" s="4">
        <v>46086.669542592594</v>
      </c>
    </row>
    <row r="2654" spans="1:10" x14ac:dyDescent="0.55000000000000004">
      <c r="A2654" t="s">
        <v>5347</v>
      </c>
      <c r="B2654">
        <v>100765</v>
      </c>
      <c r="C2654" t="s">
        <v>37</v>
      </c>
      <c r="D2654" s="3">
        <v>45884</v>
      </c>
      <c r="E2654" t="s">
        <v>69</v>
      </c>
      <c r="F2654" t="s">
        <v>5348</v>
      </c>
      <c r="G2654" t="s">
        <v>22</v>
      </c>
      <c r="H2654" t="s">
        <v>5349</v>
      </c>
      <c r="I2654" t="s">
        <v>5350</v>
      </c>
      <c r="J2654" s="4">
        <v>46086.669542592594</v>
      </c>
    </row>
    <row r="2655" spans="1:10" x14ac:dyDescent="0.55000000000000004">
      <c r="A2655" t="s">
        <v>5351</v>
      </c>
      <c r="B2655">
        <v>101366</v>
      </c>
      <c r="C2655" t="s">
        <v>37</v>
      </c>
      <c r="D2655" s="3">
        <v>45951</v>
      </c>
      <c r="E2655" t="s">
        <v>20</v>
      </c>
      <c r="F2655" t="s">
        <v>5352</v>
      </c>
      <c r="G2655" t="s">
        <v>15</v>
      </c>
      <c r="H2655" t="s">
        <v>5353</v>
      </c>
      <c r="I2655" t="s">
        <v>5354</v>
      </c>
      <c r="J2655" s="4">
        <v>46075.150098148151</v>
      </c>
    </row>
    <row r="2656" spans="1:10" x14ac:dyDescent="0.55000000000000004">
      <c r="A2656" t="s">
        <v>5351</v>
      </c>
      <c r="B2656">
        <v>101366</v>
      </c>
      <c r="C2656" t="s">
        <v>37</v>
      </c>
      <c r="D2656" s="3">
        <v>45951</v>
      </c>
      <c r="E2656" t="s">
        <v>115</v>
      </c>
      <c r="F2656" t="s">
        <v>5352</v>
      </c>
      <c r="G2656" t="s">
        <v>15</v>
      </c>
      <c r="H2656" t="s">
        <v>5353</v>
      </c>
      <c r="I2656" t="s">
        <v>5354</v>
      </c>
      <c r="J2656" s="4">
        <v>46075.150098148151</v>
      </c>
    </row>
    <row r="2657" spans="1:10" x14ac:dyDescent="0.55000000000000004">
      <c r="A2657" t="s">
        <v>5355</v>
      </c>
      <c r="B2657">
        <v>101477</v>
      </c>
      <c r="C2657" t="s">
        <v>19</v>
      </c>
      <c r="D2657" s="3">
        <v>45975</v>
      </c>
      <c r="E2657" t="s">
        <v>317</v>
      </c>
      <c r="F2657" t="s">
        <v>5356</v>
      </c>
      <c r="G2657" t="s">
        <v>22</v>
      </c>
      <c r="H2657" t="s">
        <v>5357</v>
      </c>
      <c r="I2657" t="s">
        <v>5358</v>
      </c>
      <c r="J2657" s="4">
        <v>46052.934820381946</v>
      </c>
    </row>
    <row r="2658" spans="1:10" x14ac:dyDescent="0.55000000000000004">
      <c r="A2658" t="s">
        <v>5355</v>
      </c>
      <c r="B2658">
        <v>101477</v>
      </c>
      <c r="C2658" t="s">
        <v>19</v>
      </c>
      <c r="D2658" s="3">
        <v>45975</v>
      </c>
      <c r="E2658" t="s">
        <v>115</v>
      </c>
      <c r="F2658" t="s">
        <v>5356</v>
      </c>
      <c r="G2658" t="s">
        <v>22</v>
      </c>
      <c r="H2658" t="s">
        <v>5357</v>
      </c>
      <c r="I2658" t="s">
        <v>5358</v>
      </c>
      <c r="J2658" s="4">
        <v>46052.934820381946</v>
      </c>
    </row>
    <row r="2659" spans="1:10" x14ac:dyDescent="0.55000000000000004">
      <c r="A2659" t="s">
        <v>5355</v>
      </c>
      <c r="B2659">
        <v>101477</v>
      </c>
      <c r="C2659" t="s">
        <v>19</v>
      </c>
      <c r="D2659" s="3">
        <v>45975</v>
      </c>
      <c r="E2659" t="s">
        <v>69</v>
      </c>
      <c r="F2659" t="s">
        <v>5356</v>
      </c>
      <c r="G2659" t="s">
        <v>22</v>
      </c>
      <c r="H2659" t="s">
        <v>5357</v>
      </c>
      <c r="I2659" t="s">
        <v>5358</v>
      </c>
      <c r="J2659" s="4">
        <v>46052.934820381946</v>
      </c>
    </row>
    <row r="2660" spans="1:10" x14ac:dyDescent="0.55000000000000004">
      <c r="A2660" t="s">
        <v>5359</v>
      </c>
      <c r="B2660">
        <v>101415</v>
      </c>
      <c r="C2660" t="s">
        <v>179</v>
      </c>
      <c r="D2660" s="3">
        <v>46153</v>
      </c>
      <c r="E2660" t="s">
        <v>38</v>
      </c>
      <c r="F2660" t="s">
        <v>5360</v>
      </c>
      <c r="G2660" t="s">
        <v>15</v>
      </c>
      <c r="H2660" t="s">
        <v>5361</v>
      </c>
      <c r="I2660" t="s">
        <v>5362</v>
      </c>
      <c r="J2660" s="4">
        <v>46092.796625937503</v>
      </c>
    </row>
    <row r="2661" spans="1:10" x14ac:dyDescent="0.55000000000000004">
      <c r="A2661" t="s">
        <v>2005</v>
      </c>
      <c r="B2661">
        <v>101338</v>
      </c>
      <c r="C2661" t="s">
        <v>19</v>
      </c>
      <c r="D2661" s="3">
        <v>46047</v>
      </c>
      <c r="E2661" t="s">
        <v>20</v>
      </c>
      <c r="F2661" t="s">
        <v>5363</v>
      </c>
      <c r="G2661" t="s">
        <v>22</v>
      </c>
      <c r="H2661" t="s">
        <v>5364</v>
      </c>
      <c r="I2661" t="s">
        <v>5365</v>
      </c>
      <c r="J2661" s="4">
        <v>46097.532042604165</v>
      </c>
    </row>
    <row r="2662" spans="1:10" x14ac:dyDescent="0.55000000000000004">
      <c r="A2662" t="s">
        <v>5366</v>
      </c>
      <c r="B2662">
        <v>101308</v>
      </c>
      <c r="C2662" t="s">
        <v>179</v>
      </c>
      <c r="D2662" s="3">
        <v>45807</v>
      </c>
      <c r="E2662" t="s">
        <v>20</v>
      </c>
      <c r="F2662" t="s">
        <v>5367</v>
      </c>
      <c r="G2662" t="s">
        <v>22</v>
      </c>
      <c r="H2662" t="s">
        <v>5368</v>
      </c>
      <c r="I2662" t="s">
        <v>5369</v>
      </c>
      <c r="J2662" s="4">
        <v>46081.005653726854</v>
      </c>
    </row>
    <row r="2663" spans="1:10" x14ac:dyDescent="0.55000000000000004">
      <c r="A2663" t="s">
        <v>5366</v>
      </c>
      <c r="B2663">
        <v>101308</v>
      </c>
      <c r="C2663" t="s">
        <v>179</v>
      </c>
      <c r="D2663" s="3">
        <v>45807</v>
      </c>
      <c r="E2663" t="s">
        <v>155</v>
      </c>
      <c r="F2663" t="s">
        <v>5367</v>
      </c>
      <c r="G2663" t="s">
        <v>22</v>
      </c>
      <c r="H2663" t="s">
        <v>5368</v>
      </c>
      <c r="I2663" t="s">
        <v>5369</v>
      </c>
      <c r="J2663" s="4">
        <v>46081.005653726854</v>
      </c>
    </row>
    <row r="2664" spans="1:10" x14ac:dyDescent="0.55000000000000004">
      <c r="A2664" t="s">
        <v>5370</v>
      </c>
      <c r="B2664">
        <v>100611</v>
      </c>
      <c r="C2664" t="s">
        <v>37</v>
      </c>
      <c r="D2664" s="3">
        <v>45962</v>
      </c>
      <c r="E2664" t="s">
        <v>317</v>
      </c>
      <c r="F2664" t="s">
        <v>5371</v>
      </c>
      <c r="G2664" t="s">
        <v>22</v>
      </c>
      <c r="H2664" t="s">
        <v>5372</v>
      </c>
      <c r="I2664" t="s">
        <v>5373</v>
      </c>
      <c r="J2664" s="4">
        <v>46056.923709282404</v>
      </c>
    </row>
    <row r="2665" spans="1:10" x14ac:dyDescent="0.55000000000000004">
      <c r="A2665" t="s">
        <v>5374</v>
      </c>
      <c r="B2665">
        <v>101280</v>
      </c>
      <c r="C2665" t="s">
        <v>533</v>
      </c>
      <c r="D2665" s="3">
        <v>45750</v>
      </c>
      <c r="E2665" t="s">
        <v>317</v>
      </c>
      <c r="F2665" t="s">
        <v>5375</v>
      </c>
      <c r="G2665" t="s">
        <v>15</v>
      </c>
      <c r="H2665" t="s">
        <v>5376</v>
      </c>
      <c r="I2665" t="s">
        <v>5377</v>
      </c>
      <c r="J2665" s="4">
        <v>46070.755653738423</v>
      </c>
    </row>
    <row r="2666" spans="1:10" x14ac:dyDescent="0.55000000000000004">
      <c r="A2666" t="s">
        <v>5378</v>
      </c>
      <c r="B2666">
        <v>100217</v>
      </c>
      <c r="C2666" t="s">
        <v>19</v>
      </c>
      <c r="D2666" s="3">
        <v>46128</v>
      </c>
      <c r="E2666" t="s">
        <v>38</v>
      </c>
      <c r="F2666" t="s">
        <v>5379</v>
      </c>
      <c r="G2666" t="s">
        <v>22</v>
      </c>
      <c r="H2666" t="s">
        <v>5380</v>
      </c>
      <c r="I2666" t="s">
        <v>5381</v>
      </c>
      <c r="J2666" s="4">
        <v>46084.251487071757</v>
      </c>
    </row>
    <row r="2667" spans="1:10" x14ac:dyDescent="0.55000000000000004">
      <c r="A2667" t="s">
        <v>5382</v>
      </c>
      <c r="B2667">
        <v>101039</v>
      </c>
      <c r="C2667" t="s">
        <v>248</v>
      </c>
      <c r="D2667" s="3">
        <v>45829</v>
      </c>
      <c r="E2667" t="s">
        <v>38</v>
      </c>
      <c r="F2667" t="s">
        <v>5383</v>
      </c>
      <c r="G2667" t="s">
        <v>22</v>
      </c>
      <c r="H2667" t="s">
        <v>5384</v>
      </c>
      <c r="I2667" t="s">
        <v>5385</v>
      </c>
      <c r="J2667" s="4">
        <v>46096.316764849536</v>
      </c>
    </row>
    <row r="2668" spans="1:10" x14ac:dyDescent="0.55000000000000004">
      <c r="A2668" t="s">
        <v>5382</v>
      </c>
      <c r="B2668">
        <v>101039</v>
      </c>
      <c r="C2668" t="s">
        <v>248</v>
      </c>
      <c r="D2668" s="3">
        <v>45829</v>
      </c>
      <c r="E2668" t="s">
        <v>20</v>
      </c>
      <c r="F2668" t="s">
        <v>5383</v>
      </c>
      <c r="G2668" t="s">
        <v>22</v>
      </c>
      <c r="H2668" t="s">
        <v>5384</v>
      </c>
      <c r="I2668" t="s">
        <v>5385</v>
      </c>
      <c r="J2668" s="4">
        <v>46096.316764849536</v>
      </c>
    </row>
    <row r="2669" spans="1:10" x14ac:dyDescent="0.55000000000000004">
      <c r="A2669" t="s">
        <v>5382</v>
      </c>
      <c r="B2669">
        <v>101039</v>
      </c>
      <c r="C2669" t="s">
        <v>248</v>
      </c>
      <c r="D2669" s="3">
        <v>45829</v>
      </c>
      <c r="E2669" t="s">
        <v>155</v>
      </c>
      <c r="F2669" t="s">
        <v>5383</v>
      </c>
      <c r="G2669" t="s">
        <v>22</v>
      </c>
      <c r="H2669" t="s">
        <v>5384</v>
      </c>
      <c r="I2669" t="s">
        <v>5385</v>
      </c>
      <c r="J2669" s="4">
        <v>46096.316764849536</v>
      </c>
    </row>
    <row r="2670" spans="1:10" x14ac:dyDescent="0.55000000000000004">
      <c r="A2670" t="s">
        <v>5386</v>
      </c>
      <c r="B2670">
        <v>100365</v>
      </c>
      <c r="C2670" t="s">
        <v>68</v>
      </c>
      <c r="D2670" s="3">
        <v>45989</v>
      </c>
      <c r="E2670" t="s">
        <v>317</v>
      </c>
      <c r="F2670" t="s">
        <v>5387</v>
      </c>
      <c r="G2670" t="s">
        <v>22</v>
      </c>
      <c r="H2670" t="s">
        <v>5388</v>
      </c>
      <c r="I2670" t="s">
        <v>5389</v>
      </c>
      <c r="J2670" s="4">
        <v>46056.098014861112</v>
      </c>
    </row>
    <row r="2671" spans="1:10" x14ac:dyDescent="0.55000000000000004">
      <c r="A2671" t="s">
        <v>5390</v>
      </c>
      <c r="B2671">
        <v>101025</v>
      </c>
      <c r="C2671" t="s">
        <v>179</v>
      </c>
      <c r="D2671" s="3">
        <v>45942</v>
      </c>
      <c r="E2671" t="s">
        <v>38</v>
      </c>
      <c r="F2671" t="s">
        <v>5391</v>
      </c>
      <c r="G2671" t="s">
        <v>22</v>
      </c>
      <c r="H2671" t="s">
        <v>5392</v>
      </c>
      <c r="I2671" t="s">
        <v>5393</v>
      </c>
      <c r="J2671" s="4">
        <v>46064.268848194442</v>
      </c>
    </row>
    <row r="2672" spans="1:10" x14ac:dyDescent="0.55000000000000004">
      <c r="A2672" t="s">
        <v>5390</v>
      </c>
      <c r="B2672">
        <v>101025</v>
      </c>
      <c r="C2672" t="s">
        <v>179</v>
      </c>
      <c r="D2672" s="3">
        <v>45942</v>
      </c>
      <c r="E2672" t="s">
        <v>20</v>
      </c>
      <c r="F2672" t="s">
        <v>5391</v>
      </c>
      <c r="G2672" t="s">
        <v>22</v>
      </c>
      <c r="H2672" t="s">
        <v>5392</v>
      </c>
      <c r="I2672" t="s">
        <v>5393</v>
      </c>
      <c r="J2672" s="4">
        <v>46064.268848194442</v>
      </c>
    </row>
    <row r="2673" spans="1:11" x14ac:dyDescent="0.55000000000000004">
      <c r="A2673" t="s">
        <v>5394</v>
      </c>
      <c r="B2673">
        <v>100539</v>
      </c>
      <c r="C2673" t="s">
        <v>533</v>
      </c>
      <c r="D2673" s="3">
        <v>45822</v>
      </c>
      <c r="E2673" t="s">
        <v>20</v>
      </c>
      <c r="F2673" t="s">
        <v>5395</v>
      </c>
      <c r="G2673" t="s">
        <v>15</v>
      </c>
      <c r="H2673" t="s">
        <v>5396</v>
      </c>
      <c r="I2673" t="s">
        <v>5397</v>
      </c>
      <c r="J2673" s="4">
        <v>46061.900098194441</v>
      </c>
    </row>
    <row r="2674" spans="1:11" x14ac:dyDescent="0.55000000000000004">
      <c r="A2674" t="s">
        <v>5394</v>
      </c>
      <c r="B2674">
        <v>100539</v>
      </c>
      <c r="C2674" t="s">
        <v>533</v>
      </c>
      <c r="D2674" s="3">
        <v>45822</v>
      </c>
      <c r="E2674" t="s">
        <v>69</v>
      </c>
      <c r="F2674" t="s">
        <v>5395</v>
      </c>
      <c r="G2674" t="s">
        <v>15</v>
      </c>
      <c r="H2674" t="s">
        <v>5396</v>
      </c>
      <c r="I2674" t="s">
        <v>5397</v>
      </c>
      <c r="J2674" s="4">
        <v>46061.900098194441</v>
      </c>
    </row>
    <row r="2675" spans="1:11" x14ac:dyDescent="0.55000000000000004">
      <c r="A2675" t="s">
        <v>5398</v>
      </c>
      <c r="B2675">
        <v>100006</v>
      </c>
      <c r="C2675" t="s">
        <v>533</v>
      </c>
      <c r="D2675" s="3">
        <v>46009</v>
      </c>
      <c r="E2675" t="s">
        <v>20</v>
      </c>
      <c r="F2675" t="s">
        <v>5399</v>
      </c>
      <c r="G2675" t="s">
        <v>22</v>
      </c>
      <c r="H2675" t="s">
        <v>5400</v>
      </c>
      <c r="I2675" t="s">
        <v>5401</v>
      </c>
      <c r="J2675" s="4">
        <v>46057.343153761576</v>
      </c>
    </row>
    <row r="2676" spans="1:11" x14ac:dyDescent="0.55000000000000004">
      <c r="A2676" t="s">
        <v>5398</v>
      </c>
      <c r="B2676">
        <v>100006</v>
      </c>
      <c r="C2676" t="s">
        <v>533</v>
      </c>
      <c r="D2676" s="3">
        <v>46009</v>
      </c>
      <c r="E2676" t="s">
        <v>69</v>
      </c>
      <c r="F2676" t="s">
        <v>5399</v>
      </c>
      <c r="G2676" t="s">
        <v>22</v>
      </c>
      <c r="H2676" t="s">
        <v>5400</v>
      </c>
      <c r="I2676" t="s">
        <v>5401</v>
      </c>
      <c r="J2676" s="4">
        <v>46057.343153761576</v>
      </c>
    </row>
    <row r="2677" spans="1:11" x14ac:dyDescent="0.55000000000000004">
      <c r="A2677" t="s">
        <v>5402</v>
      </c>
      <c r="B2677">
        <v>100929</v>
      </c>
      <c r="C2677" t="s">
        <v>19</v>
      </c>
      <c r="D2677" s="3">
        <v>45782</v>
      </c>
      <c r="E2677" t="s">
        <v>155</v>
      </c>
      <c r="F2677" t="s">
        <v>5403</v>
      </c>
      <c r="G2677" t="s">
        <v>15</v>
      </c>
      <c r="H2677" t="s">
        <v>5404</v>
      </c>
      <c r="I2677" t="s">
        <v>5405</v>
      </c>
      <c r="J2677" s="4">
        <v>46056.723014872689</v>
      </c>
    </row>
    <row r="2678" spans="1:11" x14ac:dyDescent="0.55000000000000004">
      <c r="A2678" t="s">
        <v>5406</v>
      </c>
      <c r="B2678">
        <v>100323</v>
      </c>
      <c r="C2678" t="s">
        <v>19</v>
      </c>
      <c r="D2678" s="3">
        <v>45942</v>
      </c>
      <c r="E2678" t="s">
        <v>69</v>
      </c>
      <c r="F2678" t="s">
        <v>5407</v>
      </c>
      <c r="G2678" t="s">
        <v>15</v>
      </c>
      <c r="H2678" t="s">
        <v>5408</v>
      </c>
      <c r="I2678" t="s">
        <v>5409</v>
      </c>
      <c r="J2678" s="4">
        <v>46057.114681550927</v>
      </c>
    </row>
    <row r="2679" spans="1:11" x14ac:dyDescent="0.55000000000000004">
      <c r="A2679" t="s">
        <v>5410</v>
      </c>
      <c r="B2679">
        <v>100890</v>
      </c>
      <c r="C2679" t="s">
        <v>19</v>
      </c>
      <c r="D2679" s="3">
        <v>46029</v>
      </c>
      <c r="E2679" t="s">
        <v>317</v>
      </c>
      <c r="F2679" t="s">
        <v>5411</v>
      </c>
      <c r="G2679" t="s">
        <v>22</v>
      </c>
      <c r="H2679" t="s">
        <v>5412</v>
      </c>
      <c r="I2679" t="s">
        <v>5413</v>
      </c>
      <c r="J2679" s="4">
        <v>46071.445237106484</v>
      </c>
    </row>
    <row r="2680" spans="1:11" x14ac:dyDescent="0.55000000000000004">
      <c r="A2680" t="s">
        <v>5414</v>
      </c>
      <c r="B2680">
        <v>100601</v>
      </c>
      <c r="C2680" t="s">
        <v>248</v>
      </c>
      <c r="D2680" s="3">
        <v>46129</v>
      </c>
      <c r="E2680" t="s">
        <v>38</v>
      </c>
      <c r="F2680" t="s">
        <v>5415</v>
      </c>
      <c r="G2680" t="s">
        <v>15</v>
      </c>
      <c r="H2680" t="s">
        <v>5416</v>
      </c>
      <c r="I2680" t="s">
        <v>5417</v>
      </c>
      <c r="J2680" s="4">
        <v>46085.078570439815</v>
      </c>
    </row>
    <row r="2681" spans="1:11" x14ac:dyDescent="0.55000000000000004">
      <c r="A2681" t="s">
        <v>5414</v>
      </c>
      <c r="B2681">
        <v>100601</v>
      </c>
      <c r="C2681" t="s">
        <v>248</v>
      </c>
      <c r="D2681" s="3">
        <v>46129</v>
      </c>
      <c r="E2681" t="s">
        <v>69</v>
      </c>
      <c r="F2681" t="s">
        <v>5415</v>
      </c>
      <c r="G2681" t="s">
        <v>15</v>
      </c>
      <c r="H2681" t="s">
        <v>5416</v>
      </c>
      <c r="I2681" t="s">
        <v>5417</v>
      </c>
      <c r="J2681" s="4">
        <v>46085.078570439815</v>
      </c>
    </row>
    <row r="2682" spans="1:11" x14ac:dyDescent="0.55000000000000004">
      <c r="A2682" t="s">
        <v>5418</v>
      </c>
      <c r="B2682">
        <v>101498</v>
      </c>
      <c r="C2682" t="s">
        <v>533</v>
      </c>
      <c r="D2682" s="3">
        <v>45911</v>
      </c>
      <c r="E2682" t="s">
        <v>317</v>
      </c>
      <c r="F2682" t="s">
        <v>260</v>
      </c>
      <c r="G2682" t="s">
        <v>15</v>
      </c>
      <c r="H2682" t="s">
        <v>5419</v>
      </c>
      <c r="I2682" t="s">
        <v>5420</v>
      </c>
      <c r="J2682" s="4">
        <v>46074.427876006943</v>
      </c>
    </row>
    <row r="2683" spans="1:11" x14ac:dyDescent="0.55000000000000004">
      <c r="A2683" t="s">
        <v>5418</v>
      </c>
      <c r="B2683">
        <v>101498</v>
      </c>
      <c r="C2683" t="s">
        <v>533</v>
      </c>
      <c r="D2683" s="3">
        <v>45911</v>
      </c>
      <c r="E2683" t="s">
        <v>69</v>
      </c>
      <c r="F2683" t="s">
        <v>260</v>
      </c>
      <c r="G2683" t="s">
        <v>15</v>
      </c>
      <c r="H2683" t="s">
        <v>5419</v>
      </c>
      <c r="I2683" t="s">
        <v>5420</v>
      </c>
      <c r="J2683" s="4">
        <v>46074.427876006943</v>
      </c>
    </row>
    <row r="2684" spans="1:11" x14ac:dyDescent="0.55000000000000004">
      <c r="A2684" t="s">
        <v>5421</v>
      </c>
      <c r="B2684">
        <v>101171</v>
      </c>
      <c r="C2684" t="s">
        <v>19</v>
      </c>
      <c r="D2684" s="3">
        <v>45877</v>
      </c>
      <c r="E2684" t="s">
        <v>317</v>
      </c>
      <c r="F2684" t="s">
        <v>5422</v>
      </c>
      <c r="G2684" t="s">
        <v>22</v>
      </c>
      <c r="H2684" t="s">
        <v>5423</v>
      </c>
      <c r="I2684" t="s">
        <v>5424</v>
      </c>
      <c r="J2684" s="4">
        <v>46070.788987118052</v>
      </c>
      <c r="K2684" t="s">
        <v>139</v>
      </c>
    </row>
    <row r="2685" spans="1:11" x14ac:dyDescent="0.55000000000000004">
      <c r="A2685" t="s">
        <v>5421</v>
      </c>
      <c r="B2685">
        <v>101171</v>
      </c>
      <c r="C2685" t="s">
        <v>19</v>
      </c>
      <c r="D2685" s="3">
        <v>45877</v>
      </c>
      <c r="E2685" t="s">
        <v>20</v>
      </c>
      <c r="F2685" t="s">
        <v>5422</v>
      </c>
      <c r="G2685" t="s">
        <v>22</v>
      </c>
      <c r="H2685" t="s">
        <v>5423</v>
      </c>
      <c r="I2685" t="s">
        <v>5424</v>
      </c>
      <c r="J2685" s="4">
        <v>46070.788987118052</v>
      </c>
      <c r="K2685" t="s">
        <v>139</v>
      </c>
    </row>
    <row r="2686" spans="1:11" x14ac:dyDescent="0.55000000000000004">
      <c r="A2686" t="s">
        <v>5425</v>
      </c>
      <c r="B2686">
        <v>101312</v>
      </c>
      <c r="C2686" t="s">
        <v>248</v>
      </c>
      <c r="D2686" s="3">
        <v>45734</v>
      </c>
      <c r="E2686" t="s">
        <v>317</v>
      </c>
      <c r="F2686" t="s">
        <v>5426</v>
      </c>
      <c r="G2686" t="s">
        <v>15</v>
      </c>
      <c r="H2686" t="s">
        <v>5427</v>
      </c>
      <c r="I2686" t="s">
        <v>5428</v>
      </c>
      <c r="J2686" s="4">
        <v>46088.213987118055</v>
      </c>
    </row>
    <row r="2687" spans="1:11" x14ac:dyDescent="0.55000000000000004">
      <c r="A2687" t="s">
        <v>5425</v>
      </c>
      <c r="B2687">
        <v>101312</v>
      </c>
      <c r="C2687" t="s">
        <v>248</v>
      </c>
      <c r="D2687" s="3">
        <v>45734</v>
      </c>
      <c r="E2687" t="s">
        <v>155</v>
      </c>
      <c r="F2687" t="s">
        <v>5426</v>
      </c>
      <c r="G2687" t="s">
        <v>15</v>
      </c>
      <c r="H2687" t="s">
        <v>5427</v>
      </c>
      <c r="I2687" t="s">
        <v>5428</v>
      </c>
      <c r="J2687" s="4">
        <v>46088.213987118055</v>
      </c>
    </row>
    <row r="2688" spans="1:11" x14ac:dyDescent="0.55000000000000004">
      <c r="A2688" t="s">
        <v>5429</v>
      </c>
      <c r="B2688">
        <v>101419</v>
      </c>
      <c r="C2688" t="s">
        <v>19</v>
      </c>
      <c r="D2688" s="3">
        <v>46151</v>
      </c>
      <c r="E2688" t="s">
        <v>317</v>
      </c>
      <c r="F2688" t="s">
        <v>5430</v>
      </c>
      <c r="G2688" t="s">
        <v>15</v>
      </c>
      <c r="H2688" t="s">
        <v>5431</v>
      </c>
      <c r="I2688" t="s">
        <v>5432</v>
      </c>
      <c r="J2688" s="4">
        <v>46061.134820462961</v>
      </c>
    </row>
    <row r="2689" spans="1:10" x14ac:dyDescent="0.55000000000000004">
      <c r="A2689" t="s">
        <v>5429</v>
      </c>
      <c r="B2689">
        <v>101419</v>
      </c>
      <c r="C2689" t="s">
        <v>19</v>
      </c>
      <c r="D2689" s="3">
        <v>46151</v>
      </c>
      <c r="E2689" t="s">
        <v>38</v>
      </c>
      <c r="F2689" t="s">
        <v>5430</v>
      </c>
      <c r="G2689" t="s">
        <v>15</v>
      </c>
      <c r="H2689" t="s">
        <v>5431</v>
      </c>
      <c r="I2689" t="s">
        <v>5432</v>
      </c>
      <c r="J2689" s="4">
        <v>46061.134820462961</v>
      </c>
    </row>
    <row r="2690" spans="1:10" x14ac:dyDescent="0.55000000000000004">
      <c r="A2690" t="s">
        <v>5429</v>
      </c>
      <c r="B2690">
        <v>101419</v>
      </c>
      <c r="C2690" t="s">
        <v>19</v>
      </c>
      <c r="D2690" s="3">
        <v>46151</v>
      </c>
      <c r="E2690" t="s">
        <v>20</v>
      </c>
      <c r="F2690" t="s">
        <v>5430</v>
      </c>
      <c r="G2690" t="s">
        <v>15</v>
      </c>
      <c r="H2690" t="s">
        <v>5431</v>
      </c>
      <c r="I2690" t="s">
        <v>5432</v>
      </c>
      <c r="J2690" s="4">
        <v>46061.134820462961</v>
      </c>
    </row>
    <row r="2691" spans="1:10" x14ac:dyDescent="0.55000000000000004">
      <c r="A2691" t="s">
        <v>5433</v>
      </c>
      <c r="B2691">
        <v>101099</v>
      </c>
      <c r="C2691" t="s">
        <v>248</v>
      </c>
      <c r="D2691" s="3">
        <v>46016</v>
      </c>
      <c r="E2691" t="s">
        <v>38</v>
      </c>
      <c r="F2691" t="s">
        <v>5434</v>
      </c>
      <c r="G2691" t="s">
        <v>22</v>
      </c>
      <c r="H2691" t="s">
        <v>5435</v>
      </c>
      <c r="I2691" t="s">
        <v>5436</v>
      </c>
      <c r="J2691" s="4">
        <v>46093.9244037963</v>
      </c>
    </row>
    <row r="2692" spans="1:10" x14ac:dyDescent="0.55000000000000004">
      <c r="A2692" t="s">
        <v>5433</v>
      </c>
      <c r="B2692">
        <v>101099</v>
      </c>
      <c r="C2692" t="s">
        <v>248</v>
      </c>
      <c r="D2692" s="3">
        <v>46016</v>
      </c>
      <c r="E2692" t="s">
        <v>115</v>
      </c>
      <c r="F2692" t="s">
        <v>5434</v>
      </c>
      <c r="G2692" t="s">
        <v>22</v>
      </c>
      <c r="H2692" t="s">
        <v>5435</v>
      </c>
      <c r="I2692" t="s">
        <v>5436</v>
      </c>
      <c r="J2692" s="4">
        <v>46093.9244037963</v>
      </c>
    </row>
    <row r="2693" spans="1:10" x14ac:dyDescent="0.55000000000000004">
      <c r="A2693" t="s">
        <v>5437</v>
      </c>
      <c r="B2693">
        <v>100234</v>
      </c>
      <c r="C2693" t="s">
        <v>179</v>
      </c>
      <c r="D2693" s="3">
        <v>45797</v>
      </c>
      <c r="E2693" t="s">
        <v>317</v>
      </c>
      <c r="F2693" t="s">
        <v>5438</v>
      </c>
      <c r="G2693" t="s">
        <v>22</v>
      </c>
      <c r="H2693" t="s">
        <v>5439</v>
      </c>
      <c r="I2693" t="s">
        <v>5440</v>
      </c>
      <c r="J2693" s="4">
        <v>46064.520931574072</v>
      </c>
    </row>
    <row r="2694" spans="1:10" x14ac:dyDescent="0.55000000000000004">
      <c r="A2694" t="s">
        <v>5437</v>
      </c>
      <c r="B2694">
        <v>100234</v>
      </c>
      <c r="C2694" t="s">
        <v>179</v>
      </c>
      <c r="D2694" s="3">
        <v>45797</v>
      </c>
      <c r="E2694" t="s">
        <v>115</v>
      </c>
      <c r="F2694" t="s">
        <v>5438</v>
      </c>
      <c r="G2694" t="s">
        <v>22</v>
      </c>
      <c r="H2694" t="s">
        <v>5439</v>
      </c>
      <c r="I2694" t="s">
        <v>5440</v>
      </c>
      <c r="J2694" s="4">
        <v>46064.520931574072</v>
      </c>
    </row>
    <row r="2695" spans="1:10" x14ac:dyDescent="0.55000000000000004">
      <c r="A2695" t="s">
        <v>5437</v>
      </c>
      <c r="B2695">
        <v>100234</v>
      </c>
      <c r="C2695" t="s">
        <v>179</v>
      </c>
      <c r="D2695" s="3">
        <v>45797</v>
      </c>
      <c r="E2695" t="s">
        <v>69</v>
      </c>
      <c r="F2695" t="s">
        <v>5438</v>
      </c>
      <c r="G2695" t="s">
        <v>22</v>
      </c>
      <c r="H2695" t="s">
        <v>5439</v>
      </c>
      <c r="I2695" t="s">
        <v>5440</v>
      </c>
      <c r="J2695" s="4">
        <v>46064.520931574072</v>
      </c>
    </row>
    <row r="2696" spans="1:10" x14ac:dyDescent="0.55000000000000004">
      <c r="A2696" t="s">
        <v>5441</v>
      </c>
      <c r="B2696">
        <v>100023</v>
      </c>
      <c r="C2696" t="s">
        <v>179</v>
      </c>
      <c r="D2696" s="3">
        <v>45850</v>
      </c>
      <c r="E2696" t="s">
        <v>317</v>
      </c>
      <c r="F2696" t="s">
        <v>5442</v>
      </c>
      <c r="G2696" t="s">
        <v>15</v>
      </c>
      <c r="H2696" t="s">
        <v>5443</v>
      </c>
      <c r="I2696" t="s">
        <v>5444</v>
      </c>
      <c r="J2696" s="4">
        <v>46065.577876030089</v>
      </c>
    </row>
    <row r="2697" spans="1:10" x14ac:dyDescent="0.55000000000000004">
      <c r="A2697" t="s">
        <v>5445</v>
      </c>
      <c r="B2697">
        <v>101133</v>
      </c>
      <c r="C2697" t="s">
        <v>19</v>
      </c>
      <c r="D2697" s="3">
        <v>46133</v>
      </c>
      <c r="E2697" t="s">
        <v>317</v>
      </c>
      <c r="F2697" t="s">
        <v>5446</v>
      </c>
      <c r="G2697" t="s">
        <v>15</v>
      </c>
      <c r="H2697" t="s">
        <v>5447</v>
      </c>
      <c r="I2697" t="s">
        <v>5448</v>
      </c>
      <c r="J2697" s="4">
        <v>46077.456348252315</v>
      </c>
    </row>
    <row r="2698" spans="1:10" x14ac:dyDescent="0.55000000000000004">
      <c r="A2698" t="s">
        <v>5445</v>
      </c>
      <c r="B2698">
        <v>101133</v>
      </c>
      <c r="C2698" t="s">
        <v>19</v>
      </c>
      <c r="D2698" s="3">
        <v>46133</v>
      </c>
      <c r="E2698" t="s">
        <v>20</v>
      </c>
      <c r="F2698" t="s">
        <v>5446</v>
      </c>
      <c r="G2698" t="s">
        <v>15</v>
      </c>
      <c r="H2698" t="s">
        <v>5447</v>
      </c>
      <c r="I2698" t="s">
        <v>5448</v>
      </c>
      <c r="J2698" s="4">
        <v>46077.456348252315</v>
      </c>
    </row>
    <row r="2699" spans="1:10" x14ac:dyDescent="0.55000000000000004">
      <c r="A2699" t="s">
        <v>5449</v>
      </c>
      <c r="B2699">
        <v>100514</v>
      </c>
      <c r="C2699" t="s">
        <v>37</v>
      </c>
      <c r="D2699" s="3">
        <v>45779</v>
      </c>
      <c r="E2699" t="s">
        <v>69</v>
      </c>
      <c r="F2699" t="s">
        <v>5450</v>
      </c>
      <c r="G2699" t="s">
        <v>15</v>
      </c>
      <c r="H2699" t="s">
        <v>5451</v>
      </c>
      <c r="I2699" t="s">
        <v>5452</v>
      </c>
      <c r="J2699" s="4">
        <v>46056.902181597223</v>
      </c>
    </row>
    <row r="2700" spans="1:10" x14ac:dyDescent="0.55000000000000004">
      <c r="A2700" t="s">
        <v>5453</v>
      </c>
      <c r="B2700">
        <v>101083</v>
      </c>
      <c r="C2700" t="s">
        <v>533</v>
      </c>
      <c r="D2700" s="3">
        <v>45746</v>
      </c>
      <c r="E2700" t="s">
        <v>317</v>
      </c>
      <c r="F2700" t="s">
        <v>5454</v>
      </c>
      <c r="G2700" t="s">
        <v>22</v>
      </c>
      <c r="H2700" t="s">
        <v>5455</v>
      </c>
      <c r="I2700" t="s">
        <v>5456</v>
      </c>
      <c r="J2700" s="4">
        <v>46096.560514930556</v>
      </c>
    </row>
    <row r="2701" spans="1:10" x14ac:dyDescent="0.55000000000000004">
      <c r="A2701" t="s">
        <v>5453</v>
      </c>
      <c r="B2701">
        <v>101083</v>
      </c>
      <c r="C2701" t="s">
        <v>533</v>
      </c>
      <c r="D2701" s="3">
        <v>45746</v>
      </c>
      <c r="E2701" t="s">
        <v>38</v>
      </c>
      <c r="F2701" t="s">
        <v>5454</v>
      </c>
      <c r="G2701" t="s">
        <v>22</v>
      </c>
      <c r="H2701" t="s">
        <v>5455</v>
      </c>
      <c r="I2701" t="s">
        <v>5456</v>
      </c>
      <c r="J2701" s="4">
        <v>46096.560514930556</v>
      </c>
    </row>
    <row r="2702" spans="1:10" x14ac:dyDescent="0.55000000000000004">
      <c r="A2702" t="s">
        <v>5453</v>
      </c>
      <c r="B2702">
        <v>101083</v>
      </c>
      <c r="C2702" t="s">
        <v>533</v>
      </c>
      <c r="D2702" s="3">
        <v>45746</v>
      </c>
      <c r="E2702" t="s">
        <v>155</v>
      </c>
      <c r="F2702" t="s">
        <v>5454</v>
      </c>
      <c r="G2702" t="s">
        <v>22</v>
      </c>
      <c r="H2702" t="s">
        <v>5455</v>
      </c>
      <c r="I2702" t="s">
        <v>5456</v>
      </c>
      <c r="J2702" s="4">
        <v>46096.560514930556</v>
      </c>
    </row>
    <row r="2703" spans="1:10" x14ac:dyDescent="0.55000000000000004">
      <c r="A2703" t="s">
        <v>5457</v>
      </c>
      <c r="B2703">
        <v>100958</v>
      </c>
      <c r="C2703" t="s">
        <v>179</v>
      </c>
      <c r="D2703" s="3">
        <v>46056</v>
      </c>
      <c r="E2703" t="s">
        <v>38</v>
      </c>
      <c r="F2703" t="s">
        <v>5458</v>
      </c>
      <c r="G2703" t="s">
        <v>15</v>
      </c>
      <c r="H2703" t="s">
        <v>5459</v>
      </c>
      <c r="I2703" t="s">
        <v>5460</v>
      </c>
      <c r="J2703" s="4">
        <v>46078.470931597221</v>
      </c>
    </row>
    <row r="2704" spans="1:10" x14ac:dyDescent="0.55000000000000004">
      <c r="A2704" t="s">
        <v>5457</v>
      </c>
      <c r="B2704">
        <v>100958</v>
      </c>
      <c r="C2704" t="s">
        <v>179</v>
      </c>
      <c r="D2704" s="3">
        <v>46056</v>
      </c>
      <c r="E2704" t="s">
        <v>20</v>
      </c>
      <c r="F2704" t="s">
        <v>5458</v>
      </c>
      <c r="G2704" t="s">
        <v>15</v>
      </c>
      <c r="H2704" t="s">
        <v>5459</v>
      </c>
      <c r="I2704" t="s">
        <v>5460</v>
      </c>
      <c r="J2704" s="4">
        <v>46078.470931597221</v>
      </c>
    </row>
    <row r="2705" spans="1:10" x14ac:dyDescent="0.55000000000000004">
      <c r="A2705" t="s">
        <v>5457</v>
      </c>
      <c r="B2705">
        <v>100958</v>
      </c>
      <c r="C2705" t="s">
        <v>179</v>
      </c>
      <c r="D2705" s="3">
        <v>46056</v>
      </c>
      <c r="E2705" t="s">
        <v>115</v>
      </c>
      <c r="F2705" t="s">
        <v>5458</v>
      </c>
      <c r="G2705" t="s">
        <v>15</v>
      </c>
      <c r="H2705" t="s">
        <v>5459</v>
      </c>
      <c r="I2705" t="s">
        <v>5460</v>
      </c>
      <c r="J2705" s="4">
        <v>46078.470931597221</v>
      </c>
    </row>
    <row r="2706" spans="1:10" x14ac:dyDescent="0.55000000000000004">
      <c r="A2706" t="s">
        <v>5461</v>
      </c>
      <c r="B2706">
        <v>101220</v>
      </c>
      <c r="C2706" t="s">
        <v>19</v>
      </c>
      <c r="D2706" s="3">
        <v>45857</v>
      </c>
      <c r="E2706" t="s">
        <v>20</v>
      </c>
      <c r="F2706" t="s">
        <v>5462</v>
      </c>
      <c r="G2706" t="s">
        <v>22</v>
      </c>
      <c r="H2706" t="s">
        <v>5463</v>
      </c>
      <c r="I2706" t="s">
        <v>5464</v>
      </c>
      <c r="J2706" s="4">
        <v>46092.541764942129</v>
      </c>
    </row>
    <row r="2707" spans="1:10" x14ac:dyDescent="0.55000000000000004">
      <c r="A2707" t="s">
        <v>5461</v>
      </c>
      <c r="B2707">
        <v>101220</v>
      </c>
      <c r="C2707" t="s">
        <v>19</v>
      </c>
      <c r="D2707" s="3">
        <v>45857</v>
      </c>
      <c r="E2707" t="s">
        <v>155</v>
      </c>
      <c r="F2707" t="s">
        <v>5462</v>
      </c>
      <c r="G2707" t="s">
        <v>22</v>
      </c>
      <c r="H2707" t="s">
        <v>5463</v>
      </c>
      <c r="I2707" t="s">
        <v>5464</v>
      </c>
      <c r="J2707" s="4">
        <v>46092.541764942129</v>
      </c>
    </row>
    <row r="2708" spans="1:10" x14ac:dyDescent="0.55000000000000004">
      <c r="A2708" t="s">
        <v>5461</v>
      </c>
      <c r="B2708">
        <v>101220</v>
      </c>
      <c r="C2708" t="s">
        <v>19</v>
      </c>
      <c r="D2708" s="3">
        <v>45857</v>
      </c>
      <c r="E2708" t="s">
        <v>69</v>
      </c>
      <c r="F2708" t="s">
        <v>5462</v>
      </c>
      <c r="G2708" t="s">
        <v>22</v>
      </c>
      <c r="H2708" t="s">
        <v>5463</v>
      </c>
      <c r="I2708" t="s">
        <v>5464</v>
      </c>
      <c r="J2708" s="4">
        <v>46092.541764942129</v>
      </c>
    </row>
    <row r="2709" spans="1:10" x14ac:dyDescent="0.55000000000000004">
      <c r="A2709" t="s">
        <v>5465</v>
      </c>
      <c r="B2709">
        <v>100781</v>
      </c>
      <c r="C2709" t="s">
        <v>37</v>
      </c>
      <c r="D2709" s="3">
        <v>46058</v>
      </c>
      <c r="E2709" t="s">
        <v>317</v>
      </c>
      <c r="F2709" t="s">
        <v>5466</v>
      </c>
      <c r="G2709" t="s">
        <v>15</v>
      </c>
      <c r="H2709" t="s">
        <v>5467</v>
      </c>
      <c r="I2709" t="s">
        <v>5468</v>
      </c>
      <c r="J2709" s="4">
        <v>46091.544542719908</v>
      </c>
    </row>
    <row r="2710" spans="1:10" x14ac:dyDescent="0.55000000000000004">
      <c r="A2710" t="s">
        <v>5465</v>
      </c>
      <c r="B2710">
        <v>100781</v>
      </c>
      <c r="C2710" t="s">
        <v>37</v>
      </c>
      <c r="D2710" s="3">
        <v>46058</v>
      </c>
      <c r="E2710" t="s">
        <v>155</v>
      </c>
      <c r="F2710" t="s">
        <v>5466</v>
      </c>
      <c r="G2710" t="s">
        <v>15</v>
      </c>
      <c r="H2710" t="s">
        <v>5467</v>
      </c>
      <c r="I2710" t="s">
        <v>5468</v>
      </c>
      <c r="J2710" s="4">
        <v>46091.544542719908</v>
      </c>
    </row>
    <row r="2711" spans="1:10" x14ac:dyDescent="0.55000000000000004">
      <c r="A2711" t="s">
        <v>5465</v>
      </c>
      <c r="B2711">
        <v>100781</v>
      </c>
      <c r="C2711" t="s">
        <v>37</v>
      </c>
      <c r="D2711" s="3">
        <v>46058</v>
      </c>
      <c r="E2711" t="s">
        <v>69</v>
      </c>
      <c r="F2711" t="s">
        <v>5466</v>
      </c>
      <c r="G2711" t="s">
        <v>15</v>
      </c>
      <c r="H2711" t="s">
        <v>5467</v>
      </c>
      <c r="I2711" t="s">
        <v>5468</v>
      </c>
      <c r="J2711" s="4">
        <v>46091.544542719908</v>
      </c>
    </row>
    <row r="2712" spans="1:10" x14ac:dyDescent="0.55000000000000004">
      <c r="A2712" t="s">
        <v>5469</v>
      </c>
      <c r="B2712">
        <v>100788</v>
      </c>
      <c r="C2712" t="s">
        <v>68</v>
      </c>
      <c r="D2712" s="3">
        <v>45866</v>
      </c>
      <c r="E2712" t="s">
        <v>155</v>
      </c>
      <c r="F2712" t="s">
        <v>5470</v>
      </c>
      <c r="G2712" t="s">
        <v>15</v>
      </c>
      <c r="H2712" t="s">
        <v>5471</v>
      </c>
      <c r="I2712" t="s">
        <v>5472</v>
      </c>
      <c r="J2712" s="4">
        <v>46066.232042719908</v>
      </c>
    </row>
    <row r="2713" spans="1:10" x14ac:dyDescent="0.55000000000000004">
      <c r="A2713" t="s">
        <v>5473</v>
      </c>
      <c r="B2713">
        <v>100130</v>
      </c>
      <c r="C2713" t="s">
        <v>248</v>
      </c>
      <c r="D2713" s="3">
        <v>45932</v>
      </c>
      <c r="E2713" t="s">
        <v>69</v>
      </c>
      <c r="F2713" t="s">
        <v>5474</v>
      </c>
      <c r="G2713" t="s">
        <v>15</v>
      </c>
      <c r="H2713" t="s">
        <v>5475</v>
      </c>
      <c r="I2713" t="s">
        <v>5476</v>
      </c>
      <c r="J2713" s="4">
        <v>46071.641764953703</v>
      </c>
    </row>
    <row r="2714" spans="1:10" x14ac:dyDescent="0.55000000000000004">
      <c r="A2714" t="s">
        <v>5477</v>
      </c>
      <c r="B2714">
        <v>101221</v>
      </c>
      <c r="C2714" t="s">
        <v>19</v>
      </c>
      <c r="D2714" s="3">
        <v>46052</v>
      </c>
      <c r="E2714" t="s">
        <v>115</v>
      </c>
      <c r="F2714" t="s">
        <v>5478</v>
      </c>
      <c r="G2714" t="s">
        <v>22</v>
      </c>
      <c r="H2714" t="s">
        <v>5479</v>
      </c>
      <c r="I2714" t="s">
        <v>5480</v>
      </c>
      <c r="J2714" s="4">
        <v>46073.300098287036</v>
      </c>
    </row>
    <row r="2715" spans="1:10" x14ac:dyDescent="0.55000000000000004">
      <c r="A2715" t="s">
        <v>5481</v>
      </c>
      <c r="B2715">
        <v>101487</v>
      </c>
      <c r="C2715" t="s">
        <v>179</v>
      </c>
      <c r="D2715" s="3">
        <v>46145</v>
      </c>
      <c r="E2715" t="s">
        <v>115</v>
      </c>
      <c r="F2715" t="s">
        <v>5482</v>
      </c>
      <c r="G2715" t="s">
        <v>22</v>
      </c>
      <c r="H2715" t="s">
        <v>5483</v>
      </c>
      <c r="I2715" t="s">
        <v>5484</v>
      </c>
      <c r="J2715" s="4">
        <v>46097.492459409725</v>
      </c>
    </row>
    <row r="2716" spans="1:10" x14ac:dyDescent="0.55000000000000004">
      <c r="A2716" t="s">
        <v>5485</v>
      </c>
      <c r="B2716">
        <v>100327</v>
      </c>
      <c r="C2716" t="s">
        <v>19</v>
      </c>
      <c r="D2716" s="3">
        <v>46055</v>
      </c>
      <c r="E2716" t="s">
        <v>317</v>
      </c>
      <c r="F2716" t="s">
        <v>5486</v>
      </c>
      <c r="G2716" t="s">
        <v>22</v>
      </c>
      <c r="H2716" t="s">
        <v>5487</v>
      </c>
      <c r="I2716" t="s">
        <v>5488</v>
      </c>
      <c r="J2716" s="4">
        <v>46066.873014965277</v>
      </c>
    </row>
    <row r="2717" spans="1:10" x14ac:dyDescent="0.55000000000000004">
      <c r="A2717" t="s">
        <v>5485</v>
      </c>
      <c r="B2717">
        <v>100327</v>
      </c>
      <c r="C2717" t="s">
        <v>19</v>
      </c>
      <c r="D2717" s="3">
        <v>46055</v>
      </c>
      <c r="E2717" t="s">
        <v>20</v>
      </c>
      <c r="F2717" t="s">
        <v>5486</v>
      </c>
      <c r="G2717" t="s">
        <v>22</v>
      </c>
      <c r="H2717" t="s">
        <v>5487</v>
      </c>
      <c r="I2717" t="s">
        <v>5488</v>
      </c>
      <c r="J2717" s="4">
        <v>46066.873014965277</v>
      </c>
    </row>
    <row r="2718" spans="1:10" x14ac:dyDescent="0.55000000000000004">
      <c r="A2718" t="s">
        <v>5485</v>
      </c>
      <c r="B2718">
        <v>100327</v>
      </c>
      <c r="C2718" t="s">
        <v>19</v>
      </c>
      <c r="D2718" s="3">
        <v>46055</v>
      </c>
      <c r="E2718" t="s">
        <v>155</v>
      </c>
      <c r="F2718" t="s">
        <v>5486</v>
      </c>
      <c r="G2718" t="s">
        <v>22</v>
      </c>
      <c r="H2718" t="s">
        <v>5487</v>
      </c>
      <c r="I2718" t="s">
        <v>5488</v>
      </c>
      <c r="J2718" s="4">
        <v>46066.873014965277</v>
      </c>
    </row>
    <row r="2719" spans="1:10" x14ac:dyDescent="0.55000000000000004">
      <c r="A2719" t="s">
        <v>5489</v>
      </c>
      <c r="B2719">
        <v>101285</v>
      </c>
      <c r="C2719" t="s">
        <v>19</v>
      </c>
      <c r="D2719" s="3">
        <v>46011</v>
      </c>
      <c r="E2719" t="s">
        <v>115</v>
      </c>
      <c r="F2719" t="s">
        <v>5490</v>
      </c>
      <c r="G2719" t="s">
        <v>22</v>
      </c>
      <c r="H2719" t="s">
        <v>5491</v>
      </c>
      <c r="I2719" t="s">
        <v>5492</v>
      </c>
      <c r="J2719" s="4">
        <v>46090.472320520836</v>
      </c>
    </row>
    <row r="2720" spans="1:10" x14ac:dyDescent="0.55000000000000004">
      <c r="A2720" t="s">
        <v>5493</v>
      </c>
      <c r="B2720">
        <v>100313</v>
      </c>
      <c r="C2720" t="s">
        <v>19</v>
      </c>
      <c r="D2720" s="3">
        <v>45747</v>
      </c>
      <c r="E2720" t="s">
        <v>38</v>
      </c>
      <c r="F2720" t="s">
        <v>5494</v>
      </c>
      <c r="G2720" t="s">
        <v>15</v>
      </c>
      <c r="H2720" t="s">
        <v>5495</v>
      </c>
      <c r="I2720" t="s">
        <v>5496</v>
      </c>
      <c r="J2720" s="4">
        <v>46074.582737199074</v>
      </c>
    </row>
    <row r="2721" spans="1:10" x14ac:dyDescent="0.55000000000000004">
      <c r="A2721" t="s">
        <v>5493</v>
      </c>
      <c r="B2721">
        <v>100313</v>
      </c>
      <c r="C2721" t="s">
        <v>19</v>
      </c>
      <c r="D2721" s="3">
        <v>45747</v>
      </c>
      <c r="E2721" t="s">
        <v>155</v>
      </c>
      <c r="F2721" t="s">
        <v>5494</v>
      </c>
      <c r="G2721" t="s">
        <v>15</v>
      </c>
      <c r="H2721" t="s">
        <v>5495</v>
      </c>
      <c r="I2721" t="s">
        <v>5496</v>
      </c>
      <c r="J2721" s="4">
        <v>46074.582737199074</v>
      </c>
    </row>
    <row r="2722" spans="1:10" x14ac:dyDescent="0.55000000000000004">
      <c r="A2722" t="s">
        <v>5493</v>
      </c>
      <c r="B2722">
        <v>100313</v>
      </c>
      <c r="C2722" t="s">
        <v>19</v>
      </c>
      <c r="D2722" s="3">
        <v>45747</v>
      </c>
      <c r="E2722" t="s">
        <v>115</v>
      </c>
      <c r="F2722" t="s">
        <v>5494</v>
      </c>
      <c r="G2722" t="s">
        <v>15</v>
      </c>
      <c r="H2722" t="s">
        <v>5495</v>
      </c>
      <c r="I2722" t="s">
        <v>5496</v>
      </c>
      <c r="J2722" s="4">
        <v>46074.582737199074</v>
      </c>
    </row>
    <row r="2723" spans="1:10" x14ac:dyDescent="0.55000000000000004">
      <c r="A2723" t="s">
        <v>5497</v>
      </c>
      <c r="B2723">
        <v>100224</v>
      </c>
      <c r="C2723" t="s">
        <v>248</v>
      </c>
      <c r="D2723" s="3">
        <v>45747</v>
      </c>
      <c r="E2723" t="s">
        <v>317</v>
      </c>
      <c r="F2723" t="s">
        <v>5498</v>
      </c>
      <c r="G2723" t="s">
        <v>15</v>
      </c>
      <c r="H2723" t="s">
        <v>5499</v>
      </c>
      <c r="I2723" t="s">
        <v>5500</v>
      </c>
      <c r="J2723" s="4">
        <v>46053.566070532404</v>
      </c>
    </row>
    <row r="2724" spans="1:10" x14ac:dyDescent="0.55000000000000004">
      <c r="A2724" t="s">
        <v>5497</v>
      </c>
      <c r="B2724">
        <v>100224</v>
      </c>
      <c r="C2724" t="s">
        <v>248</v>
      </c>
      <c r="D2724" s="3">
        <v>45747</v>
      </c>
      <c r="E2724" t="s">
        <v>115</v>
      </c>
      <c r="F2724" t="s">
        <v>5498</v>
      </c>
      <c r="G2724" t="s">
        <v>15</v>
      </c>
      <c r="H2724" t="s">
        <v>5499</v>
      </c>
      <c r="I2724" t="s">
        <v>5500</v>
      </c>
      <c r="J2724" s="4">
        <v>46053.566070532404</v>
      </c>
    </row>
    <row r="2725" spans="1:10" x14ac:dyDescent="0.55000000000000004">
      <c r="A2725" t="s">
        <v>5501</v>
      </c>
      <c r="B2725">
        <v>100096</v>
      </c>
      <c r="C2725" t="s">
        <v>248</v>
      </c>
      <c r="D2725" s="3">
        <v>45872</v>
      </c>
      <c r="E2725" t="s">
        <v>155</v>
      </c>
      <c r="F2725" t="s">
        <v>5502</v>
      </c>
      <c r="G2725" t="s">
        <v>22</v>
      </c>
      <c r="H2725" t="s">
        <v>5503</v>
      </c>
      <c r="I2725" t="s">
        <v>5504</v>
      </c>
      <c r="J2725" s="4">
        <v>46051.961903877316</v>
      </c>
    </row>
    <row r="2726" spans="1:10" x14ac:dyDescent="0.55000000000000004">
      <c r="A2726" t="s">
        <v>5501</v>
      </c>
      <c r="B2726">
        <v>100096</v>
      </c>
      <c r="C2726" t="s">
        <v>248</v>
      </c>
      <c r="D2726" s="3">
        <v>45872</v>
      </c>
      <c r="E2726" t="s">
        <v>115</v>
      </c>
      <c r="F2726" t="s">
        <v>5502</v>
      </c>
      <c r="G2726" t="s">
        <v>22</v>
      </c>
      <c r="H2726" t="s">
        <v>5503</v>
      </c>
      <c r="I2726" t="s">
        <v>5504</v>
      </c>
      <c r="J2726" s="4">
        <v>46051.961903877316</v>
      </c>
    </row>
    <row r="2727" spans="1:10" x14ac:dyDescent="0.55000000000000004">
      <c r="A2727" t="s">
        <v>5505</v>
      </c>
      <c r="B2727">
        <v>100186</v>
      </c>
      <c r="C2727" t="s">
        <v>68</v>
      </c>
      <c r="D2727" s="3">
        <v>45971</v>
      </c>
      <c r="E2727" t="s">
        <v>317</v>
      </c>
      <c r="F2727" t="s">
        <v>5506</v>
      </c>
      <c r="G2727" t="s">
        <v>15</v>
      </c>
      <c r="H2727" t="s">
        <v>5507</v>
      </c>
      <c r="I2727" t="s">
        <v>5508</v>
      </c>
      <c r="J2727" s="4">
        <v>46081.500098321761</v>
      </c>
    </row>
    <row r="2728" spans="1:10" x14ac:dyDescent="0.55000000000000004">
      <c r="A2728" t="s">
        <v>5505</v>
      </c>
      <c r="B2728">
        <v>100186</v>
      </c>
      <c r="C2728" t="s">
        <v>68</v>
      </c>
      <c r="D2728" s="3">
        <v>45971</v>
      </c>
      <c r="E2728" t="s">
        <v>38</v>
      </c>
      <c r="F2728" t="s">
        <v>5506</v>
      </c>
      <c r="G2728" t="s">
        <v>15</v>
      </c>
      <c r="H2728" t="s">
        <v>5507</v>
      </c>
      <c r="I2728" t="s">
        <v>5508</v>
      </c>
      <c r="J2728" s="4">
        <v>46081.500098321761</v>
      </c>
    </row>
    <row r="2729" spans="1:10" x14ac:dyDescent="0.55000000000000004">
      <c r="A2729" t="s">
        <v>5505</v>
      </c>
      <c r="B2729">
        <v>100186</v>
      </c>
      <c r="C2729" t="s">
        <v>68</v>
      </c>
      <c r="D2729" s="3">
        <v>45971</v>
      </c>
      <c r="E2729" t="s">
        <v>69</v>
      </c>
      <c r="F2729" t="s">
        <v>5506</v>
      </c>
      <c r="G2729" t="s">
        <v>15</v>
      </c>
      <c r="H2729" t="s">
        <v>5507</v>
      </c>
      <c r="I2729" t="s">
        <v>5508</v>
      </c>
      <c r="J2729" s="4">
        <v>46081.500098321761</v>
      </c>
    </row>
    <row r="2730" spans="1:10" x14ac:dyDescent="0.55000000000000004">
      <c r="A2730" t="s">
        <v>5509</v>
      </c>
      <c r="B2730">
        <v>101010</v>
      </c>
      <c r="C2730" t="s">
        <v>248</v>
      </c>
      <c r="D2730" s="3">
        <v>46083</v>
      </c>
      <c r="E2730" t="s">
        <v>20</v>
      </c>
      <c r="F2730" t="s">
        <v>5510</v>
      </c>
      <c r="G2730" t="s">
        <v>22</v>
      </c>
      <c r="H2730" t="s">
        <v>5511</v>
      </c>
      <c r="I2730" t="s">
        <v>5512</v>
      </c>
      <c r="J2730" s="4">
        <v>46087.453570543985</v>
      </c>
    </row>
    <row r="2731" spans="1:10" x14ac:dyDescent="0.55000000000000004">
      <c r="A2731" t="s">
        <v>5509</v>
      </c>
      <c r="B2731">
        <v>101010</v>
      </c>
      <c r="C2731" t="s">
        <v>248</v>
      </c>
      <c r="D2731" s="3">
        <v>46083</v>
      </c>
      <c r="E2731" t="s">
        <v>155</v>
      </c>
      <c r="F2731" t="s">
        <v>5510</v>
      </c>
      <c r="G2731" t="s">
        <v>22</v>
      </c>
      <c r="H2731" t="s">
        <v>5511</v>
      </c>
      <c r="I2731" t="s">
        <v>5512</v>
      </c>
      <c r="J2731" s="4">
        <v>46087.453570543985</v>
      </c>
    </row>
    <row r="2732" spans="1:10" x14ac:dyDescent="0.55000000000000004">
      <c r="A2732" t="s">
        <v>5509</v>
      </c>
      <c r="B2732">
        <v>101010</v>
      </c>
      <c r="C2732" t="s">
        <v>248</v>
      </c>
      <c r="D2732" s="3">
        <v>46083</v>
      </c>
      <c r="E2732" t="s">
        <v>69</v>
      </c>
      <c r="F2732" t="s">
        <v>5510</v>
      </c>
      <c r="G2732" t="s">
        <v>22</v>
      </c>
      <c r="H2732" t="s">
        <v>5511</v>
      </c>
      <c r="I2732" t="s">
        <v>5512</v>
      </c>
      <c r="J2732" s="4">
        <v>46087.453570543985</v>
      </c>
    </row>
    <row r="2733" spans="1:10" x14ac:dyDescent="0.55000000000000004">
      <c r="A2733" t="s">
        <v>5513</v>
      </c>
      <c r="B2733">
        <v>101043</v>
      </c>
      <c r="C2733" t="s">
        <v>19</v>
      </c>
      <c r="D2733" s="3">
        <v>45953</v>
      </c>
      <c r="E2733" t="s">
        <v>38</v>
      </c>
      <c r="F2733" t="s">
        <v>5514</v>
      </c>
      <c r="G2733" t="s">
        <v>22</v>
      </c>
      <c r="H2733" t="s">
        <v>5515</v>
      </c>
      <c r="I2733" t="s">
        <v>5516</v>
      </c>
      <c r="J2733" s="4">
        <v>46076.860515</v>
      </c>
    </row>
    <row r="2734" spans="1:10" x14ac:dyDescent="0.55000000000000004">
      <c r="A2734" t="s">
        <v>5513</v>
      </c>
      <c r="B2734">
        <v>101043</v>
      </c>
      <c r="C2734" t="s">
        <v>19</v>
      </c>
      <c r="D2734" s="3">
        <v>45953</v>
      </c>
      <c r="E2734" t="s">
        <v>69</v>
      </c>
      <c r="F2734" t="s">
        <v>5514</v>
      </c>
      <c r="G2734" t="s">
        <v>22</v>
      </c>
      <c r="H2734" t="s">
        <v>5515</v>
      </c>
      <c r="I2734" t="s">
        <v>5516</v>
      </c>
      <c r="J2734" s="4">
        <v>46076.860515</v>
      </c>
    </row>
    <row r="2735" spans="1:10" x14ac:dyDescent="0.55000000000000004">
      <c r="A2735" t="s">
        <v>2937</v>
      </c>
      <c r="B2735">
        <v>100283</v>
      </c>
      <c r="C2735" t="s">
        <v>533</v>
      </c>
      <c r="D2735" s="3">
        <v>46042</v>
      </c>
      <c r="E2735" t="s">
        <v>115</v>
      </c>
      <c r="F2735" t="s">
        <v>5517</v>
      </c>
      <c r="G2735" t="s">
        <v>22</v>
      </c>
      <c r="H2735" t="s">
        <v>5518</v>
      </c>
      <c r="I2735" t="s">
        <v>5519</v>
      </c>
      <c r="J2735" s="4">
        <v>46073.84662611111</v>
      </c>
    </row>
    <row r="2736" spans="1:10" x14ac:dyDescent="0.55000000000000004">
      <c r="A2736" t="s">
        <v>2937</v>
      </c>
      <c r="B2736">
        <v>100283</v>
      </c>
      <c r="C2736" t="s">
        <v>533</v>
      </c>
      <c r="D2736" s="3">
        <v>46042</v>
      </c>
      <c r="E2736" t="s">
        <v>69</v>
      </c>
      <c r="F2736" t="s">
        <v>5517</v>
      </c>
      <c r="G2736" t="s">
        <v>22</v>
      </c>
      <c r="H2736" t="s">
        <v>5518</v>
      </c>
      <c r="I2736" t="s">
        <v>5519</v>
      </c>
      <c r="J2736" s="4">
        <v>46073.84662611111</v>
      </c>
    </row>
    <row r="2737" spans="1:11" x14ac:dyDescent="0.55000000000000004">
      <c r="A2737" t="s">
        <v>5520</v>
      </c>
      <c r="B2737">
        <v>101404</v>
      </c>
      <c r="C2737" t="s">
        <v>37</v>
      </c>
      <c r="D2737" s="3">
        <v>45962</v>
      </c>
      <c r="E2737" t="s">
        <v>155</v>
      </c>
      <c r="F2737" t="s">
        <v>5521</v>
      </c>
      <c r="G2737" t="s">
        <v>22</v>
      </c>
      <c r="H2737" t="s">
        <v>5522</v>
      </c>
      <c r="I2737" t="s">
        <v>5523</v>
      </c>
      <c r="J2737" s="4">
        <v>46060.163292789352</v>
      </c>
    </row>
    <row r="2738" spans="1:11" x14ac:dyDescent="0.55000000000000004">
      <c r="A2738" t="s">
        <v>5524</v>
      </c>
      <c r="B2738">
        <v>100741</v>
      </c>
      <c r="C2738" t="s">
        <v>68</v>
      </c>
      <c r="D2738" s="3">
        <v>46041</v>
      </c>
      <c r="E2738" t="s">
        <v>38</v>
      </c>
      <c r="F2738" t="s">
        <v>5525</v>
      </c>
      <c r="G2738" t="s">
        <v>15</v>
      </c>
      <c r="H2738" t="s">
        <v>5526</v>
      </c>
      <c r="I2738" t="s">
        <v>5527</v>
      </c>
      <c r="J2738" s="4">
        <v>46090.490376122689</v>
      </c>
    </row>
    <row r="2739" spans="1:11" x14ac:dyDescent="0.55000000000000004">
      <c r="A2739" t="s">
        <v>5524</v>
      </c>
      <c r="B2739">
        <v>100741</v>
      </c>
      <c r="C2739" t="s">
        <v>68</v>
      </c>
      <c r="D2739" s="3">
        <v>46041</v>
      </c>
      <c r="E2739" t="s">
        <v>20</v>
      </c>
      <c r="F2739" t="s">
        <v>5525</v>
      </c>
      <c r="G2739" t="s">
        <v>15</v>
      </c>
      <c r="H2739" t="s">
        <v>5526</v>
      </c>
      <c r="I2739" t="s">
        <v>5527</v>
      </c>
      <c r="J2739" s="4">
        <v>46090.490376122689</v>
      </c>
    </row>
    <row r="2740" spans="1:11" x14ac:dyDescent="0.55000000000000004">
      <c r="A2740" t="s">
        <v>5524</v>
      </c>
      <c r="B2740">
        <v>100741</v>
      </c>
      <c r="C2740" t="s">
        <v>68</v>
      </c>
      <c r="D2740" s="3">
        <v>46041</v>
      </c>
      <c r="E2740" t="s">
        <v>69</v>
      </c>
      <c r="F2740" t="s">
        <v>5525</v>
      </c>
      <c r="G2740" t="s">
        <v>15</v>
      </c>
      <c r="H2740" t="s">
        <v>5526</v>
      </c>
      <c r="I2740" t="s">
        <v>5527</v>
      </c>
      <c r="J2740" s="4">
        <v>46090.490376122689</v>
      </c>
    </row>
    <row r="2741" spans="1:11" x14ac:dyDescent="0.55000000000000004">
      <c r="A2741" t="s">
        <v>5528</v>
      </c>
      <c r="B2741">
        <v>100817</v>
      </c>
      <c r="D2741" s="3">
        <v>45951</v>
      </c>
      <c r="E2741" t="s">
        <v>20</v>
      </c>
      <c r="F2741" t="s">
        <v>5529</v>
      </c>
      <c r="G2741" t="s">
        <v>15</v>
      </c>
      <c r="H2741" t="s">
        <v>5530</v>
      </c>
      <c r="I2741" t="s">
        <v>5531</v>
      </c>
      <c r="J2741" s="4">
        <v>46093.440376122686</v>
      </c>
      <c r="K2741" t="s">
        <v>217</v>
      </c>
    </row>
    <row r="2742" spans="1:11" x14ac:dyDescent="0.55000000000000004">
      <c r="A2742" t="s">
        <v>5532</v>
      </c>
      <c r="B2742">
        <v>101195</v>
      </c>
      <c r="C2742" t="s">
        <v>68</v>
      </c>
      <c r="D2742" s="3">
        <v>45922</v>
      </c>
      <c r="E2742" t="s">
        <v>20</v>
      </c>
      <c r="F2742" t="s">
        <v>5533</v>
      </c>
      <c r="G2742" t="s">
        <v>15</v>
      </c>
      <c r="H2742" t="s">
        <v>5534</v>
      </c>
      <c r="I2742" t="s">
        <v>5535</v>
      </c>
      <c r="J2742" s="4">
        <v>46097.29315391204</v>
      </c>
    </row>
    <row r="2743" spans="1:11" x14ac:dyDescent="0.55000000000000004">
      <c r="A2743" t="s">
        <v>5536</v>
      </c>
      <c r="B2743">
        <v>100877</v>
      </c>
      <c r="C2743" t="s">
        <v>37</v>
      </c>
      <c r="D2743" s="3">
        <v>46099</v>
      </c>
      <c r="E2743" t="s">
        <v>115</v>
      </c>
      <c r="F2743" t="s">
        <v>5537</v>
      </c>
      <c r="G2743" t="s">
        <v>22</v>
      </c>
      <c r="H2743" t="s">
        <v>5538</v>
      </c>
      <c r="I2743" t="s">
        <v>5539</v>
      </c>
      <c r="J2743" s="4">
        <v>46082.947320578707</v>
      </c>
    </row>
    <row r="2744" spans="1:11" x14ac:dyDescent="0.55000000000000004">
      <c r="A2744" t="s">
        <v>5536</v>
      </c>
      <c r="B2744">
        <v>100877</v>
      </c>
      <c r="C2744" t="s">
        <v>37</v>
      </c>
      <c r="D2744" s="3">
        <v>46099</v>
      </c>
      <c r="E2744" t="s">
        <v>69</v>
      </c>
      <c r="F2744" t="s">
        <v>5537</v>
      </c>
      <c r="G2744" t="s">
        <v>22</v>
      </c>
      <c r="H2744" t="s">
        <v>5538</v>
      </c>
      <c r="I2744" t="s">
        <v>5539</v>
      </c>
      <c r="J2744" s="4">
        <v>46082.947320578707</v>
      </c>
    </row>
    <row r="2745" spans="1:11" x14ac:dyDescent="0.55000000000000004">
      <c r="A2745" t="s">
        <v>5540</v>
      </c>
      <c r="B2745">
        <v>101197</v>
      </c>
      <c r="C2745" t="s">
        <v>37</v>
      </c>
      <c r="D2745" s="3">
        <v>45929</v>
      </c>
      <c r="E2745" t="s">
        <v>38</v>
      </c>
      <c r="F2745" t="s">
        <v>5541</v>
      </c>
      <c r="G2745" t="s">
        <v>15</v>
      </c>
      <c r="H2745" t="s">
        <v>5542</v>
      </c>
      <c r="I2745" t="s">
        <v>5543</v>
      </c>
      <c r="J2745" s="4">
        <v>46090.948709467593</v>
      </c>
    </row>
    <row r="2746" spans="1:11" x14ac:dyDescent="0.55000000000000004">
      <c r="A2746" t="s">
        <v>5540</v>
      </c>
      <c r="B2746">
        <v>101197</v>
      </c>
      <c r="C2746" t="s">
        <v>37</v>
      </c>
      <c r="D2746" s="3">
        <v>45929</v>
      </c>
      <c r="E2746" t="s">
        <v>115</v>
      </c>
      <c r="F2746" t="s">
        <v>5541</v>
      </c>
      <c r="G2746" t="s">
        <v>15</v>
      </c>
      <c r="H2746" t="s">
        <v>5542</v>
      </c>
      <c r="I2746" t="s">
        <v>5543</v>
      </c>
      <c r="J2746" s="4">
        <v>46090.948709467593</v>
      </c>
    </row>
    <row r="2747" spans="1:11" x14ac:dyDescent="0.55000000000000004">
      <c r="A2747" t="s">
        <v>5544</v>
      </c>
      <c r="B2747">
        <v>100538</v>
      </c>
      <c r="C2747" t="s">
        <v>248</v>
      </c>
      <c r="D2747" s="3">
        <v>46098</v>
      </c>
      <c r="E2747" t="s">
        <v>317</v>
      </c>
      <c r="F2747" t="s">
        <v>5545</v>
      </c>
      <c r="G2747" t="s">
        <v>22</v>
      </c>
      <c r="H2747" t="s">
        <v>5546</v>
      </c>
      <c r="I2747" t="s">
        <v>5547</v>
      </c>
      <c r="J2747" s="4">
        <v>46077.291070590276</v>
      </c>
    </row>
    <row r="2748" spans="1:11" x14ac:dyDescent="0.55000000000000004">
      <c r="A2748" t="s">
        <v>5544</v>
      </c>
      <c r="B2748">
        <v>100538</v>
      </c>
      <c r="C2748" t="s">
        <v>248</v>
      </c>
      <c r="D2748" s="3">
        <v>46098</v>
      </c>
      <c r="E2748" t="s">
        <v>155</v>
      </c>
      <c r="F2748" t="s">
        <v>5545</v>
      </c>
      <c r="G2748" t="s">
        <v>22</v>
      </c>
      <c r="H2748" t="s">
        <v>5546</v>
      </c>
      <c r="I2748" t="s">
        <v>5547</v>
      </c>
      <c r="J2748" s="4">
        <v>46077.291070590276</v>
      </c>
    </row>
    <row r="2749" spans="1:11" x14ac:dyDescent="0.55000000000000004">
      <c r="A2749" t="s">
        <v>5544</v>
      </c>
      <c r="B2749">
        <v>100538</v>
      </c>
      <c r="C2749" t="s">
        <v>248</v>
      </c>
      <c r="D2749" s="3">
        <v>46098</v>
      </c>
      <c r="E2749" t="s">
        <v>69</v>
      </c>
      <c r="F2749" t="s">
        <v>5545</v>
      </c>
      <c r="G2749" t="s">
        <v>22</v>
      </c>
      <c r="H2749" t="s">
        <v>5546</v>
      </c>
      <c r="I2749" t="s">
        <v>5547</v>
      </c>
      <c r="J2749" s="4">
        <v>46077.291070590276</v>
      </c>
    </row>
    <row r="2750" spans="1:11" x14ac:dyDescent="0.55000000000000004">
      <c r="A2750" t="s">
        <v>5548</v>
      </c>
      <c r="B2750">
        <v>101103</v>
      </c>
      <c r="C2750" t="s">
        <v>248</v>
      </c>
      <c r="D2750" s="3">
        <v>45832</v>
      </c>
      <c r="E2750" t="s">
        <v>69</v>
      </c>
      <c r="F2750" t="s">
        <v>5549</v>
      </c>
      <c r="G2750" t="s">
        <v>22</v>
      </c>
      <c r="H2750" t="s">
        <v>5550</v>
      </c>
      <c r="I2750" t="s">
        <v>5551</v>
      </c>
      <c r="J2750" s="4">
        <v>46095.355653923609</v>
      </c>
    </row>
    <row r="2751" spans="1:11" x14ac:dyDescent="0.55000000000000004">
      <c r="A2751" t="s">
        <v>5552</v>
      </c>
      <c r="B2751">
        <v>101478</v>
      </c>
      <c r="C2751" t="s">
        <v>179</v>
      </c>
      <c r="D2751" s="3">
        <v>45793</v>
      </c>
      <c r="E2751" t="s">
        <v>69</v>
      </c>
      <c r="F2751" t="s">
        <v>5553</v>
      </c>
      <c r="G2751" t="s">
        <v>15</v>
      </c>
      <c r="H2751" t="s">
        <v>5554</v>
      </c>
      <c r="I2751" t="s">
        <v>5555</v>
      </c>
      <c r="J2751" s="4">
        <v>46059.281348368058</v>
      </c>
    </row>
    <row r="2752" spans="1:11" x14ac:dyDescent="0.55000000000000004">
      <c r="A2752" t="s">
        <v>5556</v>
      </c>
      <c r="B2752">
        <v>100505</v>
      </c>
      <c r="C2752" t="s">
        <v>19</v>
      </c>
      <c r="D2752" s="3">
        <v>45928</v>
      </c>
      <c r="E2752" t="s">
        <v>38</v>
      </c>
      <c r="F2752" t="s">
        <v>5557</v>
      </c>
      <c r="G2752" t="s">
        <v>15</v>
      </c>
      <c r="H2752" t="s">
        <v>5558</v>
      </c>
      <c r="I2752" t="s">
        <v>5559</v>
      </c>
      <c r="J2752" s="4">
        <v>46079.72093171296</v>
      </c>
    </row>
    <row r="2753" spans="1:10" x14ac:dyDescent="0.55000000000000004">
      <c r="A2753" t="s">
        <v>5560</v>
      </c>
      <c r="B2753">
        <v>101493</v>
      </c>
      <c r="C2753" t="s">
        <v>19</v>
      </c>
      <c r="D2753" s="3">
        <v>45734</v>
      </c>
      <c r="E2753" t="s">
        <v>20</v>
      </c>
      <c r="F2753" t="s">
        <v>5561</v>
      </c>
      <c r="G2753" t="s">
        <v>22</v>
      </c>
      <c r="H2753" t="s">
        <v>5562</v>
      </c>
      <c r="I2753" t="s">
        <v>5563</v>
      </c>
      <c r="J2753" s="4">
        <v>46094.98759837963</v>
      </c>
    </row>
    <row r="2754" spans="1:10" x14ac:dyDescent="0.55000000000000004">
      <c r="A2754" t="s">
        <v>5560</v>
      </c>
      <c r="B2754">
        <v>101493</v>
      </c>
      <c r="C2754" t="s">
        <v>19</v>
      </c>
      <c r="D2754" s="3">
        <v>45734</v>
      </c>
      <c r="E2754" t="s">
        <v>115</v>
      </c>
      <c r="F2754" t="s">
        <v>5561</v>
      </c>
      <c r="G2754" t="s">
        <v>22</v>
      </c>
      <c r="H2754" t="s">
        <v>5562</v>
      </c>
      <c r="I2754" t="s">
        <v>5563</v>
      </c>
      <c r="J2754" s="4">
        <v>46094.98759837963</v>
      </c>
    </row>
    <row r="2755" spans="1:10" x14ac:dyDescent="0.55000000000000004">
      <c r="A2755" t="s">
        <v>5564</v>
      </c>
      <c r="B2755">
        <v>100542</v>
      </c>
      <c r="C2755" t="s">
        <v>19</v>
      </c>
      <c r="D2755" s="3">
        <v>45752</v>
      </c>
      <c r="E2755" t="s">
        <v>317</v>
      </c>
      <c r="F2755" t="s">
        <v>5565</v>
      </c>
      <c r="G2755" t="s">
        <v>15</v>
      </c>
      <c r="H2755" t="s">
        <v>5566</v>
      </c>
      <c r="I2755" t="s">
        <v>5567</v>
      </c>
      <c r="J2755" s="4">
        <v>46067.611209502313</v>
      </c>
    </row>
    <row r="2756" spans="1:10" x14ac:dyDescent="0.55000000000000004">
      <c r="A2756" t="s">
        <v>5564</v>
      </c>
      <c r="B2756">
        <v>100542</v>
      </c>
      <c r="C2756" t="s">
        <v>19</v>
      </c>
      <c r="D2756" s="3">
        <v>45752</v>
      </c>
      <c r="E2756" t="s">
        <v>155</v>
      </c>
      <c r="F2756" t="s">
        <v>5565</v>
      </c>
      <c r="G2756" t="s">
        <v>15</v>
      </c>
      <c r="H2756" t="s">
        <v>5566</v>
      </c>
      <c r="I2756" t="s">
        <v>5567</v>
      </c>
      <c r="J2756" s="4">
        <v>46067.611209502313</v>
      </c>
    </row>
    <row r="2757" spans="1:10" x14ac:dyDescent="0.55000000000000004">
      <c r="A2757" t="s">
        <v>5568</v>
      </c>
      <c r="B2757">
        <v>100292</v>
      </c>
      <c r="C2757" t="s">
        <v>179</v>
      </c>
      <c r="D2757" s="3">
        <v>46102</v>
      </c>
      <c r="E2757" t="s">
        <v>317</v>
      </c>
      <c r="F2757" t="s">
        <v>5569</v>
      </c>
      <c r="G2757" t="s">
        <v>22</v>
      </c>
      <c r="H2757" t="s">
        <v>5570</v>
      </c>
      <c r="I2757" t="s">
        <v>5571</v>
      </c>
      <c r="J2757" s="4">
        <v>46072.632737280095</v>
      </c>
    </row>
    <row r="2758" spans="1:10" x14ac:dyDescent="0.55000000000000004">
      <c r="A2758" t="s">
        <v>5568</v>
      </c>
      <c r="B2758">
        <v>100292</v>
      </c>
      <c r="C2758" t="s">
        <v>179</v>
      </c>
      <c r="D2758" s="3">
        <v>46102</v>
      </c>
      <c r="E2758" t="s">
        <v>20</v>
      </c>
      <c r="F2758" t="s">
        <v>5569</v>
      </c>
      <c r="G2758" t="s">
        <v>22</v>
      </c>
      <c r="H2758" t="s">
        <v>5570</v>
      </c>
      <c r="I2758" t="s">
        <v>5571</v>
      </c>
      <c r="J2758" s="4">
        <v>46072.632737280095</v>
      </c>
    </row>
    <row r="2759" spans="1:10" x14ac:dyDescent="0.55000000000000004">
      <c r="A2759" t="s">
        <v>5572</v>
      </c>
      <c r="B2759">
        <v>100939</v>
      </c>
      <c r="C2759" t="s">
        <v>19</v>
      </c>
      <c r="D2759" s="3">
        <v>46128</v>
      </c>
      <c r="E2759" t="s">
        <v>38</v>
      </c>
      <c r="F2759" t="s">
        <v>5573</v>
      </c>
      <c r="G2759" t="s">
        <v>15</v>
      </c>
      <c r="H2759" t="s">
        <v>5574</v>
      </c>
      <c r="I2759" t="s">
        <v>5575</v>
      </c>
      <c r="J2759" s="4">
        <v>46072.321626168981</v>
      </c>
    </row>
    <row r="2760" spans="1:10" x14ac:dyDescent="0.55000000000000004">
      <c r="A2760" t="s">
        <v>5572</v>
      </c>
      <c r="B2760">
        <v>100939</v>
      </c>
      <c r="C2760" t="s">
        <v>19</v>
      </c>
      <c r="D2760" s="3">
        <v>46128</v>
      </c>
      <c r="E2760" t="s">
        <v>69</v>
      </c>
      <c r="F2760" t="s">
        <v>5573</v>
      </c>
      <c r="G2760" t="s">
        <v>15</v>
      </c>
      <c r="H2760" t="s">
        <v>5574</v>
      </c>
      <c r="I2760" t="s">
        <v>5575</v>
      </c>
      <c r="J2760" s="4">
        <v>46072.321626168981</v>
      </c>
    </row>
    <row r="2761" spans="1:10" x14ac:dyDescent="0.55000000000000004">
      <c r="A2761" t="s">
        <v>5576</v>
      </c>
      <c r="B2761">
        <v>101316</v>
      </c>
      <c r="C2761" t="s">
        <v>179</v>
      </c>
      <c r="D2761" s="3">
        <v>45984</v>
      </c>
      <c r="E2761" t="s">
        <v>317</v>
      </c>
      <c r="F2761" t="s">
        <v>5577</v>
      </c>
      <c r="G2761" t="s">
        <v>15</v>
      </c>
      <c r="H2761" t="s">
        <v>5578</v>
      </c>
      <c r="I2761" t="s">
        <v>5579</v>
      </c>
      <c r="J2761" s="4">
        <v>46083.678570625001</v>
      </c>
    </row>
    <row r="2762" spans="1:10" x14ac:dyDescent="0.55000000000000004">
      <c r="A2762" t="s">
        <v>5576</v>
      </c>
      <c r="B2762">
        <v>101316</v>
      </c>
      <c r="C2762" t="s">
        <v>179</v>
      </c>
      <c r="D2762" s="3">
        <v>45984</v>
      </c>
      <c r="E2762" t="s">
        <v>20</v>
      </c>
      <c r="F2762" t="s">
        <v>5577</v>
      </c>
      <c r="G2762" t="s">
        <v>15</v>
      </c>
      <c r="H2762" t="s">
        <v>5578</v>
      </c>
      <c r="I2762" t="s">
        <v>5579</v>
      </c>
      <c r="J2762" s="4">
        <v>46083.678570625001</v>
      </c>
    </row>
    <row r="2763" spans="1:10" x14ac:dyDescent="0.55000000000000004">
      <c r="A2763" t="s">
        <v>5576</v>
      </c>
      <c r="B2763">
        <v>101316</v>
      </c>
      <c r="C2763" t="s">
        <v>179</v>
      </c>
      <c r="D2763" s="3">
        <v>45984</v>
      </c>
      <c r="E2763" t="s">
        <v>155</v>
      </c>
      <c r="F2763" t="s">
        <v>5577</v>
      </c>
      <c r="G2763" t="s">
        <v>15</v>
      </c>
      <c r="H2763" t="s">
        <v>5578</v>
      </c>
      <c r="I2763" t="s">
        <v>5579</v>
      </c>
      <c r="J2763" s="4">
        <v>46083.678570625001</v>
      </c>
    </row>
    <row r="2764" spans="1:10" x14ac:dyDescent="0.55000000000000004">
      <c r="A2764" t="s">
        <v>5580</v>
      </c>
      <c r="B2764">
        <v>100810</v>
      </c>
      <c r="C2764" t="s">
        <v>37</v>
      </c>
      <c r="D2764" s="3">
        <v>45803</v>
      </c>
      <c r="E2764" t="s">
        <v>20</v>
      </c>
      <c r="F2764" t="s">
        <v>5581</v>
      </c>
      <c r="G2764" t="s">
        <v>22</v>
      </c>
      <c r="H2764" t="s">
        <v>5582</v>
      </c>
      <c r="I2764" t="s">
        <v>5583</v>
      </c>
      <c r="J2764" s="4">
        <v>46083.504265069445</v>
      </c>
    </row>
    <row r="2765" spans="1:10" x14ac:dyDescent="0.55000000000000004">
      <c r="A2765" t="s">
        <v>5584</v>
      </c>
      <c r="B2765">
        <v>101022</v>
      </c>
      <c r="C2765" t="s">
        <v>37</v>
      </c>
      <c r="D2765" s="3">
        <v>45829</v>
      </c>
      <c r="E2765" t="s">
        <v>38</v>
      </c>
      <c r="F2765" t="s">
        <v>5585</v>
      </c>
      <c r="G2765" t="s">
        <v>15</v>
      </c>
      <c r="H2765" t="s">
        <v>5586</v>
      </c>
      <c r="I2765" t="s">
        <v>5587</v>
      </c>
      <c r="J2765" s="4">
        <v>46081.684820625</v>
      </c>
    </row>
    <row r="2766" spans="1:10" x14ac:dyDescent="0.55000000000000004">
      <c r="A2766" t="s">
        <v>5584</v>
      </c>
      <c r="B2766">
        <v>101022</v>
      </c>
      <c r="C2766" t="s">
        <v>37</v>
      </c>
      <c r="D2766" s="3">
        <v>45829</v>
      </c>
      <c r="E2766" t="s">
        <v>20</v>
      </c>
      <c r="F2766" t="s">
        <v>5585</v>
      </c>
      <c r="G2766" t="s">
        <v>15</v>
      </c>
      <c r="H2766" t="s">
        <v>5586</v>
      </c>
      <c r="I2766" t="s">
        <v>5587</v>
      </c>
      <c r="J2766" s="4">
        <v>46081.684820625</v>
      </c>
    </row>
    <row r="2767" spans="1:10" x14ac:dyDescent="0.55000000000000004">
      <c r="A2767" t="s">
        <v>5584</v>
      </c>
      <c r="B2767">
        <v>101022</v>
      </c>
      <c r="C2767" t="s">
        <v>37</v>
      </c>
      <c r="D2767" s="3">
        <v>45829</v>
      </c>
      <c r="E2767" t="s">
        <v>155</v>
      </c>
      <c r="F2767" t="s">
        <v>5585</v>
      </c>
      <c r="G2767" t="s">
        <v>15</v>
      </c>
      <c r="H2767" t="s">
        <v>5586</v>
      </c>
      <c r="I2767" t="s">
        <v>5587</v>
      </c>
      <c r="J2767" s="4">
        <v>46081.684820625</v>
      </c>
    </row>
    <row r="2768" spans="1:10" x14ac:dyDescent="0.55000000000000004">
      <c r="A2768" t="s">
        <v>5588</v>
      </c>
      <c r="B2768">
        <v>101342</v>
      </c>
      <c r="C2768" t="s">
        <v>533</v>
      </c>
      <c r="D2768" s="3">
        <v>45756</v>
      </c>
      <c r="E2768" t="s">
        <v>20</v>
      </c>
      <c r="F2768" t="s">
        <v>5589</v>
      </c>
      <c r="G2768" t="s">
        <v>22</v>
      </c>
      <c r="H2768" t="s">
        <v>5590</v>
      </c>
      <c r="I2768" t="s">
        <v>5591</v>
      </c>
      <c r="J2768" s="4">
        <v>46052.875098414355</v>
      </c>
    </row>
    <row r="2769" spans="1:11" x14ac:dyDescent="0.55000000000000004">
      <c r="A2769" t="s">
        <v>5588</v>
      </c>
      <c r="B2769">
        <v>101342</v>
      </c>
      <c r="C2769" t="s">
        <v>533</v>
      </c>
      <c r="D2769" s="3">
        <v>45756</v>
      </c>
      <c r="E2769" t="s">
        <v>155</v>
      </c>
      <c r="F2769" t="s">
        <v>5589</v>
      </c>
      <c r="G2769" t="s">
        <v>22</v>
      </c>
      <c r="H2769" t="s">
        <v>5590</v>
      </c>
      <c r="I2769" t="s">
        <v>5591</v>
      </c>
      <c r="J2769" s="4">
        <v>46052.875098414355</v>
      </c>
    </row>
    <row r="2770" spans="1:11" x14ac:dyDescent="0.55000000000000004">
      <c r="A2770" t="s">
        <v>6041</v>
      </c>
      <c r="B2770">
        <v>100435</v>
      </c>
      <c r="C2770" t="s">
        <v>179</v>
      </c>
      <c r="D2770" s="3">
        <v>45870</v>
      </c>
      <c r="E2770" t="s">
        <v>317</v>
      </c>
      <c r="F2770" t="s">
        <v>5593</v>
      </c>
      <c r="G2770" t="s">
        <v>15</v>
      </c>
      <c r="H2770" t="s">
        <v>5594</v>
      </c>
      <c r="I2770" t="s">
        <v>5595</v>
      </c>
      <c r="J2770" s="4">
        <v>46089.292459525466</v>
      </c>
      <c r="K2770" t="s">
        <v>119</v>
      </c>
    </row>
    <row r="2771" spans="1:11" x14ac:dyDescent="0.55000000000000004">
      <c r="A2771" t="s">
        <v>6041</v>
      </c>
      <c r="B2771">
        <v>100435</v>
      </c>
      <c r="C2771" t="s">
        <v>179</v>
      </c>
      <c r="D2771" s="3">
        <v>45870</v>
      </c>
      <c r="E2771" t="s">
        <v>115</v>
      </c>
      <c r="F2771" t="s">
        <v>5593</v>
      </c>
      <c r="G2771" t="s">
        <v>15</v>
      </c>
      <c r="H2771" t="s">
        <v>5594</v>
      </c>
      <c r="I2771" t="s">
        <v>5595</v>
      </c>
      <c r="J2771" s="4">
        <v>46089.292459525466</v>
      </c>
      <c r="K2771" t="s">
        <v>119</v>
      </c>
    </row>
    <row r="2772" spans="1:11" x14ac:dyDescent="0.55000000000000004">
      <c r="A2772" t="s">
        <v>6041</v>
      </c>
      <c r="B2772">
        <v>100435</v>
      </c>
      <c r="C2772" t="s">
        <v>179</v>
      </c>
      <c r="D2772" s="3">
        <v>45870</v>
      </c>
      <c r="E2772" t="s">
        <v>69</v>
      </c>
      <c r="F2772" t="s">
        <v>5593</v>
      </c>
      <c r="G2772" t="s">
        <v>15</v>
      </c>
      <c r="H2772" t="s">
        <v>5594</v>
      </c>
      <c r="I2772" t="s">
        <v>5595</v>
      </c>
      <c r="J2772" s="4">
        <v>46089.292459525466</v>
      </c>
      <c r="K2772" t="s">
        <v>119</v>
      </c>
    </row>
    <row r="2773" spans="1:11" x14ac:dyDescent="0.55000000000000004">
      <c r="A2773" t="s">
        <v>5596</v>
      </c>
      <c r="B2773">
        <v>100644</v>
      </c>
      <c r="C2773" t="s">
        <v>533</v>
      </c>
      <c r="D2773" s="3">
        <v>46117</v>
      </c>
      <c r="E2773" t="s">
        <v>317</v>
      </c>
      <c r="F2773" t="s">
        <v>5597</v>
      </c>
      <c r="G2773" t="s">
        <v>15</v>
      </c>
      <c r="H2773" t="s">
        <v>5598</v>
      </c>
      <c r="I2773" t="s">
        <v>5599</v>
      </c>
      <c r="J2773" s="4">
        <v>46061.066765081021</v>
      </c>
    </row>
    <row r="2774" spans="1:11" x14ac:dyDescent="0.55000000000000004">
      <c r="A2774" t="s">
        <v>5596</v>
      </c>
      <c r="B2774">
        <v>100644</v>
      </c>
      <c r="C2774" t="s">
        <v>533</v>
      </c>
      <c r="D2774" s="3">
        <v>46117</v>
      </c>
      <c r="E2774" t="s">
        <v>155</v>
      </c>
      <c r="F2774" t="s">
        <v>5597</v>
      </c>
      <c r="G2774" t="s">
        <v>15</v>
      </c>
      <c r="H2774" t="s">
        <v>5598</v>
      </c>
      <c r="I2774" t="s">
        <v>5599</v>
      </c>
      <c r="J2774" s="4">
        <v>46061.066765081021</v>
      </c>
    </row>
    <row r="2775" spans="1:11" x14ac:dyDescent="0.55000000000000004">
      <c r="A2775" t="s">
        <v>5596</v>
      </c>
      <c r="B2775">
        <v>100644</v>
      </c>
      <c r="C2775" t="s">
        <v>533</v>
      </c>
      <c r="D2775" s="3">
        <v>46117</v>
      </c>
      <c r="E2775" t="s">
        <v>69</v>
      </c>
      <c r="F2775" t="s">
        <v>5597</v>
      </c>
      <c r="G2775" t="s">
        <v>15</v>
      </c>
      <c r="H2775" t="s">
        <v>5598</v>
      </c>
      <c r="I2775" t="s">
        <v>5599</v>
      </c>
      <c r="J2775" s="4">
        <v>46061.066765081021</v>
      </c>
    </row>
    <row r="2776" spans="1:11" x14ac:dyDescent="0.55000000000000004">
      <c r="A2776" t="s">
        <v>5600</v>
      </c>
      <c r="B2776">
        <v>101161</v>
      </c>
      <c r="C2776" t="s">
        <v>19</v>
      </c>
      <c r="D2776" s="3">
        <v>45875</v>
      </c>
      <c r="E2776" t="s">
        <v>317</v>
      </c>
      <c r="F2776" t="s">
        <v>5601</v>
      </c>
      <c r="G2776" t="s">
        <v>15</v>
      </c>
      <c r="H2776" t="s">
        <v>5602</v>
      </c>
      <c r="I2776" t="s">
        <v>5603</v>
      </c>
      <c r="J2776" s="4">
        <v>46092.370931759258</v>
      </c>
    </row>
    <row r="2777" spans="1:11" x14ac:dyDescent="0.55000000000000004">
      <c r="A2777" t="s">
        <v>5600</v>
      </c>
      <c r="B2777">
        <v>101161</v>
      </c>
      <c r="C2777" t="s">
        <v>19</v>
      </c>
      <c r="D2777" s="3">
        <v>45875</v>
      </c>
      <c r="E2777" t="s">
        <v>69</v>
      </c>
      <c r="F2777" t="s">
        <v>5601</v>
      </c>
      <c r="G2777" t="s">
        <v>15</v>
      </c>
      <c r="H2777" t="s">
        <v>5602</v>
      </c>
      <c r="I2777" t="s">
        <v>5603</v>
      </c>
      <c r="J2777" s="4">
        <v>46092.370931759258</v>
      </c>
    </row>
    <row r="2778" spans="1:11" x14ac:dyDescent="0.55000000000000004">
      <c r="A2778" t="s">
        <v>5604</v>
      </c>
      <c r="B2778">
        <v>100432</v>
      </c>
      <c r="C2778" t="s">
        <v>68</v>
      </c>
      <c r="D2778" s="3">
        <v>46096</v>
      </c>
      <c r="E2778" t="s">
        <v>20</v>
      </c>
      <c r="F2778" t="s">
        <v>5605</v>
      </c>
      <c r="G2778" t="s">
        <v>15</v>
      </c>
      <c r="H2778" t="s">
        <v>5606</v>
      </c>
      <c r="I2778" t="s">
        <v>5607</v>
      </c>
      <c r="J2778" s="4">
        <v>46054.825792870368</v>
      </c>
    </row>
    <row r="2779" spans="1:11" x14ac:dyDescent="0.55000000000000004">
      <c r="A2779" t="s">
        <v>5608</v>
      </c>
      <c r="B2779">
        <v>100135</v>
      </c>
      <c r="C2779" t="s">
        <v>248</v>
      </c>
      <c r="D2779" s="3">
        <v>46087</v>
      </c>
      <c r="E2779" t="s">
        <v>155</v>
      </c>
      <c r="F2779" t="s">
        <v>5609</v>
      </c>
      <c r="G2779" t="s">
        <v>22</v>
      </c>
      <c r="H2779" t="s">
        <v>5610</v>
      </c>
      <c r="I2779" t="s">
        <v>5611</v>
      </c>
      <c r="J2779" s="4">
        <v>46094.443848425923</v>
      </c>
    </row>
    <row r="2780" spans="1:11" x14ac:dyDescent="0.55000000000000004">
      <c r="A2780" t="s">
        <v>5612</v>
      </c>
      <c r="B2780">
        <v>100548</v>
      </c>
      <c r="C2780" t="s">
        <v>37</v>
      </c>
      <c r="D2780" s="3">
        <v>46075</v>
      </c>
      <c r="E2780" t="s">
        <v>69</v>
      </c>
      <c r="F2780" t="s">
        <v>5613</v>
      </c>
      <c r="G2780" t="s">
        <v>22</v>
      </c>
      <c r="H2780" t="s">
        <v>5614</v>
      </c>
      <c r="I2780" t="s">
        <v>5615</v>
      </c>
      <c r="J2780" s="4">
        <v>46085.052876215275</v>
      </c>
    </row>
    <row r="2781" spans="1:11" x14ac:dyDescent="0.55000000000000004">
      <c r="A2781" t="s">
        <v>1583</v>
      </c>
      <c r="B2781">
        <v>100821</v>
      </c>
      <c r="C2781" t="s">
        <v>533</v>
      </c>
      <c r="D2781" s="3">
        <v>45906</v>
      </c>
      <c r="E2781" t="s">
        <v>38</v>
      </c>
      <c r="F2781" t="s">
        <v>5616</v>
      </c>
      <c r="G2781" t="s">
        <v>22</v>
      </c>
      <c r="H2781" t="s">
        <v>5617</v>
      </c>
      <c r="I2781" t="s">
        <v>5618</v>
      </c>
      <c r="J2781" s="4">
        <v>46078.100792881945</v>
      </c>
    </row>
    <row r="2782" spans="1:11" x14ac:dyDescent="0.55000000000000004">
      <c r="A2782" t="s">
        <v>5619</v>
      </c>
      <c r="B2782">
        <v>100646</v>
      </c>
      <c r="C2782" t="s">
        <v>533</v>
      </c>
      <c r="D2782" s="3">
        <v>45990</v>
      </c>
      <c r="E2782" t="s">
        <v>115</v>
      </c>
      <c r="F2782" t="s">
        <v>5620</v>
      </c>
      <c r="G2782" t="s">
        <v>15</v>
      </c>
      <c r="H2782" t="s">
        <v>5621</v>
      </c>
      <c r="I2782" t="s">
        <v>5622</v>
      </c>
      <c r="J2782" s="4">
        <v>46074.19801511574</v>
      </c>
    </row>
    <row r="2783" spans="1:11" x14ac:dyDescent="0.55000000000000004">
      <c r="A2783" t="s">
        <v>5623</v>
      </c>
      <c r="B2783">
        <v>101486</v>
      </c>
      <c r="C2783" t="s">
        <v>179</v>
      </c>
      <c r="D2783" s="3">
        <v>46049</v>
      </c>
      <c r="E2783" t="s">
        <v>317</v>
      </c>
      <c r="F2783" t="s">
        <v>5624</v>
      </c>
      <c r="G2783" t="s">
        <v>15</v>
      </c>
      <c r="H2783" t="s">
        <v>5625</v>
      </c>
      <c r="I2783" t="s">
        <v>5626</v>
      </c>
      <c r="J2783" s="4">
        <v>46080.144542893519</v>
      </c>
    </row>
    <row r="2784" spans="1:11" x14ac:dyDescent="0.55000000000000004">
      <c r="A2784" t="s">
        <v>5623</v>
      </c>
      <c r="B2784">
        <v>101486</v>
      </c>
      <c r="C2784" t="s">
        <v>179</v>
      </c>
      <c r="D2784" s="3">
        <v>46049</v>
      </c>
      <c r="E2784" t="s">
        <v>115</v>
      </c>
      <c r="F2784" t="s">
        <v>5624</v>
      </c>
      <c r="G2784" t="s">
        <v>15</v>
      </c>
      <c r="H2784" t="s">
        <v>5625</v>
      </c>
      <c r="I2784" t="s">
        <v>5626</v>
      </c>
      <c r="J2784" s="4">
        <v>46080.144542893519</v>
      </c>
    </row>
    <row r="2785" spans="1:11" x14ac:dyDescent="0.55000000000000004">
      <c r="A2785" t="s">
        <v>5623</v>
      </c>
      <c r="B2785">
        <v>101486</v>
      </c>
      <c r="C2785" t="s">
        <v>179</v>
      </c>
      <c r="D2785" s="3">
        <v>46049</v>
      </c>
      <c r="E2785" t="s">
        <v>69</v>
      </c>
      <c r="F2785" t="s">
        <v>5624</v>
      </c>
      <c r="G2785" t="s">
        <v>15</v>
      </c>
      <c r="H2785" t="s">
        <v>5625</v>
      </c>
      <c r="I2785" t="s">
        <v>5626</v>
      </c>
      <c r="J2785" s="4">
        <v>46080.144542893519</v>
      </c>
    </row>
    <row r="2786" spans="1:11" x14ac:dyDescent="0.55000000000000004">
      <c r="A2786" t="s">
        <v>5627</v>
      </c>
      <c r="B2786">
        <v>100469</v>
      </c>
      <c r="C2786" t="s">
        <v>533</v>
      </c>
      <c r="D2786" s="3">
        <v>46083</v>
      </c>
      <c r="E2786" t="s">
        <v>38</v>
      </c>
      <c r="F2786" t="s">
        <v>5628</v>
      </c>
      <c r="G2786" t="s">
        <v>15</v>
      </c>
      <c r="H2786" t="s">
        <v>5629</v>
      </c>
      <c r="I2786" t="s">
        <v>5630</v>
      </c>
      <c r="J2786" s="4">
        <v>46068.593848449076</v>
      </c>
    </row>
    <row r="2787" spans="1:11" x14ac:dyDescent="0.55000000000000004">
      <c r="A2787" t="s">
        <v>5627</v>
      </c>
      <c r="B2787">
        <v>100469</v>
      </c>
      <c r="C2787" t="s">
        <v>533</v>
      </c>
      <c r="D2787" s="3">
        <v>46083</v>
      </c>
      <c r="E2787" t="s">
        <v>155</v>
      </c>
      <c r="F2787" t="s">
        <v>5628</v>
      </c>
      <c r="G2787" t="s">
        <v>15</v>
      </c>
      <c r="H2787" t="s">
        <v>5629</v>
      </c>
      <c r="I2787" t="s">
        <v>5630</v>
      </c>
      <c r="J2787" s="4">
        <v>46068.593848449076</v>
      </c>
    </row>
    <row r="2788" spans="1:11" x14ac:dyDescent="0.55000000000000004">
      <c r="A2788" t="s">
        <v>5631</v>
      </c>
      <c r="B2788">
        <v>100114</v>
      </c>
      <c r="C2788" t="s">
        <v>533</v>
      </c>
      <c r="D2788" s="3">
        <v>45855</v>
      </c>
      <c r="E2788" t="s">
        <v>69</v>
      </c>
      <c r="F2788" t="s">
        <v>5632</v>
      </c>
      <c r="G2788" t="s">
        <v>15</v>
      </c>
      <c r="H2788" t="s">
        <v>5633</v>
      </c>
      <c r="I2788" t="s">
        <v>5634</v>
      </c>
      <c r="J2788" s="4">
        <v>46080.705654016201</v>
      </c>
    </row>
    <row r="2789" spans="1:11" x14ac:dyDescent="0.55000000000000004">
      <c r="A2789" t="s">
        <v>5635</v>
      </c>
      <c r="B2789">
        <v>100664</v>
      </c>
      <c r="C2789" t="s">
        <v>19</v>
      </c>
      <c r="D2789" s="3">
        <v>46070</v>
      </c>
      <c r="E2789" t="s">
        <v>38</v>
      </c>
      <c r="F2789" t="s">
        <v>5636</v>
      </c>
      <c r="G2789" t="s">
        <v>15</v>
      </c>
      <c r="H2789" t="s">
        <v>5637</v>
      </c>
      <c r="I2789" t="s">
        <v>5638</v>
      </c>
      <c r="J2789" s="4">
        <v>46062.626487349538</v>
      </c>
    </row>
    <row r="2790" spans="1:11" x14ac:dyDescent="0.55000000000000004">
      <c r="A2790" t="s">
        <v>5635</v>
      </c>
      <c r="B2790">
        <v>100664</v>
      </c>
      <c r="C2790" t="s">
        <v>19</v>
      </c>
      <c r="D2790" s="3">
        <v>46070</v>
      </c>
      <c r="E2790" t="s">
        <v>20</v>
      </c>
      <c r="F2790" t="s">
        <v>5636</v>
      </c>
      <c r="G2790" t="s">
        <v>15</v>
      </c>
      <c r="H2790" t="s">
        <v>5637</v>
      </c>
      <c r="I2790" t="s">
        <v>5638</v>
      </c>
      <c r="J2790" s="4">
        <v>46062.626487349538</v>
      </c>
    </row>
    <row r="2791" spans="1:11" x14ac:dyDescent="0.55000000000000004">
      <c r="A2791" t="s">
        <v>5635</v>
      </c>
      <c r="B2791">
        <v>100664</v>
      </c>
      <c r="C2791" t="s">
        <v>19</v>
      </c>
      <c r="D2791" s="3">
        <v>46070</v>
      </c>
      <c r="E2791" t="s">
        <v>69</v>
      </c>
      <c r="F2791" t="s">
        <v>5636</v>
      </c>
      <c r="G2791" t="s">
        <v>15</v>
      </c>
      <c r="H2791" t="s">
        <v>5637</v>
      </c>
      <c r="I2791" t="s">
        <v>5638</v>
      </c>
      <c r="J2791" s="4">
        <v>46062.626487349538</v>
      </c>
    </row>
    <row r="2792" spans="1:11" x14ac:dyDescent="0.55000000000000004">
      <c r="A2792" t="s">
        <v>5639</v>
      </c>
      <c r="B2792">
        <v>101402</v>
      </c>
      <c r="C2792" t="s">
        <v>68</v>
      </c>
      <c r="D2792" s="3">
        <v>45952</v>
      </c>
      <c r="E2792" t="s">
        <v>115</v>
      </c>
      <c r="F2792" t="s">
        <v>5640</v>
      </c>
      <c r="G2792" t="s">
        <v>22</v>
      </c>
      <c r="H2792" t="s">
        <v>5641</v>
      </c>
      <c r="I2792" t="s">
        <v>5642</v>
      </c>
      <c r="J2792" s="4">
        <v>46065.133431793984</v>
      </c>
    </row>
    <row r="2793" spans="1:11" x14ac:dyDescent="0.55000000000000004">
      <c r="A2793" t="s">
        <v>5643</v>
      </c>
      <c r="B2793">
        <v>100449</v>
      </c>
      <c r="C2793" t="s">
        <v>19</v>
      </c>
      <c r="D2793" s="3">
        <v>45902</v>
      </c>
      <c r="E2793" t="s">
        <v>69</v>
      </c>
      <c r="F2793" t="s">
        <v>5644</v>
      </c>
      <c r="G2793" t="s">
        <v>22</v>
      </c>
      <c r="H2793" t="s">
        <v>5645</v>
      </c>
      <c r="I2793" t="s">
        <v>5646</v>
      </c>
      <c r="J2793" s="4">
        <v>46074.607042916665</v>
      </c>
    </row>
    <row r="2794" spans="1:11" x14ac:dyDescent="0.55000000000000004">
      <c r="A2794" t="s">
        <v>5647</v>
      </c>
      <c r="B2794">
        <v>101140</v>
      </c>
      <c r="C2794" t="s">
        <v>37</v>
      </c>
      <c r="D2794" s="3">
        <v>46064</v>
      </c>
      <c r="E2794" t="s">
        <v>317</v>
      </c>
      <c r="F2794" t="s">
        <v>5648</v>
      </c>
      <c r="G2794" t="s">
        <v>15</v>
      </c>
      <c r="H2794" t="s">
        <v>5649</v>
      </c>
      <c r="I2794" t="s">
        <v>5650</v>
      </c>
      <c r="J2794" s="4">
        <v>46079.477181805552</v>
      </c>
    </row>
    <row r="2795" spans="1:11" x14ac:dyDescent="0.55000000000000004">
      <c r="A2795" t="s">
        <v>5647</v>
      </c>
      <c r="B2795">
        <v>101140</v>
      </c>
      <c r="C2795" t="s">
        <v>37</v>
      </c>
      <c r="D2795" s="3">
        <v>46064</v>
      </c>
      <c r="E2795" t="s">
        <v>69</v>
      </c>
      <c r="F2795" t="s">
        <v>5648</v>
      </c>
      <c r="G2795" t="s">
        <v>15</v>
      </c>
      <c r="H2795" t="s">
        <v>5649</v>
      </c>
      <c r="I2795" t="s">
        <v>5650</v>
      </c>
      <c r="J2795" s="4">
        <v>46079.477181805552</v>
      </c>
    </row>
    <row r="2796" spans="1:11" x14ac:dyDescent="0.55000000000000004">
      <c r="A2796" t="s">
        <v>5651</v>
      </c>
      <c r="B2796">
        <v>101310</v>
      </c>
      <c r="C2796" t="s">
        <v>179</v>
      </c>
      <c r="D2796" s="3">
        <v>45822</v>
      </c>
      <c r="E2796" t="s">
        <v>38</v>
      </c>
      <c r="F2796" t="s">
        <v>5652</v>
      </c>
      <c r="G2796" t="s">
        <v>22</v>
      </c>
      <c r="H2796" t="s">
        <v>5653</v>
      </c>
      <c r="I2796" t="s">
        <v>5654</v>
      </c>
      <c r="J2796" s="4">
        <v>46090.777181805555</v>
      </c>
    </row>
    <row r="2797" spans="1:11" x14ac:dyDescent="0.55000000000000004">
      <c r="A2797" t="s">
        <v>5651</v>
      </c>
      <c r="B2797">
        <v>101310</v>
      </c>
      <c r="C2797" t="s">
        <v>179</v>
      </c>
      <c r="D2797" s="3">
        <v>45822</v>
      </c>
      <c r="E2797" t="s">
        <v>20</v>
      </c>
      <c r="F2797" t="s">
        <v>5652</v>
      </c>
      <c r="G2797" t="s">
        <v>22</v>
      </c>
      <c r="H2797" t="s">
        <v>5653</v>
      </c>
      <c r="I2797" t="s">
        <v>5654</v>
      </c>
      <c r="J2797" s="4">
        <v>46090.777181805555</v>
      </c>
    </row>
    <row r="2798" spans="1:11" x14ac:dyDescent="0.55000000000000004">
      <c r="A2798" t="s">
        <v>5651</v>
      </c>
      <c r="B2798">
        <v>101310</v>
      </c>
      <c r="C2798" t="s">
        <v>179</v>
      </c>
      <c r="D2798" s="3">
        <v>45822</v>
      </c>
      <c r="E2798" t="s">
        <v>69</v>
      </c>
      <c r="F2798" t="s">
        <v>5652</v>
      </c>
      <c r="G2798" t="s">
        <v>22</v>
      </c>
      <c r="H2798" t="s">
        <v>5653</v>
      </c>
      <c r="I2798" t="s">
        <v>5654</v>
      </c>
      <c r="J2798" s="4">
        <v>46090.777181805555</v>
      </c>
    </row>
    <row r="2799" spans="1:11" x14ac:dyDescent="0.55000000000000004">
      <c r="A2799" t="s">
        <v>5655</v>
      </c>
      <c r="B2799">
        <v>100552</v>
      </c>
      <c r="C2799" t="s">
        <v>37</v>
      </c>
      <c r="D2799" s="3">
        <v>46062</v>
      </c>
      <c r="E2799" t="s">
        <v>155</v>
      </c>
      <c r="F2799" t="s">
        <v>5656</v>
      </c>
      <c r="G2799" t="s">
        <v>15</v>
      </c>
      <c r="H2799" t="s">
        <v>5657</v>
      </c>
      <c r="I2799" t="s">
        <v>5658</v>
      </c>
      <c r="J2799" s="4">
        <v>46090.670931817127</v>
      </c>
    </row>
    <row r="2800" spans="1:11" x14ac:dyDescent="0.55000000000000004">
      <c r="A2800" t="s">
        <v>6042</v>
      </c>
      <c r="B2800">
        <v>100777</v>
      </c>
      <c r="C2800" t="s">
        <v>37</v>
      </c>
      <c r="D2800" s="3">
        <v>46026</v>
      </c>
      <c r="E2800" t="s">
        <v>155</v>
      </c>
      <c r="F2800" t="s">
        <v>5660</v>
      </c>
      <c r="G2800" t="s">
        <v>15</v>
      </c>
      <c r="H2800" t="s">
        <v>5661</v>
      </c>
      <c r="I2800" t="s">
        <v>5662</v>
      </c>
      <c r="J2800" s="4">
        <v>46080.424404039353</v>
      </c>
      <c r="K2800" t="s">
        <v>119</v>
      </c>
    </row>
    <row r="2801" spans="1:11" x14ac:dyDescent="0.55000000000000004">
      <c r="A2801" t="s">
        <v>6042</v>
      </c>
      <c r="B2801">
        <v>100777</v>
      </c>
      <c r="C2801" t="s">
        <v>37</v>
      </c>
      <c r="D2801" s="3">
        <v>46026</v>
      </c>
      <c r="E2801" t="s">
        <v>115</v>
      </c>
      <c r="F2801" t="s">
        <v>5660</v>
      </c>
      <c r="G2801" t="s">
        <v>15</v>
      </c>
      <c r="H2801" t="s">
        <v>5661</v>
      </c>
      <c r="I2801" t="s">
        <v>5662</v>
      </c>
      <c r="J2801" s="4">
        <v>46080.424404039353</v>
      </c>
      <c r="K2801" t="s">
        <v>119</v>
      </c>
    </row>
    <row r="2802" spans="1:11" x14ac:dyDescent="0.55000000000000004">
      <c r="A2802" t="s">
        <v>5663</v>
      </c>
      <c r="B2802">
        <v>100946</v>
      </c>
      <c r="C2802" t="s">
        <v>19</v>
      </c>
      <c r="D2802" s="3">
        <v>46090</v>
      </c>
      <c r="E2802" t="s">
        <v>317</v>
      </c>
      <c r="F2802" t="s">
        <v>5664</v>
      </c>
      <c r="G2802" t="s">
        <v>15</v>
      </c>
      <c r="H2802" t="s">
        <v>5665</v>
      </c>
      <c r="I2802" t="s">
        <v>5666</v>
      </c>
      <c r="J2802" s="4">
        <v>46082.762598483794</v>
      </c>
    </row>
    <row r="2803" spans="1:11" x14ac:dyDescent="0.55000000000000004">
      <c r="A2803" t="s">
        <v>5663</v>
      </c>
      <c r="B2803">
        <v>100946</v>
      </c>
      <c r="C2803" t="s">
        <v>19</v>
      </c>
      <c r="D2803" s="3">
        <v>46090</v>
      </c>
      <c r="E2803" t="s">
        <v>38</v>
      </c>
      <c r="F2803" t="s">
        <v>5664</v>
      </c>
      <c r="G2803" t="s">
        <v>15</v>
      </c>
      <c r="H2803" t="s">
        <v>5665</v>
      </c>
      <c r="I2803" t="s">
        <v>5666</v>
      </c>
      <c r="J2803" s="4">
        <v>46082.762598483794</v>
      </c>
    </row>
    <row r="2804" spans="1:11" x14ac:dyDescent="0.55000000000000004">
      <c r="A2804" t="s">
        <v>5663</v>
      </c>
      <c r="B2804">
        <v>100946</v>
      </c>
      <c r="C2804" t="s">
        <v>19</v>
      </c>
      <c r="D2804" s="3">
        <v>46090</v>
      </c>
      <c r="E2804" t="s">
        <v>69</v>
      </c>
      <c r="F2804" t="s">
        <v>5664</v>
      </c>
      <c r="G2804" t="s">
        <v>15</v>
      </c>
      <c r="H2804" t="s">
        <v>5665</v>
      </c>
      <c r="I2804" t="s">
        <v>5666</v>
      </c>
      <c r="J2804" s="4">
        <v>46082.762598483794</v>
      </c>
    </row>
    <row r="2805" spans="1:11" x14ac:dyDescent="0.55000000000000004">
      <c r="A2805" t="s">
        <v>5667</v>
      </c>
      <c r="C2805" t="s">
        <v>248</v>
      </c>
      <c r="D2805" s="3">
        <v>45985</v>
      </c>
      <c r="E2805" t="s">
        <v>115</v>
      </c>
      <c r="F2805" t="s">
        <v>5668</v>
      </c>
      <c r="G2805" t="s">
        <v>15</v>
      </c>
      <c r="H2805" t="s">
        <v>5669</v>
      </c>
      <c r="I2805" t="s">
        <v>5670</v>
      </c>
      <c r="J2805" s="4">
        <v>46074.840376273147</v>
      </c>
      <c r="K2805" t="s">
        <v>112</v>
      </c>
    </row>
    <row r="2806" spans="1:11" x14ac:dyDescent="0.55000000000000004">
      <c r="A2806" t="s">
        <v>5671</v>
      </c>
      <c r="B2806">
        <v>101495</v>
      </c>
      <c r="C2806" t="s">
        <v>68</v>
      </c>
      <c r="D2806" s="3">
        <v>46093</v>
      </c>
      <c r="E2806" t="s">
        <v>38</v>
      </c>
      <c r="F2806" t="s">
        <v>5672</v>
      </c>
      <c r="G2806" t="s">
        <v>15</v>
      </c>
      <c r="H2806" t="s">
        <v>5673</v>
      </c>
      <c r="I2806" t="s">
        <v>5674</v>
      </c>
      <c r="J2806" s="4">
        <v>46064.750098495373</v>
      </c>
    </row>
    <row r="2807" spans="1:11" x14ac:dyDescent="0.55000000000000004">
      <c r="A2807" t="s">
        <v>5671</v>
      </c>
      <c r="B2807">
        <v>101495</v>
      </c>
      <c r="C2807" t="s">
        <v>68</v>
      </c>
      <c r="D2807" s="3">
        <v>46093</v>
      </c>
      <c r="E2807" t="s">
        <v>20</v>
      </c>
      <c r="F2807" t="s">
        <v>5672</v>
      </c>
      <c r="G2807" t="s">
        <v>15</v>
      </c>
      <c r="H2807" t="s">
        <v>5673</v>
      </c>
      <c r="I2807" t="s">
        <v>5674</v>
      </c>
      <c r="J2807" s="4">
        <v>46064.750098495373</v>
      </c>
    </row>
    <row r="2808" spans="1:11" x14ac:dyDescent="0.55000000000000004">
      <c r="A2808" t="s">
        <v>5671</v>
      </c>
      <c r="B2808">
        <v>101495</v>
      </c>
      <c r="C2808" t="s">
        <v>68</v>
      </c>
      <c r="D2808" s="3">
        <v>46093</v>
      </c>
      <c r="E2808" t="s">
        <v>155</v>
      </c>
      <c r="F2808" t="s">
        <v>5672</v>
      </c>
      <c r="G2808" t="s">
        <v>15</v>
      </c>
      <c r="H2808" t="s">
        <v>5673</v>
      </c>
      <c r="I2808" t="s">
        <v>5674</v>
      </c>
      <c r="J2808" s="4">
        <v>46064.750098495373</v>
      </c>
    </row>
    <row r="2809" spans="1:11" x14ac:dyDescent="0.55000000000000004">
      <c r="A2809" t="s">
        <v>5675</v>
      </c>
      <c r="B2809">
        <v>101093</v>
      </c>
      <c r="C2809" t="s">
        <v>19</v>
      </c>
      <c r="D2809" s="3">
        <v>45976</v>
      </c>
      <c r="E2809" t="s">
        <v>38</v>
      </c>
      <c r="F2809" t="s">
        <v>5676</v>
      </c>
      <c r="G2809" t="s">
        <v>22</v>
      </c>
      <c r="H2809" t="s">
        <v>5677</v>
      </c>
      <c r="I2809" t="s">
        <v>5678</v>
      </c>
      <c r="J2809" s="4">
        <v>46054.647320717595</v>
      </c>
    </row>
    <row r="2810" spans="1:11" x14ac:dyDescent="0.55000000000000004">
      <c r="A2810" t="s">
        <v>5675</v>
      </c>
      <c r="B2810">
        <v>101093</v>
      </c>
      <c r="C2810" t="s">
        <v>19</v>
      </c>
      <c r="D2810" s="3">
        <v>45976</v>
      </c>
      <c r="E2810" t="s">
        <v>20</v>
      </c>
      <c r="F2810" t="s">
        <v>5676</v>
      </c>
      <c r="G2810" t="s">
        <v>22</v>
      </c>
      <c r="H2810" t="s">
        <v>5677</v>
      </c>
      <c r="I2810" t="s">
        <v>5678</v>
      </c>
      <c r="J2810" s="4">
        <v>46054.647320717595</v>
      </c>
    </row>
    <row r="2811" spans="1:11" x14ac:dyDescent="0.55000000000000004">
      <c r="A2811" t="s">
        <v>5675</v>
      </c>
      <c r="B2811">
        <v>101093</v>
      </c>
      <c r="C2811" t="s">
        <v>19</v>
      </c>
      <c r="D2811" s="3">
        <v>45976</v>
      </c>
      <c r="E2811" t="s">
        <v>115</v>
      </c>
      <c r="F2811" t="s">
        <v>5676</v>
      </c>
      <c r="G2811" t="s">
        <v>22</v>
      </c>
      <c r="H2811" t="s">
        <v>5677</v>
      </c>
      <c r="I2811" t="s">
        <v>5678</v>
      </c>
      <c r="J2811" s="4">
        <v>46054.647320717595</v>
      </c>
    </row>
    <row r="2812" spans="1:11" x14ac:dyDescent="0.55000000000000004">
      <c r="A2812" t="s">
        <v>5679</v>
      </c>
      <c r="B2812">
        <v>100350</v>
      </c>
      <c r="C2812" t="s">
        <v>533</v>
      </c>
      <c r="D2812" s="3">
        <v>45827</v>
      </c>
      <c r="E2812" t="s">
        <v>115</v>
      </c>
      <c r="F2812" t="s">
        <v>5680</v>
      </c>
      <c r="G2812" t="s">
        <v>15</v>
      </c>
      <c r="H2812" t="s">
        <v>5681</v>
      </c>
      <c r="I2812" t="s">
        <v>5682</v>
      </c>
      <c r="J2812" s="4">
        <v>46055.07162628472</v>
      </c>
    </row>
    <row r="2813" spans="1:11" x14ac:dyDescent="0.55000000000000004">
      <c r="A2813" t="s">
        <v>5679</v>
      </c>
      <c r="B2813">
        <v>100350</v>
      </c>
      <c r="C2813" t="s">
        <v>533</v>
      </c>
      <c r="D2813" s="3">
        <v>45827</v>
      </c>
      <c r="E2813" t="s">
        <v>69</v>
      </c>
      <c r="F2813" t="s">
        <v>5680</v>
      </c>
      <c r="G2813" t="s">
        <v>15</v>
      </c>
      <c r="H2813" t="s">
        <v>5681</v>
      </c>
      <c r="I2813" t="s">
        <v>5682</v>
      </c>
      <c r="J2813" s="4">
        <v>46055.07162628472</v>
      </c>
    </row>
    <row r="2814" spans="1:11" x14ac:dyDescent="0.55000000000000004">
      <c r="A2814" t="s">
        <v>5683</v>
      </c>
      <c r="B2814">
        <v>101300</v>
      </c>
      <c r="C2814" t="s">
        <v>179</v>
      </c>
      <c r="D2814" s="3">
        <v>45903</v>
      </c>
      <c r="E2814" t="s">
        <v>115</v>
      </c>
      <c r="F2814" t="s">
        <v>5684</v>
      </c>
      <c r="G2814" t="s">
        <v>22</v>
      </c>
      <c r="H2814" t="s">
        <v>5685</v>
      </c>
      <c r="I2814" t="s">
        <v>5686</v>
      </c>
      <c r="J2814" s="4">
        <v>46093.503570729168</v>
      </c>
    </row>
    <row r="2815" spans="1:11" x14ac:dyDescent="0.55000000000000004">
      <c r="A2815" t="s">
        <v>5687</v>
      </c>
      <c r="B2815">
        <v>101247</v>
      </c>
      <c r="C2815" t="s">
        <v>37</v>
      </c>
      <c r="D2815" s="3">
        <v>46036</v>
      </c>
      <c r="E2815" t="s">
        <v>38</v>
      </c>
      <c r="F2815" t="s">
        <v>5688</v>
      </c>
      <c r="G2815" t="s">
        <v>15</v>
      </c>
      <c r="H2815" t="s">
        <v>5689</v>
      </c>
      <c r="I2815" t="s">
        <v>5690</v>
      </c>
      <c r="J2815" s="4">
        <v>46066.39454296296</v>
      </c>
    </row>
    <row r="2816" spans="1:11" x14ac:dyDescent="0.55000000000000004">
      <c r="A2816" t="s">
        <v>5687</v>
      </c>
      <c r="B2816">
        <v>101247</v>
      </c>
      <c r="C2816" t="s">
        <v>37</v>
      </c>
      <c r="D2816" s="3">
        <v>46036</v>
      </c>
      <c r="E2816" t="s">
        <v>69</v>
      </c>
      <c r="F2816" t="s">
        <v>5688</v>
      </c>
      <c r="G2816" t="s">
        <v>15</v>
      </c>
      <c r="H2816" t="s">
        <v>5689</v>
      </c>
      <c r="I2816" t="s">
        <v>5690</v>
      </c>
      <c r="J2816" s="4">
        <v>46066.39454296296</v>
      </c>
    </row>
    <row r="2817" spans="1:11" x14ac:dyDescent="0.55000000000000004">
      <c r="A2817" t="s">
        <v>5691</v>
      </c>
      <c r="B2817">
        <v>100146</v>
      </c>
      <c r="C2817" t="s">
        <v>19</v>
      </c>
      <c r="D2817" s="3">
        <v>45788</v>
      </c>
      <c r="E2817" t="s">
        <v>155</v>
      </c>
      <c r="F2817" t="s">
        <v>5692</v>
      </c>
      <c r="G2817" t="s">
        <v>22</v>
      </c>
      <c r="H2817" t="s">
        <v>5693</v>
      </c>
      <c r="I2817" t="s">
        <v>5694</v>
      </c>
      <c r="J2817" s="4">
        <v>46082.999404074071</v>
      </c>
    </row>
    <row r="2818" spans="1:11" x14ac:dyDescent="0.55000000000000004">
      <c r="A2818" t="s">
        <v>5695</v>
      </c>
      <c r="B2818">
        <v>101327</v>
      </c>
      <c r="C2818" t="s">
        <v>19</v>
      </c>
      <c r="D2818" s="3">
        <v>45817</v>
      </c>
      <c r="E2818" t="s">
        <v>155</v>
      </c>
      <c r="F2818" t="s">
        <v>5696</v>
      </c>
      <c r="G2818" t="s">
        <v>15</v>
      </c>
      <c r="H2818" t="s">
        <v>5697</v>
      </c>
      <c r="I2818" t="s">
        <v>5698</v>
      </c>
      <c r="J2818" s="4">
        <v>46078.26884853009</v>
      </c>
    </row>
    <row r="2819" spans="1:11" x14ac:dyDescent="0.55000000000000004">
      <c r="A2819" t="s">
        <v>5699</v>
      </c>
      <c r="B2819">
        <v>101399</v>
      </c>
      <c r="C2819" t="s">
        <v>179</v>
      </c>
      <c r="D2819" s="3">
        <v>45983</v>
      </c>
      <c r="E2819" t="s">
        <v>317</v>
      </c>
      <c r="F2819" t="s">
        <v>5700</v>
      </c>
      <c r="G2819" t="s">
        <v>22</v>
      </c>
      <c r="H2819" t="s">
        <v>5701</v>
      </c>
      <c r="I2819" t="s">
        <v>5702</v>
      </c>
      <c r="J2819" s="4">
        <v>46081.227876307872</v>
      </c>
    </row>
    <row r="2820" spans="1:11" x14ac:dyDescent="0.55000000000000004">
      <c r="A2820" t="s">
        <v>5699</v>
      </c>
      <c r="B2820">
        <v>101399</v>
      </c>
      <c r="C2820" t="s">
        <v>179</v>
      </c>
      <c r="D2820" s="3">
        <v>45983</v>
      </c>
      <c r="E2820" t="s">
        <v>38</v>
      </c>
      <c r="F2820" t="s">
        <v>5700</v>
      </c>
      <c r="G2820" t="s">
        <v>22</v>
      </c>
      <c r="H2820" t="s">
        <v>5701</v>
      </c>
      <c r="I2820" t="s">
        <v>5702</v>
      </c>
      <c r="J2820" s="4">
        <v>46081.227876307872</v>
      </c>
    </row>
    <row r="2821" spans="1:11" x14ac:dyDescent="0.55000000000000004">
      <c r="A2821" t="s">
        <v>5699</v>
      </c>
      <c r="B2821">
        <v>101399</v>
      </c>
      <c r="C2821" t="s">
        <v>179</v>
      </c>
      <c r="D2821" s="3">
        <v>45983</v>
      </c>
      <c r="E2821" t="s">
        <v>20</v>
      </c>
      <c r="F2821" t="s">
        <v>5700</v>
      </c>
      <c r="G2821" t="s">
        <v>22</v>
      </c>
      <c r="H2821" t="s">
        <v>5701</v>
      </c>
      <c r="I2821" t="s">
        <v>5702</v>
      </c>
      <c r="J2821" s="4">
        <v>46081.227876307872</v>
      </c>
    </row>
    <row r="2822" spans="1:11" x14ac:dyDescent="0.55000000000000004">
      <c r="A2822" t="s">
        <v>377</v>
      </c>
      <c r="B2822">
        <v>100546</v>
      </c>
      <c r="C2822" t="s">
        <v>179</v>
      </c>
      <c r="D2822" s="3">
        <v>45738</v>
      </c>
      <c r="E2822" t="s">
        <v>317</v>
      </c>
      <c r="F2822" t="s">
        <v>5703</v>
      </c>
      <c r="G2822" t="s">
        <v>22</v>
      </c>
      <c r="H2822" t="s">
        <v>5704</v>
      </c>
      <c r="I2822" t="s">
        <v>5705</v>
      </c>
      <c r="J2822" s="4">
        <v>46090.36259853009</v>
      </c>
    </row>
    <row r="2823" spans="1:11" x14ac:dyDescent="0.55000000000000004">
      <c r="A2823" t="s">
        <v>377</v>
      </c>
      <c r="B2823">
        <v>100546</v>
      </c>
      <c r="C2823" t="s">
        <v>179</v>
      </c>
      <c r="D2823" s="3">
        <v>45738</v>
      </c>
      <c r="E2823" t="s">
        <v>20</v>
      </c>
      <c r="F2823" t="s">
        <v>5703</v>
      </c>
      <c r="G2823" t="s">
        <v>22</v>
      </c>
      <c r="H2823" t="s">
        <v>5704</v>
      </c>
      <c r="I2823" t="s">
        <v>5705</v>
      </c>
      <c r="J2823" s="4">
        <v>46090.36259853009</v>
      </c>
    </row>
    <row r="2824" spans="1:11" x14ac:dyDescent="0.55000000000000004">
      <c r="A2824" t="s">
        <v>5706</v>
      </c>
      <c r="C2824" t="s">
        <v>19</v>
      </c>
      <c r="D2824" s="3">
        <v>46104</v>
      </c>
      <c r="E2824" t="s">
        <v>155</v>
      </c>
      <c r="F2824" t="s">
        <v>5707</v>
      </c>
      <c r="G2824" t="s">
        <v>15</v>
      </c>
      <c r="H2824" t="s">
        <v>5708</v>
      </c>
      <c r="I2824" t="s">
        <v>5709</v>
      </c>
      <c r="J2824" s="4">
        <v>46055.544542986114</v>
      </c>
      <c r="K2824" t="s">
        <v>112</v>
      </c>
    </row>
    <row r="2825" spans="1:11" x14ac:dyDescent="0.55000000000000004">
      <c r="A2825" t="s">
        <v>5706</v>
      </c>
      <c r="C2825" t="s">
        <v>19</v>
      </c>
      <c r="D2825" s="3">
        <v>46104</v>
      </c>
      <c r="E2825" t="s">
        <v>115</v>
      </c>
      <c r="F2825" t="s">
        <v>5707</v>
      </c>
      <c r="G2825" t="s">
        <v>15</v>
      </c>
      <c r="H2825" t="s">
        <v>5708</v>
      </c>
      <c r="I2825" t="s">
        <v>5709</v>
      </c>
      <c r="J2825" s="4">
        <v>46055.544542986114</v>
      </c>
      <c r="K2825" t="s">
        <v>112</v>
      </c>
    </row>
    <row r="2826" spans="1:11" x14ac:dyDescent="0.55000000000000004">
      <c r="A2826" t="s">
        <v>5706</v>
      </c>
      <c r="C2826" t="s">
        <v>19</v>
      </c>
      <c r="D2826" s="3">
        <v>46104</v>
      </c>
      <c r="E2826" t="s">
        <v>69</v>
      </c>
      <c r="F2826" t="s">
        <v>5707</v>
      </c>
      <c r="G2826" t="s">
        <v>15</v>
      </c>
      <c r="H2826" t="s">
        <v>5708</v>
      </c>
      <c r="I2826" t="s">
        <v>5709</v>
      </c>
      <c r="J2826" s="4">
        <v>46055.544542986114</v>
      </c>
      <c r="K2826" t="s">
        <v>112</v>
      </c>
    </row>
    <row r="2827" spans="1:11" x14ac:dyDescent="0.55000000000000004">
      <c r="A2827" t="s">
        <v>5710</v>
      </c>
      <c r="B2827">
        <v>100429</v>
      </c>
      <c r="C2827" t="s">
        <v>68</v>
      </c>
      <c r="D2827" s="3">
        <v>45986</v>
      </c>
      <c r="E2827" t="s">
        <v>115</v>
      </c>
      <c r="F2827" t="s">
        <v>5711</v>
      </c>
      <c r="G2827" t="s">
        <v>22</v>
      </c>
      <c r="H2827" t="s">
        <v>5712</v>
      </c>
      <c r="I2827" t="s">
        <v>5713</v>
      </c>
      <c r="J2827" s="4">
        <v>46074.452876319447</v>
      </c>
    </row>
    <row r="2828" spans="1:11" x14ac:dyDescent="0.55000000000000004">
      <c r="A2828" t="s">
        <v>5714</v>
      </c>
      <c r="B2828">
        <v>100727</v>
      </c>
      <c r="C2828" t="s">
        <v>37</v>
      </c>
      <c r="D2828" s="3">
        <v>45831</v>
      </c>
      <c r="E2828" t="s">
        <v>317</v>
      </c>
      <c r="F2828" t="s">
        <v>5715</v>
      </c>
      <c r="G2828" t="s">
        <v>22</v>
      </c>
      <c r="H2828" t="s">
        <v>5716</v>
      </c>
      <c r="I2828" t="s">
        <v>5717</v>
      </c>
      <c r="J2828" s="4">
        <v>46056.780654108799</v>
      </c>
    </row>
    <row r="2829" spans="1:11" x14ac:dyDescent="0.55000000000000004">
      <c r="A2829" t="s">
        <v>5714</v>
      </c>
      <c r="B2829">
        <v>100727</v>
      </c>
      <c r="C2829" t="s">
        <v>37</v>
      </c>
      <c r="D2829" s="3">
        <v>45831</v>
      </c>
      <c r="E2829" t="s">
        <v>155</v>
      </c>
      <c r="F2829" t="s">
        <v>5715</v>
      </c>
      <c r="G2829" t="s">
        <v>22</v>
      </c>
      <c r="H2829" t="s">
        <v>5716</v>
      </c>
      <c r="I2829" t="s">
        <v>5717</v>
      </c>
      <c r="J2829" s="4">
        <v>46056.780654108799</v>
      </c>
    </row>
    <row r="2830" spans="1:11" x14ac:dyDescent="0.55000000000000004">
      <c r="A2830" t="s">
        <v>5718</v>
      </c>
      <c r="B2830">
        <v>100758</v>
      </c>
      <c r="C2830" t="s">
        <v>19</v>
      </c>
      <c r="D2830" s="3">
        <v>45962</v>
      </c>
      <c r="E2830" t="s">
        <v>38</v>
      </c>
      <c r="F2830" t="s">
        <v>5719</v>
      </c>
      <c r="G2830" t="s">
        <v>22</v>
      </c>
      <c r="H2830" t="s">
        <v>5720</v>
      </c>
      <c r="I2830" t="s">
        <v>5721</v>
      </c>
      <c r="J2830" s="4">
        <v>46071.908431886572</v>
      </c>
    </row>
    <row r="2831" spans="1:11" x14ac:dyDescent="0.55000000000000004">
      <c r="A2831" t="s">
        <v>5718</v>
      </c>
      <c r="B2831">
        <v>100758</v>
      </c>
      <c r="C2831" t="s">
        <v>19</v>
      </c>
      <c r="D2831" s="3">
        <v>45962</v>
      </c>
      <c r="E2831" t="s">
        <v>20</v>
      </c>
      <c r="F2831" t="s">
        <v>5719</v>
      </c>
      <c r="G2831" t="s">
        <v>22</v>
      </c>
      <c r="H2831" t="s">
        <v>5720</v>
      </c>
      <c r="I2831" t="s">
        <v>5721</v>
      </c>
      <c r="J2831" s="4">
        <v>46071.908431886572</v>
      </c>
    </row>
    <row r="2832" spans="1:11" x14ac:dyDescent="0.55000000000000004">
      <c r="A2832" t="s">
        <v>5718</v>
      </c>
      <c r="B2832">
        <v>100758</v>
      </c>
      <c r="C2832" t="s">
        <v>19</v>
      </c>
      <c r="D2832" s="3">
        <v>45962</v>
      </c>
      <c r="E2832" t="s">
        <v>115</v>
      </c>
      <c r="F2832" t="s">
        <v>5719</v>
      </c>
      <c r="G2832" t="s">
        <v>22</v>
      </c>
      <c r="H2832" t="s">
        <v>5720</v>
      </c>
      <c r="I2832" t="s">
        <v>5721</v>
      </c>
      <c r="J2832" s="4">
        <v>46071.908431886572</v>
      </c>
    </row>
    <row r="2833" spans="1:11" x14ac:dyDescent="0.55000000000000004">
      <c r="A2833" t="s">
        <v>5722</v>
      </c>
      <c r="B2833">
        <v>100333</v>
      </c>
      <c r="C2833" t="s">
        <v>179</v>
      </c>
      <c r="D2833" s="3">
        <v>45873</v>
      </c>
      <c r="E2833" t="s">
        <v>155</v>
      </c>
      <c r="F2833" t="s">
        <v>5723</v>
      </c>
      <c r="G2833" t="s">
        <v>22</v>
      </c>
      <c r="H2833" t="s">
        <v>5724</v>
      </c>
      <c r="I2833" t="s">
        <v>5725</v>
      </c>
      <c r="J2833" s="4">
        <v>46058.571626331017</v>
      </c>
    </row>
    <row r="2834" spans="1:11" x14ac:dyDescent="0.55000000000000004">
      <c r="A2834" t="s">
        <v>5722</v>
      </c>
      <c r="B2834">
        <v>100333</v>
      </c>
      <c r="C2834" t="s">
        <v>179</v>
      </c>
      <c r="D2834" s="3">
        <v>45873</v>
      </c>
      <c r="E2834" t="s">
        <v>115</v>
      </c>
      <c r="F2834" t="s">
        <v>5723</v>
      </c>
      <c r="G2834" t="s">
        <v>22</v>
      </c>
      <c r="H2834" t="s">
        <v>5724</v>
      </c>
      <c r="I2834" t="s">
        <v>5725</v>
      </c>
      <c r="J2834" s="4">
        <v>46058.571626331017</v>
      </c>
    </row>
    <row r="2835" spans="1:11" x14ac:dyDescent="0.55000000000000004">
      <c r="A2835" t="s">
        <v>5726</v>
      </c>
      <c r="B2835">
        <v>100747</v>
      </c>
      <c r="D2835" s="3">
        <v>46139</v>
      </c>
      <c r="E2835" t="s">
        <v>38</v>
      </c>
      <c r="F2835" t="s">
        <v>5727</v>
      </c>
      <c r="G2835" t="s">
        <v>22</v>
      </c>
      <c r="H2835" t="s">
        <v>5728</v>
      </c>
      <c r="I2835" t="s">
        <v>5729</v>
      </c>
      <c r="J2835" s="4">
        <v>46090.734126342591</v>
      </c>
      <c r="K2835" t="s">
        <v>217</v>
      </c>
    </row>
    <row r="2836" spans="1:11" x14ac:dyDescent="0.55000000000000004">
      <c r="A2836" t="s">
        <v>5726</v>
      </c>
      <c r="B2836">
        <v>100747</v>
      </c>
      <c r="D2836" s="3">
        <v>46139</v>
      </c>
      <c r="E2836" t="s">
        <v>20</v>
      </c>
      <c r="F2836" t="s">
        <v>5727</v>
      </c>
      <c r="G2836" t="s">
        <v>22</v>
      </c>
      <c r="H2836" t="s">
        <v>5728</v>
      </c>
      <c r="I2836" t="s">
        <v>5729</v>
      </c>
      <c r="J2836" s="4">
        <v>46090.734126342591</v>
      </c>
      <c r="K2836" t="s">
        <v>217</v>
      </c>
    </row>
    <row r="2837" spans="1:11" x14ac:dyDescent="0.55000000000000004">
      <c r="A2837" t="s">
        <v>5730</v>
      </c>
      <c r="B2837">
        <v>101301</v>
      </c>
      <c r="C2837" t="s">
        <v>19</v>
      </c>
      <c r="D2837" s="3">
        <v>46082</v>
      </c>
      <c r="E2837" t="s">
        <v>69</v>
      </c>
      <c r="F2837" t="s">
        <v>5731</v>
      </c>
      <c r="G2837" t="s">
        <v>15</v>
      </c>
      <c r="H2837" t="s">
        <v>5732</v>
      </c>
      <c r="I2837" t="s">
        <v>5733</v>
      </c>
      <c r="J2837" s="4">
        <v>46064.33412634259</v>
      </c>
    </row>
    <row r="2838" spans="1:11" x14ac:dyDescent="0.55000000000000004">
      <c r="A2838" t="s">
        <v>3020</v>
      </c>
      <c r="B2838">
        <v>100928</v>
      </c>
      <c r="C2838" t="s">
        <v>19</v>
      </c>
      <c r="D2838" s="3">
        <v>46017</v>
      </c>
      <c r="E2838" t="s">
        <v>20</v>
      </c>
      <c r="F2838" t="s">
        <v>5734</v>
      </c>
      <c r="G2838" t="s">
        <v>22</v>
      </c>
      <c r="H2838" t="s">
        <v>5735</v>
      </c>
      <c r="I2838" t="s">
        <v>5736</v>
      </c>
      <c r="J2838" s="4">
        <v>46093.327181898145</v>
      </c>
    </row>
    <row r="2839" spans="1:11" x14ac:dyDescent="0.55000000000000004">
      <c r="A2839" t="s">
        <v>3020</v>
      </c>
      <c r="B2839">
        <v>100928</v>
      </c>
      <c r="C2839" t="s">
        <v>19</v>
      </c>
      <c r="D2839" s="3">
        <v>46017</v>
      </c>
      <c r="E2839" t="s">
        <v>115</v>
      </c>
      <c r="F2839" t="s">
        <v>5734</v>
      </c>
      <c r="G2839" t="s">
        <v>22</v>
      </c>
      <c r="H2839" t="s">
        <v>5735</v>
      </c>
      <c r="I2839" t="s">
        <v>5736</v>
      </c>
      <c r="J2839" s="4">
        <v>46093.327181898145</v>
      </c>
    </row>
    <row r="2840" spans="1:11" x14ac:dyDescent="0.55000000000000004">
      <c r="A2840" t="s">
        <v>3020</v>
      </c>
      <c r="B2840">
        <v>100928</v>
      </c>
      <c r="C2840" t="s">
        <v>19</v>
      </c>
      <c r="D2840" s="3">
        <v>46017</v>
      </c>
      <c r="E2840" t="s">
        <v>69</v>
      </c>
      <c r="F2840" t="s">
        <v>5734</v>
      </c>
      <c r="G2840" t="s">
        <v>22</v>
      </c>
      <c r="H2840" t="s">
        <v>5735</v>
      </c>
      <c r="I2840" t="s">
        <v>5736</v>
      </c>
      <c r="J2840" s="4">
        <v>46093.327181898145</v>
      </c>
    </row>
    <row r="2841" spans="1:11" x14ac:dyDescent="0.55000000000000004">
      <c r="A2841" t="s">
        <v>5737</v>
      </c>
      <c r="B2841">
        <v>101462</v>
      </c>
      <c r="C2841" t="s">
        <v>37</v>
      </c>
      <c r="D2841" s="3">
        <v>45964</v>
      </c>
      <c r="E2841" t="s">
        <v>115</v>
      </c>
      <c r="F2841" t="s">
        <v>5738</v>
      </c>
      <c r="G2841" t="s">
        <v>22</v>
      </c>
      <c r="H2841" t="s">
        <v>5739</v>
      </c>
      <c r="I2841" t="s">
        <v>5740</v>
      </c>
      <c r="J2841" s="4">
        <v>46060.570931909722</v>
      </c>
    </row>
    <row r="2842" spans="1:11" x14ac:dyDescent="0.55000000000000004">
      <c r="A2842" t="s">
        <v>6043</v>
      </c>
      <c r="B2842">
        <v>101456</v>
      </c>
      <c r="C2842" t="s">
        <v>37</v>
      </c>
      <c r="D2842" s="3">
        <v>45982</v>
      </c>
      <c r="E2842" t="s">
        <v>155</v>
      </c>
      <c r="F2842" t="s">
        <v>5742</v>
      </c>
      <c r="G2842" t="s">
        <v>22</v>
      </c>
      <c r="H2842" t="s">
        <v>5743</v>
      </c>
      <c r="I2842" t="s">
        <v>5744</v>
      </c>
      <c r="J2842" s="4">
        <v>46055.745237465278</v>
      </c>
      <c r="K2842" t="s">
        <v>119</v>
      </c>
    </row>
    <row r="2843" spans="1:11" x14ac:dyDescent="0.55000000000000004">
      <c r="A2843" t="s">
        <v>6043</v>
      </c>
      <c r="B2843">
        <v>101456</v>
      </c>
      <c r="C2843" t="s">
        <v>37</v>
      </c>
      <c r="D2843" s="3">
        <v>45982</v>
      </c>
      <c r="E2843" t="s">
        <v>69</v>
      </c>
      <c r="F2843" t="s">
        <v>5742</v>
      </c>
      <c r="G2843" t="s">
        <v>22</v>
      </c>
      <c r="H2843" t="s">
        <v>5743</v>
      </c>
      <c r="I2843" t="s">
        <v>5744</v>
      </c>
      <c r="J2843" s="4">
        <v>46055.745237465278</v>
      </c>
      <c r="K2843" t="s">
        <v>119</v>
      </c>
    </row>
    <row r="2844" spans="1:11" x14ac:dyDescent="0.55000000000000004">
      <c r="A2844" t="s">
        <v>5745</v>
      </c>
      <c r="B2844">
        <v>100206</v>
      </c>
      <c r="D2844" s="3">
        <v>45860</v>
      </c>
      <c r="E2844" t="s">
        <v>20</v>
      </c>
      <c r="F2844" t="s">
        <v>5746</v>
      </c>
      <c r="G2844" t="s">
        <v>22</v>
      </c>
      <c r="H2844" t="s">
        <v>5747</v>
      </c>
      <c r="I2844" t="s">
        <v>5748</v>
      </c>
      <c r="J2844" s="4">
        <v>46064.800098576387</v>
      </c>
      <c r="K2844" t="s">
        <v>217</v>
      </c>
    </row>
    <row r="2845" spans="1:11" x14ac:dyDescent="0.55000000000000004">
      <c r="A2845" t="s">
        <v>5749</v>
      </c>
      <c r="B2845">
        <v>101482</v>
      </c>
      <c r="C2845" t="s">
        <v>19</v>
      </c>
      <c r="D2845" s="3">
        <v>45811</v>
      </c>
      <c r="E2845" t="s">
        <v>317</v>
      </c>
      <c r="F2845" t="s">
        <v>5750</v>
      </c>
      <c r="G2845" t="s">
        <v>22</v>
      </c>
      <c r="H2845" t="s">
        <v>5751</v>
      </c>
      <c r="I2845" t="s">
        <v>5752</v>
      </c>
      <c r="J2845" s="4">
        <v>46088.466765254627</v>
      </c>
    </row>
    <row r="2846" spans="1:11" x14ac:dyDescent="0.55000000000000004">
      <c r="A2846" t="s">
        <v>5753</v>
      </c>
      <c r="B2846">
        <v>100163</v>
      </c>
      <c r="C2846" t="s">
        <v>179</v>
      </c>
      <c r="D2846" s="3">
        <v>46031</v>
      </c>
      <c r="E2846" t="s">
        <v>20</v>
      </c>
      <c r="F2846" t="s">
        <v>5754</v>
      </c>
      <c r="G2846" t="s">
        <v>15</v>
      </c>
      <c r="H2846" t="s">
        <v>5755</v>
      </c>
      <c r="I2846" t="s">
        <v>5756</v>
      </c>
      <c r="J2846" s="4">
        <v>46095.073015254631</v>
      </c>
    </row>
    <row r="2847" spans="1:11" x14ac:dyDescent="0.55000000000000004">
      <c r="A2847" t="s">
        <v>5757</v>
      </c>
      <c r="B2847">
        <v>100592</v>
      </c>
      <c r="C2847" t="s">
        <v>68</v>
      </c>
      <c r="D2847" s="3">
        <v>45859</v>
      </c>
      <c r="E2847" t="s">
        <v>317</v>
      </c>
      <c r="F2847" t="s">
        <v>5758</v>
      </c>
      <c r="G2847" t="s">
        <v>22</v>
      </c>
      <c r="H2847" t="s">
        <v>5759</v>
      </c>
      <c r="I2847" t="s">
        <v>5760</v>
      </c>
      <c r="J2847" s="4">
        <v>46091.37440414352</v>
      </c>
    </row>
    <row r="2848" spans="1:11" x14ac:dyDescent="0.55000000000000004">
      <c r="A2848" t="s">
        <v>5757</v>
      </c>
      <c r="B2848">
        <v>100592</v>
      </c>
      <c r="C2848" t="s">
        <v>68</v>
      </c>
      <c r="D2848" s="3">
        <v>45859</v>
      </c>
      <c r="E2848" t="s">
        <v>38</v>
      </c>
      <c r="F2848" t="s">
        <v>5758</v>
      </c>
      <c r="G2848" t="s">
        <v>22</v>
      </c>
      <c r="H2848" t="s">
        <v>5759</v>
      </c>
      <c r="I2848" t="s">
        <v>5760</v>
      </c>
      <c r="J2848" s="4">
        <v>46091.37440414352</v>
      </c>
    </row>
    <row r="2849" spans="1:11" x14ac:dyDescent="0.55000000000000004">
      <c r="A2849" t="s">
        <v>5757</v>
      </c>
      <c r="B2849">
        <v>100592</v>
      </c>
      <c r="C2849" t="s">
        <v>68</v>
      </c>
      <c r="D2849" s="3">
        <v>45859</v>
      </c>
      <c r="E2849" t="s">
        <v>69</v>
      </c>
      <c r="F2849" t="s">
        <v>5758</v>
      </c>
      <c r="G2849" t="s">
        <v>22</v>
      </c>
      <c r="H2849" t="s">
        <v>5759</v>
      </c>
      <c r="I2849" t="s">
        <v>5760</v>
      </c>
      <c r="J2849" s="4">
        <v>46091.37440414352</v>
      </c>
    </row>
    <row r="2850" spans="1:11" x14ac:dyDescent="0.55000000000000004">
      <c r="A2850" t="s">
        <v>5761</v>
      </c>
      <c r="B2850">
        <v>100466</v>
      </c>
      <c r="C2850" t="s">
        <v>68</v>
      </c>
      <c r="D2850" s="3">
        <v>46037</v>
      </c>
      <c r="E2850" t="s">
        <v>38</v>
      </c>
      <c r="F2850" t="s">
        <v>5762</v>
      </c>
      <c r="G2850" t="s">
        <v>22</v>
      </c>
      <c r="H2850" t="s">
        <v>5763</v>
      </c>
      <c r="I2850" t="s">
        <v>5764</v>
      </c>
      <c r="J2850" s="4">
        <v>46054.287598599534</v>
      </c>
    </row>
    <row r="2851" spans="1:11" x14ac:dyDescent="0.55000000000000004">
      <c r="A2851" t="s">
        <v>5761</v>
      </c>
      <c r="B2851">
        <v>100466</v>
      </c>
      <c r="C2851" t="s">
        <v>68</v>
      </c>
      <c r="D2851" s="3">
        <v>46037</v>
      </c>
      <c r="E2851" t="s">
        <v>115</v>
      </c>
      <c r="F2851" t="s">
        <v>5762</v>
      </c>
      <c r="G2851" t="s">
        <v>22</v>
      </c>
      <c r="H2851" t="s">
        <v>5763</v>
      </c>
      <c r="I2851" t="s">
        <v>5764</v>
      </c>
      <c r="J2851" s="4">
        <v>46054.287598599534</v>
      </c>
    </row>
    <row r="2852" spans="1:11" x14ac:dyDescent="0.55000000000000004">
      <c r="A2852" t="s">
        <v>5765</v>
      </c>
      <c r="B2852">
        <v>101354</v>
      </c>
      <c r="C2852" t="s">
        <v>19</v>
      </c>
      <c r="D2852" s="3">
        <v>45803</v>
      </c>
      <c r="E2852" t="s">
        <v>317</v>
      </c>
      <c r="F2852" t="s">
        <v>5766</v>
      </c>
      <c r="G2852" t="s">
        <v>22</v>
      </c>
      <c r="H2852" t="s">
        <v>5767</v>
      </c>
      <c r="I2852" t="s">
        <v>5768</v>
      </c>
      <c r="J2852" s="4">
        <v>46062.462598599537</v>
      </c>
    </row>
    <row r="2853" spans="1:11" x14ac:dyDescent="0.55000000000000004">
      <c r="A2853" t="s">
        <v>5765</v>
      </c>
      <c r="B2853">
        <v>101354</v>
      </c>
      <c r="C2853" t="s">
        <v>19</v>
      </c>
      <c r="D2853" s="3">
        <v>45803</v>
      </c>
      <c r="E2853" t="s">
        <v>20</v>
      </c>
      <c r="F2853" t="s">
        <v>5766</v>
      </c>
      <c r="G2853" t="s">
        <v>22</v>
      </c>
      <c r="H2853" t="s">
        <v>5767</v>
      </c>
      <c r="I2853" t="s">
        <v>5768</v>
      </c>
      <c r="J2853" s="4">
        <v>46062.462598599537</v>
      </c>
    </row>
    <row r="2854" spans="1:11" x14ac:dyDescent="0.55000000000000004">
      <c r="A2854" t="s">
        <v>5765</v>
      </c>
      <c r="B2854">
        <v>101354</v>
      </c>
      <c r="C2854" t="s">
        <v>19</v>
      </c>
      <c r="D2854" s="3">
        <v>45803</v>
      </c>
      <c r="E2854" t="s">
        <v>115</v>
      </c>
      <c r="F2854" t="s">
        <v>5766</v>
      </c>
      <c r="G2854" t="s">
        <v>22</v>
      </c>
      <c r="H2854" t="s">
        <v>5767</v>
      </c>
      <c r="I2854" t="s">
        <v>5768</v>
      </c>
      <c r="J2854" s="4">
        <v>46062.462598599537</v>
      </c>
    </row>
    <row r="2855" spans="1:11" x14ac:dyDescent="0.55000000000000004">
      <c r="A2855" t="s">
        <v>5769</v>
      </c>
      <c r="C2855" t="s">
        <v>68</v>
      </c>
      <c r="D2855" s="3">
        <v>45888</v>
      </c>
      <c r="E2855" t="s">
        <v>20</v>
      </c>
      <c r="F2855" t="s">
        <v>5770</v>
      </c>
      <c r="G2855" t="s">
        <v>22</v>
      </c>
      <c r="H2855" t="s">
        <v>5771</v>
      </c>
      <c r="I2855" t="s">
        <v>5772</v>
      </c>
      <c r="J2855" s="4">
        <v>46063.485515266206</v>
      </c>
      <c r="K2855" t="s">
        <v>112</v>
      </c>
    </row>
    <row r="2856" spans="1:11" x14ac:dyDescent="0.55000000000000004">
      <c r="A2856" t="s">
        <v>5773</v>
      </c>
      <c r="B2856">
        <v>100142</v>
      </c>
      <c r="C2856" t="s">
        <v>179</v>
      </c>
      <c r="D2856" s="3">
        <v>46132</v>
      </c>
      <c r="E2856" t="s">
        <v>155</v>
      </c>
      <c r="F2856" t="s">
        <v>5774</v>
      </c>
      <c r="G2856" t="s">
        <v>22</v>
      </c>
      <c r="H2856" t="s">
        <v>5775</v>
      </c>
      <c r="I2856" t="s">
        <v>5776</v>
      </c>
      <c r="J2856" s="4">
        <v>46053.300793055554</v>
      </c>
    </row>
    <row r="2857" spans="1:11" x14ac:dyDescent="0.55000000000000004">
      <c r="A2857" t="s">
        <v>5773</v>
      </c>
      <c r="B2857">
        <v>100142</v>
      </c>
      <c r="C2857" t="s">
        <v>179</v>
      </c>
      <c r="D2857" s="3">
        <v>46132</v>
      </c>
      <c r="E2857" t="s">
        <v>115</v>
      </c>
      <c r="F2857" t="s">
        <v>5774</v>
      </c>
      <c r="G2857" t="s">
        <v>22</v>
      </c>
      <c r="H2857" t="s">
        <v>5775</v>
      </c>
      <c r="I2857" t="s">
        <v>5776</v>
      </c>
      <c r="J2857" s="4">
        <v>46053.300793055554</v>
      </c>
    </row>
    <row r="2858" spans="1:11" x14ac:dyDescent="0.55000000000000004">
      <c r="A2858" t="s">
        <v>5777</v>
      </c>
      <c r="B2858">
        <v>100393</v>
      </c>
      <c r="C2858" t="s">
        <v>19</v>
      </c>
      <c r="D2858" s="3">
        <v>46082</v>
      </c>
      <c r="E2858" t="s">
        <v>317</v>
      </c>
      <c r="F2858" t="s">
        <v>5778</v>
      </c>
      <c r="G2858" t="s">
        <v>22</v>
      </c>
      <c r="H2858" t="s">
        <v>5779</v>
      </c>
      <c r="I2858" t="s">
        <v>5780</v>
      </c>
      <c r="J2858" s="4">
        <v>46068.14801527778</v>
      </c>
    </row>
    <row r="2859" spans="1:11" x14ac:dyDescent="0.55000000000000004">
      <c r="A2859" t="s">
        <v>5777</v>
      </c>
      <c r="B2859">
        <v>100393</v>
      </c>
      <c r="C2859" t="s">
        <v>19</v>
      </c>
      <c r="D2859" s="3">
        <v>46082</v>
      </c>
      <c r="E2859" t="s">
        <v>20</v>
      </c>
      <c r="F2859" t="s">
        <v>5778</v>
      </c>
      <c r="G2859" t="s">
        <v>22</v>
      </c>
      <c r="H2859" t="s">
        <v>5779</v>
      </c>
      <c r="I2859" t="s">
        <v>5780</v>
      </c>
      <c r="J2859" s="4">
        <v>46068.14801527778</v>
      </c>
    </row>
    <row r="2860" spans="1:11" x14ac:dyDescent="0.55000000000000004">
      <c r="A2860" t="s">
        <v>5777</v>
      </c>
      <c r="B2860">
        <v>100393</v>
      </c>
      <c r="C2860" t="s">
        <v>19</v>
      </c>
      <c r="D2860" s="3">
        <v>46082</v>
      </c>
      <c r="E2860" t="s">
        <v>69</v>
      </c>
      <c r="F2860" t="s">
        <v>5778</v>
      </c>
      <c r="G2860" t="s">
        <v>22</v>
      </c>
      <c r="H2860" t="s">
        <v>5779</v>
      </c>
      <c r="I2860" t="s">
        <v>5780</v>
      </c>
      <c r="J2860" s="4">
        <v>46068.14801527778</v>
      </c>
    </row>
    <row r="2861" spans="1:11" x14ac:dyDescent="0.55000000000000004">
      <c r="A2861" t="s">
        <v>5781</v>
      </c>
      <c r="B2861">
        <v>101182</v>
      </c>
      <c r="C2861" t="s">
        <v>179</v>
      </c>
      <c r="D2861" s="3">
        <v>45968</v>
      </c>
      <c r="E2861" t="s">
        <v>38</v>
      </c>
      <c r="F2861" t="s">
        <v>5782</v>
      </c>
      <c r="G2861" t="s">
        <v>15</v>
      </c>
      <c r="H2861" t="s">
        <v>5783</v>
      </c>
      <c r="I2861" t="s">
        <v>5784</v>
      </c>
      <c r="J2861" s="4">
        <v>46071.620237511575</v>
      </c>
    </row>
    <row r="2862" spans="1:11" x14ac:dyDescent="0.55000000000000004">
      <c r="A2862" t="s">
        <v>5785</v>
      </c>
      <c r="B2862">
        <v>100740</v>
      </c>
      <c r="C2862" t="s">
        <v>533</v>
      </c>
      <c r="D2862" s="3">
        <v>46046</v>
      </c>
      <c r="E2862" t="s">
        <v>38</v>
      </c>
      <c r="F2862" t="s">
        <v>5786</v>
      </c>
      <c r="G2862" t="s">
        <v>22</v>
      </c>
      <c r="H2862" t="s">
        <v>5787</v>
      </c>
      <c r="I2862" t="s">
        <v>5788</v>
      </c>
      <c r="J2862" s="4">
        <v>46088.86329306713</v>
      </c>
    </row>
    <row r="2863" spans="1:11" x14ac:dyDescent="0.55000000000000004">
      <c r="A2863" t="s">
        <v>5785</v>
      </c>
      <c r="B2863">
        <v>100740</v>
      </c>
      <c r="C2863" t="s">
        <v>533</v>
      </c>
      <c r="D2863" s="3">
        <v>46046</v>
      </c>
      <c r="E2863" t="s">
        <v>115</v>
      </c>
      <c r="F2863" t="s">
        <v>5786</v>
      </c>
      <c r="G2863" t="s">
        <v>22</v>
      </c>
      <c r="H2863" t="s">
        <v>5787</v>
      </c>
      <c r="I2863" t="s">
        <v>5788</v>
      </c>
      <c r="J2863" s="4">
        <v>46088.86329306713</v>
      </c>
    </row>
    <row r="2864" spans="1:11" x14ac:dyDescent="0.55000000000000004">
      <c r="A2864" t="s">
        <v>5789</v>
      </c>
      <c r="B2864">
        <v>101266</v>
      </c>
      <c r="C2864" t="s">
        <v>19</v>
      </c>
      <c r="D2864" s="3">
        <v>46021</v>
      </c>
      <c r="E2864" t="s">
        <v>155</v>
      </c>
      <c r="F2864" t="s">
        <v>5790</v>
      </c>
      <c r="G2864" t="s">
        <v>15</v>
      </c>
      <c r="H2864" t="s">
        <v>5791</v>
      </c>
      <c r="I2864" t="s">
        <v>5792</v>
      </c>
      <c r="J2864" s="4">
        <v>46071.793154178238</v>
      </c>
    </row>
    <row r="2865" spans="1:10" x14ac:dyDescent="0.55000000000000004">
      <c r="A2865" t="s">
        <v>5789</v>
      </c>
      <c r="B2865">
        <v>101266</v>
      </c>
      <c r="C2865" t="s">
        <v>19</v>
      </c>
      <c r="D2865" s="3">
        <v>46021</v>
      </c>
      <c r="E2865" t="s">
        <v>69</v>
      </c>
      <c r="F2865" t="s">
        <v>5790</v>
      </c>
      <c r="G2865" t="s">
        <v>15</v>
      </c>
      <c r="H2865" t="s">
        <v>5791</v>
      </c>
      <c r="I2865" t="s">
        <v>5792</v>
      </c>
      <c r="J2865" s="4">
        <v>46071.793154178238</v>
      </c>
    </row>
    <row r="2866" spans="1:10" x14ac:dyDescent="0.55000000000000004">
      <c r="A2866" t="s">
        <v>5793</v>
      </c>
      <c r="B2866">
        <v>101287</v>
      </c>
      <c r="C2866" t="s">
        <v>37</v>
      </c>
      <c r="D2866" s="3">
        <v>45968</v>
      </c>
      <c r="E2866" t="s">
        <v>38</v>
      </c>
      <c r="F2866" t="s">
        <v>5794</v>
      </c>
      <c r="G2866" t="s">
        <v>15</v>
      </c>
      <c r="H2866" t="s">
        <v>5795</v>
      </c>
      <c r="I2866" t="s">
        <v>5796</v>
      </c>
      <c r="J2866" s="4">
        <v>46079.822320856481</v>
      </c>
    </row>
    <row r="2867" spans="1:10" x14ac:dyDescent="0.55000000000000004">
      <c r="A2867" t="s">
        <v>5793</v>
      </c>
      <c r="B2867">
        <v>101287</v>
      </c>
      <c r="C2867" t="s">
        <v>37</v>
      </c>
      <c r="D2867" s="3">
        <v>45968</v>
      </c>
      <c r="E2867" t="s">
        <v>155</v>
      </c>
      <c r="F2867" t="s">
        <v>5794</v>
      </c>
      <c r="G2867" t="s">
        <v>15</v>
      </c>
      <c r="H2867" t="s">
        <v>5795</v>
      </c>
      <c r="I2867" t="s">
        <v>5796</v>
      </c>
      <c r="J2867" s="4">
        <v>46079.822320856481</v>
      </c>
    </row>
    <row r="2868" spans="1:10" x14ac:dyDescent="0.55000000000000004">
      <c r="A2868" t="s">
        <v>5793</v>
      </c>
      <c r="B2868">
        <v>101287</v>
      </c>
      <c r="C2868" t="s">
        <v>37</v>
      </c>
      <c r="D2868" s="3">
        <v>45968</v>
      </c>
      <c r="E2868" t="s">
        <v>69</v>
      </c>
      <c r="F2868" t="s">
        <v>5794</v>
      </c>
      <c r="G2868" t="s">
        <v>15</v>
      </c>
      <c r="H2868" t="s">
        <v>5795</v>
      </c>
      <c r="I2868" t="s">
        <v>5796</v>
      </c>
      <c r="J2868" s="4">
        <v>46079.822320856481</v>
      </c>
    </row>
    <row r="2869" spans="1:10" x14ac:dyDescent="0.55000000000000004">
      <c r="A2869" t="s">
        <v>5797</v>
      </c>
      <c r="B2869">
        <v>100600</v>
      </c>
      <c r="C2869" t="s">
        <v>533</v>
      </c>
      <c r="D2869" s="3">
        <v>45902</v>
      </c>
      <c r="E2869" t="s">
        <v>20</v>
      </c>
      <c r="F2869" t="s">
        <v>5798</v>
      </c>
      <c r="G2869" t="s">
        <v>22</v>
      </c>
      <c r="H2869" t="s">
        <v>5799</v>
      </c>
      <c r="I2869" t="s">
        <v>5800</v>
      </c>
      <c r="J2869" s="4">
        <v>46094.573709745368</v>
      </c>
    </row>
    <row r="2870" spans="1:10" x14ac:dyDescent="0.55000000000000004">
      <c r="A2870" t="s">
        <v>5797</v>
      </c>
      <c r="B2870">
        <v>100600</v>
      </c>
      <c r="C2870" t="s">
        <v>533</v>
      </c>
      <c r="D2870" s="3">
        <v>45902</v>
      </c>
      <c r="E2870" t="s">
        <v>155</v>
      </c>
      <c r="F2870" t="s">
        <v>5798</v>
      </c>
      <c r="G2870" t="s">
        <v>22</v>
      </c>
      <c r="H2870" t="s">
        <v>5799</v>
      </c>
      <c r="I2870" t="s">
        <v>5800</v>
      </c>
      <c r="J2870" s="4">
        <v>46094.573709745368</v>
      </c>
    </row>
    <row r="2871" spans="1:10" x14ac:dyDescent="0.55000000000000004">
      <c r="A2871" t="s">
        <v>5797</v>
      </c>
      <c r="B2871">
        <v>100600</v>
      </c>
      <c r="C2871" t="s">
        <v>533</v>
      </c>
      <c r="D2871" s="3">
        <v>45902</v>
      </c>
      <c r="E2871" t="s">
        <v>69</v>
      </c>
      <c r="F2871" t="s">
        <v>5798</v>
      </c>
      <c r="G2871" t="s">
        <v>22</v>
      </c>
      <c r="H2871" t="s">
        <v>5799</v>
      </c>
      <c r="I2871" t="s">
        <v>5800</v>
      </c>
      <c r="J2871" s="4">
        <v>46094.573709745368</v>
      </c>
    </row>
    <row r="2872" spans="1:10" x14ac:dyDescent="0.55000000000000004">
      <c r="A2872" t="s">
        <v>5801</v>
      </c>
      <c r="B2872">
        <v>101130</v>
      </c>
      <c r="C2872" t="s">
        <v>19</v>
      </c>
      <c r="D2872" s="3">
        <v>46077</v>
      </c>
      <c r="E2872" t="s">
        <v>317</v>
      </c>
      <c r="F2872" t="s">
        <v>5802</v>
      </c>
      <c r="G2872" t="s">
        <v>15</v>
      </c>
      <c r="H2872" t="s">
        <v>5803</v>
      </c>
      <c r="I2872" t="s">
        <v>5804</v>
      </c>
      <c r="J2872" s="4">
        <v>46062.041765300928</v>
      </c>
    </row>
    <row r="2873" spans="1:10" x14ac:dyDescent="0.55000000000000004">
      <c r="A2873" t="s">
        <v>5801</v>
      </c>
      <c r="B2873">
        <v>101130</v>
      </c>
      <c r="C2873" t="s">
        <v>19</v>
      </c>
      <c r="D2873" s="3">
        <v>46077</v>
      </c>
      <c r="E2873" t="s">
        <v>155</v>
      </c>
      <c r="F2873" t="s">
        <v>5802</v>
      </c>
      <c r="G2873" t="s">
        <v>15</v>
      </c>
      <c r="H2873" t="s">
        <v>5803</v>
      </c>
      <c r="I2873" t="s">
        <v>5804</v>
      </c>
      <c r="J2873" s="4">
        <v>46062.041765300928</v>
      </c>
    </row>
    <row r="2874" spans="1:10" x14ac:dyDescent="0.55000000000000004">
      <c r="A2874" t="s">
        <v>5801</v>
      </c>
      <c r="B2874">
        <v>101130</v>
      </c>
      <c r="C2874" t="s">
        <v>19</v>
      </c>
      <c r="D2874" s="3">
        <v>46077</v>
      </c>
      <c r="E2874" t="s">
        <v>115</v>
      </c>
      <c r="F2874" t="s">
        <v>5802</v>
      </c>
      <c r="G2874" t="s">
        <v>15</v>
      </c>
      <c r="H2874" t="s">
        <v>5803</v>
      </c>
      <c r="I2874" t="s">
        <v>5804</v>
      </c>
      <c r="J2874" s="4">
        <v>46062.041765300928</v>
      </c>
    </row>
    <row r="2875" spans="1:10" x14ac:dyDescent="0.55000000000000004">
      <c r="A2875" t="s">
        <v>5805</v>
      </c>
      <c r="B2875">
        <v>100161</v>
      </c>
      <c r="C2875" t="s">
        <v>533</v>
      </c>
      <c r="D2875" s="3">
        <v>45846</v>
      </c>
      <c r="E2875" t="s">
        <v>317</v>
      </c>
      <c r="F2875" t="s">
        <v>5806</v>
      </c>
      <c r="G2875" t="s">
        <v>22</v>
      </c>
      <c r="H2875" t="s">
        <v>5807</v>
      </c>
      <c r="I2875" t="s">
        <v>5808</v>
      </c>
      <c r="J2875" s="4">
        <v>46097.056348645834</v>
      </c>
    </row>
    <row r="2876" spans="1:10" x14ac:dyDescent="0.55000000000000004">
      <c r="A2876" t="s">
        <v>5805</v>
      </c>
      <c r="B2876">
        <v>100161</v>
      </c>
      <c r="C2876" t="s">
        <v>533</v>
      </c>
      <c r="D2876" s="3">
        <v>45846</v>
      </c>
      <c r="E2876" t="s">
        <v>20</v>
      </c>
      <c r="F2876" t="s">
        <v>5806</v>
      </c>
      <c r="G2876" t="s">
        <v>22</v>
      </c>
      <c r="H2876" t="s">
        <v>5807</v>
      </c>
      <c r="I2876" t="s">
        <v>5808</v>
      </c>
      <c r="J2876" s="4">
        <v>46097.056348645834</v>
      </c>
    </row>
    <row r="2877" spans="1:10" x14ac:dyDescent="0.55000000000000004">
      <c r="A2877" t="s">
        <v>5805</v>
      </c>
      <c r="B2877">
        <v>100161</v>
      </c>
      <c r="C2877" t="s">
        <v>533</v>
      </c>
      <c r="D2877" s="3">
        <v>45846</v>
      </c>
      <c r="E2877" t="s">
        <v>115</v>
      </c>
      <c r="F2877" t="s">
        <v>5806</v>
      </c>
      <c r="G2877" t="s">
        <v>22</v>
      </c>
      <c r="H2877" t="s">
        <v>5807</v>
      </c>
      <c r="I2877" t="s">
        <v>5808</v>
      </c>
      <c r="J2877" s="4">
        <v>46097.056348645834</v>
      </c>
    </row>
    <row r="2878" spans="1:10" x14ac:dyDescent="0.55000000000000004">
      <c r="A2878" t="s">
        <v>5809</v>
      </c>
      <c r="B2878">
        <v>100775</v>
      </c>
      <c r="C2878" t="s">
        <v>19</v>
      </c>
      <c r="D2878" s="3">
        <v>46084</v>
      </c>
      <c r="E2878" t="s">
        <v>155</v>
      </c>
      <c r="F2878" t="s">
        <v>5810</v>
      </c>
      <c r="G2878" t="s">
        <v>15</v>
      </c>
      <c r="H2878" t="s">
        <v>5811</v>
      </c>
      <c r="I2878" t="s">
        <v>5812</v>
      </c>
      <c r="J2878" s="4">
        <v>46097.528570868053</v>
      </c>
    </row>
    <row r="2879" spans="1:10" x14ac:dyDescent="0.55000000000000004">
      <c r="A2879" t="s">
        <v>5813</v>
      </c>
      <c r="B2879">
        <v>100255</v>
      </c>
      <c r="C2879" t="s">
        <v>19</v>
      </c>
      <c r="D2879" s="3">
        <v>45793</v>
      </c>
      <c r="E2879" t="s">
        <v>38</v>
      </c>
      <c r="F2879" t="s">
        <v>5814</v>
      </c>
      <c r="G2879" t="s">
        <v>15</v>
      </c>
      <c r="H2879" t="s">
        <v>5815</v>
      </c>
      <c r="I2879" t="s">
        <v>5816</v>
      </c>
      <c r="J2879" s="4">
        <v>46067.711209756948</v>
      </c>
    </row>
    <row r="2880" spans="1:10" x14ac:dyDescent="0.55000000000000004">
      <c r="A2880" t="s">
        <v>5813</v>
      </c>
      <c r="B2880">
        <v>100255</v>
      </c>
      <c r="C2880" t="s">
        <v>19</v>
      </c>
      <c r="D2880" s="3">
        <v>45793</v>
      </c>
      <c r="E2880" t="s">
        <v>155</v>
      </c>
      <c r="F2880" t="s">
        <v>5814</v>
      </c>
      <c r="G2880" t="s">
        <v>15</v>
      </c>
      <c r="H2880" t="s">
        <v>5815</v>
      </c>
      <c r="I2880" t="s">
        <v>5816</v>
      </c>
      <c r="J2880" s="4">
        <v>46067.711209756948</v>
      </c>
    </row>
    <row r="2881" spans="1:10" x14ac:dyDescent="0.55000000000000004">
      <c r="A2881" t="s">
        <v>5813</v>
      </c>
      <c r="B2881">
        <v>100255</v>
      </c>
      <c r="C2881" t="s">
        <v>19</v>
      </c>
      <c r="D2881" s="3">
        <v>45793</v>
      </c>
      <c r="E2881" t="s">
        <v>115</v>
      </c>
      <c r="F2881" t="s">
        <v>5814</v>
      </c>
      <c r="G2881" t="s">
        <v>15</v>
      </c>
      <c r="H2881" t="s">
        <v>5815</v>
      </c>
      <c r="I2881" t="s">
        <v>5816</v>
      </c>
      <c r="J2881" s="4">
        <v>46067.711209756948</v>
      </c>
    </row>
    <row r="2882" spans="1:10" x14ac:dyDescent="0.55000000000000004">
      <c r="A2882" t="s">
        <v>5817</v>
      </c>
      <c r="B2882">
        <v>101098</v>
      </c>
      <c r="C2882" t="s">
        <v>19</v>
      </c>
      <c r="D2882" s="3">
        <v>45959</v>
      </c>
      <c r="E2882" t="s">
        <v>317</v>
      </c>
      <c r="F2882" t="s">
        <v>5818</v>
      </c>
      <c r="G2882" t="s">
        <v>22</v>
      </c>
      <c r="H2882" t="s">
        <v>5819</v>
      </c>
      <c r="I2882" t="s">
        <v>5820</v>
      </c>
      <c r="J2882" s="4">
        <v>46072.058431990743</v>
      </c>
    </row>
    <row r="2883" spans="1:10" x14ac:dyDescent="0.55000000000000004">
      <c r="A2883" t="s">
        <v>5817</v>
      </c>
      <c r="B2883">
        <v>101098</v>
      </c>
      <c r="C2883" t="s">
        <v>19</v>
      </c>
      <c r="D2883" s="3">
        <v>45959</v>
      </c>
      <c r="E2883" t="s">
        <v>155</v>
      </c>
      <c r="F2883" t="s">
        <v>5818</v>
      </c>
      <c r="G2883" t="s">
        <v>22</v>
      </c>
      <c r="H2883" t="s">
        <v>5819</v>
      </c>
      <c r="I2883" t="s">
        <v>5820</v>
      </c>
      <c r="J2883" s="4">
        <v>46072.058431990743</v>
      </c>
    </row>
    <row r="2884" spans="1:10" x14ac:dyDescent="0.55000000000000004">
      <c r="A2884" t="s">
        <v>5821</v>
      </c>
      <c r="B2884">
        <v>100940</v>
      </c>
      <c r="C2884" t="s">
        <v>533</v>
      </c>
      <c r="D2884" s="3">
        <v>46151</v>
      </c>
      <c r="E2884" t="s">
        <v>38</v>
      </c>
      <c r="F2884" t="s">
        <v>5822</v>
      </c>
      <c r="G2884" t="s">
        <v>22</v>
      </c>
      <c r="H2884" t="s">
        <v>5823</v>
      </c>
      <c r="I2884" t="s">
        <v>5824</v>
      </c>
      <c r="J2884" s="4">
        <v>46057.777181990743</v>
      </c>
    </row>
    <row r="2885" spans="1:10" x14ac:dyDescent="0.55000000000000004">
      <c r="A2885" t="s">
        <v>5825</v>
      </c>
      <c r="B2885">
        <v>100088</v>
      </c>
      <c r="C2885" t="s">
        <v>179</v>
      </c>
      <c r="D2885" s="3">
        <v>46068</v>
      </c>
      <c r="E2885" t="s">
        <v>155</v>
      </c>
      <c r="F2885" t="s">
        <v>5826</v>
      </c>
      <c r="G2885" t="s">
        <v>15</v>
      </c>
      <c r="H2885" t="s">
        <v>5827</v>
      </c>
      <c r="I2885" t="s">
        <v>5828</v>
      </c>
      <c r="J2885" s="4">
        <v>46086.544543113429</v>
      </c>
    </row>
    <row r="2886" spans="1:10" x14ac:dyDescent="0.55000000000000004">
      <c r="A2886" t="s">
        <v>5825</v>
      </c>
      <c r="B2886">
        <v>100088</v>
      </c>
      <c r="C2886" t="s">
        <v>179</v>
      </c>
      <c r="D2886" s="3">
        <v>46068</v>
      </c>
      <c r="E2886" t="s">
        <v>115</v>
      </c>
      <c r="F2886" t="s">
        <v>5826</v>
      </c>
      <c r="G2886" t="s">
        <v>15</v>
      </c>
      <c r="H2886" t="s">
        <v>5827</v>
      </c>
      <c r="I2886" t="s">
        <v>5828</v>
      </c>
      <c r="J2886" s="4">
        <v>46086.544543113429</v>
      </c>
    </row>
    <row r="2887" spans="1:10" x14ac:dyDescent="0.55000000000000004">
      <c r="A2887" t="s">
        <v>5825</v>
      </c>
      <c r="B2887">
        <v>100088</v>
      </c>
      <c r="C2887" t="s">
        <v>179</v>
      </c>
      <c r="D2887" s="3">
        <v>46068</v>
      </c>
      <c r="E2887" t="s">
        <v>69</v>
      </c>
      <c r="F2887" t="s">
        <v>5826</v>
      </c>
      <c r="G2887" t="s">
        <v>15</v>
      </c>
      <c r="H2887" t="s">
        <v>5827</v>
      </c>
      <c r="I2887" t="s">
        <v>5828</v>
      </c>
      <c r="J2887" s="4">
        <v>46086.544543113429</v>
      </c>
    </row>
    <row r="2888" spans="1:10" x14ac:dyDescent="0.55000000000000004">
      <c r="A2888" t="s">
        <v>5829</v>
      </c>
      <c r="B2888">
        <v>100541</v>
      </c>
      <c r="C2888" t="s">
        <v>248</v>
      </c>
      <c r="D2888" s="3">
        <v>45819</v>
      </c>
      <c r="E2888" t="s">
        <v>317</v>
      </c>
      <c r="F2888" t="s">
        <v>5830</v>
      </c>
      <c r="G2888" t="s">
        <v>22</v>
      </c>
      <c r="H2888" t="s">
        <v>5831</v>
      </c>
      <c r="I2888" t="s">
        <v>5832</v>
      </c>
      <c r="J2888" s="4">
        <v>46067.33412644676</v>
      </c>
    </row>
    <row r="2889" spans="1:10" x14ac:dyDescent="0.55000000000000004">
      <c r="A2889" t="s">
        <v>5829</v>
      </c>
      <c r="B2889">
        <v>100541</v>
      </c>
      <c r="C2889" t="s">
        <v>248</v>
      </c>
      <c r="D2889" s="3">
        <v>45819</v>
      </c>
      <c r="E2889" t="s">
        <v>38</v>
      </c>
      <c r="F2889" t="s">
        <v>5830</v>
      </c>
      <c r="G2889" t="s">
        <v>22</v>
      </c>
      <c r="H2889" t="s">
        <v>5831</v>
      </c>
      <c r="I2889" t="s">
        <v>5832</v>
      </c>
      <c r="J2889" s="4">
        <v>46067.33412644676</v>
      </c>
    </row>
    <row r="2890" spans="1:10" x14ac:dyDescent="0.55000000000000004">
      <c r="A2890" t="s">
        <v>5829</v>
      </c>
      <c r="B2890">
        <v>100541</v>
      </c>
      <c r="C2890" t="s">
        <v>248</v>
      </c>
      <c r="D2890" s="3">
        <v>45819</v>
      </c>
      <c r="E2890" t="s">
        <v>115</v>
      </c>
      <c r="F2890" t="s">
        <v>5830</v>
      </c>
      <c r="G2890" t="s">
        <v>22</v>
      </c>
      <c r="H2890" t="s">
        <v>5831</v>
      </c>
      <c r="I2890" t="s">
        <v>5832</v>
      </c>
      <c r="J2890" s="4">
        <v>46067.33412644676</v>
      </c>
    </row>
    <row r="2891" spans="1:10" x14ac:dyDescent="0.55000000000000004">
      <c r="A2891" t="s">
        <v>5833</v>
      </c>
      <c r="B2891">
        <v>101236</v>
      </c>
      <c r="C2891" t="s">
        <v>68</v>
      </c>
      <c r="D2891" s="3">
        <v>46073</v>
      </c>
      <c r="E2891" t="s">
        <v>38</v>
      </c>
      <c r="F2891" t="s">
        <v>5834</v>
      </c>
      <c r="G2891" t="s">
        <v>22</v>
      </c>
      <c r="H2891" t="s">
        <v>5835</v>
      </c>
      <c r="I2891" t="s">
        <v>5836</v>
      </c>
      <c r="J2891" s="4">
        <v>46073.796626446761</v>
      </c>
    </row>
    <row r="2892" spans="1:10" x14ac:dyDescent="0.55000000000000004">
      <c r="A2892" t="s">
        <v>5837</v>
      </c>
      <c r="B2892">
        <v>100704</v>
      </c>
      <c r="C2892" t="s">
        <v>248</v>
      </c>
      <c r="D2892" s="3">
        <v>45932</v>
      </c>
      <c r="E2892" t="s">
        <v>317</v>
      </c>
      <c r="F2892" t="s">
        <v>5838</v>
      </c>
      <c r="G2892" t="s">
        <v>22</v>
      </c>
      <c r="H2892" t="s">
        <v>5839</v>
      </c>
      <c r="I2892" t="s">
        <v>5840</v>
      </c>
      <c r="J2892" s="4">
        <v>46071.141765347224</v>
      </c>
    </row>
    <row r="2893" spans="1:10" x14ac:dyDescent="0.55000000000000004">
      <c r="A2893" t="s">
        <v>5837</v>
      </c>
      <c r="B2893">
        <v>100704</v>
      </c>
      <c r="C2893" t="s">
        <v>248</v>
      </c>
      <c r="D2893" s="3">
        <v>45932</v>
      </c>
      <c r="E2893" t="s">
        <v>155</v>
      </c>
      <c r="F2893" t="s">
        <v>5838</v>
      </c>
      <c r="G2893" t="s">
        <v>22</v>
      </c>
      <c r="H2893" t="s">
        <v>5839</v>
      </c>
      <c r="I2893" t="s">
        <v>5840</v>
      </c>
      <c r="J2893" s="4">
        <v>46071.141765347224</v>
      </c>
    </row>
    <row r="2894" spans="1:10" x14ac:dyDescent="0.55000000000000004">
      <c r="A2894" t="s">
        <v>5841</v>
      </c>
      <c r="B2894">
        <v>100735</v>
      </c>
      <c r="C2894" t="s">
        <v>533</v>
      </c>
      <c r="D2894" s="3">
        <v>45746</v>
      </c>
      <c r="E2894" t="s">
        <v>155</v>
      </c>
      <c r="F2894" t="s">
        <v>5842</v>
      </c>
      <c r="G2894" t="s">
        <v>22</v>
      </c>
      <c r="H2894" t="s">
        <v>5843</v>
      </c>
      <c r="I2894" t="s">
        <v>5844</v>
      </c>
      <c r="J2894" s="4">
        <v>46096.920932013891</v>
      </c>
    </row>
    <row r="2895" spans="1:10" x14ac:dyDescent="0.55000000000000004">
      <c r="A2895" t="s">
        <v>5841</v>
      </c>
      <c r="B2895">
        <v>100735</v>
      </c>
      <c r="C2895" t="s">
        <v>533</v>
      </c>
      <c r="D2895" s="3">
        <v>45746</v>
      </c>
      <c r="E2895" t="s">
        <v>69</v>
      </c>
      <c r="F2895" t="s">
        <v>5842</v>
      </c>
      <c r="G2895" t="s">
        <v>22</v>
      </c>
      <c r="H2895" t="s">
        <v>5843</v>
      </c>
      <c r="I2895" t="s">
        <v>5844</v>
      </c>
      <c r="J2895" s="4">
        <v>46096.920932013891</v>
      </c>
    </row>
    <row r="2896" spans="1:10" x14ac:dyDescent="0.55000000000000004">
      <c r="A2896" t="s">
        <v>5845</v>
      </c>
      <c r="B2896">
        <v>100198</v>
      </c>
      <c r="C2896" t="s">
        <v>68</v>
      </c>
      <c r="D2896" s="3">
        <v>45749</v>
      </c>
      <c r="E2896" t="s">
        <v>317</v>
      </c>
      <c r="F2896" t="s">
        <v>5846</v>
      </c>
      <c r="G2896" t="s">
        <v>15</v>
      </c>
      <c r="H2896" t="s">
        <v>5847</v>
      </c>
      <c r="I2896" t="s">
        <v>5848</v>
      </c>
      <c r="J2896" s="4">
        <v>46075.548015347224</v>
      </c>
    </row>
    <row r="2897" spans="1:10" x14ac:dyDescent="0.55000000000000004">
      <c r="A2897" t="s">
        <v>5845</v>
      </c>
      <c r="B2897">
        <v>100198</v>
      </c>
      <c r="C2897" t="s">
        <v>68</v>
      </c>
      <c r="D2897" s="3">
        <v>45749</v>
      </c>
      <c r="E2897" t="s">
        <v>38</v>
      </c>
      <c r="F2897" t="s">
        <v>5846</v>
      </c>
      <c r="G2897" t="s">
        <v>15</v>
      </c>
      <c r="H2897" t="s">
        <v>5847</v>
      </c>
      <c r="I2897" t="s">
        <v>5848</v>
      </c>
      <c r="J2897" s="4">
        <v>46075.548015347224</v>
      </c>
    </row>
    <row r="2898" spans="1:10" x14ac:dyDescent="0.55000000000000004">
      <c r="A2898" t="s">
        <v>5845</v>
      </c>
      <c r="B2898">
        <v>100198</v>
      </c>
      <c r="C2898" t="s">
        <v>68</v>
      </c>
      <c r="D2898" s="3">
        <v>45749</v>
      </c>
      <c r="E2898" t="s">
        <v>69</v>
      </c>
      <c r="F2898" t="s">
        <v>5846</v>
      </c>
      <c r="G2898" t="s">
        <v>15</v>
      </c>
      <c r="H2898" t="s">
        <v>5847</v>
      </c>
      <c r="I2898" t="s">
        <v>5848</v>
      </c>
      <c r="J2898" s="4">
        <v>46075.548015347224</v>
      </c>
    </row>
    <row r="2899" spans="1:10" x14ac:dyDescent="0.55000000000000004">
      <c r="A2899" t="s">
        <v>5849</v>
      </c>
      <c r="B2899">
        <v>100778</v>
      </c>
      <c r="C2899" t="s">
        <v>179</v>
      </c>
      <c r="D2899" s="3">
        <v>46102</v>
      </c>
      <c r="E2899" t="s">
        <v>20</v>
      </c>
      <c r="F2899" t="s">
        <v>5850</v>
      </c>
      <c r="G2899" t="s">
        <v>15</v>
      </c>
      <c r="H2899" t="s">
        <v>5851</v>
      </c>
      <c r="I2899" t="s">
        <v>5852</v>
      </c>
      <c r="J2899" s="4">
        <v>46075.034126469909</v>
      </c>
    </row>
    <row r="2900" spans="1:10" x14ac:dyDescent="0.55000000000000004">
      <c r="A2900" t="s">
        <v>5849</v>
      </c>
      <c r="B2900">
        <v>100778</v>
      </c>
      <c r="C2900" t="s">
        <v>179</v>
      </c>
      <c r="D2900" s="3">
        <v>46102</v>
      </c>
      <c r="E2900" t="s">
        <v>155</v>
      </c>
      <c r="F2900" t="s">
        <v>5850</v>
      </c>
      <c r="G2900" t="s">
        <v>15</v>
      </c>
      <c r="H2900" t="s">
        <v>5851</v>
      </c>
      <c r="I2900" t="s">
        <v>5852</v>
      </c>
      <c r="J2900" s="4">
        <v>46075.034126469909</v>
      </c>
    </row>
    <row r="2901" spans="1:10" x14ac:dyDescent="0.55000000000000004">
      <c r="A2901" t="s">
        <v>5853</v>
      </c>
      <c r="B2901">
        <v>100189</v>
      </c>
      <c r="C2901" t="s">
        <v>19</v>
      </c>
      <c r="D2901" s="3">
        <v>45839</v>
      </c>
      <c r="E2901" t="s">
        <v>317</v>
      </c>
      <c r="F2901" t="s">
        <v>5854</v>
      </c>
      <c r="G2901" t="s">
        <v>22</v>
      </c>
      <c r="H2901" t="s">
        <v>5855</v>
      </c>
      <c r="I2901" t="s">
        <v>5856</v>
      </c>
      <c r="J2901" s="4">
        <v>46065.657043136576</v>
      </c>
    </row>
    <row r="2902" spans="1:10" x14ac:dyDescent="0.55000000000000004">
      <c r="A2902" t="s">
        <v>5853</v>
      </c>
      <c r="B2902">
        <v>100189</v>
      </c>
      <c r="C2902" t="s">
        <v>19</v>
      </c>
      <c r="D2902" s="3">
        <v>45839</v>
      </c>
      <c r="E2902" t="s">
        <v>38</v>
      </c>
      <c r="F2902" t="s">
        <v>5854</v>
      </c>
      <c r="G2902" t="s">
        <v>22</v>
      </c>
      <c r="H2902" t="s">
        <v>5855</v>
      </c>
      <c r="I2902" t="s">
        <v>5856</v>
      </c>
      <c r="J2902" s="4">
        <v>46065.657043136576</v>
      </c>
    </row>
    <row r="2903" spans="1:10" x14ac:dyDescent="0.55000000000000004">
      <c r="A2903" t="s">
        <v>5857</v>
      </c>
      <c r="B2903">
        <v>101492</v>
      </c>
      <c r="C2903" t="s">
        <v>533</v>
      </c>
      <c r="D2903" s="3">
        <v>46067</v>
      </c>
      <c r="E2903" t="s">
        <v>20</v>
      </c>
      <c r="F2903" t="s">
        <v>5858</v>
      </c>
      <c r="G2903" t="s">
        <v>22</v>
      </c>
      <c r="H2903" t="s">
        <v>5859</v>
      </c>
      <c r="I2903" t="s">
        <v>5860</v>
      </c>
      <c r="J2903" s="4">
        <v>46068.547320914353</v>
      </c>
    </row>
    <row r="2904" spans="1:10" x14ac:dyDescent="0.55000000000000004">
      <c r="A2904" t="s">
        <v>5861</v>
      </c>
      <c r="B2904">
        <v>100689</v>
      </c>
      <c r="C2904" t="s">
        <v>248</v>
      </c>
      <c r="D2904" s="3">
        <v>46133</v>
      </c>
      <c r="E2904" t="s">
        <v>20</v>
      </c>
      <c r="F2904" t="s">
        <v>5862</v>
      </c>
      <c r="G2904" t="s">
        <v>22</v>
      </c>
      <c r="H2904" t="s">
        <v>5863</v>
      </c>
      <c r="I2904" t="s">
        <v>5864</v>
      </c>
      <c r="J2904" s="4">
        <v>46073.075098703703</v>
      </c>
    </row>
    <row r="2905" spans="1:10" x14ac:dyDescent="0.55000000000000004">
      <c r="A2905" t="s">
        <v>5861</v>
      </c>
      <c r="B2905">
        <v>100689</v>
      </c>
      <c r="C2905" t="s">
        <v>248</v>
      </c>
      <c r="D2905" s="3">
        <v>46133</v>
      </c>
      <c r="E2905" t="s">
        <v>155</v>
      </c>
      <c r="F2905" t="s">
        <v>5862</v>
      </c>
      <c r="G2905" t="s">
        <v>22</v>
      </c>
      <c r="H2905" t="s">
        <v>5863</v>
      </c>
      <c r="I2905" t="s">
        <v>5864</v>
      </c>
      <c r="J2905" s="4">
        <v>46073.075098703703</v>
      </c>
    </row>
    <row r="2906" spans="1:10" x14ac:dyDescent="0.55000000000000004">
      <c r="A2906" t="s">
        <v>5861</v>
      </c>
      <c r="B2906">
        <v>100689</v>
      </c>
      <c r="C2906" t="s">
        <v>248</v>
      </c>
      <c r="D2906" s="3">
        <v>46133</v>
      </c>
      <c r="E2906" t="s">
        <v>69</v>
      </c>
      <c r="F2906" t="s">
        <v>5862</v>
      </c>
      <c r="G2906" t="s">
        <v>22</v>
      </c>
      <c r="H2906" t="s">
        <v>5863</v>
      </c>
      <c r="I2906" t="s">
        <v>5864</v>
      </c>
      <c r="J2906" s="4">
        <v>46073.075098703703</v>
      </c>
    </row>
    <row r="2907" spans="1:10" x14ac:dyDescent="0.55000000000000004">
      <c r="A2907" t="s">
        <v>5865</v>
      </c>
      <c r="B2907">
        <v>100440</v>
      </c>
      <c r="C2907" t="s">
        <v>19</v>
      </c>
      <c r="D2907" s="3">
        <v>46069</v>
      </c>
      <c r="E2907" t="s">
        <v>38</v>
      </c>
      <c r="F2907" t="s">
        <v>2249</v>
      </c>
      <c r="G2907" t="s">
        <v>22</v>
      </c>
      <c r="H2907" t="s">
        <v>5866</v>
      </c>
      <c r="I2907" t="s">
        <v>5867</v>
      </c>
      <c r="J2907" s="4">
        <v>46088.753570925925</v>
      </c>
    </row>
    <row r="2908" spans="1:10" x14ac:dyDescent="0.55000000000000004">
      <c r="A2908" t="s">
        <v>5868</v>
      </c>
      <c r="B2908">
        <v>100318</v>
      </c>
      <c r="C2908" t="s">
        <v>68</v>
      </c>
      <c r="D2908" s="3">
        <v>46033</v>
      </c>
      <c r="E2908" t="s">
        <v>38</v>
      </c>
      <c r="F2908" t="s">
        <v>5869</v>
      </c>
      <c r="G2908" t="s">
        <v>15</v>
      </c>
      <c r="H2908" t="s">
        <v>5870</v>
      </c>
      <c r="I2908" t="s">
        <v>5871</v>
      </c>
      <c r="J2908" s="4">
        <v>46095.704265381944</v>
      </c>
    </row>
    <row r="2909" spans="1:10" x14ac:dyDescent="0.55000000000000004">
      <c r="A2909" t="s">
        <v>5868</v>
      </c>
      <c r="B2909">
        <v>100318</v>
      </c>
      <c r="C2909" t="s">
        <v>68</v>
      </c>
      <c r="D2909" s="3">
        <v>46033</v>
      </c>
      <c r="E2909" t="s">
        <v>20</v>
      </c>
      <c r="F2909" t="s">
        <v>5869</v>
      </c>
      <c r="G2909" t="s">
        <v>15</v>
      </c>
      <c r="H2909" t="s">
        <v>5870</v>
      </c>
      <c r="I2909" t="s">
        <v>5871</v>
      </c>
      <c r="J2909" s="4">
        <v>46095.704265381944</v>
      </c>
    </row>
    <row r="2910" spans="1:10" x14ac:dyDescent="0.55000000000000004">
      <c r="A2910" t="s">
        <v>5868</v>
      </c>
      <c r="B2910">
        <v>100318</v>
      </c>
      <c r="C2910" t="s">
        <v>68</v>
      </c>
      <c r="D2910" s="3">
        <v>46033</v>
      </c>
      <c r="E2910" t="s">
        <v>69</v>
      </c>
      <c r="F2910" t="s">
        <v>5869</v>
      </c>
      <c r="G2910" t="s">
        <v>15</v>
      </c>
      <c r="H2910" t="s">
        <v>5870</v>
      </c>
      <c r="I2910" t="s">
        <v>5871</v>
      </c>
      <c r="J2910" s="4">
        <v>46095.704265381944</v>
      </c>
    </row>
    <row r="2911" spans="1:10" x14ac:dyDescent="0.55000000000000004">
      <c r="A2911" t="s">
        <v>5872</v>
      </c>
      <c r="B2911">
        <v>101468</v>
      </c>
      <c r="C2911" t="s">
        <v>533</v>
      </c>
      <c r="D2911" s="3">
        <v>45850</v>
      </c>
      <c r="E2911" t="s">
        <v>317</v>
      </c>
      <c r="F2911" t="s">
        <v>5873</v>
      </c>
      <c r="G2911" t="s">
        <v>15</v>
      </c>
      <c r="H2911" t="s">
        <v>5874</v>
      </c>
      <c r="I2911" t="s">
        <v>5875</v>
      </c>
      <c r="J2911" s="4">
        <v>46065.779959826388</v>
      </c>
    </row>
    <row r="2912" spans="1:10" x14ac:dyDescent="0.55000000000000004">
      <c r="A2912" t="s">
        <v>5876</v>
      </c>
      <c r="B2912">
        <v>100696</v>
      </c>
      <c r="C2912" t="s">
        <v>19</v>
      </c>
      <c r="D2912" s="3">
        <v>45897</v>
      </c>
      <c r="E2912" t="s">
        <v>317</v>
      </c>
      <c r="F2912" t="s">
        <v>5877</v>
      </c>
      <c r="G2912" t="s">
        <v>15</v>
      </c>
      <c r="H2912" t="s">
        <v>5878</v>
      </c>
      <c r="I2912" t="s">
        <v>5879</v>
      </c>
      <c r="J2912" s="4">
        <v>46091.498709826388</v>
      </c>
    </row>
    <row r="2913" spans="1:10" x14ac:dyDescent="0.55000000000000004">
      <c r="A2913" t="s">
        <v>5880</v>
      </c>
      <c r="B2913">
        <v>100865</v>
      </c>
      <c r="C2913" t="s">
        <v>179</v>
      </c>
      <c r="D2913" s="3">
        <v>46118</v>
      </c>
      <c r="E2913" t="s">
        <v>317</v>
      </c>
      <c r="F2913" t="s">
        <v>5881</v>
      </c>
      <c r="G2913" t="s">
        <v>22</v>
      </c>
      <c r="H2913" t="s">
        <v>5882</v>
      </c>
      <c r="I2913" t="s">
        <v>5883</v>
      </c>
      <c r="J2913" s="4">
        <v>46090.69315428241</v>
      </c>
    </row>
    <row r="2914" spans="1:10" x14ac:dyDescent="0.55000000000000004">
      <c r="A2914" t="s">
        <v>5880</v>
      </c>
      <c r="B2914">
        <v>100865</v>
      </c>
      <c r="C2914" t="s">
        <v>179</v>
      </c>
      <c r="D2914" s="3">
        <v>46118</v>
      </c>
      <c r="E2914" t="s">
        <v>155</v>
      </c>
      <c r="F2914" t="s">
        <v>5881</v>
      </c>
      <c r="G2914" t="s">
        <v>22</v>
      </c>
      <c r="H2914" t="s">
        <v>5882</v>
      </c>
      <c r="I2914" t="s">
        <v>5883</v>
      </c>
      <c r="J2914" s="4">
        <v>46090.69315428241</v>
      </c>
    </row>
    <row r="2915" spans="1:10" x14ac:dyDescent="0.55000000000000004">
      <c r="A2915" t="s">
        <v>5884</v>
      </c>
      <c r="B2915">
        <v>101429</v>
      </c>
      <c r="C2915" t="s">
        <v>37</v>
      </c>
      <c r="D2915" s="3">
        <v>45958</v>
      </c>
      <c r="E2915" t="s">
        <v>38</v>
      </c>
      <c r="F2915" t="s">
        <v>5885</v>
      </c>
      <c r="G2915" t="s">
        <v>15</v>
      </c>
      <c r="H2915" t="s">
        <v>5886</v>
      </c>
      <c r="I2915" t="s">
        <v>5887</v>
      </c>
      <c r="J2915" s="4">
        <v>46077.593154282411</v>
      </c>
    </row>
    <row r="2916" spans="1:10" x14ac:dyDescent="0.55000000000000004">
      <c r="A2916" t="s">
        <v>5884</v>
      </c>
      <c r="B2916">
        <v>101429</v>
      </c>
      <c r="C2916" t="s">
        <v>37</v>
      </c>
      <c r="D2916" s="3">
        <v>45958</v>
      </c>
      <c r="E2916" t="s">
        <v>155</v>
      </c>
      <c r="F2916" t="s">
        <v>5885</v>
      </c>
      <c r="G2916" t="s">
        <v>15</v>
      </c>
      <c r="H2916" t="s">
        <v>5886</v>
      </c>
      <c r="I2916" t="s">
        <v>5887</v>
      </c>
      <c r="J2916" s="4">
        <v>46077.593154282411</v>
      </c>
    </row>
    <row r="2917" spans="1:10" x14ac:dyDescent="0.55000000000000004">
      <c r="A2917" t="s">
        <v>5888</v>
      </c>
      <c r="B2917">
        <v>100326</v>
      </c>
      <c r="C2917" t="s">
        <v>179</v>
      </c>
      <c r="D2917" s="3">
        <v>45925</v>
      </c>
      <c r="E2917" t="s">
        <v>317</v>
      </c>
      <c r="F2917" t="s">
        <v>5889</v>
      </c>
      <c r="G2917" t="s">
        <v>15</v>
      </c>
      <c r="H2917" t="s">
        <v>5890</v>
      </c>
      <c r="I2917" t="s">
        <v>5891</v>
      </c>
      <c r="J2917" s="4">
        <v>46085.386904282408</v>
      </c>
    </row>
    <row r="2918" spans="1:10" x14ac:dyDescent="0.55000000000000004">
      <c r="A2918" t="s">
        <v>5892</v>
      </c>
      <c r="B2918">
        <v>100013</v>
      </c>
      <c r="C2918" t="s">
        <v>19</v>
      </c>
      <c r="D2918" s="3">
        <v>45956</v>
      </c>
      <c r="E2918" t="s">
        <v>38</v>
      </c>
      <c r="F2918" t="s">
        <v>5893</v>
      </c>
      <c r="G2918" t="s">
        <v>15</v>
      </c>
      <c r="H2918" t="s">
        <v>5894</v>
      </c>
      <c r="I2918" t="s">
        <v>5895</v>
      </c>
      <c r="J2918" s="4">
        <v>46069.994543182867</v>
      </c>
    </row>
    <row r="2919" spans="1:10" x14ac:dyDescent="0.55000000000000004">
      <c r="A2919" t="s">
        <v>5892</v>
      </c>
      <c r="B2919">
        <v>100013</v>
      </c>
      <c r="C2919" t="s">
        <v>19</v>
      </c>
      <c r="D2919" s="3">
        <v>45956</v>
      </c>
      <c r="E2919" t="s">
        <v>20</v>
      </c>
      <c r="F2919" t="s">
        <v>5893</v>
      </c>
      <c r="G2919" t="s">
        <v>15</v>
      </c>
      <c r="H2919" t="s">
        <v>5894</v>
      </c>
      <c r="I2919" t="s">
        <v>5895</v>
      </c>
      <c r="J2919" s="4">
        <v>46069.994543182867</v>
      </c>
    </row>
    <row r="2920" spans="1:10" x14ac:dyDescent="0.55000000000000004">
      <c r="A2920" t="s">
        <v>5892</v>
      </c>
      <c r="B2920">
        <v>100013</v>
      </c>
      <c r="C2920" t="s">
        <v>19</v>
      </c>
      <c r="D2920" s="3">
        <v>45956</v>
      </c>
      <c r="E2920" t="s">
        <v>115</v>
      </c>
      <c r="F2920" t="s">
        <v>5893</v>
      </c>
      <c r="G2920" t="s">
        <v>15</v>
      </c>
      <c r="H2920" t="s">
        <v>5894</v>
      </c>
      <c r="I2920" t="s">
        <v>5895</v>
      </c>
      <c r="J2920" s="4">
        <v>46069.994543182867</v>
      </c>
    </row>
    <row r="2921" spans="1:10" x14ac:dyDescent="0.55000000000000004">
      <c r="A2921" t="s">
        <v>5896</v>
      </c>
      <c r="B2921">
        <v>100569</v>
      </c>
      <c r="C2921" t="s">
        <v>248</v>
      </c>
      <c r="D2921" s="3">
        <v>45776</v>
      </c>
      <c r="E2921" t="s">
        <v>317</v>
      </c>
      <c r="F2921" t="s">
        <v>5897</v>
      </c>
      <c r="G2921" t="s">
        <v>15</v>
      </c>
      <c r="H2921" t="s">
        <v>5898</v>
      </c>
      <c r="I2921" t="s">
        <v>5899</v>
      </c>
      <c r="J2921" s="4">
        <v>46089.738987627316</v>
      </c>
    </row>
    <row r="2922" spans="1:10" x14ac:dyDescent="0.55000000000000004">
      <c r="A2922" t="s">
        <v>5896</v>
      </c>
      <c r="B2922">
        <v>100569</v>
      </c>
      <c r="C2922" t="s">
        <v>248</v>
      </c>
      <c r="D2922" s="3">
        <v>45776</v>
      </c>
      <c r="E2922" t="s">
        <v>155</v>
      </c>
      <c r="F2922" t="s">
        <v>5897</v>
      </c>
      <c r="G2922" t="s">
        <v>15</v>
      </c>
      <c r="H2922" t="s">
        <v>5898</v>
      </c>
      <c r="I2922" t="s">
        <v>5899</v>
      </c>
      <c r="J2922" s="4">
        <v>46089.738987627316</v>
      </c>
    </row>
    <row r="2923" spans="1:10" x14ac:dyDescent="0.55000000000000004">
      <c r="A2923" t="s">
        <v>5896</v>
      </c>
      <c r="B2923">
        <v>100569</v>
      </c>
      <c r="C2923" t="s">
        <v>248</v>
      </c>
      <c r="D2923" s="3">
        <v>45776</v>
      </c>
      <c r="E2923" t="s">
        <v>115</v>
      </c>
      <c r="F2923" t="s">
        <v>5897</v>
      </c>
      <c r="G2923" t="s">
        <v>15</v>
      </c>
      <c r="H2923" t="s">
        <v>5898</v>
      </c>
      <c r="I2923" t="s">
        <v>5899</v>
      </c>
      <c r="J2923" s="4">
        <v>46089.738987627316</v>
      </c>
    </row>
    <row r="2924" spans="1:10" x14ac:dyDescent="0.55000000000000004">
      <c r="A2924" t="s">
        <v>5900</v>
      </c>
      <c r="B2924">
        <v>101206</v>
      </c>
      <c r="C2924" t="s">
        <v>68</v>
      </c>
      <c r="D2924" s="3">
        <v>46128</v>
      </c>
      <c r="E2924" t="s">
        <v>317</v>
      </c>
      <c r="F2924" t="s">
        <v>5901</v>
      </c>
      <c r="G2924" t="s">
        <v>15</v>
      </c>
      <c r="H2924" t="s">
        <v>5902</v>
      </c>
      <c r="I2924" t="s">
        <v>5903</v>
      </c>
      <c r="J2924" s="4">
        <v>46076.482737627317</v>
      </c>
    </row>
    <row r="2925" spans="1:10" x14ac:dyDescent="0.55000000000000004">
      <c r="A2925" t="s">
        <v>5900</v>
      </c>
      <c r="B2925">
        <v>101206</v>
      </c>
      <c r="C2925" t="s">
        <v>68</v>
      </c>
      <c r="D2925" s="3">
        <v>46128</v>
      </c>
      <c r="E2925" t="s">
        <v>38</v>
      </c>
      <c r="F2925" t="s">
        <v>5901</v>
      </c>
      <c r="G2925" t="s">
        <v>15</v>
      </c>
      <c r="H2925" t="s">
        <v>5902</v>
      </c>
      <c r="I2925" t="s">
        <v>5903</v>
      </c>
      <c r="J2925" s="4">
        <v>46076.482737627317</v>
      </c>
    </row>
    <row r="2926" spans="1:10" x14ac:dyDescent="0.55000000000000004">
      <c r="A2926" t="s">
        <v>5904</v>
      </c>
      <c r="B2926">
        <v>100919</v>
      </c>
      <c r="C2926" t="s">
        <v>19</v>
      </c>
      <c r="D2926" s="3">
        <v>45986</v>
      </c>
      <c r="E2926" t="s">
        <v>115</v>
      </c>
      <c r="F2926" t="s">
        <v>5905</v>
      </c>
      <c r="G2926" t="s">
        <v>22</v>
      </c>
      <c r="H2926" t="s">
        <v>5906</v>
      </c>
      <c r="I2926" t="s">
        <v>5907</v>
      </c>
      <c r="J2926" s="4">
        <v>46065.24523763889</v>
      </c>
    </row>
    <row r="2927" spans="1:10" x14ac:dyDescent="0.55000000000000004">
      <c r="A2927" t="s">
        <v>5908</v>
      </c>
      <c r="B2927">
        <v>100451</v>
      </c>
      <c r="C2927" t="s">
        <v>68</v>
      </c>
      <c r="D2927" s="3">
        <v>46048</v>
      </c>
      <c r="E2927" t="s">
        <v>155</v>
      </c>
      <c r="F2927" t="s">
        <v>5909</v>
      </c>
      <c r="G2927" t="s">
        <v>22</v>
      </c>
      <c r="H2927" t="s">
        <v>5910</v>
      </c>
      <c r="I2927" t="s">
        <v>5911</v>
      </c>
      <c r="J2927" s="4">
        <v>46057.211209861111</v>
      </c>
    </row>
    <row r="2928" spans="1:10" x14ac:dyDescent="0.55000000000000004">
      <c r="A2928" t="s">
        <v>5908</v>
      </c>
      <c r="B2928">
        <v>100451</v>
      </c>
      <c r="C2928" t="s">
        <v>68</v>
      </c>
      <c r="D2928" s="3">
        <v>46048</v>
      </c>
      <c r="E2928" t="s">
        <v>115</v>
      </c>
      <c r="F2928" t="s">
        <v>5909</v>
      </c>
      <c r="G2928" t="s">
        <v>22</v>
      </c>
      <c r="H2928" t="s">
        <v>5910</v>
      </c>
      <c r="I2928" t="s">
        <v>5911</v>
      </c>
      <c r="J2928" s="4">
        <v>46057.211209861111</v>
      </c>
    </row>
    <row r="2929" spans="1:10" x14ac:dyDescent="0.55000000000000004">
      <c r="A2929" t="s">
        <v>5908</v>
      </c>
      <c r="B2929">
        <v>100451</v>
      </c>
      <c r="C2929" t="s">
        <v>68</v>
      </c>
      <c r="D2929" s="3">
        <v>46048</v>
      </c>
      <c r="E2929" t="s">
        <v>69</v>
      </c>
      <c r="F2929" t="s">
        <v>5909</v>
      </c>
      <c r="G2929" t="s">
        <v>22</v>
      </c>
      <c r="H2929" t="s">
        <v>5910</v>
      </c>
      <c r="I2929" t="s">
        <v>5911</v>
      </c>
      <c r="J2929" s="4">
        <v>46057.211209861111</v>
      </c>
    </row>
    <row r="2930" spans="1:10" x14ac:dyDescent="0.55000000000000004">
      <c r="A2930" t="s">
        <v>5912</v>
      </c>
      <c r="B2930">
        <v>100859</v>
      </c>
      <c r="C2930" t="s">
        <v>37</v>
      </c>
      <c r="D2930" s="3">
        <v>46023</v>
      </c>
      <c r="E2930" t="s">
        <v>115</v>
      </c>
      <c r="F2930" t="s">
        <v>5913</v>
      </c>
      <c r="G2930" t="s">
        <v>22</v>
      </c>
      <c r="H2930" t="s">
        <v>5914</v>
      </c>
      <c r="I2930" t="s">
        <v>5915</v>
      </c>
      <c r="J2930" s="4">
        <v>46091.578570972219</v>
      </c>
    </row>
    <row r="2931" spans="1:10" x14ac:dyDescent="0.55000000000000004">
      <c r="A2931" t="s">
        <v>5916</v>
      </c>
      <c r="B2931">
        <v>101490</v>
      </c>
      <c r="C2931" t="s">
        <v>19</v>
      </c>
      <c r="D2931" s="3">
        <v>45850</v>
      </c>
      <c r="E2931" t="s">
        <v>38</v>
      </c>
      <c r="F2931" t="s">
        <v>5917</v>
      </c>
      <c r="G2931" t="s">
        <v>22</v>
      </c>
      <c r="H2931" t="s">
        <v>5918</v>
      </c>
      <c r="I2931" t="s">
        <v>5919</v>
      </c>
      <c r="J2931" s="4">
        <v>46096.427876539354</v>
      </c>
    </row>
    <row r="2932" spans="1:10" x14ac:dyDescent="0.55000000000000004">
      <c r="A2932" t="s">
        <v>5920</v>
      </c>
      <c r="B2932">
        <v>101436</v>
      </c>
      <c r="C2932" t="s">
        <v>68</v>
      </c>
      <c r="D2932" s="3">
        <v>46156</v>
      </c>
      <c r="E2932" t="s">
        <v>20</v>
      </c>
      <c r="F2932" t="s">
        <v>5921</v>
      </c>
      <c r="G2932" t="s">
        <v>15</v>
      </c>
      <c r="H2932" t="s">
        <v>5922</v>
      </c>
      <c r="I2932" t="s">
        <v>5923</v>
      </c>
      <c r="J2932" s="4">
        <v>46087.336904317126</v>
      </c>
    </row>
    <row r="2933" spans="1:10" x14ac:dyDescent="0.55000000000000004">
      <c r="A2933" t="s">
        <v>5920</v>
      </c>
      <c r="B2933">
        <v>101436</v>
      </c>
      <c r="C2933" t="s">
        <v>68</v>
      </c>
      <c r="D2933" s="3">
        <v>46156</v>
      </c>
      <c r="E2933" t="s">
        <v>69</v>
      </c>
      <c r="F2933" t="s">
        <v>5921</v>
      </c>
      <c r="G2933" t="s">
        <v>15</v>
      </c>
      <c r="H2933" t="s">
        <v>5922</v>
      </c>
      <c r="I2933" t="s">
        <v>5923</v>
      </c>
      <c r="J2933" s="4">
        <v>46087.336904317126</v>
      </c>
    </row>
    <row r="2934" spans="1:10" x14ac:dyDescent="0.55000000000000004">
      <c r="A2934" t="s">
        <v>5924</v>
      </c>
      <c r="B2934">
        <v>101330</v>
      </c>
      <c r="C2934" t="s">
        <v>37</v>
      </c>
      <c r="D2934" s="3">
        <v>46005</v>
      </c>
      <c r="E2934" t="s">
        <v>38</v>
      </c>
      <c r="F2934" t="s">
        <v>4286</v>
      </c>
      <c r="G2934" t="s">
        <v>22</v>
      </c>
      <c r="H2934" t="s">
        <v>5925</v>
      </c>
      <c r="I2934" t="s">
        <v>5926</v>
      </c>
      <c r="J2934" s="4">
        <v>46058.665376550925</v>
      </c>
    </row>
    <row r="2935" spans="1:10" x14ac:dyDescent="0.55000000000000004">
      <c r="A2935" t="s">
        <v>5924</v>
      </c>
      <c r="B2935">
        <v>101330</v>
      </c>
      <c r="C2935" t="s">
        <v>37</v>
      </c>
      <c r="D2935" s="3">
        <v>46005</v>
      </c>
      <c r="E2935" t="s">
        <v>20</v>
      </c>
      <c r="F2935" t="s">
        <v>4286</v>
      </c>
      <c r="G2935" t="s">
        <v>22</v>
      </c>
      <c r="H2935" t="s">
        <v>5925</v>
      </c>
      <c r="I2935" t="s">
        <v>5926</v>
      </c>
      <c r="J2935" s="4">
        <v>46058.665376550925</v>
      </c>
    </row>
    <row r="2936" spans="1:10" x14ac:dyDescent="0.55000000000000004">
      <c r="A2936" t="s">
        <v>5924</v>
      </c>
      <c r="B2936">
        <v>101330</v>
      </c>
      <c r="C2936" t="s">
        <v>37</v>
      </c>
      <c r="D2936" s="3">
        <v>46005</v>
      </c>
      <c r="E2936" t="s">
        <v>115</v>
      </c>
      <c r="F2936" t="s">
        <v>4286</v>
      </c>
      <c r="G2936" t="s">
        <v>22</v>
      </c>
      <c r="H2936" t="s">
        <v>5925</v>
      </c>
      <c r="I2936" t="s">
        <v>5926</v>
      </c>
      <c r="J2936" s="4">
        <v>46058.665376550925</v>
      </c>
    </row>
    <row r="2937" spans="1:10" x14ac:dyDescent="0.55000000000000004">
      <c r="A2937" t="s">
        <v>5927</v>
      </c>
      <c r="B2937">
        <v>101466</v>
      </c>
      <c r="C2937" t="s">
        <v>19</v>
      </c>
      <c r="D2937" s="3">
        <v>46089</v>
      </c>
      <c r="E2937" t="s">
        <v>38</v>
      </c>
      <c r="F2937" t="s">
        <v>5928</v>
      </c>
      <c r="G2937" t="s">
        <v>22</v>
      </c>
      <c r="H2937" t="s">
        <v>5929</v>
      </c>
      <c r="I2937" t="s">
        <v>5930</v>
      </c>
      <c r="J2937" s="4">
        <v>46080.81745988426</v>
      </c>
    </row>
    <row r="2938" spans="1:10" x14ac:dyDescent="0.55000000000000004">
      <c r="A2938" t="s">
        <v>5931</v>
      </c>
      <c r="B2938">
        <v>100407</v>
      </c>
      <c r="C2938" t="s">
        <v>37</v>
      </c>
      <c r="D2938" s="3">
        <v>45748</v>
      </c>
      <c r="E2938" t="s">
        <v>20</v>
      </c>
      <c r="F2938" t="s">
        <v>5932</v>
      </c>
      <c r="G2938" t="s">
        <v>15</v>
      </c>
      <c r="H2938" t="s">
        <v>5933</v>
      </c>
      <c r="I2938" t="s">
        <v>5934</v>
      </c>
      <c r="J2938" s="4">
        <v>46076.661904328706</v>
      </c>
    </row>
    <row r="2939" spans="1:10" x14ac:dyDescent="0.55000000000000004">
      <c r="A2939" t="s">
        <v>5931</v>
      </c>
      <c r="B2939">
        <v>100407</v>
      </c>
      <c r="C2939" t="s">
        <v>37</v>
      </c>
      <c r="D2939" s="3">
        <v>45748</v>
      </c>
      <c r="E2939" t="s">
        <v>69</v>
      </c>
      <c r="F2939" t="s">
        <v>5932</v>
      </c>
      <c r="G2939" t="s">
        <v>15</v>
      </c>
      <c r="H2939" t="s">
        <v>5933</v>
      </c>
      <c r="I2939" t="s">
        <v>5934</v>
      </c>
      <c r="J2939" s="4">
        <v>46076.661904328706</v>
      </c>
    </row>
    <row r="2940" spans="1:10" x14ac:dyDescent="0.55000000000000004">
      <c r="A2940" t="s">
        <v>5935</v>
      </c>
      <c r="B2940">
        <v>101149</v>
      </c>
      <c r="C2940" t="s">
        <v>533</v>
      </c>
      <c r="D2940" s="3">
        <v>45836</v>
      </c>
      <c r="E2940" t="s">
        <v>317</v>
      </c>
      <c r="F2940" t="s">
        <v>5936</v>
      </c>
      <c r="G2940" t="s">
        <v>15</v>
      </c>
      <c r="H2940" t="s">
        <v>5937</v>
      </c>
      <c r="I2940" t="s">
        <v>5938</v>
      </c>
      <c r="J2940" s="4">
        <v>46066.642459895833</v>
      </c>
    </row>
    <row r="2941" spans="1:10" x14ac:dyDescent="0.55000000000000004">
      <c r="A2941" t="s">
        <v>5935</v>
      </c>
      <c r="B2941">
        <v>101149</v>
      </c>
      <c r="C2941" t="s">
        <v>533</v>
      </c>
      <c r="D2941" s="3">
        <v>45836</v>
      </c>
      <c r="E2941" t="s">
        <v>20</v>
      </c>
      <c r="F2941" t="s">
        <v>5936</v>
      </c>
      <c r="G2941" t="s">
        <v>15</v>
      </c>
      <c r="H2941" t="s">
        <v>5937</v>
      </c>
      <c r="I2941" t="s">
        <v>5938</v>
      </c>
      <c r="J2941" s="4">
        <v>46066.642459895833</v>
      </c>
    </row>
    <row r="2942" spans="1:10" x14ac:dyDescent="0.55000000000000004">
      <c r="A2942" t="s">
        <v>5935</v>
      </c>
      <c r="B2942">
        <v>101149</v>
      </c>
      <c r="C2942" t="s">
        <v>533</v>
      </c>
      <c r="D2942" s="3">
        <v>45836</v>
      </c>
      <c r="E2942" t="s">
        <v>155</v>
      </c>
      <c r="F2942" t="s">
        <v>5936</v>
      </c>
      <c r="G2942" t="s">
        <v>15</v>
      </c>
      <c r="H2942" t="s">
        <v>5937</v>
      </c>
      <c r="I2942" t="s">
        <v>5938</v>
      </c>
      <c r="J2942" s="4">
        <v>46066.642459895833</v>
      </c>
    </row>
    <row r="2943" spans="1:10" x14ac:dyDescent="0.55000000000000004">
      <c r="A2943" t="s">
        <v>5939</v>
      </c>
      <c r="B2943">
        <v>100054</v>
      </c>
      <c r="C2943" t="s">
        <v>19</v>
      </c>
      <c r="D2943" s="3">
        <v>46044</v>
      </c>
      <c r="E2943" t="s">
        <v>317</v>
      </c>
      <c r="F2943" t="s">
        <v>5940</v>
      </c>
      <c r="G2943" t="s">
        <v>22</v>
      </c>
      <c r="H2943" t="s">
        <v>5941</v>
      </c>
      <c r="I2943" t="s">
        <v>5942</v>
      </c>
      <c r="J2943" s="4">
        <v>46058.875098784723</v>
      </c>
    </row>
    <row r="2944" spans="1:10" x14ac:dyDescent="0.55000000000000004">
      <c r="A2944" t="s">
        <v>5939</v>
      </c>
      <c r="B2944">
        <v>100054</v>
      </c>
      <c r="C2944" t="s">
        <v>19</v>
      </c>
      <c r="D2944" s="3">
        <v>46044</v>
      </c>
      <c r="E2944" t="s">
        <v>20</v>
      </c>
      <c r="F2944" t="s">
        <v>5940</v>
      </c>
      <c r="G2944" t="s">
        <v>22</v>
      </c>
      <c r="H2944" t="s">
        <v>5941</v>
      </c>
      <c r="I2944" t="s">
        <v>5942</v>
      </c>
      <c r="J2944" s="4">
        <v>46058.875098784723</v>
      </c>
    </row>
    <row r="2945" spans="1:10" x14ac:dyDescent="0.55000000000000004">
      <c r="A2945" t="s">
        <v>5939</v>
      </c>
      <c r="B2945">
        <v>100054</v>
      </c>
      <c r="C2945" t="s">
        <v>19</v>
      </c>
      <c r="D2945" s="3">
        <v>46044</v>
      </c>
      <c r="E2945" t="s">
        <v>155</v>
      </c>
      <c r="F2945" t="s">
        <v>5940</v>
      </c>
      <c r="G2945" t="s">
        <v>22</v>
      </c>
      <c r="H2945" t="s">
        <v>5941</v>
      </c>
      <c r="I2945" t="s">
        <v>5942</v>
      </c>
      <c r="J2945" s="4">
        <v>46058.875098784723</v>
      </c>
    </row>
    <row r="2946" spans="1:10" x14ac:dyDescent="0.55000000000000004">
      <c r="A2946" t="s">
        <v>5943</v>
      </c>
      <c r="B2946">
        <v>101232</v>
      </c>
      <c r="C2946" t="s">
        <v>37</v>
      </c>
      <c r="D2946" s="3">
        <v>46014</v>
      </c>
      <c r="E2946" t="s">
        <v>20</v>
      </c>
      <c r="F2946" t="s">
        <v>5944</v>
      </c>
      <c r="G2946" t="s">
        <v>15</v>
      </c>
      <c r="H2946" t="s">
        <v>5945</v>
      </c>
      <c r="I2946" t="s">
        <v>5946</v>
      </c>
      <c r="J2946" s="4">
        <v>46091.695932118055</v>
      </c>
    </row>
    <row r="2947" spans="1:10" x14ac:dyDescent="0.55000000000000004">
      <c r="A2947" t="s">
        <v>5943</v>
      </c>
      <c r="B2947">
        <v>101232</v>
      </c>
      <c r="C2947" t="s">
        <v>37</v>
      </c>
      <c r="D2947" s="3">
        <v>46014</v>
      </c>
      <c r="E2947" t="s">
        <v>115</v>
      </c>
      <c r="F2947" t="s">
        <v>5944</v>
      </c>
      <c r="G2947" t="s">
        <v>15</v>
      </c>
      <c r="H2947" t="s">
        <v>5945</v>
      </c>
      <c r="I2947" t="s">
        <v>5946</v>
      </c>
      <c r="J2947" s="4">
        <v>46091.695932118055</v>
      </c>
    </row>
    <row r="2948" spans="1:10" x14ac:dyDescent="0.55000000000000004">
      <c r="A2948" t="s">
        <v>5947</v>
      </c>
      <c r="B2948">
        <v>101034</v>
      </c>
      <c r="C2948" t="s">
        <v>19</v>
      </c>
      <c r="D2948" s="3">
        <v>45991</v>
      </c>
      <c r="E2948" t="s">
        <v>317</v>
      </c>
      <c r="F2948" t="s">
        <v>5948</v>
      </c>
      <c r="G2948" t="s">
        <v>22</v>
      </c>
      <c r="H2948" t="s">
        <v>5949</v>
      </c>
      <c r="I2948" t="s">
        <v>5950</v>
      </c>
      <c r="J2948" s="4">
        <v>46070.066765462965</v>
      </c>
    </row>
    <row r="2949" spans="1:10" x14ac:dyDescent="0.55000000000000004">
      <c r="A2949" t="s">
        <v>5951</v>
      </c>
      <c r="B2949">
        <v>100476</v>
      </c>
      <c r="C2949" t="s">
        <v>68</v>
      </c>
      <c r="D2949" s="3">
        <v>46132</v>
      </c>
      <c r="E2949" t="s">
        <v>155</v>
      </c>
      <c r="F2949" t="s">
        <v>5952</v>
      </c>
      <c r="G2949" t="s">
        <v>15</v>
      </c>
      <c r="H2949" t="s">
        <v>5953</v>
      </c>
      <c r="I2949" t="s">
        <v>5954</v>
      </c>
      <c r="J2949" s="4">
        <v>46096.467459907406</v>
      </c>
    </row>
    <row r="2950" spans="1:10" x14ac:dyDescent="0.55000000000000004">
      <c r="A2950" t="s">
        <v>5955</v>
      </c>
      <c r="B2950">
        <v>100447</v>
      </c>
      <c r="C2950" t="s">
        <v>19</v>
      </c>
      <c r="D2950" s="3">
        <v>46043</v>
      </c>
      <c r="E2950" t="s">
        <v>317</v>
      </c>
      <c r="F2950" t="s">
        <v>5956</v>
      </c>
      <c r="G2950" t="s">
        <v>22</v>
      </c>
      <c r="H2950" t="s">
        <v>5957</v>
      </c>
      <c r="I2950" t="s">
        <v>5958</v>
      </c>
      <c r="J2950" s="4">
        <v>46094.195932141207</v>
      </c>
    </row>
    <row r="2951" spans="1:10" x14ac:dyDescent="0.55000000000000004">
      <c r="A2951" t="s">
        <v>5955</v>
      </c>
      <c r="B2951">
        <v>100447</v>
      </c>
      <c r="C2951" t="s">
        <v>19</v>
      </c>
      <c r="D2951" s="3">
        <v>46043</v>
      </c>
      <c r="E2951" t="s">
        <v>155</v>
      </c>
      <c r="F2951" t="s">
        <v>5956</v>
      </c>
      <c r="G2951" t="s">
        <v>22</v>
      </c>
      <c r="H2951" t="s">
        <v>5957</v>
      </c>
      <c r="I2951" t="s">
        <v>5958</v>
      </c>
      <c r="J2951" s="4">
        <v>46094.195932141207</v>
      </c>
    </row>
    <row r="2952" spans="1:10" x14ac:dyDescent="0.55000000000000004">
      <c r="A2952" t="s">
        <v>3726</v>
      </c>
      <c r="B2952">
        <v>100191</v>
      </c>
      <c r="C2952" t="s">
        <v>179</v>
      </c>
      <c r="D2952" s="3">
        <v>46088</v>
      </c>
      <c r="E2952" t="s">
        <v>69</v>
      </c>
      <c r="F2952" t="s">
        <v>5959</v>
      </c>
      <c r="G2952" t="s">
        <v>22</v>
      </c>
      <c r="H2952" t="s">
        <v>5960</v>
      </c>
      <c r="I2952" t="s">
        <v>5961</v>
      </c>
      <c r="J2952" s="4">
        <v>46062.550098807871</v>
      </c>
    </row>
    <row r="2953" spans="1:10" x14ac:dyDescent="0.55000000000000004">
      <c r="A2953" t="s">
        <v>5962</v>
      </c>
      <c r="B2953">
        <v>100061</v>
      </c>
      <c r="C2953" t="s">
        <v>533</v>
      </c>
      <c r="D2953" s="3">
        <v>45956</v>
      </c>
      <c r="E2953" t="s">
        <v>38</v>
      </c>
      <c r="F2953" t="s">
        <v>5963</v>
      </c>
      <c r="G2953" t="s">
        <v>22</v>
      </c>
      <c r="H2953" t="s">
        <v>5964</v>
      </c>
      <c r="I2953" t="s">
        <v>5965</v>
      </c>
      <c r="J2953" s="4">
        <v>46075.470932141201</v>
      </c>
    </row>
    <row r="2954" spans="1:10" x14ac:dyDescent="0.55000000000000004">
      <c r="A2954" t="s">
        <v>5966</v>
      </c>
      <c r="B2954">
        <v>100065</v>
      </c>
      <c r="C2954" t="s">
        <v>68</v>
      </c>
      <c r="D2954" s="3">
        <v>45955</v>
      </c>
      <c r="E2954" t="s">
        <v>115</v>
      </c>
      <c r="F2954" t="s">
        <v>5967</v>
      </c>
      <c r="G2954" t="s">
        <v>15</v>
      </c>
      <c r="H2954" t="s">
        <v>5968</v>
      </c>
      <c r="I2954" t="s">
        <v>5969</v>
      </c>
      <c r="J2954" s="4">
        <v>46091.909126597224</v>
      </c>
    </row>
    <row r="2955" spans="1:10" x14ac:dyDescent="0.55000000000000004">
      <c r="A2955" t="s">
        <v>5970</v>
      </c>
      <c r="B2955">
        <v>100864</v>
      </c>
      <c r="C2955" t="s">
        <v>37</v>
      </c>
      <c r="D2955" s="3">
        <v>45848</v>
      </c>
      <c r="E2955" t="s">
        <v>317</v>
      </c>
      <c r="F2955" t="s">
        <v>5971</v>
      </c>
      <c r="G2955" t="s">
        <v>15</v>
      </c>
      <c r="H2955" t="s">
        <v>5972</v>
      </c>
      <c r="I2955" t="s">
        <v>5973</v>
      </c>
      <c r="J2955" s="4">
        <v>46097.391071041668</v>
      </c>
    </row>
    <row r="2956" spans="1:10" x14ac:dyDescent="0.55000000000000004">
      <c r="A2956" t="s">
        <v>5970</v>
      </c>
      <c r="B2956">
        <v>100864</v>
      </c>
      <c r="C2956" t="s">
        <v>37</v>
      </c>
      <c r="D2956" s="3">
        <v>45848</v>
      </c>
      <c r="E2956" t="s">
        <v>38</v>
      </c>
      <c r="F2956" t="s">
        <v>5971</v>
      </c>
      <c r="G2956" t="s">
        <v>15</v>
      </c>
      <c r="H2956" t="s">
        <v>5972</v>
      </c>
      <c r="I2956" t="s">
        <v>5973</v>
      </c>
      <c r="J2956" s="4">
        <v>46097.391071041668</v>
      </c>
    </row>
    <row r="2957" spans="1:10" x14ac:dyDescent="0.55000000000000004">
      <c r="A2957" t="s">
        <v>5974</v>
      </c>
      <c r="B2957">
        <v>101209</v>
      </c>
      <c r="C2957" t="s">
        <v>37</v>
      </c>
      <c r="D2957" s="3">
        <v>45771</v>
      </c>
      <c r="E2957" t="s">
        <v>115</v>
      </c>
      <c r="F2957" t="s">
        <v>5975</v>
      </c>
      <c r="G2957" t="s">
        <v>22</v>
      </c>
      <c r="H2957" t="s">
        <v>5976</v>
      </c>
      <c r="I2957" t="s">
        <v>5977</v>
      </c>
      <c r="J2957" s="4">
        <v>46086.344543263891</v>
      </c>
    </row>
    <row r="2958" spans="1:10" x14ac:dyDescent="0.55000000000000004">
      <c r="A2958" t="s">
        <v>5978</v>
      </c>
      <c r="B2958">
        <v>100178</v>
      </c>
      <c r="C2958" t="s">
        <v>37</v>
      </c>
      <c r="D2958" s="3">
        <v>45892</v>
      </c>
      <c r="E2958" t="s">
        <v>38</v>
      </c>
      <c r="F2958" t="s">
        <v>5979</v>
      </c>
      <c r="G2958" t="s">
        <v>22</v>
      </c>
      <c r="H2958" t="s">
        <v>5980</v>
      </c>
      <c r="I2958" t="s">
        <v>5981</v>
      </c>
      <c r="J2958" s="4">
        <v>46088.884126608798</v>
      </c>
    </row>
    <row r="2959" spans="1:10" x14ac:dyDescent="0.55000000000000004">
      <c r="A2959" t="s">
        <v>5978</v>
      </c>
      <c r="B2959">
        <v>100178</v>
      </c>
      <c r="C2959" t="s">
        <v>37</v>
      </c>
      <c r="D2959" s="3">
        <v>45892</v>
      </c>
      <c r="E2959" t="s">
        <v>115</v>
      </c>
      <c r="F2959" t="s">
        <v>5979</v>
      </c>
      <c r="G2959" t="s">
        <v>22</v>
      </c>
      <c r="H2959" t="s">
        <v>5980</v>
      </c>
      <c r="I2959" t="s">
        <v>5981</v>
      </c>
      <c r="J2959" s="4">
        <v>46088.884126608798</v>
      </c>
    </row>
    <row r="2960" spans="1:10" x14ac:dyDescent="0.55000000000000004">
      <c r="A2960" t="s">
        <v>5982</v>
      </c>
      <c r="B2960">
        <v>101116</v>
      </c>
      <c r="C2960" t="s">
        <v>179</v>
      </c>
      <c r="D2960" s="3">
        <v>45977</v>
      </c>
      <c r="E2960" t="s">
        <v>317</v>
      </c>
      <c r="F2960" t="s">
        <v>5983</v>
      </c>
      <c r="G2960" t="s">
        <v>22</v>
      </c>
      <c r="H2960" t="s">
        <v>5984</v>
      </c>
      <c r="I2960" t="s">
        <v>5985</v>
      </c>
      <c r="J2960" s="4">
        <v>46063.453571053244</v>
      </c>
    </row>
    <row r="2961" spans="1:10" x14ac:dyDescent="0.55000000000000004">
      <c r="A2961" t="s">
        <v>5982</v>
      </c>
      <c r="B2961">
        <v>101116</v>
      </c>
      <c r="C2961" t="s">
        <v>179</v>
      </c>
      <c r="D2961" s="3">
        <v>45977</v>
      </c>
      <c r="E2961" t="s">
        <v>38</v>
      </c>
      <c r="F2961" t="s">
        <v>5983</v>
      </c>
      <c r="G2961" t="s">
        <v>22</v>
      </c>
      <c r="H2961" t="s">
        <v>5984</v>
      </c>
      <c r="I2961" t="s">
        <v>5985</v>
      </c>
      <c r="J2961" s="4">
        <v>46063.453571053244</v>
      </c>
    </row>
    <row r="2962" spans="1:10" x14ac:dyDescent="0.55000000000000004">
      <c r="A2962" t="s">
        <v>5982</v>
      </c>
      <c r="B2962">
        <v>101116</v>
      </c>
      <c r="C2962" t="s">
        <v>179</v>
      </c>
      <c r="D2962" s="3">
        <v>45977</v>
      </c>
      <c r="E2962" t="s">
        <v>155</v>
      </c>
      <c r="F2962" t="s">
        <v>5983</v>
      </c>
      <c r="G2962" t="s">
        <v>22</v>
      </c>
      <c r="H2962" t="s">
        <v>5984</v>
      </c>
      <c r="I2962" t="s">
        <v>5985</v>
      </c>
      <c r="J2962" s="4">
        <v>46063.453571053244</v>
      </c>
    </row>
    <row r="2963" spans="1:10" x14ac:dyDescent="0.55000000000000004">
      <c r="A2963" t="s">
        <v>5986</v>
      </c>
      <c r="B2963">
        <v>101385</v>
      </c>
      <c r="C2963" t="s">
        <v>19</v>
      </c>
      <c r="D2963" s="3">
        <v>46093</v>
      </c>
      <c r="E2963" t="s">
        <v>20</v>
      </c>
      <c r="F2963" t="s">
        <v>5987</v>
      </c>
      <c r="G2963" t="s">
        <v>22</v>
      </c>
      <c r="H2963" t="s">
        <v>5988</v>
      </c>
      <c r="I2963" t="s">
        <v>5989</v>
      </c>
      <c r="J2963" s="4">
        <v>46073.961904386575</v>
      </c>
    </row>
    <row r="2964" spans="1:10" x14ac:dyDescent="0.55000000000000004">
      <c r="A2964" t="s">
        <v>5986</v>
      </c>
      <c r="B2964">
        <v>101385</v>
      </c>
      <c r="C2964" t="s">
        <v>19</v>
      </c>
      <c r="D2964" s="3">
        <v>46093</v>
      </c>
      <c r="E2964" t="s">
        <v>115</v>
      </c>
      <c r="F2964" t="s">
        <v>5987</v>
      </c>
      <c r="G2964" t="s">
        <v>22</v>
      </c>
      <c r="H2964" t="s">
        <v>5988</v>
      </c>
      <c r="I2964" t="s">
        <v>5989</v>
      </c>
      <c r="J2964" s="4">
        <v>46073.961904386575</v>
      </c>
    </row>
    <row r="2965" spans="1:10" x14ac:dyDescent="0.55000000000000004">
      <c r="A2965" t="s">
        <v>5986</v>
      </c>
      <c r="B2965">
        <v>101385</v>
      </c>
      <c r="C2965" t="s">
        <v>19</v>
      </c>
      <c r="D2965" s="3">
        <v>46093</v>
      </c>
      <c r="E2965" t="s">
        <v>69</v>
      </c>
      <c r="F2965" t="s">
        <v>5987</v>
      </c>
      <c r="G2965" t="s">
        <v>22</v>
      </c>
      <c r="H2965" t="s">
        <v>5988</v>
      </c>
      <c r="I2965" t="s">
        <v>5989</v>
      </c>
      <c r="J2965" s="4">
        <v>46073.961904386575</v>
      </c>
    </row>
    <row r="2966" spans="1:10" x14ac:dyDescent="0.55000000000000004">
      <c r="A2966" t="s">
        <v>5990</v>
      </c>
      <c r="B2966">
        <v>100209</v>
      </c>
      <c r="C2966" t="s">
        <v>68</v>
      </c>
      <c r="D2966" s="3">
        <v>46066</v>
      </c>
      <c r="E2966" t="s">
        <v>38</v>
      </c>
      <c r="F2966" t="s">
        <v>5991</v>
      </c>
      <c r="G2966" t="s">
        <v>22</v>
      </c>
      <c r="H2966" t="s">
        <v>5992</v>
      </c>
      <c r="I2966" t="s">
        <v>5993</v>
      </c>
      <c r="J2966" s="4">
        <v>46076.753571064815</v>
      </c>
    </row>
    <row r="2967" spans="1:10" x14ac:dyDescent="0.55000000000000004">
      <c r="A2967" t="s">
        <v>5994</v>
      </c>
      <c r="B2967">
        <v>100285</v>
      </c>
      <c r="C2967" t="s">
        <v>19</v>
      </c>
      <c r="D2967" s="3">
        <v>45989</v>
      </c>
      <c r="E2967" t="s">
        <v>155</v>
      </c>
      <c r="F2967" t="s">
        <v>5995</v>
      </c>
      <c r="G2967" t="s">
        <v>22</v>
      </c>
      <c r="H2967" t="s">
        <v>5996</v>
      </c>
      <c r="I2967" t="s">
        <v>5997</v>
      </c>
      <c r="J2967" s="4">
        <v>46070.861904398145</v>
      </c>
    </row>
    <row r="2968" spans="1:10" x14ac:dyDescent="0.55000000000000004">
      <c r="A2968" t="s">
        <v>5998</v>
      </c>
      <c r="B2968">
        <v>100457</v>
      </c>
      <c r="C2968" t="s">
        <v>19</v>
      </c>
      <c r="D2968" s="3">
        <v>45875</v>
      </c>
      <c r="E2968" t="s">
        <v>115</v>
      </c>
      <c r="F2968" t="s">
        <v>5999</v>
      </c>
      <c r="G2968" t="s">
        <v>15</v>
      </c>
      <c r="H2968" t="s">
        <v>6000</v>
      </c>
      <c r="I2968" t="s">
        <v>6001</v>
      </c>
      <c r="J2968" s="4">
        <v>46064.418154398147</v>
      </c>
    </row>
    <row r="2969" spans="1:10" x14ac:dyDescent="0.55000000000000004">
      <c r="A2969" t="s">
        <v>6002</v>
      </c>
      <c r="B2969">
        <v>100501</v>
      </c>
      <c r="C2969" t="s">
        <v>68</v>
      </c>
      <c r="D2969" s="3">
        <v>46111</v>
      </c>
      <c r="E2969" t="s">
        <v>20</v>
      </c>
      <c r="F2969" t="s">
        <v>6003</v>
      </c>
      <c r="G2969" t="s">
        <v>15</v>
      </c>
      <c r="H2969" t="s">
        <v>6004</v>
      </c>
      <c r="I2969" t="s">
        <v>6005</v>
      </c>
      <c r="J2969" s="4">
        <v>46095.411904409724</v>
      </c>
    </row>
    <row r="2970" spans="1:10" x14ac:dyDescent="0.55000000000000004">
      <c r="A2970" t="s">
        <v>6002</v>
      </c>
      <c r="B2970">
        <v>100501</v>
      </c>
      <c r="C2970" t="s">
        <v>68</v>
      </c>
      <c r="D2970" s="3">
        <v>46111</v>
      </c>
      <c r="E2970" t="s">
        <v>155</v>
      </c>
      <c r="F2970" t="s">
        <v>6003</v>
      </c>
      <c r="G2970" t="s">
        <v>15</v>
      </c>
      <c r="H2970" t="s">
        <v>6004</v>
      </c>
      <c r="I2970" t="s">
        <v>6005</v>
      </c>
      <c r="J2970" s="4">
        <v>46095.411904409724</v>
      </c>
    </row>
    <row r="2971" spans="1:10" x14ac:dyDescent="0.55000000000000004">
      <c r="A2971" t="s">
        <v>6002</v>
      </c>
      <c r="B2971">
        <v>100501</v>
      </c>
      <c r="C2971" t="s">
        <v>68</v>
      </c>
      <c r="D2971" s="3">
        <v>46111</v>
      </c>
      <c r="E2971" t="s">
        <v>115</v>
      </c>
      <c r="F2971" t="s">
        <v>6003</v>
      </c>
      <c r="G2971" t="s">
        <v>15</v>
      </c>
      <c r="H2971" t="s">
        <v>6004</v>
      </c>
      <c r="I2971" t="s">
        <v>6005</v>
      </c>
      <c r="J2971" s="4">
        <v>46095.411904409724</v>
      </c>
    </row>
    <row r="2972" spans="1:10" x14ac:dyDescent="0.55000000000000004">
      <c r="A2972" t="s">
        <v>6006</v>
      </c>
      <c r="B2972">
        <v>100563</v>
      </c>
      <c r="C2972" t="s">
        <v>179</v>
      </c>
      <c r="D2972" s="3">
        <v>46064</v>
      </c>
      <c r="E2972" t="s">
        <v>317</v>
      </c>
      <c r="F2972" t="s">
        <v>6007</v>
      </c>
      <c r="G2972" t="s">
        <v>22</v>
      </c>
      <c r="H2972" t="s">
        <v>6008</v>
      </c>
      <c r="I2972" t="s">
        <v>6009</v>
      </c>
      <c r="J2972" s="4">
        <v>46095.361904409721</v>
      </c>
    </row>
    <row r="2973" spans="1:10" x14ac:dyDescent="0.55000000000000004">
      <c r="A2973" t="s">
        <v>6006</v>
      </c>
      <c r="B2973">
        <v>100563</v>
      </c>
      <c r="C2973" t="s">
        <v>179</v>
      </c>
      <c r="D2973" s="3">
        <v>46064</v>
      </c>
      <c r="E2973" t="s">
        <v>155</v>
      </c>
      <c r="F2973" t="s">
        <v>6007</v>
      </c>
      <c r="G2973" t="s">
        <v>22</v>
      </c>
      <c r="H2973" t="s">
        <v>6008</v>
      </c>
      <c r="I2973" t="s">
        <v>6009</v>
      </c>
      <c r="J2973" s="4">
        <v>46095.361904409721</v>
      </c>
    </row>
    <row r="2974" spans="1:10" x14ac:dyDescent="0.55000000000000004">
      <c r="A2974" t="s">
        <v>6010</v>
      </c>
      <c r="B2974">
        <v>100051</v>
      </c>
      <c r="C2974" t="s">
        <v>248</v>
      </c>
      <c r="D2974" s="3">
        <v>46033</v>
      </c>
      <c r="E2974" t="s">
        <v>20</v>
      </c>
      <c r="F2974" t="s">
        <v>6011</v>
      </c>
      <c r="G2974" t="s">
        <v>15</v>
      </c>
      <c r="H2974" t="s">
        <v>6012</v>
      </c>
      <c r="I2974" t="s">
        <v>6013</v>
      </c>
      <c r="J2974" s="4">
        <v>46079.879265520831</v>
      </c>
    </row>
    <row r="2975" spans="1:10" x14ac:dyDescent="0.55000000000000004">
      <c r="A2975" t="s">
        <v>6010</v>
      </c>
      <c r="B2975">
        <v>100051</v>
      </c>
      <c r="C2975" t="s">
        <v>248</v>
      </c>
      <c r="D2975" s="3">
        <v>46033</v>
      </c>
      <c r="E2975" t="s">
        <v>155</v>
      </c>
      <c r="F2975" t="s">
        <v>6011</v>
      </c>
      <c r="G2975" t="s">
        <v>15</v>
      </c>
      <c r="H2975" t="s">
        <v>6012</v>
      </c>
      <c r="I2975" t="s">
        <v>6013</v>
      </c>
      <c r="J2975" s="4">
        <v>46079.879265520831</v>
      </c>
    </row>
    <row r="2976" spans="1:10" x14ac:dyDescent="0.55000000000000004">
      <c r="A2976" t="s">
        <v>6014</v>
      </c>
      <c r="B2976">
        <v>100228</v>
      </c>
      <c r="C2976" t="s">
        <v>179</v>
      </c>
      <c r="D2976" s="3">
        <v>45985</v>
      </c>
      <c r="E2976" t="s">
        <v>69</v>
      </c>
      <c r="F2976" t="s">
        <v>6015</v>
      </c>
      <c r="G2976" t="s">
        <v>22</v>
      </c>
      <c r="H2976" t="s">
        <v>6016</v>
      </c>
      <c r="I2976" t="s">
        <v>6017</v>
      </c>
      <c r="J2976" s="4">
        <v>46069.683432199075</v>
      </c>
    </row>
    <row r="2977" spans="1:10" x14ac:dyDescent="0.55000000000000004">
      <c r="A2977" t="s">
        <v>6018</v>
      </c>
      <c r="B2977">
        <v>101309</v>
      </c>
      <c r="C2977" t="s">
        <v>248</v>
      </c>
      <c r="D2977" s="3">
        <v>45837</v>
      </c>
      <c r="E2977" t="s">
        <v>115</v>
      </c>
      <c r="F2977" t="s">
        <v>6019</v>
      </c>
      <c r="G2977" t="s">
        <v>15</v>
      </c>
      <c r="H2977" t="s">
        <v>6020</v>
      </c>
      <c r="I2977" t="s">
        <v>6021</v>
      </c>
      <c r="J2977" s="4">
        <v>46055.312604166669</v>
      </c>
    </row>
    <row r="2978" spans="1:10" x14ac:dyDescent="0.55000000000000004">
      <c r="A2978" t="s">
        <v>6018</v>
      </c>
      <c r="B2978">
        <v>101309</v>
      </c>
      <c r="C2978" t="s">
        <v>248</v>
      </c>
      <c r="D2978" s="3">
        <v>45837</v>
      </c>
      <c r="E2978" t="s">
        <v>69</v>
      </c>
      <c r="F2978" t="s">
        <v>6019</v>
      </c>
      <c r="G2978" t="s">
        <v>15</v>
      </c>
      <c r="H2978" t="s">
        <v>6020</v>
      </c>
      <c r="I2978" t="s">
        <v>6021</v>
      </c>
      <c r="J2978" s="4">
        <v>46055.312604166669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0FFA83-177F-4484-87EC-E4F9911D5AE8}">
  <sheetPr codeName="Sheet2">
    <tabColor theme="4"/>
  </sheetPr>
  <dimension ref="A1:K1501"/>
  <sheetViews>
    <sheetView workbookViewId="0">
      <selection activeCell="A15" sqref="A15"/>
    </sheetView>
  </sheetViews>
  <sheetFormatPr defaultRowHeight="14.4" x14ac:dyDescent="0.55000000000000004"/>
  <cols>
    <col min="1" max="1" width="21.05078125" bestFit="1" customWidth="1"/>
    <col min="2" max="2" width="13.26171875" bestFit="1" customWidth="1"/>
    <col min="3" max="3" width="12.578125" bestFit="1" customWidth="1"/>
    <col min="4" max="4" width="11.05078125" bestFit="1" customWidth="1"/>
    <col min="5" max="5" width="34.5234375" bestFit="1" customWidth="1"/>
    <col min="6" max="6" width="20.5234375" bestFit="1" customWidth="1"/>
    <col min="7" max="7" width="17.9453125" bestFit="1" customWidth="1"/>
    <col min="8" max="8" width="28.68359375" bestFit="1" customWidth="1"/>
    <col min="9" max="9" width="21.3671875" bestFit="1" customWidth="1"/>
    <col min="10" max="10" width="22.734375" bestFit="1" customWidth="1"/>
    <col min="11" max="11" width="33.68359375" bestFit="1" customWidth="1"/>
  </cols>
  <sheetData>
    <row r="1" spans="1:11" x14ac:dyDescent="0.55000000000000004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</row>
    <row r="2" spans="1:11" x14ac:dyDescent="0.55000000000000004">
      <c r="A2" t="s">
        <v>11</v>
      </c>
      <c r="B2">
        <v>101303</v>
      </c>
      <c r="C2" t="s">
        <v>37</v>
      </c>
      <c r="D2" s="3">
        <v>45879</v>
      </c>
      <c r="E2" t="s">
        <v>13</v>
      </c>
      <c r="F2" t="s">
        <v>14</v>
      </c>
      <c r="G2" t="s">
        <v>15</v>
      </c>
      <c r="H2" t="s">
        <v>16</v>
      </c>
      <c r="I2" t="s">
        <v>17</v>
      </c>
      <c r="J2" s="4">
        <v>46087.812591678237</v>
      </c>
    </row>
    <row r="3" spans="1:11" x14ac:dyDescent="0.55000000000000004">
      <c r="A3" t="s">
        <v>18</v>
      </c>
      <c r="B3">
        <v>100397</v>
      </c>
      <c r="C3" t="s">
        <v>19</v>
      </c>
      <c r="D3" s="3">
        <v>45846</v>
      </c>
      <c r="E3" t="s">
        <v>20</v>
      </c>
      <c r="F3" t="s">
        <v>21</v>
      </c>
      <c r="G3" t="s">
        <v>22</v>
      </c>
      <c r="H3" t="s">
        <v>23</v>
      </c>
      <c r="I3" t="s">
        <v>24</v>
      </c>
      <c r="J3" s="4">
        <v>46090.350091678243</v>
      </c>
    </row>
    <row r="4" spans="1:11" x14ac:dyDescent="0.55000000000000004">
      <c r="A4" t="s">
        <v>25</v>
      </c>
      <c r="B4">
        <v>100386</v>
      </c>
      <c r="C4" t="s">
        <v>19</v>
      </c>
      <c r="D4" s="3">
        <v>45847</v>
      </c>
      <c r="E4" t="s">
        <v>27</v>
      </c>
      <c r="F4" t="s">
        <v>28</v>
      </c>
      <c r="G4" t="s">
        <v>15</v>
      </c>
      <c r="H4" t="s">
        <v>29</v>
      </c>
      <c r="I4" t="s">
        <v>30</v>
      </c>
      <c r="J4" s="4">
        <v>46058.810508344905</v>
      </c>
    </row>
    <row r="5" spans="1:11" x14ac:dyDescent="0.55000000000000004">
      <c r="A5" t="s">
        <v>31</v>
      </c>
      <c r="B5">
        <v>100549</v>
      </c>
      <c r="C5" t="s">
        <v>248</v>
      </c>
      <c r="D5" s="3">
        <v>45746</v>
      </c>
      <c r="E5" t="s">
        <v>20</v>
      </c>
      <c r="F5" t="s">
        <v>33</v>
      </c>
      <c r="G5" t="s">
        <v>22</v>
      </c>
      <c r="H5" t="s">
        <v>34</v>
      </c>
      <c r="I5" t="s">
        <v>35</v>
      </c>
      <c r="J5" s="4">
        <v>46076.247313912034</v>
      </c>
    </row>
    <row r="6" spans="1:11" x14ac:dyDescent="0.55000000000000004">
      <c r="A6" t="s">
        <v>36</v>
      </c>
      <c r="B6">
        <v>100597</v>
      </c>
      <c r="C6" t="s">
        <v>37</v>
      </c>
      <c r="D6" s="3">
        <v>45824</v>
      </c>
      <c r="E6" t="s">
        <v>38</v>
      </c>
      <c r="F6" t="s">
        <v>39</v>
      </c>
      <c r="G6" t="s">
        <v>22</v>
      </c>
      <c r="H6" t="s">
        <v>40</v>
      </c>
      <c r="I6" t="s">
        <v>41</v>
      </c>
      <c r="J6" s="4">
        <v>46093.544536134257</v>
      </c>
    </row>
    <row r="7" spans="1:11" x14ac:dyDescent="0.55000000000000004">
      <c r="A7" t="s">
        <v>42</v>
      </c>
      <c r="B7">
        <v>101113</v>
      </c>
      <c r="C7" t="s">
        <v>37</v>
      </c>
      <c r="D7" s="3">
        <v>45778</v>
      </c>
      <c r="E7" t="s">
        <v>43</v>
      </c>
      <c r="F7" t="s">
        <v>44</v>
      </c>
      <c r="G7" t="s">
        <v>22</v>
      </c>
      <c r="H7" t="s">
        <v>45</v>
      </c>
      <c r="I7" t="s">
        <v>46</v>
      </c>
      <c r="J7" s="4">
        <v>46068.2612028125</v>
      </c>
    </row>
    <row r="8" spans="1:11" x14ac:dyDescent="0.55000000000000004">
      <c r="A8" t="s">
        <v>47</v>
      </c>
      <c r="B8">
        <v>101365</v>
      </c>
      <c r="C8" t="s">
        <v>533</v>
      </c>
      <c r="D8" s="3">
        <v>45921</v>
      </c>
      <c r="E8" t="s">
        <v>49</v>
      </c>
      <c r="F8" t="s">
        <v>50</v>
      </c>
      <c r="G8" t="s">
        <v>15</v>
      </c>
      <c r="H8" t="s">
        <v>51</v>
      </c>
      <c r="I8" t="s">
        <v>52</v>
      </c>
      <c r="J8" s="4">
        <v>46094.525091701391</v>
      </c>
    </row>
    <row r="9" spans="1:11" x14ac:dyDescent="0.55000000000000004">
      <c r="A9" t="s">
        <v>53</v>
      </c>
      <c r="B9">
        <v>100134</v>
      </c>
      <c r="C9" t="s">
        <v>533</v>
      </c>
      <c r="D9" s="3">
        <v>46118</v>
      </c>
      <c r="E9" t="s">
        <v>13</v>
      </c>
      <c r="F9" t="s">
        <v>54</v>
      </c>
      <c r="G9" t="s">
        <v>22</v>
      </c>
      <c r="H9" t="s">
        <v>55</v>
      </c>
      <c r="I9" t="s">
        <v>56</v>
      </c>
      <c r="J9" s="4">
        <v>46055.143148148149</v>
      </c>
    </row>
    <row r="10" spans="1:11" x14ac:dyDescent="0.55000000000000004">
      <c r="A10" t="s">
        <v>57</v>
      </c>
      <c r="B10">
        <v>101117</v>
      </c>
      <c r="C10" t="s">
        <v>19</v>
      </c>
      <c r="D10" s="3">
        <v>46042</v>
      </c>
      <c r="E10" t="s">
        <v>58</v>
      </c>
      <c r="F10" t="s">
        <v>59</v>
      </c>
      <c r="G10" t="s">
        <v>15</v>
      </c>
      <c r="H10" t="s">
        <v>60</v>
      </c>
      <c r="I10" t="s">
        <v>61</v>
      </c>
      <c r="J10" s="4">
        <v>46065.584119490741</v>
      </c>
    </row>
    <row r="11" spans="1:11" x14ac:dyDescent="0.55000000000000004">
      <c r="A11" t="s">
        <v>62</v>
      </c>
      <c r="B11">
        <v>101164</v>
      </c>
      <c r="C11" t="s">
        <v>68</v>
      </c>
      <c r="D11" s="3">
        <v>45952</v>
      </c>
      <c r="E11" t="s">
        <v>20</v>
      </c>
      <c r="F11" t="s">
        <v>64</v>
      </c>
      <c r="G11" t="s">
        <v>22</v>
      </c>
      <c r="H11" t="s">
        <v>65</v>
      </c>
      <c r="I11" t="s">
        <v>66</v>
      </c>
      <c r="J11" s="4">
        <v>46063.797313935182</v>
      </c>
    </row>
    <row r="12" spans="1:11" x14ac:dyDescent="0.55000000000000004">
      <c r="A12" t="s">
        <v>67</v>
      </c>
      <c r="B12">
        <v>100213</v>
      </c>
      <c r="C12" t="s">
        <v>68</v>
      </c>
      <c r="D12" s="3">
        <v>45755</v>
      </c>
      <c r="E12" t="s">
        <v>69</v>
      </c>
      <c r="F12" t="s">
        <v>70</v>
      </c>
      <c r="G12" t="s">
        <v>15</v>
      </c>
      <c r="H12" t="s">
        <v>71</v>
      </c>
      <c r="I12" t="s">
        <v>72</v>
      </c>
      <c r="J12" s="4">
        <v>46097.455647268522</v>
      </c>
    </row>
    <row r="13" spans="1:11" x14ac:dyDescent="0.55000000000000004">
      <c r="A13" t="s">
        <v>73</v>
      </c>
      <c r="B13">
        <v>101181</v>
      </c>
      <c r="C13" t="s">
        <v>68</v>
      </c>
      <c r="D13" s="3">
        <v>45840</v>
      </c>
      <c r="E13" t="s">
        <v>20</v>
      </c>
      <c r="F13" t="s">
        <v>74</v>
      </c>
      <c r="G13" t="s">
        <v>22</v>
      </c>
      <c r="H13" t="s">
        <v>75</v>
      </c>
      <c r="I13" t="s">
        <v>76</v>
      </c>
      <c r="J13" s="4">
        <v>46077.575786168978</v>
      </c>
    </row>
    <row r="14" spans="1:11" x14ac:dyDescent="0.55000000000000004">
      <c r="A14" t="s">
        <v>77</v>
      </c>
      <c r="B14">
        <v>100789</v>
      </c>
      <c r="C14" t="s">
        <v>37</v>
      </c>
      <c r="D14" s="3">
        <v>45986</v>
      </c>
      <c r="E14" t="s">
        <v>43</v>
      </c>
      <c r="F14" t="s">
        <v>78</v>
      </c>
      <c r="G14" t="s">
        <v>22</v>
      </c>
      <c r="H14" t="s">
        <v>79</v>
      </c>
      <c r="I14" t="s">
        <v>80</v>
      </c>
      <c r="J14" s="4">
        <v>46063.418841724539</v>
      </c>
    </row>
    <row r="15" spans="1:11" x14ac:dyDescent="0.55000000000000004">
      <c r="A15" t="s">
        <v>81</v>
      </c>
      <c r="B15">
        <v>100760</v>
      </c>
      <c r="C15" t="s">
        <v>19</v>
      </c>
      <c r="D15" s="3">
        <v>46018</v>
      </c>
      <c r="E15" t="s">
        <v>83</v>
      </c>
      <c r="F15" t="s">
        <v>84</v>
      </c>
      <c r="G15" t="s">
        <v>15</v>
      </c>
      <c r="H15" t="s">
        <v>85</v>
      </c>
      <c r="I15" t="s">
        <v>86</v>
      </c>
      <c r="J15" s="4">
        <v>46070.719536180557</v>
      </c>
    </row>
    <row r="16" spans="1:11" x14ac:dyDescent="0.55000000000000004">
      <c r="A16" t="s">
        <v>87</v>
      </c>
      <c r="B16">
        <v>100510</v>
      </c>
      <c r="C16" t="s">
        <v>179</v>
      </c>
      <c r="D16" s="3">
        <v>45771</v>
      </c>
      <c r="E16" t="s">
        <v>89</v>
      </c>
      <c r="F16" t="s">
        <v>90</v>
      </c>
      <c r="G16" t="s">
        <v>22</v>
      </c>
      <c r="H16" t="s">
        <v>91</v>
      </c>
      <c r="I16" t="s">
        <v>92</v>
      </c>
      <c r="J16" s="4">
        <v>46051.835508402779</v>
      </c>
    </row>
    <row r="17" spans="1:11" x14ac:dyDescent="0.55000000000000004">
      <c r="A17" t="s">
        <v>93</v>
      </c>
      <c r="B17">
        <v>100444</v>
      </c>
      <c r="C17" t="s">
        <v>179</v>
      </c>
      <c r="D17" s="3">
        <v>45880</v>
      </c>
      <c r="E17" t="s">
        <v>69</v>
      </c>
      <c r="F17" t="s">
        <v>95</v>
      </c>
      <c r="G17" t="s">
        <v>15</v>
      </c>
      <c r="H17" t="s">
        <v>96</v>
      </c>
      <c r="I17" t="s">
        <v>97</v>
      </c>
      <c r="J17" s="4">
        <v>46077.502175069443</v>
      </c>
    </row>
    <row r="18" spans="1:11" x14ac:dyDescent="0.55000000000000004">
      <c r="A18" t="s">
        <v>98</v>
      </c>
      <c r="B18">
        <v>100705</v>
      </c>
      <c r="C18" t="s">
        <v>19</v>
      </c>
      <c r="D18" s="3">
        <v>45967</v>
      </c>
      <c r="E18" t="s">
        <v>83</v>
      </c>
      <c r="F18" t="s">
        <v>100</v>
      </c>
      <c r="G18" t="s">
        <v>15</v>
      </c>
      <c r="H18" t="s">
        <v>101</v>
      </c>
      <c r="I18" t="s">
        <v>102</v>
      </c>
      <c r="J18" s="4">
        <v>46082.126480636573</v>
      </c>
    </row>
    <row r="19" spans="1:11" x14ac:dyDescent="0.55000000000000004">
      <c r="A19" t="s">
        <v>103</v>
      </c>
      <c r="B19">
        <v>101007</v>
      </c>
      <c r="C19" t="s">
        <v>19</v>
      </c>
      <c r="D19" s="3">
        <v>45937</v>
      </c>
      <c r="E19" t="s">
        <v>83</v>
      </c>
      <c r="F19" t="s">
        <v>104</v>
      </c>
      <c r="G19" t="s">
        <v>22</v>
      </c>
      <c r="H19" t="s">
        <v>105</v>
      </c>
      <c r="I19" t="s">
        <v>106</v>
      </c>
      <c r="J19" s="4">
        <v>46083.272313969908</v>
      </c>
    </row>
    <row r="20" spans="1:11" x14ac:dyDescent="0.55000000000000004">
      <c r="A20" t="s">
        <v>107</v>
      </c>
      <c r="C20" t="s">
        <v>533</v>
      </c>
      <c r="D20" s="3">
        <v>45771</v>
      </c>
      <c r="E20" t="s">
        <v>108</v>
      </c>
      <c r="F20" t="s">
        <v>109</v>
      </c>
      <c r="G20" t="s">
        <v>22</v>
      </c>
      <c r="H20" t="s">
        <v>110</v>
      </c>
      <c r="I20" t="s">
        <v>111</v>
      </c>
      <c r="J20" s="4">
        <v>46074.828563981479</v>
      </c>
      <c r="K20" t="s">
        <v>112</v>
      </c>
    </row>
    <row r="21" spans="1:11" x14ac:dyDescent="0.55000000000000004">
      <c r="A21" t="s">
        <v>3957</v>
      </c>
      <c r="B21">
        <v>100632</v>
      </c>
      <c r="C21" t="s">
        <v>533</v>
      </c>
      <c r="D21" s="3">
        <v>45852</v>
      </c>
      <c r="E21" t="s">
        <v>115</v>
      </c>
      <c r="F21" t="s">
        <v>116</v>
      </c>
      <c r="G21" t="s">
        <v>22</v>
      </c>
      <c r="H21" t="s">
        <v>117</v>
      </c>
      <c r="I21" t="s">
        <v>118</v>
      </c>
      <c r="J21" s="4">
        <v>46085.499397314816</v>
      </c>
      <c r="K21" t="s">
        <v>119</v>
      </c>
    </row>
    <row r="22" spans="1:11" x14ac:dyDescent="0.55000000000000004">
      <c r="A22" t="s">
        <v>120</v>
      </c>
      <c r="B22">
        <v>101425</v>
      </c>
      <c r="C22" t="s">
        <v>19</v>
      </c>
      <c r="D22" s="3">
        <v>45810</v>
      </c>
      <c r="E22" t="s">
        <v>121</v>
      </c>
      <c r="F22" t="s">
        <v>122</v>
      </c>
      <c r="G22" t="s">
        <v>22</v>
      </c>
      <c r="H22" t="s">
        <v>123</v>
      </c>
      <c r="I22" t="s">
        <v>124</v>
      </c>
      <c r="J22" s="4">
        <v>46060.922313981479</v>
      </c>
    </row>
    <row r="23" spans="1:11" x14ac:dyDescent="0.55000000000000004">
      <c r="A23" t="s">
        <v>125</v>
      </c>
      <c r="B23">
        <v>100550</v>
      </c>
      <c r="C23" t="s">
        <v>179</v>
      </c>
      <c r="D23" s="3">
        <v>46080</v>
      </c>
      <c r="E23" t="s">
        <v>126</v>
      </c>
      <c r="F23" t="s">
        <v>127</v>
      </c>
      <c r="G23" t="s">
        <v>22</v>
      </c>
      <c r="H23" t="s">
        <v>128</v>
      </c>
      <c r="I23" t="s">
        <v>129</v>
      </c>
      <c r="J23" s="4">
        <v>46088.120925104166</v>
      </c>
    </row>
    <row r="24" spans="1:11" x14ac:dyDescent="0.55000000000000004">
      <c r="A24" t="s">
        <v>130</v>
      </c>
      <c r="B24">
        <v>100068</v>
      </c>
      <c r="C24" t="s">
        <v>37</v>
      </c>
      <c r="D24" s="3">
        <v>45972</v>
      </c>
      <c r="E24" t="s">
        <v>49</v>
      </c>
      <c r="F24" t="s">
        <v>132</v>
      </c>
      <c r="G24" t="s">
        <v>22</v>
      </c>
      <c r="H24" t="s">
        <v>133</v>
      </c>
      <c r="I24" t="s">
        <v>134</v>
      </c>
      <c r="J24" s="4">
        <v>46060.666063993056</v>
      </c>
    </row>
    <row r="25" spans="1:11" x14ac:dyDescent="0.55000000000000004">
      <c r="A25" t="s">
        <v>135</v>
      </c>
      <c r="B25">
        <v>100226</v>
      </c>
      <c r="C25" t="s">
        <v>68</v>
      </c>
      <c r="D25" s="3">
        <v>45991</v>
      </c>
      <c r="E25" t="s">
        <v>20</v>
      </c>
      <c r="F25" t="s">
        <v>136</v>
      </c>
      <c r="G25" t="s">
        <v>22</v>
      </c>
      <c r="H25" t="s">
        <v>137</v>
      </c>
      <c r="I25" t="s">
        <v>138</v>
      </c>
      <c r="J25" s="4">
        <v>46069.692452881944</v>
      </c>
      <c r="K25" t="s">
        <v>139</v>
      </c>
    </row>
    <row r="26" spans="1:11" x14ac:dyDescent="0.55000000000000004">
      <c r="A26" t="s">
        <v>140</v>
      </c>
      <c r="B26">
        <v>100558</v>
      </c>
      <c r="C26" t="s">
        <v>37</v>
      </c>
      <c r="D26" s="3">
        <v>45920</v>
      </c>
      <c r="E26" t="s">
        <v>141</v>
      </c>
      <c r="F26" t="s">
        <v>142</v>
      </c>
      <c r="G26" t="s">
        <v>22</v>
      </c>
      <c r="H26" t="s">
        <v>143</v>
      </c>
      <c r="I26" t="s">
        <v>144</v>
      </c>
      <c r="J26" s="4">
        <v>46067.920925115737</v>
      </c>
    </row>
    <row r="27" spans="1:11" x14ac:dyDescent="0.55000000000000004">
      <c r="A27" t="s">
        <v>145</v>
      </c>
      <c r="B27">
        <v>100762</v>
      </c>
      <c r="C27" t="s">
        <v>19</v>
      </c>
      <c r="D27" s="3">
        <v>46137</v>
      </c>
      <c r="E27" t="s">
        <v>121</v>
      </c>
      <c r="F27" t="s">
        <v>147</v>
      </c>
      <c r="G27" t="s">
        <v>22</v>
      </c>
      <c r="H27" t="s">
        <v>148</v>
      </c>
      <c r="I27" t="s">
        <v>149</v>
      </c>
      <c r="J27" s="4">
        <v>46059.069536226853</v>
      </c>
    </row>
    <row r="28" spans="1:11" x14ac:dyDescent="0.55000000000000004">
      <c r="A28" t="s">
        <v>150</v>
      </c>
      <c r="B28">
        <v>101289</v>
      </c>
      <c r="C28" t="s">
        <v>19</v>
      </c>
      <c r="D28" s="3">
        <v>45809</v>
      </c>
      <c r="E28" t="s">
        <v>69</v>
      </c>
      <c r="F28" t="s">
        <v>151</v>
      </c>
      <c r="G28" t="s">
        <v>15</v>
      </c>
      <c r="H28" t="s">
        <v>152</v>
      </c>
      <c r="I28" t="s">
        <v>153</v>
      </c>
      <c r="J28" s="4">
        <v>46076.626480682869</v>
      </c>
    </row>
    <row r="29" spans="1:11" x14ac:dyDescent="0.55000000000000004">
      <c r="A29" t="s">
        <v>154</v>
      </c>
      <c r="B29">
        <v>100640</v>
      </c>
      <c r="C29" t="s">
        <v>19</v>
      </c>
      <c r="D29" s="3">
        <v>46062</v>
      </c>
      <c r="E29" t="s">
        <v>155</v>
      </c>
      <c r="F29" t="s">
        <v>156</v>
      </c>
      <c r="G29" t="s">
        <v>15</v>
      </c>
      <c r="H29" t="s">
        <v>157</v>
      </c>
      <c r="I29" t="s">
        <v>158</v>
      </c>
      <c r="J29" s="4">
        <v>46052.12370290509</v>
      </c>
    </row>
    <row r="30" spans="1:11" x14ac:dyDescent="0.55000000000000004">
      <c r="A30" t="s">
        <v>159</v>
      </c>
      <c r="B30">
        <v>100133</v>
      </c>
      <c r="C30" t="s">
        <v>179</v>
      </c>
      <c r="D30" s="3">
        <v>46000</v>
      </c>
      <c r="E30" t="s">
        <v>160</v>
      </c>
      <c r="F30" t="s">
        <v>161</v>
      </c>
      <c r="G30" t="s">
        <v>22</v>
      </c>
      <c r="H30" t="s">
        <v>162</v>
      </c>
      <c r="I30" t="s">
        <v>163</v>
      </c>
      <c r="J30" s="4">
        <v>46079.195230682868</v>
      </c>
    </row>
    <row r="31" spans="1:11" x14ac:dyDescent="0.55000000000000004">
      <c r="A31" t="s">
        <v>164</v>
      </c>
      <c r="B31">
        <v>100315</v>
      </c>
      <c r="C31" t="s">
        <v>179</v>
      </c>
      <c r="D31" s="3">
        <v>46128</v>
      </c>
      <c r="E31" t="s">
        <v>27</v>
      </c>
      <c r="F31" t="s">
        <v>165</v>
      </c>
      <c r="G31" t="s">
        <v>15</v>
      </c>
      <c r="H31" t="s">
        <v>166</v>
      </c>
      <c r="I31" t="s">
        <v>167</v>
      </c>
      <c r="J31" s="4">
        <v>46056.825786250003</v>
      </c>
    </row>
    <row r="32" spans="1:11" x14ac:dyDescent="0.55000000000000004">
      <c r="A32" t="s">
        <v>168</v>
      </c>
      <c r="B32">
        <v>100346</v>
      </c>
      <c r="C32" t="s">
        <v>68</v>
      </c>
      <c r="D32" s="3">
        <v>45765</v>
      </c>
      <c r="E32" t="s">
        <v>170</v>
      </c>
      <c r="F32" t="s">
        <v>171</v>
      </c>
      <c r="G32" t="s">
        <v>22</v>
      </c>
      <c r="H32" t="s">
        <v>172</v>
      </c>
      <c r="I32" t="s">
        <v>173</v>
      </c>
      <c r="J32" s="4">
        <v>46079.387591805556</v>
      </c>
    </row>
    <row r="33" spans="1:11" x14ac:dyDescent="0.55000000000000004">
      <c r="A33" t="s">
        <v>174</v>
      </c>
      <c r="B33">
        <v>100373</v>
      </c>
      <c r="C33" t="s">
        <v>19</v>
      </c>
      <c r="D33" s="3">
        <v>45808</v>
      </c>
      <c r="E33" t="s">
        <v>170</v>
      </c>
      <c r="F33" t="s">
        <v>175</v>
      </c>
      <c r="G33" t="s">
        <v>15</v>
      </c>
      <c r="H33" t="s">
        <v>176</v>
      </c>
      <c r="I33" t="s">
        <v>177</v>
      </c>
      <c r="J33" s="4">
        <v>46075.304952928243</v>
      </c>
    </row>
    <row r="34" spans="1:11" x14ac:dyDescent="0.55000000000000004">
      <c r="A34" t="s">
        <v>178</v>
      </c>
      <c r="B34">
        <v>100294</v>
      </c>
      <c r="C34" t="s">
        <v>179</v>
      </c>
      <c r="D34" s="3">
        <v>45798</v>
      </c>
      <c r="E34" t="s">
        <v>13</v>
      </c>
      <c r="F34" t="s">
        <v>180</v>
      </c>
      <c r="G34" t="s">
        <v>22</v>
      </c>
      <c r="H34" t="s">
        <v>181</v>
      </c>
      <c r="I34" t="s">
        <v>182</v>
      </c>
      <c r="J34" s="4">
        <v>46056.279258483795</v>
      </c>
    </row>
    <row r="35" spans="1:11" x14ac:dyDescent="0.55000000000000004">
      <c r="A35" t="s">
        <v>183</v>
      </c>
      <c r="B35">
        <v>101441</v>
      </c>
      <c r="C35" t="s">
        <v>533</v>
      </c>
      <c r="D35" s="3">
        <v>46075</v>
      </c>
      <c r="E35" t="s">
        <v>184</v>
      </c>
      <c r="F35" t="s">
        <v>185</v>
      </c>
      <c r="G35" t="s">
        <v>22</v>
      </c>
      <c r="H35" t="s">
        <v>186</v>
      </c>
      <c r="I35" t="s">
        <v>187</v>
      </c>
      <c r="J35" s="4">
        <v>46065.231341817132</v>
      </c>
    </row>
    <row r="36" spans="1:11" x14ac:dyDescent="0.55000000000000004">
      <c r="A36" t="s">
        <v>188</v>
      </c>
      <c r="B36">
        <v>100526</v>
      </c>
      <c r="C36" t="s">
        <v>37</v>
      </c>
      <c r="D36" s="3">
        <v>45917</v>
      </c>
      <c r="E36" t="s">
        <v>189</v>
      </c>
      <c r="F36" t="s">
        <v>190</v>
      </c>
      <c r="G36" t="s">
        <v>22</v>
      </c>
      <c r="H36" t="s">
        <v>191</v>
      </c>
      <c r="I36" t="s">
        <v>192</v>
      </c>
      <c r="J36" s="4">
        <v>46066.47300849537</v>
      </c>
    </row>
    <row r="37" spans="1:11" x14ac:dyDescent="0.55000000000000004">
      <c r="A37" t="s">
        <v>193</v>
      </c>
      <c r="B37">
        <v>101212</v>
      </c>
      <c r="C37" t="s">
        <v>248</v>
      </c>
      <c r="D37" s="3">
        <v>45802</v>
      </c>
      <c r="E37" t="s">
        <v>155</v>
      </c>
      <c r="F37" t="s">
        <v>195</v>
      </c>
      <c r="G37" t="s">
        <v>22</v>
      </c>
      <c r="H37" t="s">
        <v>196</v>
      </c>
      <c r="I37" t="s">
        <v>197</v>
      </c>
      <c r="J37" s="4">
        <v>46091.024397384259</v>
      </c>
    </row>
    <row r="38" spans="1:11" x14ac:dyDescent="0.55000000000000004">
      <c r="A38" t="s">
        <v>198</v>
      </c>
      <c r="B38">
        <v>101062</v>
      </c>
      <c r="C38" t="s">
        <v>19</v>
      </c>
      <c r="D38" s="3">
        <v>46110</v>
      </c>
      <c r="E38" t="s">
        <v>199</v>
      </c>
      <c r="F38" t="s">
        <v>200</v>
      </c>
      <c r="G38" t="s">
        <v>22</v>
      </c>
      <c r="H38" t="s">
        <v>201</v>
      </c>
      <c r="I38" t="s">
        <v>202</v>
      </c>
      <c r="J38" s="4">
        <v>46088.515369618057</v>
      </c>
    </row>
    <row r="39" spans="1:11" x14ac:dyDescent="0.55000000000000004">
      <c r="A39" t="s">
        <v>203</v>
      </c>
      <c r="B39">
        <v>100383</v>
      </c>
      <c r="C39" t="s">
        <v>533</v>
      </c>
      <c r="D39" s="3">
        <v>46157</v>
      </c>
      <c r="E39" t="s">
        <v>43</v>
      </c>
      <c r="F39" t="s">
        <v>204</v>
      </c>
      <c r="G39" t="s">
        <v>15</v>
      </c>
      <c r="H39" t="s">
        <v>205</v>
      </c>
      <c r="I39" t="s">
        <v>206</v>
      </c>
      <c r="J39" s="4">
        <v>46071.227869618058</v>
      </c>
    </row>
    <row r="40" spans="1:11" x14ac:dyDescent="0.55000000000000004">
      <c r="A40" t="s">
        <v>207</v>
      </c>
      <c r="B40">
        <v>101082</v>
      </c>
      <c r="C40" t="s">
        <v>248</v>
      </c>
      <c r="D40" s="3">
        <v>45959</v>
      </c>
      <c r="E40" t="s">
        <v>208</v>
      </c>
      <c r="F40" t="s">
        <v>209</v>
      </c>
      <c r="G40" t="s">
        <v>15</v>
      </c>
      <c r="H40" t="s">
        <v>210</v>
      </c>
      <c r="I40" t="s">
        <v>211</v>
      </c>
      <c r="J40" s="4">
        <v>46078.079258506943</v>
      </c>
    </row>
    <row r="41" spans="1:11" x14ac:dyDescent="0.55000000000000004">
      <c r="A41" t="s">
        <v>212</v>
      </c>
      <c r="B41">
        <v>100701</v>
      </c>
      <c r="D41" s="3">
        <v>45920</v>
      </c>
      <c r="E41" t="s">
        <v>213</v>
      </c>
      <c r="F41" t="s">
        <v>214</v>
      </c>
      <c r="G41" t="s">
        <v>22</v>
      </c>
      <c r="H41" t="s">
        <v>215</v>
      </c>
      <c r="I41" t="s">
        <v>216</v>
      </c>
      <c r="J41" s="4">
        <v>46073.031341851849</v>
      </c>
      <c r="K41" t="s">
        <v>217</v>
      </c>
    </row>
    <row r="42" spans="1:11" x14ac:dyDescent="0.55000000000000004">
      <c r="A42" t="s">
        <v>218</v>
      </c>
      <c r="B42">
        <v>100405</v>
      </c>
      <c r="C42" t="s">
        <v>19</v>
      </c>
      <c r="D42" s="3">
        <v>45946</v>
      </c>
      <c r="E42" t="s">
        <v>115</v>
      </c>
      <c r="F42" t="s">
        <v>219</v>
      </c>
      <c r="G42" t="s">
        <v>15</v>
      </c>
      <c r="H42" t="s">
        <v>220</v>
      </c>
      <c r="I42" t="s">
        <v>221</v>
      </c>
      <c r="J42" s="4">
        <v>46081.672314074072</v>
      </c>
    </row>
    <row r="43" spans="1:11" x14ac:dyDescent="0.55000000000000004">
      <c r="A43" t="s">
        <v>222</v>
      </c>
      <c r="B43">
        <v>100876</v>
      </c>
      <c r="C43" t="s">
        <v>19</v>
      </c>
      <c r="D43" s="3">
        <v>45922</v>
      </c>
      <c r="E43" t="s">
        <v>184</v>
      </c>
      <c r="F43" t="s">
        <v>223</v>
      </c>
      <c r="G43" t="s">
        <v>22</v>
      </c>
      <c r="H43" t="s">
        <v>224</v>
      </c>
      <c r="I43" t="s">
        <v>225</v>
      </c>
      <c r="J43" s="4">
        <v>46092.518147407405</v>
      </c>
    </row>
    <row r="44" spans="1:11" x14ac:dyDescent="0.55000000000000004">
      <c r="A44" t="s">
        <v>226</v>
      </c>
      <c r="B44">
        <v>101409</v>
      </c>
      <c r="C44" t="s">
        <v>248</v>
      </c>
      <c r="D44" s="3">
        <v>45962</v>
      </c>
      <c r="E44" t="s">
        <v>121</v>
      </c>
      <c r="F44" t="s">
        <v>227</v>
      </c>
      <c r="G44" t="s">
        <v>15</v>
      </c>
      <c r="H44" t="s">
        <v>228</v>
      </c>
      <c r="I44" t="s">
        <v>229</v>
      </c>
      <c r="J44" s="4">
        <v>46069.249397418978</v>
      </c>
    </row>
    <row r="45" spans="1:11" x14ac:dyDescent="0.55000000000000004">
      <c r="A45" t="s">
        <v>230</v>
      </c>
      <c r="B45">
        <v>100434</v>
      </c>
      <c r="C45" t="s">
        <v>37</v>
      </c>
      <c r="D45" s="3">
        <v>45944</v>
      </c>
      <c r="E45" t="s">
        <v>69</v>
      </c>
      <c r="F45" t="s">
        <v>231</v>
      </c>
      <c r="G45" t="s">
        <v>22</v>
      </c>
      <c r="H45" t="s">
        <v>232</v>
      </c>
      <c r="I45" t="s">
        <v>233</v>
      </c>
      <c r="J45" s="4">
        <v>46082.19731408565</v>
      </c>
    </row>
    <row r="46" spans="1:11" x14ac:dyDescent="0.55000000000000004">
      <c r="A46" t="s">
        <v>234</v>
      </c>
      <c r="B46">
        <v>101008</v>
      </c>
      <c r="C46" t="s">
        <v>37</v>
      </c>
      <c r="D46" s="3">
        <v>45923</v>
      </c>
      <c r="E46" t="s">
        <v>155</v>
      </c>
      <c r="F46" t="s">
        <v>235</v>
      </c>
      <c r="G46" t="s">
        <v>22</v>
      </c>
      <c r="H46" t="s">
        <v>236</v>
      </c>
      <c r="I46" t="s">
        <v>237</v>
      </c>
      <c r="J46" s="4">
        <v>46090.821619652779</v>
      </c>
    </row>
    <row r="47" spans="1:11" x14ac:dyDescent="0.55000000000000004">
      <c r="A47" t="s">
        <v>238</v>
      </c>
      <c r="B47">
        <v>101095</v>
      </c>
      <c r="C47" t="s">
        <v>68</v>
      </c>
      <c r="D47" s="3">
        <v>46137</v>
      </c>
      <c r="E47" t="s">
        <v>115</v>
      </c>
      <c r="F47" t="s">
        <v>239</v>
      </c>
      <c r="G47" t="s">
        <v>15</v>
      </c>
      <c r="H47" t="s">
        <v>240</v>
      </c>
      <c r="I47" t="s">
        <v>241</v>
      </c>
      <c r="J47" s="4">
        <v>46079.074397430559</v>
      </c>
      <c r="K47" t="s">
        <v>139</v>
      </c>
    </row>
    <row r="48" spans="1:11" x14ac:dyDescent="0.55000000000000004">
      <c r="A48" t="s">
        <v>242</v>
      </c>
      <c r="B48">
        <v>100391</v>
      </c>
      <c r="C48" t="s">
        <v>533</v>
      </c>
      <c r="D48" s="3">
        <v>46120</v>
      </c>
      <c r="E48" t="s">
        <v>243</v>
      </c>
      <c r="F48" t="s">
        <v>244</v>
      </c>
      <c r="G48" t="s">
        <v>15</v>
      </c>
      <c r="H48" t="s">
        <v>245</v>
      </c>
      <c r="I48" t="s">
        <v>246</v>
      </c>
      <c r="J48" s="4">
        <v>46096.382036319446</v>
      </c>
    </row>
    <row r="49" spans="1:11" x14ac:dyDescent="0.55000000000000004">
      <c r="A49" t="s">
        <v>247</v>
      </c>
      <c r="B49">
        <v>100297</v>
      </c>
      <c r="C49" t="s">
        <v>248</v>
      </c>
      <c r="D49" s="3">
        <v>45808</v>
      </c>
      <c r="E49" t="s">
        <v>213</v>
      </c>
      <c r="F49" t="s">
        <v>249</v>
      </c>
      <c r="G49" t="s">
        <v>15</v>
      </c>
      <c r="H49" t="s">
        <v>250</v>
      </c>
      <c r="I49" t="s">
        <v>251</v>
      </c>
      <c r="J49" s="4">
        <v>46079.40842521991</v>
      </c>
    </row>
    <row r="50" spans="1:11" x14ac:dyDescent="0.55000000000000004">
      <c r="A50" t="s">
        <v>252</v>
      </c>
      <c r="B50">
        <v>100157</v>
      </c>
      <c r="C50" t="s">
        <v>68</v>
      </c>
      <c r="D50" s="3">
        <v>45794</v>
      </c>
      <c r="E50" t="s">
        <v>115</v>
      </c>
      <c r="F50" t="s">
        <v>253</v>
      </c>
      <c r="G50" t="s">
        <v>22</v>
      </c>
      <c r="H50" t="s">
        <v>254</v>
      </c>
      <c r="I50" t="s">
        <v>255</v>
      </c>
      <c r="J50" s="4">
        <v>46056.86050855324</v>
      </c>
    </row>
    <row r="51" spans="1:11" x14ac:dyDescent="0.55000000000000004">
      <c r="A51" t="s">
        <v>256</v>
      </c>
      <c r="B51">
        <v>100933</v>
      </c>
      <c r="C51" t="s">
        <v>179</v>
      </c>
      <c r="D51" s="3">
        <v>45764</v>
      </c>
      <c r="E51" t="s">
        <v>69</v>
      </c>
      <c r="F51" t="s">
        <v>257</v>
      </c>
      <c r="G51" t="s">
        <v>15</v>
      </c>
      <c r="H51" t="s">
        <v>258</v>
      </c>
      <c r="I51" t="s">
        <v>259</v>
      </c>
      <c r="J51" s="4">
        <v>46057.01328634259</v>
      </c>
    </row>
    <row r="52" spans="1:11" x14ac:dyDescent="0.55000000000000004">
      <c r="A52" t="s">
        <v>260</v>
      </c>
      <c r="B52">
        <v>101122</v>
      </c>
      <c r="C52" t="s">
        <v>19</v>
      </c>
      <c r="D52" s="3">
        <v>45855</v>
      </c>
      <c r="E52" t="s">
        <v>208</v>
      </c>
      <c r="F52" t="s">
        <v>261</v>
      </c>
      <c r="G52" t="s">
        <v>15</v>
      </c>
      <c r="H52" t="s">
        <v>262</v>
      </c>
      <c r="I52" t="s">
        <v>263</v>
      </c>
      <c r="J52" s="4">
        <v>46058.244536342594</v>
      </c>
    </row>
    <row r="53" spans="1:11" x14ac:dyDescent="0.55000000000000004">
      <c r="A53" t="s">
        <v>264</v>
      </c>
      <c r="B53">
        <v>100879</v>
      </c>
      <c r="C53" t="s">
        <v>248</v>
      </c>
      <c r="D53" s="3">
        <v>46024</v>
      </c>
      <c r="E53" t="s">
        <v>265</v>
      </c>
      <c r="F53" t="s">
        <v>266</v>
      </c>
      <c r="G53" t="s">
        <v>22</v>
      </c>
      <c r="H53" t="s">
        <v>267</v>
      </c>
      <c r="I53" t="s">
        <v>268</v>
      </c>
      <c r="J53" s="4">
        <v>46092.998008564813</v>
      </c>
    </row>
    <row r="54" spans="1:11" x14ac:dyDescent="0.55000000000000004">
      <c r="A54" t="s">
        <v>269</v>
      </c>
      <c r="B54">
        <v>100182</v>
      </c>
      <c r="C54" t="s">
        <v>19</v>
      </c>
      <c r="D54" s="3">
        <v>45991</v>
      </c>
      <c r="E54" t="s">
        <v>270</v>
      </c>
      <c r="F54" t="s">
        <v>271</v>
      </c>
      <c r="G54" t="s">
        <v>22</v>
      </c>
      <c r="H54" t="s">
        <v>272</v>
      </c>
      <c r="I54" t="s">
        <v>273</v>
      </c>
      <c r="J54" s="4">
        <v>46094.842453020836</v>
      </c>
    </row>
    <row r="55" spans="1:11" x14ac:dyDescent="0.55000000000000004">
      <c r="A55" t="s">
        <v>274</v>
      </c>
      <c r="B55">
        <v>101357</v>
      </c>
      <c r="C55" t="s">
        <v>179</v>
      </c>
      <c r="D55" s="3">
        <v>45923</v>
      </c>
      <c r="E55" t="s">
        <v>141</v>
      </c>
      <c r="F55" t="s">
        <v>275</v>
      </c>
      <c r="G55" t="s">
        <v>22</v>
      </c>
      <c r="H55" t="s">
        <v>276</v>
      </c>
      <c r="I55" t="s">
        <v>277</v>
      </c>
      <c r="J55" s="4">
        <v>46093.255647465281</v>
      </c>
    </row>
    <row r="56" spans="1:11" x14ac:dyDescent="0.55000000000000004">
      <c r="A56" t="s">
        <v>278</v>
      </c>
      <c r="B56">
        <v>100513</v>
      </c>
      <c r="C56" t="s">
        <v>248</v>
      </c>
      <c r="D56" s="3">
        <v>46107</v>
      </c>
      <c r="E56" t="s">
        <v>13</v>
      </c>
      <c r="F56" t="s">
        <v>279</v>
      </c>
      <c r="G56" t="s">
        <v>15</v>
      </c>
      <c r="H56" t="s">
        <v>280</v>
      </c>
      <c r="I56" t="s">
        <v>281</v>
      </c>
      <c r="J56" s="4">
        <v>46095.245230810186</v>
      </c>
    </row>
    <row r="57" spans="1:11" x14ac:dyDescent="0.55000000000000004">
      <c r="A57" t="s">
        <v>282</v>
      </c>
      <c r="B57">
        <v>101229</v>
      </c>
      <c r="C57" t="s">
        <v>19</v>
      </c>
      <c r="D57" s="3">
        <v>45905</v>
      </c>
      <c r="E57" t="s">
        <v>43</v>
      </c>
      <c r="F57" t="s">
        <v>283</v>
      </c>
      <c r="G57" t="s">
        <v>15</v>
      </c>
      <c r="H57" t="s">
        <v>284</v>
      </c>
      <c r="I57" t="s">
        <v>285</v>
      </c>
      <c r="J57" s="4">
        <v>46089.656341921298</v>
      </c>
    </row>
    <row r="58" spans="1:11" x14ac:dyDescent="0.55000000000000004">
      <c r="A58" t="s">
        <v>286</v>
      </c>
      <c r="B58">
        <v>100374</v>
      </c>
      <c r="C58" t="s">
        <v>179</v>
      </c>
      <c r="D58" s="3">
        <v>45750</v>
      </c>
      <c r="E58" t="s">
        <v>265</v>
      </c>
      <c r="F58" t="s">
        <v>287</v>
      </c>
      <c r="G58" t="s">
        <v>15</v>
      </c>
      <c r="H58" t="s">
        <v>288</v>
      </c>
      <c r="I58" t="s">
        <v>289</v>
      </c>
      <c r="J58" s="4">
        <v>46095.297314143521</v>
      </c>
    </row>
    <row r="59" spans="1:11" x14ac:dyDescent="0.55000000000000004">
      <c r="A59" t="s">
        <v>290</v>
      </c>
      <c r="B59">
        <v>101141</v>
      </c>
      <c r="C59" t="s">
        <v>68</v>
      </c>
      <c r="D59" s="3">
        <v>45995</v>
      </c>
      <c r="E59" t="s">
        <v>89</v>
      </c>
      <c r="F59" t="s">
        <v>291</v>
      </c>
      <c r="G59" t="s">
        <v>22</v>
      </c>
      <c r="H59" t="s">
        <v>292</v>
      </c>
      <c r="I59" t="s">
        <v>293</v>
      </c>
      <c r="J59" s="4">
        <v>46094.826480821757</v>
      </c>
    </row>
    <row r="60" spans="1:11" x14ac:dyDescent="0.55000000000000004">
      <c r="A60" t="s">
        <v>294</v>
      </c>
      <c r="B60">
        <v>100307</v>
      </c>
      <c r="C60" t="s">
        <v>248</v>
      </c>
      <c r="D60" s="3">
        <v>45878</v>
      </c>
      <c r="E60" t="s">
        <v>295</v>
      </c>
      <c r="F60" t="s">
        <v>296</v>
      </c>
      <c r="G60" t="s">
        <v>22</v>
      </c>
      <c r="H60" t="s">
        <v>297</v>
      </c>
      <c r="I60" t="s">
        <v>298</v>
      </c>
      <c r="J60" s="4">
        <v>46090.22300859954</v>
      </c>
    </row>
    <row r="61" spans="1:11" x14ac:dyDescent="0.55000000000000004">
      <c r="A61" t="s">
        <v>299</v>
      </c>
      <c r="C61" t="s">
        <v>179</v>
      </c>
      <c r="D61" s="3">
        <v>45936</v>
      </c>
      <c r="E61" t="s">
        <v>300</v>
      </c>
      <c r="F61" t="s">
        <v>301</v>
      </c>
      <c r="G61" t="s">
        <v>15</v>
      </c>
      <c r="H61" t="s">
        <v>302</v>
      </c>
      <c r="I61" t="s">
        <v>303</v>
      </c>
      <c r="J61" s="4">
        <v>46065.7618975</v>
      </c>
      <c r="K61" t="s">
        <v>112</v>
      </c>
    </row>
    <row r="62" spans="1:11" x14ac:dyDescent="0.55000000000000004">
      <c r="A62" t="s">
        <v>304</v>
      </c>
      <c r="B62">
        <v>100491</v>
      </c>
      <c r="C62" t="s">
        <v>19</v>
      </c>
      <c r="D62" s="3">
        <v>45920</v>
      </c>
      <c r="E62" t="s">
        <v>83</v>
      </c>
      <c r="F62" t="s">
        <v>305</v>
      </c>
      <c r="G62" t="s">
        <v>15</v>
      </c>
      <c r="H62" t="s">
        <v>306</v>
      </c>
      <c r="I62" t="s">
        <v>307</v>
      </c>
      <c r="J62" s="4">
        <v>46069.88967527778</v>
      </c>
    </row>
    <row r="63" spans="1:11" x14ac:dyDescent="0.55000000000000004">
      <c r="A63" t="s">
        <v>308</v>
      </c>
      <c r="B63">
        <v>101319</v>
      </c>
      <c r="C63" t="s">
        <v>533</v>
      </c>
      <c r="D63" s="3">
        <v>46011</v>
      </c>
      <c r="E63" t="s">
        <v>295</v>
      </c>
      <c r="F63" t="s">
        <v>309</v>
      </c>
      <c r="G63" t="s">
        <v>15</v>
      </c>
      <c r="H63" t="s">
        <v>310</v>
      </c>
      <c r="I63" t="s">
        <v>311</v>
      </c>
      <c r="J63" s="4">
        <v>46076.806341944444</v>
      </c>
    </row>
    <row r="64" spans="1:11" x14ac:dyDescent="0.55000000000000004">
      <c r="A64" t="s">
        <v>312</v>
      </c>
      <c r="B64">
        <v>100722</v>
      </c>
      <c r="C64" t="s">
        <v>68</v>
      </c>
      <c r="D64" s="3">
        <v>45888</v>
      </c>
      <c r="E64" t="s">
        <v>89</v>
      </c>
      <c r="F64" t="s">
        <v>313</v>
      </c>
      <c r="G64" t="s">
        <v>15</v>
      </c>
      <c r="H64" t="s">
        <v>314</v>
      </c>
      <c r="I64" t="s">
        <v>315</v>
      </c>
      <c r="J64" s="4">
        <v>46053.114675289355</v>
      </c>
    </row>
    <row r="65" spans="1:11" x14ac:dyDescent="0.55000000000000004">
      <c r="A65" t="s">
        <v>316</v>
      </c>
      <c r="B65">
        <v>101401</v>
      </c>
      <c r="C65" t="s">
        <v>68</v>
      </c>
      <c r="D65" s="3">
        <v>45960</v>
      </c>
      <c r="E65" t="s">
        <v>317</v>
      </c>
      <c r="F65" t="s">
        <v>318</v>
      </c>
      <c r="G65" t="s">
        <v>22</v>
      </c>
      <c r="H65" t="s">
        <v>319</v>
      </c>
      <c r="I65" t="s">
        <v>320</v>
      </c>
      <c r="J65" s="4">
        <v>46058.127869733798</v>
      </c>
    </row>
    <row r="66" spans="1:11" x14ac:dyDescent="0.55000000000000004">
      <c r="A66" t="s">
        <v>321</v>
      </c>
      <c r="B66">
        <v>100098</v>
      </c>
      <c r="C66" t="s">
        <v>248</v>
      </c>
      <c r="D66" s="3">
        <v>46059</v>
      </c>
      <c r="E66" t="s">
        <v>155</v>
      </c>
      <c r="F66" t="s">
        <v>322</v>
      </c>
      <c r="G66" t="s">
        <v>22</v>
      </c>
      <c r="H66" t="s">
        <v>323</v>
      </c>
      <c r="I66" t="s">
        <v>324</v>
      </c>
      <c r="J66" s="4">
        <v>46074.016758634258</v>
      </c>
    </row>
    <row r="67" spans="1:11" x14ac:dyDescent="0.55000000000000004">
      <c r="A67" t="s">
        <v>325</v>
      </c>
      <c r="B67">
        <v>100682</v>
      </c>
      <c r="C67" t="s">
        <v>533</v>
      </c>
      <c r="D67" s="3">
        <v>45747</v>
      </c>
      <c r="E67" t="s">
        <v>38</v>
      </c>
      <c r="F67" t="s">
        <v>326</v>
      </c>
      <c r="G67" t="s">
        <v>22</v>
      </c>
      <c r="H67" t="s">
        <v>327</v>
      </c>
      <c r="I67" t="s">
        <v>328</v>
      </c>
      <c r="J67" s="4">
        <v>46095.566758634261</v>
      </c>
    </row>
    <row r="68" spans="1:11" x14ac:dyDescent="0.55000000000000004">
      <c r="A68" t="s">
        <v>329</v>
      </c>
      <c r="B68">
        <v>100602</v>
      </c>
      <c r="C68" t="s">
        <v>37</v>
      </c>
      <c r="D68" s="3">
        <v>45852</v>
      </c>
      <c r="E68" t="s">
        <v>300</v>
      </c>
      <c r="F68" t="s">
        <v>330</v>
      </c>
      <c r="G68" t="s">
        <v>15</v>
      </c>
      <c r="H68" t="s">
        <v>331</v>
      </c>
      <c r="I68" t="s">
        <v>332</v>
      </c>
      <c r="J68" s="4">
        <v>46059.527869745369</v>
      </c>
    </row>
    <row r="69" spans="1:11" x14ac:dyDescent="0.55000000000000004">
      <c r="A69" t="s">
        <v>333</v>
      </c>
      <c r="B69">
        <v>101162</v>
      </c>
      <c r="C69" t="s">
        <v>179</v>
      </c>
      <c r="D69" s="3">
        <v>45921</v>
      </c>
      <c r="E69" t="s">
        <v>334</v>
      </c>
      <c r="F69" t="s">
        <v>335</v>
      </c>
      <c r="G69" t="s">
        <v>15</v>
      </c>
      <c r="H69" t="s">
        <v>336</v>
      </c>
      <c r="I69" t="s">
        <v>337</v>
      </c>
      <c r="J69" s="4">
        <v>46064.224397534723</v>
      </c>
    </row>
    <row r="70" spans="1:11" x14ac:dyDescent="0.55000000000000004">
      <c r="A70" t="s">
        <v>338</v>
      </c>
      <c r="B70">
        <v>100132</v>
      </c>
      <c r="C70" t="s">
        <v>179</v>
      </c>
      <c r="D70" s="3">
        <v>45892</v>
      </c>
      <c r="E70" t="s">
        <v>199</v>
      </c>
      <c r="F70" t="s">
        <v>339</v>
      </c>
      <c r="G70" t="s">
        <v>15</v>
      </c>
      <c r="H70" t="s">
        <v>340</v>
      </c>
      <c r="I70" t="s">
        <v>341</v>
      </c>
      <c r="J70" s="4">
        <v>46086.036203090276</v>
      </c>
    </row>
    <row r="71" spans="1:11" x14ac:dyDescent="0.55000000000000004">
      <c r="A71" t="s">
        <v>342</v>
      </c>
      <c r="B71">
        <v>100608</v>
      </c>
      <c r="C71" t="s">
        <v>19</v>
      </c>
      <c r="D71" s="3">
        <v>45930</v>
      </c>
      <c r="E71" t="s">
        <v>343</v>
      </c>
      <c r="F71" t="s">
        <v>344</v>
      </c>
      <c r="G71" t="s">
        <v>22</v>
      </c>
      <c r="H71" t="s">
        <v>345</v>
      </c>
      <c r="I71" t="s">
        <v>346</v>
      </c>
      <c r="J71" s="4">
        <v>46083.875786435186</v>
      </c>
    </row>
    <row r="72" spans="1:11" x14ac:dyDescent="0.55000000000000004">
      <c r="A72" t="s">
        <v>347</v>
      </c>
      <c r="B72">
        <v>101331</v>
      </c>
      <c r="C72" t="s">
        <v>68</v>
      </c>
      <c r="D72" s="3">
        <v>46087</v>
      </c>
      <c r="E72" t="s">
        <v>265</v>
      </c>
      <c r="F72" t="s">
        <v>348</v>
      </c>
      <c r="G72" t="s">
        <v>15</v>
      </c>
      <c r="H72" t="s">
        <v>349</v>
      </c>
      <c r="I72" t="s">
        <v>350</v>
      </c>
      <c r="J72" s="4">
        <v>46093.103564212965</v>
      </c>
    </row>
    <row r="73" spans="1:11" x14ac:dyDescent="0.55000000000000004">
      <c r="A73" t="s">
        <v>351</v>
      </c>
      <c r="B73">
        <v>100845</v>
      </c>
      <c r="C73" t="s">
        <v>533</v>
      </c>
      <c r="D73" s="3">
        <v>46097</v>
      </c>
      <c r="E73" t="s">
        <v>295</v>
      </c>
      <c r="F73" t="s">
        <v>352</v>
      </c>
      <c r="G73" t="s">
        <v>22</v>
      </c>
      <c r="H73" t="s">
        <v>353</v>
      </c>
      <c r="I73" t="s">
        <v>354</v>
      </c>
      <c r="J73" s="4">
        <v>46052.654258668983</v>
      </c>
    </row>
    <row r="74" spans="1:11" x14ac:dyDescent="0.55000000000000004">
      <c r="A74" t="s">
        <v>355</v>
      </c>
      <c r="B74">
        <v>100547</v>
      </c>
      <c r="C74" t="s">
        <v>19</v>
      </c>
      <c r="D74" s="3">
        <v>46009</v>
      </c>
      <c r="E74" t="s">
        <v>356</v>
      </c>
      <c r="F74" t="s">
        <v>357</v>
      </c>
      <c r="G74" t="s">
        <v>15</v>
      </c>
      <c r="H74" t="s">
        <v>358</v>
      </c>
      <c r="I74" t="s">
        <v>359</v>
      </c>
      <c r="J74" s="4">
        <v>46074.023008668984</v>
      </c>
    </row>
    <row r="75" spans="1:11" x14ac:dyDescent="0.55000000000000004">
      <c r="A75" t="s">
        <v>360</v>
      </c>
      <c r="B75">
        <v>100359</v>
      </c>
      <c r="C75" t="s">
        <v>248</v>
      </c>
      <c r="D75" s="3">
        <v>45794</v>
      </c>
      <c r="E75" t="s">
        <v>115</v>
      </c>
      <c r="F75" t="s">
        <v>361</v>
      </c>
      <c r="G75" t="s">
        <v>15</v>
      </c>
      <c r="H75" t="s">
        <v>362</v>
      </c>
      <c r="I75" t="s">
        <v>363</v>
      </c>
      <c r="J75" s="4">
        <v>46066.709119780091</v>
      </c>
    </row>
    <row r="76" spans="1:11" x14ac:dyDescent="0.55000000000000004">
      <c r="A76" t="s">
        <v>364</v>
      </c>
      <c r="B76">
        <v>101068</v>
      </c>
      <c r="C76" t="s">
        <v>68</v>
      </c>
      <c r="D76" s="3">
        <v>46015</v>
      </c>
      <c r="E76" t="s">
        <v>208</v>
      </c>
      <c r="F76" t="s">
        <v>365</v>
      </c>
      <c r="G76" t="s">
        <v>15</v>
      </c>
      <c r="H76" t="s">
        <v>366</v>
      </c>
      <c r="I76" t="s">
        <v>367</v>
      </c>
      <c r="J76" s="4">
        <v>46093.306342013886</v>
      </c>
    </row>
    <row r="77" spans="1:11" x14ac:dyDescent="0.55000000000000004">
      <c r="A77" t="s">
        <v>368</v>
      </c>
      <c r="B77">
        <v>100635</v>
      </c>
      <c r="C77" t="s">
        <v>179</v>
      </c>
      <c r="D77" s="3">
        <v>46099</v>
      </c>
      <c r="E77" t="s">
        <v>213</v>
      </c>
      <c r="F77" t="s">
        <v>369</v>
      </c>
      <c r="G77" t="s">
        <v>22</v>
      </c>
      <c r="H77" t="s">
        <v>370</v>
      </c>
      <c r="I77" t="s">
        <v>371</v>
      </c>
      <c r="J77" s="4">
        <v>46061.641064236108</v>
      </c>
      <c r="K77" t="s">
        <v>139</v>
      </c>
    </row>
    <row r="78" spans="1:11" x14ac:dyDescent="0.55000000000000004">
      <c r="A78" t="s">
        <v>372</v>
      </c>
      <c r="B78">
        <v>100354</v>
      </c>
      <c r="C78" t="s">
        <v>533</v>
      </c>
      <c r="D78" s="3">
        <v>45894</v>
      </c>
      <c r="E78" t="s">
        <v>270</v>
      </c>
      <c r="F78" t="s">
        <v>373</v>
      </c>
      <c r="G78" t="s">
        <v>22</v>
      </c>
      <c r="H78" t="s">
        <v>374</v>
      </c>
      <c r="I78" t="s">
        <v>375</v>
      </c>
      <c r="J78" s="4">
        <v>46088.961897569447</v>
      </c>
    </row>
    <row r="79" spans="1:11" x14ac:dyDescent="0.55000000000000004">
      <c r="A79" t="s">
        <v>376</v>
      </c>
      <c r="B79">
        <v>100977</v>
      </c>
      <c r="C79" t="s">
        <v>19</v>
      </c>
      <c r="D79" s="3">
        <v>45825</v>
      </c>
      <c r="E79" t="s">
        <v>69</v>
      </c>
      <c r="F79" t="s">
        <v>377</v>
      </c>
      <c r="G79" t="s">
        <v>15</v>
      </c>
      <c r="H79" t="s">
        <v>378</v>
      </c>
      <c r="I79" t="s">
        <v>379</v>
      </c>
      <c r="J79" s="4">
        <v>46090.009119803239</v>
      </c>
    </row>
    <row r="80" spans="1:11" x14ac:dyDescent="0.55000000000000004">
      <c r="A80" t="s">
        <v>380</v>
      </c>
      <c r="B80">
        <v>101358</v>
      </c>
      <c r="D80" s="3">
        <v>45887</v>
      </c>
      <c r="E80" t="s">
        <v>115</v>
      </c>
      <c r="F80" t="s">
        <v>381</v>
      </c>
      <c r="G80" t="s">
        <v>22</v>
      </c>
      <c r="H80" t="s">
        <v>382</v>
      </c>
      <c r="I80" t="s">
        <v>383</v>
      </c>
      <c r="J80" s="4">
        <v>46052.42578646991</v>
      </c>
      <c r="K80" t="s">
        <v>217</v>
      </c>
    </row>
    <row r="81" spans="1:10" x14ac:dyDescent="0.55000000000000004">
      <c r="A81" t="s">
        <v>384</v>
      </c>
      <c r="B81">
        <v>100950</v>
      </c>
      <c r="C81" t="s">
        <v>68</v>
      </c>
      <c r="D81" s="3">
        <v>45997</v>
      </c>
      <c r="E81" t="s">
        <v>295</v>
      </c>
      <c r="F81" t="s">
        <v>385</v>
      </c>
      <c r="G81" t="s">
        <v>15</v>
      </c>
      <c r="H81" t="s">
        <v>386</v>
      </c>
      <c r="I81" t="s">
        <v>387</v>
      </c>
      <c r="J81" s="4">
        <v>46056.962592037038</v>
      </c>
    </row>
    <row r="82" spans="1:10" x14ac:dyDescent="0.55000000000000004">
      <c r="A82" t="s">
        <v>388</v>
      </c>
      <c r="B82">
        <v>100780</v>
      </c>
      <c r="C82" t="s">
        <v>248</v>
      </c>
      <c r="D82" s="3">
        <v>45796</v>
      </c>
      <c r="E82" t="s">
        <v>343</v>
      </c>
      <c r="F82" t="s">
        <v>389</v>
      </c>
      <c r="G82" t="s">
        <v>15</v>
      </c>
      <c r="H82" t="s">
        <v>390</v>
      </c>
      <c r="I82" t="s">
        <v>391</v>
      </c>
      <c r="J82" s="4">
        <v>46059.920230925927</v>
      </c>
    </row>
    <row r="83" spans="1:10" x14ac:dyDescent="0.55000000000000004">
      <c r="A83" t="s">
        <v>392</v>
      </c>
      <c r="B83">
        <v>100368</v>
      </c>
      <c r="C83" t="s">
        <v>533</v>
      </c>
      <c r="D83" s="3">
        <v>45819</v>
      </c>
      <c r="E83" t="s">
        <v>126</v>
      </c>
      <c r="F83" t="s">
        <v>393</v>
      </c>
      <c r="G83" t="s">
        <v>15</v>
      </c>
      <c r="H83" t="s">
        <v>394</v>
      </c>
      <c r="I83" t="s">
        <v>395</v>
      </c>
      <c r="J83" s="4">
        <v>46096.630647592596</v>
      </c>
    </row>
    <row r="84" spans="1:10" x14ac:dyDescent="0.55000000000000004">
      <c r="A84" t="s">
        <v>396</v>
      </c>
      <c r="B84">
        <v>101470</v>
      </c>
      <c r="C84" t="s">
        <v>37</v>
      </c>
      <c r="D84" s="3">
        <v>46060</v>
      </c>
      <c r="E84" t="s">
        <v>208</v>
      </c>
      <c r="F84" t="s">
        <v>397</v>
      </c>
      <c r="G84" t="s">
        <v>15</v>
      </c>
      <c r="H84" t="s">
        <v>398</v>
      </c>
      <c r="I84" t="s">
        <v>399</v>
      </c>
      <c r="J84" s="4">
        <v>46065.854258715277</v>
      </c>
    </row>
    <row r="85" spans="1:10" x14ac:dyDescent="0.55000000000000004">
      <c r="A85" t="s">
        <v>400</v>
      </c>
      <c r="B85">
        <v>101467</v>
      </c>
      <c r="C85" t="s">
        <v>19</v>
      </c>
      <c r="D85" s="3">
        <v>45880</v>
      </c>
      <c r="E85" t="s">
        <v>208</v>
      </c>
      <c r="F85" t="s">
        <v>401</v>
      </c>
      <c r="G85" t="s">
        <v>22</v>
      </c>
      <c r="H85" t="s">
        <v>402</v>
      </c>
      <c r="I85" t="s">
        <v>403</v>
      </c>
      <c r="J85" s="4">
        <v>46078.101480937497</v>
      </c>
    </row>
    <row r="86" spans="1:10" x14ac:dyDescent="0.55000000000000004">
      <c r="A86" t="s">
        <v>404</v>
      </c>
      <c r="B86">
        <v>100754</v>
      </c>
      <c r="C86" t="s">
        <v>37</v>
      </c>
      <c r="D86" s="3">
        <v>46084</v>
      </c>
      <c r="E86" t="s">
        <v>115</v>
      </c>
      <c r="F86" t="s">
        <v>405</v>
      </c>
      <c r="G86" t="s">
        <v>22</v>
      </c>
      <c r="H86" t="s">
        <v>406</v>
      </c>
      <c r="I86" t="s">
        <v>407</v>
      </c>
      <c r="J86" s="4">
        <v>46071.057730949076</v>
      </c>
    </row>
    <row r="87" spans="1:10" x14ac:dyDescent="0.55000000000000004">
      <c r="A87" t="s">
        <v>408</v>
      </c>
      <c r="B87">
        <v>101102</v>
      </c>
      <c r="C87" t="s">
        <v>179</v>
      </c>
      <c r="D87" s="3">
        <v>45836</v>
      </c>
      <c r="E87" t="s">
        <v>409</v>
      </c>
      <c r="F87" t="s">
        <v>410</v>
      </c>
      <c r="G87" t="s">
        <v>22</v>
      </c>
      <c r="H87" t="s">
        <v>411</v>
      </c>
      <c r="I87" t="s">
        <v>412</v>
      </c>
      <c r="J87" s="4">
        <v>46052.2924531713</v>
      </c>
    </row>
    <row r="88" spans="1:10" x14ac:dyDescent="0.55000000000000004">
      <c r="A88" t="s">
        <v>413</v>
      </c>
      <c r="B88">
        <v>101294</v>
      </c>
      <c r="C88" t="s">
        <v>68</v>
      </c>
      <c r="D88" s="3">
        <v>45936</v>
      </c>
      <c r="E88" t="s">
        <v>20</v>
      </c>
      <c r="F88" t="s">
        <v>414</v>
      </c>
      <c r="G88" t="s">
        <v>15</v>
      </c>
      <c r="H88" t="s">
        <v>415</v>
      </c>
      <c r="I88" t="s">
        <v>416</v>
      </c>
      <c r="J88" s="4">
        <v>46077.402175393516</v>
      </c>
    </row>
    <row r="89" spans="1:10" x14ac:dyDescent="0.55000000000000004">
      <c r="A89" t="s">
        <v>417</v>
      </c>
      <c r="B89">
        <v>100400</v>
      </c>
      <c r="C89" t="s">
        <v>179</v>
      </c>
      <c r="D89" s="3">
        <v>45794</v>
      </c>
      <c r="E89" t="s">
        <v>418</v>
      </c>
      <c r="F89" t="s">
        <v>419</v>
      </c>
      <c r="G89" t="s">
        <v>15</v>
      </c>
      <c r="H89" t="s">
        <v>420</v>
      </c>
      <c r="I89" t="s">
        <v>421</v>
      </c>
      <c r="J89" s="4">
        <v>46091.674397627314</v>
      </c>
    </row>
    <row r="90" spans="1:10" x14ac:dyDescent="0.55000000000000004">
      <c r="A90" t="s">
        <v>422</v>
      </c>
      <c r="B90">
        <v>100961</v>
      </c>
      <c r="C90" t="s">
        <v>68</v>
      </c>
      <c r="D90" s="3">
        <v>45928</v>
      </c>
      <c r="E90" t="s">
        <v>43</v>
      </c>
      <c r="F90" t="s">
        <v>423</v>
      </c>
      <c r="G90" t="s">
        <v>22</v>
      </c>
      <c r="H90" t="s">
        <v>424</v>
      </c>
      <c r="I90" t="s">
        <v>425</v>
      </c>
      <c r="J90" s="4">
        <v>46061.301480960647</v>
      </c>
    </row>
    <row r="91" spans="1:10" x14ac:dyDescent="0.55000000000000004">
      <c r="A91" t="s">
        <v>426</v>
      </c>
      <c r="B91">
        <v>100520</v>
      </c>
      <c r="C91" t="s">
        <v>248</v>
      </c>
      <c r="D91" s="3">
        <v>46122</v>
      </c>
      <c r="E91" t="s">
        <v>69</v>
      </c>
      <c r="F91" t="s">
        <v>427</v>
      </c>
      <c r="G91" t="s">
        <v>22</v>
      </c>
      <c r="H91" t="s">
        <v>428</v>
      </c>
      <c r="I91" t="s">
        <v>429</v>
      </c>
      <c r="J91" s="4">
        <v>46066.307730972221</v>
      </c>
    </row>
    <row r="92" spans="1:10" x14ac:dyDescent="0.55000000000000004">
      <c r="A92" t="s">
        <v>430</v>
      </c>
      <c r="B92">
        <v>101254</v>
      </c>
      <c r="C92" t="s">
        <v>19</v>
      </c>
      <c r="D92" s="3">
        <v>45743</v>
      </c>
      <c r="E92" t="s">
        <v>69</v>
      </c>
      <c r="F92" t="s">
        <v>431</v>
      </c>
      <c r="G92" t="s">
        <v>22</v>
      </c>
      <c r="H92" t="s">
        <v>432</v>
      </c>
      <c r="I92" t="s">
        <v>433</v>
      </c>
      <c r="J92" s="4">
        <v>46082.440369861113</v>
      </c>
    </row>
    <row r="93" spans="1:10" x14ac:dyDescent="0.55000000000000004">
      <c r="A93" t="s">
        <v>434</v>
      </c>
      <c r="B93">
        <v>101230</v>
      </c>
      <c r="C93" t="s">
        <v>19</v>
      </c>
      <c r="D93" s="3">
        <v>45912</v>
      </c>
      <c r="E93" t="s">
        <v>155</v>
      </c>
      <c r="F93" t="s">
        <v>435</v>
      </c>
      <c r="G93" t="s">
        <v>22</v>
      </c>
      <c r="H93" t="s">
        <v>436</v>
      </c>
      <c r="I93" t="s">
        <v>437</v>
      </c>
      <c r="J93" s="4">
        <v>46065.896619861109</v>
      </c>
    </row>
    <row r="94" spans="1:10" x14ac:dyDescent="0.55000000000000004">
      <c r="A94" t="s">
        <v>438</v>
      </c>
      <c r="B94">
        <v>100353</v>
      </c>
      <c r="C94" t="s">
        <v>19</v>
      </c>
      <c r="D94" s="3">
        <v>45878</v>
      </c>
      <c r="E94" t="s">
        <v>243</v>
      </c>
      <c r="F94" t="s">
        <v>439</v>
      </c>
      <c r="G94" t="s">
        <v>15</v>
      </c>
      <c r="H94" t="s">
        <v>440</v>
      </c>
      <c r="I94" t="s">
        <v>441</v>
      </c>
      <c r="J94" s="4">
        <v>46081.225786539355</v>
      </c>
    </row>
    <row r="95" spans="1:10" x14ac:dyDescent="0.55000000000000004">
      <c r="A95" t="s">
        <v>442</v>
      </c>
      <c r="B95">
        <v>100616</v>
      </c>
      <c r="C95" t="s">
        <v>179</v>
      </c>
      <c r="D95" s="3">
        <v>45919</v>
      </c>
      <c r="E95" t="s">
        <v>69</v>
      </c>
      <c r="F95" t="s">
        <v>443</v>
      </c>
      <c r="G95" t="s">
        <v>15</v>
      </c>
      <c r="H95" t="s">
        <v>444</v>
      </c>
      <c r="I95" t="s">
        <v>445</v>
      </c>
      <c r="J95" s="4">
        <v>46060.947314317127</v>
      </c>
    </row>
    <row r="96" spans="1:10" x14ac:dyDescent="0.55000000000000004">
      <c r="A96" t="s">
        <v>446</v>
      </c>
      <c r="B96">
        <v>100990</v>
      </c>
      <c r="C96" t="s">
        <v>248</v>
      </c>
      <c r="D96" s="3">
        <v>45917</v>
      </c>
      <c r="E96" t="s">
        <v>83</v>
      </c>
      <c r="F96" t="s">
        <v>447</v>
      </c>
      <c r="G96" t="s">
        <v>22</v>
      </c>
      <c r="H96" t="s">
        <v>448</v>
      </c>
      <c r="I96" t="s">
        <v>449</v>
      </c>
      <c r="J96" s="4">
        <v>46062.348703217591</v>
      </c>
    </row>
    <row r="97" spans="1:11" x14ac:dyDescent="0.55000000000000004">
      <c r="A97" t="s">
        <v>450</v>
      </c>
      <c r="B97">
        <v>100993</v>
      </c>
      <c r="C97" t="s">
        <v>19</v>
      </c>
      <c r="D97" s="3">
        <v>46080</v>
      </c>
      <c r="E97" t="s">
        <v>108</v>
      </c>
      <c r="F97" t="s">
        <v>451</v>
      </c>
      <c r="G97" t="s">
        <v>22</v>
      </c>
      <c r="H97" t="s">
        <v>452</v>
      </c>
      <c r="I97" t="s">
        <v>453</v>
      </c>
      <c r="J97" s="4">
        <v>46074.263980995369</v>
      </c>
    </row>
    <row r="98" spans="1:11" x14ac:dyDescent="0.55000000000000004">
      <c r="A98" t="s">
        <v>454</v>
      </c>
      <c r="B98">
        <v>100243</v>
      </c>
      <c r="C98" t="s">
        <v>19</v>
      </c>
      <c r="D98" s="3">
        <v>45919</v>
      </c>
      <c r="E98" t="s">
        <v>115</v>
      </c>
      <c r="F98" t="s">
        <v>455</v>
      </c>
      <c r="G98" t="s">
        <v>22</v>
      </c>
      <c r="H98" t="s">
        <v>456</v>
      </c>
      <c r="I98" t="s">
        <v>457</v>
      </c>
      <c r="J98" s="4">
        <v>46065.688980995372</v>
      </c>
    </row>
    <row r="99" spans="1:11" x14ac:dyDescent="0.55000000000000004">
      <c r="A99" t="s">
        <v>458</v>
      </c>
      <c r="B99">
        <v>100675</v>
      </c>
      <c r="C99" t="s">
        <v>37</v>
      </c>
      <c r="D99" s="3">
        <v>45751</v>
      </c>
      <c r="E99" t="s">
        <v>317</v>
      </c>
      <c r="F99" t="s">
        <v>459</v>
      </c>
      <c r="G99" t="s">
        <v>22</v>
      </c>
      <c r="H99" t="s">
        <v>460</v>
      </c>
      <c r="I99" t="s">
        <v>461</v>
      </c>
      <c r="J99" s="4">
        <v>46067.007731006946</v>
      </c>
    </row>
    <row r="100" spans="1:11" x14ac:dyDescent="0.55000000000000004">
      <c r="A100" t="s">
        <v>462</v>
      </c>
      <c r="B100">
        <v>100347</v>
      </c>
      <c r="C100" t="s">
        <v>179</v>
      </c>
      <c r="D100" s="3">
        <v>45808</v>
      </c>
      <c r="E100" t="s">
        <v>160</v>
      </c>
      <c r="F100" t="s">
        <v>463</v>
      </c>
      <c r="G100" t="s">
        <v>22</v>
      </c>
      <c r="H100" t="s">
        <v>464</v>
      </c>
      <c r="I100" t="s">
        <v>465</v>
      </c>
      <c r="J100" s="4">
        <v>46087.187592118054</v>
      </c>
    </row>
    <row r="101" spans="1:11" x14ac:dyDescent="0.55000000000000004">
      <c r="A101" t="s">
        <v>466</v>
      </c>
      <c r="B101">
        <v>100793</v>
      </c>
      <c r="C101" t="s">
        <v>19</v>
      </c>
      <c r="D101" s="3">
        <v>46110</v>
      </c>
      <c r="E101" t="s">
        <v>467</v>
      </c>
      <c r="F101" t="s">
        <v>468</v>
      </c>
      <c r="G101" t="s">
        <v>22</v>
      </c>
      <c r="H101" t="s">
        <v>469</v>
      </c>
      <c r="I101" t="s">
        <v>470</v>
      </c>
      <c r="J101" s="4">
        <v>46051.945925462962</v>
      </c>
    </row>
    <row r="102" spans="1:11" x14ac:dyDescent="0.55000000000000004">
      <c r="A102" t="s">
        <v>6022</v>
      </c>
      <c r="B102">
        <v>101227</v>
      </c>
      <c r="C102" t="s">
        <v>68</v>
      </c>
      <c r="D102" s="3">
        <v>45975</v>
      </c>
      <c r="E102" t="s">
        <v>20</v>
      </c>
      <c r="F102" t="s">
        <v>472</v>
      </c>
      <c r="G102" t="s">
        <v>22</v>
      </c>
      <c r="H102" t="s">
        <v>473</v>
      </c>
      <c r="I102" t="s">
        <v>474</v>
      </c>
      <c r="J102" s="4">
        <v>46054.590369907404</v>
      </c>
      <c r="K102" t="s">
        <v>119</v>
      </c>
    </row>
    <row r="103" spans="1:11" x14ac:dyDescent="0.55000000000000004">
      <c r="A103" t="s">
        <v>475</v>
      </c>
      <c r="B103">
        <v>100192</v>
      </c>
      <c r="C103" t="s">
        <v>179</v>
      </c>
      <c r="D103" s="3">
        <v>46030</v>
      </c>
      <c r="E103" t="s">
        <v>141</v>
      </c>
      <c r="F103" t="s">
        <v>476</v>
      </c>
      <c r="G103" t="s">
        <v>22</v>
      </c>
      <c r="H103" t="s">
        <v>477</v>
      </c>
      <c r="I103" t="s">
        <v>478</v>
      </c>
      <c r="J103" s="4">
        <v>46080.813981018517</v>
      </c>
    </row>
    <row r="104" spans="1:11" x14ac:dyDescent="0.55000000000000004">
      <c r="A104" t="s">
        <v>479</v>
      </c>
      <c r="B104">
        <v>100214</v>
      </c>
      <c r="C104" t="s">
        <v>19</v>
      </c>
      <c r="D104" s="3">
        <v>46027</v>
      </c>
      <c r="E104" t="s">
        <v>317</v>
      </c>
      <c r="F104" t="s">
        <v>480</v>
      </c>
      <c r="G104" t="s">
        <v>15</v>
      </c>
      <c r="H104" t="s">
        <v>481</v>
      </c>
      <c r="I104" t="s">
        <v>482</v>
      </c>
      <c r="J104" s="4">
        <v>46060.063286585646</v>
      </c>
    </row>
    <row r="105" spans="1:11" x14ac:dyDescent="0.55000000000000004">
      <c r="A105" t="s">
        <v>483</v>
      </c>
      <c r="B105">
        <v>101315</v>
      </c>
      <c r="C105" t="s">
        <v>533</v>
      </c>
      <c r="D105" s="3">
        <v>46000</v>
      </c>
      <c r="E105" t="s">
        <v>213</v>
      </c>
      <c r="F105" t="s">
        <v>484</v>
      </c>
      <c r="G105" t="s">
        <v>15</v>
      </c>
      <c r="H105" t="s">
        <v>485</v>
      </c>
      <c r="I105" t="s">
        <v>486</v>
      </c>
      <c r="J105" s="4">
        <v>46054.401481030094</v>
      </c>
    </row>
    <row r="106" spans="1:11" x14ac:dyDescent="0.55000000000000004">
      <c r="A106" t="s">
        <v>487</v>
      </c>
      <c r="B106">
        <v>101311</v>
      </c>
      <c r="C106" t="s">
        <v>37</v>
      </c>
      <c r="D106" s="3">
        <v>46025</v>
      </c>
      <c r="E106" t="s">
        <v>108</v>
      </c>
      <c r="F106" t="s">
        <v>488</v>
      </c>
      <c r="G106" t="s">
        <v>22</v>
      </c>
      <c r="H106" t="s">
        <v>489</v>
      </c>
      <c r="I106" t="s">
        <v>490</v>
      </c>
      <c r="J106" s="4">
        <v>46077.150786585647</v>
      </c>
    </row>
    <row r="107" spans="1:11" x14ac:dyDescent="0.55000000000000004">
      <c r="A107" t="s">
        <v>491</v>
      </c>
      <c r="B107">
        <v>100492</v>
      </c>
      <c r="C107" t="s">
        <v>533</v>
      </c>
      <c r="D107" s="3">
        <v>45943</v>
      </c>
      <c r="E107" t="s">
        <v>43</v>
      </c>
      <c r="F107" t="s">
        <v>81</v>
      </c>
      <c r="G107" t="s">
        <v>15</v>
      </c>
      <c r="H107" t="s">
        <v>492</v>
      </c>
      <c r="I107" t="s">
        <v>493</v>
      </c>
      <c r="J107" s="4">
        <v>46052.550092152778</v>
      </c>
    </row>
    <row r="108" spans="1:11" x14ac:dyDescent="0.55000000000000004">
      <c r="A108" t="s">
        <v>494</v>
      </c>
      <c r="B108">
        <v>100385</v>
      </c>
      <c r="C108" t="s">
        <v>19</v>
      </c>
      <c r="D108" s="3">
        <v>45838</v>
      </c>
      <c r="E108" t="s">
        <v>495</v>
      </c>
      <c r="F108" t="s">
        <v>496</v>
      </c>
      <c r="G108" t="s">
        <v>22</v>
      </c>
      <c r="H108" t="s">
        <v>497</v>
      </c>
      <c r="I108" t="s">
        <v>498</v>
      </c>
      <c r="J108" s="4">
        <v>46086.092453263889</v>
      </c>
    </row>
    <row r="109" spans="1:11" x14ac:dyDescent="0.55000000000000004">
      <c r="A109" t="s">
        <v>499</v>
      </c>
      <c r="B109">
        <v>100084</v>
      </c>
      <c r="C109" t="s">
        <v>19</v>
      </c>
      <c r="D109" s="3">
        <v>45907</v>
      </c>
      <c r="E109" t="s">
        <v>300</v>
      </c>
      <c r="F109" t="s">
        <v>500</v>
      </c>
      <c r="G109" t="s">
        <v>15</v>
      </c>
      <c r="H109" t="s">
        <v>501</v>
      </c>
      <c r="I109" t="s">
        <v>502</v>
      </c>
      <c r="J109" s="4">
        <v>46082.34939771991</v>
      </c>
    </row>
    <row r="110" spans="1:11" x14ac:dyDescent="0.55000000000000004">
      <c r="A110" t="s">
        <v>503</v>
      </c>
      <c r="B110">
        <v>100805</v>
      </c>
      <c r="C110" t="s">
        <v>19</v>
      </c>
      <c r="D110" s="3">
        <v>45884</v>
      </c>
      <c r="E110" t="s">
        <v>20</v>
      </c>
      <c r="F110" t="s">
        <v>504</v>
      </c>
      <c r="G110" t="s">
        <v>22</v>
      </c>
      <c r="H110" t="s">
        <v>505</v>
      </c>
      <c r="I110" t="s">
        <v>506</v>
      </c>
      <c r="J110" s="4">
        <v>46052.451481053242</v>
      </c>
    </row>
    <row r="111" spans="1:11" x14ac:dyDescent="0.55000000000000004">
      <c r="A111" t="s">
        <v>507</v>
      </c>
      <c r="B111">
        <v>100733</v>
      </c>
      <c r="C111" t="s">
        <v>19</v>
      </c>
      <c r="D111" s="3">
        <v>45894</v>
      </c>
      <c r="E111" t="s">
        <v>467</v>
      </c>
      <c r="F111" t="s">
        <v>508</v>
      </c>
      <c r="G111" t="s">
        <v>22</v>
      </c>
      <c r="H111" t="s">
        <v>509</v>
      </c>
      <c r="I111" t="s">
        <v>510</v>
      </c>
      <c r="J111" s="4">
        <v>46079.573008831016</v>
      </c>
    </row>
    <row r="112" spans="1:11" x14ac:dyDescent="0.55000000000000004">
      <c r="A112" t="s">
        <v>511</v>
      </c>
      <c r="B112">
        <v>101032</v>
      </c>
      <c r="C112" t="s">
        <v>19</v>
      </c>
      <c r="D112" s="3">
        <v>46078</v>
      </c>
      <c r="E112" t="s">
        <v>300</v>
      </c>
      <c r="F112" t="s">
        <v>512</v>
      </c>
      <c r="G112" t="s">
        <v>15</v>
      </c>
      <c r="H112" t="s">
        <v>513</v>
      </c>
      <c r="I112" t="s">
        <v>514</v>
      </c>
      <c r="J112" s="4">
        <v>46079.686203287034</v>
      </c>
    </row>
    <row r="113" spans="1:11" x14ac:dyDescent="0.55000000000000004">
      <c r="A113" t="s">
        <v>515</v>
      </c>
      <c r="B113">
        <v>101442</v>
      </c>
      <c r="C113" t="s">
        <v>68</v>
      </c>
      <c r="D113" s="3">
        <v>46097</v>
      </c>
      <c r="E113" t="s">
        <v>20</v>
      </c>
      <c r="F113" t="s">
        <v>516</v>
      </c>
      <c r="G113" t="s">
        <v>22</v>
      </c>
      <c r="H113" t="s">
        <v>517</v>
      </c>
      <c r="I113" t="s">
        <v>518</v>
      </c>
      <c r="J113" s="4">
        <v>46056.381342175926</v>
      </c>
    </row>
    <row r="114" spans="1:11" x14ac:dyDescent="0.55000000000000004">
      <c r="A114" t="s">
        <v>519</v>
      </c>
      <c r="B114">
        <v>100544</v>
      </c>
      <c r="C114" t="s">
        <v>19</v>
      </c>
      <c r="D114" s="3">
        <v>45841</v>
      </c>
      <c r="E114" t="s">
        <v>38</v>
      </c>
      <c r="F114" t="s">
        <v>520</v>
      </c>
      <c r="G114" t="s">
        <v>22</v>
      </c>
      <c r="H114" t="s">
        <v>521</v>
      </c>
      <c r="I114" t="s">
        <v>522</v>
      </c>
      <c r="J114" s="4">
        <v>46061.756342187502</v>
      </c>
    </row>
    <row r="115" spans="1:11" x14ac:dyDescent="0.55000000000000004">
      <c r="A115" t="s">
        <v>523</v>
      </c>
      <c r="B115">
        <v>100184</v>
      </c>
      <c r="C115" t="s">
        <v>248</v>
      </c>
      <c r="D115" s="3">
        <v>45802</v>
      </c>
      <c r="E115" t="s">
        <v>38</v>
      </c>
      <c r="F115" t="s">
        <v>524</v>
      </c>
      <c r="G115" t="s">
        <v>15</v>
      </c>
      <c r="H115" t="s">
        <v>525</v>
      </c>
      <c r="I115" t="s">
        <v>526</v>
      </c>
      <c r="J115" s="4">
        <v>46082.674397743052</v>
      </c>
    </row>
    <row r="116" spans="1:11" x14ac:dyDescent="0.55000000000000004">
      <c r="A116" t="s">
        <v>527</v>
      </c>
      <c r="B116">
        <v>101014</v>
      </c>
      <c r="C116" t="s">
        <v>19</v>
      </c>
      <c r="D116" s="3">
        <v>45847</v>
      </c>
      <c r="E116" t="s">
        <v>528</v>
      </c>
      <c r="F116" t="s">
        <v>529</v>
      </c>
      <c r="G116" t="s">
        <v>22</v>
      </c>
      <c r="H116" t="s">
        <v>530</v>
      </c>
      <c r="I116" t="s">
        <v>531</v>
      </c>
      <c r="J116" s="4">
        <v>46076.074397743054</v>
      </c>
    </row>
    <row r="117" spans="1:11" x14ac:dyDescent="0.55000000000000004">
      <c r="A117" t="s">
        <v>532</v>
      </c>
      <c r="B117">
        <v>100945</v>
      </c>
      <c r="C117" t="s">
        <v>533</v>
      </c>
      <c r="D117" s="3">
        <v>46080</v>
      </c>
      <c r="E117" t="s">
        <v>155</v>
      </c>
      <c r="F117" t="s">
        <v>534</v>
      </c>
      <c r="G117" t="s">
        <v>15</v>
      </c>
      <c r="H117" t="s">
        <v>535</v>
      </c>
      <c r="I117" t="s">
        <v>536</v>
      </c>
      <c r="J117" s="4">
        <v>46070.817453310185</v>
      </c>
    </row>
    <row r="118" spans="1:11" x14ac:dyDescent="0.55000000000000004">
      <c r="A118" t="s">
        <v>537</v>
      </c>
      <c r="B118">
        <v>100454</v>
      </c>
      <c r="C118" t="s">
        <v>19</v>
      </c>
      <c r="D118" s="3">
        <v>45976</v>
      </c>
      <c r="E118" t="s">
        <v>160</v>
      </c>
      <c r="F118" t="s">
        <v>538</v>
      </c>
      <c r="G118" t="s">
        <v>22</v>
      </c>
      <c r="H118" t="s">
        <v>539</v>
      </c>
      <c r="I118" t="s">
        <v>540</v>
      </c>
      <c r="J118" s="4">
        <v>46056.661897754631</v>
      </c>
    </row>
    <row r="119" spans="1:11" x14ac:dyDescent="0.55000000000000004">
      <c r="A119" t="s">
        <v>541</v>
      </c>
      <c r="B119">
        <v>101156</v>
      </c>
      <c r="C119" t="s">
        <v>37</v>
      </c>
      <c r="D119" s="3">
        <v>46065</v>
      </c>
      <c r="E119" t="s">
        <v>528</v>
      </c>
      <c r="F119" t="s">
        <v>542</v>
      </c>
      <c r="G119" t="s">
        <v>15</v>
      </c>
      <c r="H119" t="s">
        <v>543</v>
      </c>
      <c r="I119" t="s">
        <v>544</v>
      </c>
      <c r="J119" s="4">
        <v>46071.495925543983</v>
      </c>
    </row>
    <row r="120" spans="1:11" x14ac:dyDescent="0.55000000000000004">
      <c r="A120" t="s">
        <v>545</v>
      </c>
      <c r="B120">
        <v>100835</v>
      </c>
      <c r="C120" t="s">
        <v>37</v>
      </c>
      <c r="D120" s="3">
        <v>45935</v>
      </c>
      <c r="E120" t="s">
        <v>356</v>
      </c>
      <c r="F120" t="s">
        <v>546</v>
      </c>
      <c r="G120" t="s">
        <v>15</v>
      </c>
      <c r="H120" t="s">
        <v>547</v>
      </c>
      <c r="I120" t="s">
        <v>548</v>
      </c>
      <c r="J120" s="4">
        <v>46097.321619988426</v>
      </c>
    </row>
    <row r="121" spans="1:11" x14ac:dyDescent="0.55000000000000004">
      <c r="A121" t="s">
        <v>549</v>
      </c>
      <c r="B121">
        <v>101095</v>
      </c>
      <c r="C121" t="s">
        <v>19</v>
      </c>
      <c r="D121" s="3">
        <v>46040</v>
      </c>
      <c r="E121" t="s">
        <v>20</v>
      </c>
      <c r="F121" t="s">
        <v>550</v>
      </c>
      <c r="G121" t="s">
        <v>22</v>
      </c>
      <c r="H121" t="s">
        <v>551</v>
      </c>
      <c r="I121" t="s">
        <v>552</v>
      </c>
      <c r="J121" s="4">
        <v>46067.834119988423</v>
      </c>
    </row>
    <row r="122" spans="1:11" x14ac:dyDescent="0.55000000000000004">
      <c r="A122" t="s">
        <v>553</v>
      </c>
      <c r="B122">
        <v>100100</v>
      </c>
      <c r="C122" t="s">
        <v>19</v>
      </c>
      <c r="D122" s="3">
        <v>46000</v>
      </c>
      <c r="E122" t="s">
        <v>409</v>
      </c>
      <c r="F122" t="s">
        <v>554</v>
      </c>
      <c r="G122" t="s">
        <v>22</v>
      </c>
      <c r="H122" t="s">
        <v>555</v>
      </c>
      <c r="I122" t="s">
        <v>556</v>
      </c>
      <c r="J122" s="4">
        <v>46080.472314444443</v>
      </c>
    </row>
    <row r="123" spans="1:11" x14ac:dyDescent="0.55000000000000004">
      <c r="A123" t="s">
        <v>557</v>
      </c>
      <c r="B123">
        <v>100654</v>
      </c>
      <c r="C123" t="s">
        <v>533</v>
      </c>
      <c r="D123" s="3">
        <v>45901</v>
      </c>
      <c r="E123" t="s">
        <v>317</v>
      </c>
      <c r="F123" t="s">
        <v>558</v>
      </c>
      <c r="G123" t="s">
        <v>22</v>
      </c>
      <c r="H123" t="s">
        <v>559</v>
      </c>
      <c r="I123" t="s">
        <v>560</v>
      </c>
      <c r="J123" s="4">
        <v>46056.380647777776</v>
      </c>
    </row>
    <row r="124" spans="1:11" x14ac:dyDescent="0.55000000000000004">
      <c r="A124" t="s">
        <v>561</v>
      </c>
      <c r="B124">
        <v>100181</v>
      </c>
      <c r="C124" t="s">
        <v>533</v>
      </c>
      <c r="D124" s="3">
        <v>45739</v>
      </c>
      <c r="E124" t="s">
        <v>562</v>
      </c>
      <c r="F124" t="s">
        <v>563</v>
      </c>
      <c r="G124" t="s">
        <v>15</v>
      </c>
      <c r="H124" t="s">
        <v>564</v>
      </c>
      <c r="I124" t="s">
        <v>565</v>
      </c>
      <c r="J124" s="4">
        <v>46057.837592233795</v>
      </c>
    </row>
    <row r="125" spans="1:11" x14ac:dyDescent="0.55000000000000004">
      <c r="A125" t="s">
        <v>566</v>
      </c>
      <c r="B125">
        <v>100402</v>
      </c>
      <c r="C125" t="s">
        <v>179</v>
      </c>
      <c r="D125" s="3">
        <v>46155</v>
      </c>
      <c r="E125" t="s">
        <v>467</v>
      </c>
      <c r="F125" t="s">
        <v>567</v>
      </c>
      <c r="G125" t="s">
        <v>15</v>
      </c>
      <c r="H125" t="s">
        <v>568</v>
      </c>
      <c r="I125" t="s">
        <v>569</v>
      </c>
      <c r="J125" s="4">
        <v>46071.794536678244</v>
      </c>
    </row>
    <row r="126" spans="1:11" x14ac:dyDescent="0.55000000000000004">
      <c r="A126" t="s">
        <v>6023</v>
      </c>
      <c r="B126">
        <v>100794</v>
      </c>
      <c r="C126" t="s">
        <v>533</v>
      </c>
      <c r="D126" s="3">
        <v>45826</v>
      </c>
      <c r="E126" t="s">
        <v>69</v>
      </c>
      <c r="F126" t="s">
        <v>571</v>
      </c>
      <c r="G126" t="s">
        <v>22</v>
      </c>
      <c r="H126" t="s">
        <v>572</v>
      </c>
      <c r="I126" t="s">
        <v>573</v>
      </c>
      <c r="J126" s="4">
        <v>46082.736897789349</v>
      </c>
      <c r="K126" t="s">
        <v>119</v>
      </c>
    </row>
    <row r="127" spans="1:11" x14ac:dyDescent="0.55000000000000004">
      <c r="A127" t="s">
        <v>574</v>
      </c>
      <c r="B127">
        <v>100111</v>
      </c>
      <c r="C127" t="s">
        <v>248</v>
      </c>
      <c r="D127" s="3">
        <v>45928</v>
      </c>
      <c r="E127" t="s">
        <v>69</v>
      </c>
      <c r="F127" t="s">
        <v>575</v>
      </c>
      <c r="G127" t="s">
        <v>22</v>
      </c>
      <c r="H127" t="s">
        <v>576</v>
      </c>
      <c r="I127" t="s">
        <v>577</v>
      </c>
      <c r="J127" s="4">
        <v>46076.316758912035</v>
      </c>
    </row>
    <row r="128" spans="1:11" x14ac:dyDescent="0.55000000000000004">
      <c r="A128" t="s">
        <v>6024</v>
      </c>
      <c r="B128">
        <v>100187</v>
      </c>
      <c r="C128" t="s">
        <v>19</v>
      </c>
      <c r="D128" s="3">
        <v>46102</v>
      </c>
      <c r="E128" t="s">
        <v>343</v>
      </c>
      <c r="F128" t="s">
        <v>579</v>
      </c>
      <c r="G128" t="s">
        <v>15</v>
      </c>
      <c r="H128" t="s">
        <v>580</v>
      </c>
      <c r="I128" t="s">
        <v>581</v>
      </c>
      <c r="J128" s="4">
        <v>46093.796620023146</v>
      </c>
      <c r="K128" t="s">
        <v>119</v>
      </c>
    </row>
    <row r="129" spans="1:11" x14ac:dyDescent="0.55000000000000004">
      <c r="A129" t="s">
        <v>582</v>
      </c>
      <c r="B129">
        <v>101211</v>
      </c>
      <c r="C129" t="s">
        <v>533</v>
      </c>
      <c r="D129" s="3">
        <v>45970</v>
      </c>
      <c r="E129" t="s">
        <v>418</v>
      </c>
      <c r="F129" t="s">
        <v>583</v>
      </c>
      <c r="G129" t="s">
        <v>22</v>
      </c>
      <c r="H129" t="s">
        <v>584</v>
      </c>
      <c r="I129" t="s">
        <v>585</v>
      </c>
      <c r="J129" s="4">
        <v>46053.579258912039</v>
      </c>
    </row>
    <row r="130" spans="1:11" x14ac:dyDescent="0.55000000000000004">
      <c r="A130" t="s">
        <v>586</v>
      </c>
      <c r="B130">
        <v>101244</v>
      </c>
      <c r="C130" t="s">
        <v>68</v>
      </c>
      <c r="D130" s="3">
        <v>45920</v>
      </c>
      <c r="E130" t="s">
        <v>587</v>
      </c>
      <c r="F130" t="s">
        <v>588</v>
      </c>
      <c r="G130" t="s">
        <v>22</v>
      </c>
      <c r="H130" t="s">
        <v>589</v>
      </c>
      <c r="I130" t="s">
        <v>590</v>
      </c>
      <c r="J130" s="4">
        <v>46088.099397812497</v>
      </c>
    </row>
    <row r="131" spans="1:11" x14ac:dyDescent="0.55000000000000004">
      <c r="A131" t="s">
        <v>591</v>
      </c>
      <c r="B131">
        <v>101193</v>
      </c>
      <c r="C131" t="s">
        <v>19</v>
      </c>
      <c r="D131" s="3">
        <v>45923</v>
      </c>
      <c r="E131" t="s">
        <v>27</v>
      </c>
      <c r="F131" t="s">
        <v>592</v>
      </c>
      <c r="G131" t="s">
        <v>22</v>
      </c>
      <c r="H131" t="s">
        <v>593</v>
      </c>
      <c r="I131" t="s">
        <v>594</v>
      </c>
      <c r="J131" s="4">
        <v>46062.801481145834</v>
      </c>
    </row>
    <row r="132" spans="1:11" x14ac:dyDescent="0.55000000000000004">
      <c r="A132" t="s">
        <v>595</v>
      </c>
      <c r="B132">
        <v>101281</v>
      </c>
      <c r="C132" t="s">
        <v>248</v>
      </c>
      <c r="D132" s="3">
        <v>46122</v>
      </c>
      <c r="E132" t="s">
        <v>317</v>
      </c>
      <c r="F132" t="s">
        <v>596</v>
      </c>
      <c r="G132" t="s">
        <v>15</v>
      </c>
      <c r="H132" t="s">
        <v>597</v>
      </c>
      <c r="I132" t="s">
        <v>598</v>
      </c>
      <c r="J132" s="4">
        <v>46064.111203379631</v>
      </c>
    </row>
    <row r="133" spans="1:11" x14ac:dyDescent="0.55000000000000004">
      <c r="A133" t="s">
        <v>599</v>
      </c>
      <c r="B133">
        <v>100032</v>
      </c>
      <c r="C133" t="s">
        <v>19</v>
      </c>
      <c r="D133" s="3">
        <v>46092</v>
      </c>
      <c r="E133" t="s">
        <v>170</v>
      </c>
      <c r="F133" t="s">
        <v>600</v>
      </c>
      <c r="G133" t="s">
        <v>15</v>
      </c>
      <c r="H133" t="s">
        <v>601</v>
      </c>
      <c r="I133" t="s">
        <v>602</v>
      </c>
      <c r="J133" s="4">
        <v>46093.967453379628</v>
      </c>
    </row>
    <row r="134" spans="1:11" x14ac:dyDescent="0.55000000000000004">
      <c r="A134" t="s">
        <v>603</v>
      </c>
      <c r="B134">
        <v>101494</v>
      </c>
      <c r="C134" t="s">
        <v>19</v>
      </c>
      <c r="D134" s="3">
        <v>45835</v>
      </c>
      <c r="E134" t="s">
        <v>587</v>
      </c>
      <c r="F134" t="s">
        <v>604</v>
      </c>
      <c r="G134" t="s">
        <v>22</v>
      </c>
      <c r="H134" t="s">
        <v>605</v>
      </c>
      <c r="I134" t="s">
        <v>606</v>
      </c>
      <c r="J134" s="4">
        <v>46064.118147824076</v>
      </c>
    </row>
    <row r="135" spans="1:11" x14ac:dyDescent="0.55000000000000004">
      <c r="A135" t="s">
        <v>607</v>
      </c>
      <c r="B135">
        <v>100325</v>
      </c>
      <c r="C135" t="s">
        <v>533</v>
      </c>
      <c r="D135" s="3">
        <v>46080</v>
      </c>
      <c r="E135" t="s">
        <v>317</v>
      </c>
      <c r="F135" t="s">
        <v>608</v>
      </c>
      <c r="G135" t="s">
        <v>22</v>
      </c>
      <c r="H135" t="s">
        <v>609</v>
      </c>
      <c r="I135" t="s">
        <v>610</v>
      </c>
      <c r="J135" s="4">
        <v>46092.020231168979</v>
      </c>
    </row>
    <row r="136" spans="1:11" x14ac:dyDescent="0.55000000000000004">
      <c r="A136" t="s">
        <v>611</v>
      </c>
      <c r="B136">
        <v>101033</v>
      </c>
      <c r="C136" t="s">
        <v>179</v>
      </c>
      <c r="D136" s="3">
        <v>46146</v>
      </c>
      <c r="E136" t="s">
        <v>69</v>
      </c>
      <c r="F136" t="s">
        <v>612</v>
      </c>
      <c r="G136" t="s">
        <v>15</v>
      </c>
      <c r="H136" t="s">
        <v>613</v>
      </c>
      <c r="I136" t="s">
        <v>614</v>
      </c>
      <c r="J136" s="4">
        <v>46065.155647835651</v>
      </c>
    </row>
    <row r="137" spans="1:11" x14ac:dyDescent="0.55000000000000004">
      <c r="A137" t="s">
        <v>615</v>
      </c>
      <c r="B137">
        <v>100951</v>
      </c>
      <c r="C137" t="s">
        <v>179</v>
      </c>
      <c r="D137" s="3">
        <v>46020</v>
      </c>
      <c r="E137" t="s">
        <v>38</v>
      </c>
      <c r="F137" t="s">
        <v>616</v>
      </c>
      <c r="G137" t="s">
        <v>22</v>
      </c>
      <c r="H137" t="s">
        <v>617</v>
      </c>
      <c r="I137" t="s">
        <v>618</v>
      </c>
      <c r="J137" s="4">
        <v>46054.307731180554</v>
      </c>
    </row>
    <row r="138" spans="1:11" x14ac:dyDescent="0.55000000000000004">
      <c r="A138" t="s">
        <v>619</v>
      </c>
      <c r="B138">
        <v>100623</v>
      </c>
      <c r="C138" t="s">
        <v>37</v>
      </c>
      <c r="D138" s="3">
        <v>45934</v>
      </c>
      <c r="E138" t="s">
        <v>265</v>
      </c>
      <c r="F138" t="s">
        <v>620</v>
      </c>
      <c r="G138" t="s">
        <v>15</v>
      </c>
      <c r="H138" t="s">
        <v>621</v>
      </c>
      <c r="I138" t="s">
        <v>622</v>
      </c>
      <c r="J138" s="4">
        <v>46095.143842291669</v>
      </c>
    </row>
    <row r="139" spans="1:11" x14ac:dyDescent="0.55000000000000004">
      <c r="A139" t="s">
        <v>623</v>
      </c>
      <c r="B139">
        <v>100562</v>
      </c>
      <c r="C139" t="s">
        <v>68</v>
      </c>
      <c r="D139" s="3">
        <v>46090</v>
      </c>
      <c r="E139" t="s">
        <v>38</v>
      </c>
      <c r="F139" t="s">
        <v>624</v>
      </c>
      <c r="G139" t="s">
        <v>15</v>
      </c>
      <c r="H139" t="s">
        <v>625</v>
      </c>
      <c r="I139" t="s">
        <v>626</v>
      </c>
      <c r="J139" s="4">
        <v>46093.075092291663</v>
      </c>
    </row>
    <row r="140" spans="1:11" x14ac:dyDescent="0.55000000000000004">
      <c r="A140" t="s">
        <v>627</v>
      </c>
      <c r="B140">
        <v>100010</v>
      </c>
      <c r="C140" t="s">
        <v>37</v>
      </c>
      <c r="D140" s="3">
        <v>45878</v>
      </c>
      <c r="E140" t="s">
        <v>189</v>
      </c>
      <c r="F140" t="s">
        <v>628</v>
      </c>
      <c r="G140" t="s">
        <v>22</v>
      </c>
      <c r="H140" t="s">
        <v>629</v>
      </c>
      <c r="I140" t="s">
        <v>630</v>
      </c>
      <c r="J140" s="4">
        <v>46074.202175636572</v>
      </c>
      <c r="K140" t="s">
        <v>139</v>
      </c>
    </row>
    <row r="141" spans="1:11" x14ac:dyDescent="0.55000000000000004">
      <c r="A141" t="s">
        <v>631</v>
      </c>
      <c r="B141">
        <v>100588</v>
      </c>
      <c r="C141" t="s">
        <v>179</v>
      </c>
      <c r="D141" s="3">
        <v>45925</v>
      </c>
      <c r="E141" t="s">
        <v>170</v>
      </c>
      <c r="F141" t="s">
        <v>632</v>
      </c>
      <c r="G141" t="s">
        <v>15</v>
      </c>
      <c r="H141" t="s">
        <v>633</v>
      </c>
      <c r="I141" t="s">
        <v>634</v>
      </c>
      <c r="J141" s="4">
        <v>46056.251481192128</v>
      </c>
    </row>
    <row r="142" spans="1:11" x14ac:dyDescent="0.55000000000000004">
      <c r="A142" t="s">
        <v>635</v>
      </c>
      <c r="B142">
        <v>101176</v>
      </c>
      <c r="C142" t="s">
        <v>533</v>
      </c>
      <c r="D142" s="3">
        <v>45823</v>
      </c>
      <c r="E142" t="s">
        <v>43</v>
      </c>
      <c r="F142" t="s">
        <v>636</v>
      </c>
      <c r="G142" t="s">
        <v>15</v>
      </c>
      <c r="H142" t="s">
        <v>637</v>
      </c>
      <c r="I142" t="s">
        <v>638</v>
      </c>
      <c r="J142" s="4">
        <v>46097.713981203706</v>
      </c>
    </row>
    <row r="143" spans="1:11" x14ac:dyDescent="0.55000000000000004">
      <c r="A143" t="s">
        <v>639</v>
      </c>
      <c r="B143">
        <v>101114</v>
      </c>
      <c r="C143" t="s">
        <v>68</v>
      </c>
      <c r="D143" s="3">
        <v>45969</v>
      </c>
      <c r="E143" t="s">
        <v>213</v>
      </c>
      <c r="F143" t="s">
        <v>640</v>
      </c>
      <c r="G143" t="s">
        <v>22</v>
      </c>
      <c r="H143" t="s">
        <v>641</v>
      </c>
      <c r="I143" t="s">
        <v>642</v>
      </c>
      <c r="J143" s="4">
        <v>46083.394536759261</v>
      </c>
    </row>
    <row r="144" spans="1:11" x14ac:dyDescent="0.55000000000000004">
      <c r="A144" t="s">
        <v>643</v>
      </c>
      <c r="B144">
        <v>100581</v>
      </c>
      <c r="C144" t="s">
        <v>179</v>
      </c>
      <c r="D144" s="3">
        <v>45909</v>
      </c>
      <c r="E144" t="s">
        <v>20</v>
      </c>
      <c r="F144" t="s">
        <v>644</v>
      </c>
      <c r="G144" t="s">
        <v>15</v>
      </c>
      <c r="H144" t="s">
        <v>645</v>
      </c>
      <c r="I144" t="s">
        <v>646</v>
      </c>
      <c r="J144" s="4">
        <v>46090.700786759262</v>
      </c>
    </row>
    <row r="145" spans="1:11" x14ac:dyDescent="0.55000000000000004">
      <c r="A145" t="s">
        <v>647</v>
      </c>
      <c r="B145">
        <v>100015</v>
      </c>
      <c r="C145" t="s">
        <v>179</v>
      </c>
      <c r="D145" s="3">
        <v>46046</v>
      </c>
      <c r="E145" t="s">
        <v>115</v>
      </c>
      <c r="F145" t="s">
        <v>648</v>
      </c>
      <c r="G145" t="s">
        <v>15</v>
      </c>
      <c r="H145" t="s">
        <v>649</v>
      </c>
      <c r="I145" t="s">
        <v>650</v>
      </c>
      <c r="J145" s="4">
        <v>46093.602870104165</v>
      </c>
    </row>
    <row r="146" spans="1:11" x14ac:dyDescent="0.55000000000000004">
      <c r="A146" t="s">
        <v>651</v>
      </c>
      <c r="B146">
        <v>100091</v>
      </c>
      <c r="C146" t="s">
        <v>19</v>
      </c>
      <c r="D146" s="3">
        <v>45749</v>
      </c>
      <c r="E146" t="s">
        <v>170</v>
      </c>
      <c r="F146" t="s">
        <v>652</v>
      </c>
      <c r="G146" t="s">
        <v>15</v>
      </c>
      <c r="H146" t="s">
        <v>653</v>
      </c>
      <c r="I146" t="s">
        <v>654</v>
      </c>
      <c r="J146" s="4">
        <v>46095.174397881943</v>
      </c>
    </row>
    <row r="147" spans="1:11" x14ac:dyDescent="0.55000000000000004">
      <c r="A147" t="s">
        <v>655</v>
      </c>
      <c r="B147">
        <v>100964</v>
      </c>
      <c r="C147" t="s">
        <v>179</v>
      </c>
      <c r="D147" s="3">
        <v>45851</v>
      </c>
      <c r="E147" t="s">
        <v>108</v>
      </c>
      <c r="F147" t="s">
        <v>656</v>
      </c>
      <c r="G147" t="s">
        <v>22</v>
      </c>
      <c r="H147" t="s">
        <v>657</v>
      </c>
      <c r="I147" t="s">
        <v>658</v>
      </c>
      <c r="J147" s="4">
        <v>46082.927175671299</v>
      </c>
    </row>
    <row r="148" spans="1:11" x14ac:dyDescent="0.55000000000000004">
      <c r="A148" t="s">
        <v>659</v>
      </c>
      <c r="B148">
        <v>100288</v>
      </c>
      <c r="C148" t="s">
        <v>68</v>
      </c>
      <c r="D148" s="3">
        <v>46027</v>
      </c>
      <c r="E148" t="s">
        <v>562</v>
      </c>
      <c r="F148" t="s">
        <v>660</v>
      </c>
      <c r="G148" t="s">
        <v>22</v>
      </c>
      <c r="H148" t="s">
        <v>661</v>
      </c>
      <c r="I148" t="s">
        <v>662</v>
      </c>
      <c r="J148" s="4">
        <v>46087.807036782404</v>
      </c>
    </row>
    <row r="149" spans="1:11" x14ac:dyDescent="0.55000000000000004">
      <c r="A149" t="s">
        <v>663</v>
      </c>
      <c r="B149">
        <v>100190</v>
      </c>
      <c r="C149" t="s">
        <v>19</v>
      </c>
      <c r="D149" s="3">
        <v>45845</v>
      </c>
      <c r="E149" t="s">
        <v>49</v>
      </c>
      <c r="F149" t="s">
        <v>664</v>
      </c>
      <c r="G149" t="s">
        <v>15</v>
      </c>
      <c r="H149" t="s">
        <v>665</v>
      </c>
      <c r="I149" t="s">
        <v>666</v>
      </c>
      <c r="J149" s="4">
        <v>46061.904953449077</v>
      </c>
    </row>
    <row r="150" spans="1:11" x14ac:dyDescent="0.55000000000000004">
      <c r="A150" t="s">
        <v>667</v>
      </c>
      <c r="B150">
        <v>100310</v>
      </c>
      <c r="C150" t="s">
        <v>533</v>
      </c>
      <c r="D150" s="3">
        <v>46052</v>
      </c>
      <c r="E150" t="s">
        <v>213</v>
      </c>
      <c r="F150" t="s">
        <v>668</v>
      </c>
      <c r="G150" t="s">
        <v>15</v>
      </c>
      <c r="H150" t="s">
        <v>669</v>
      </c>
      <c r="I150" t="s">
        <v>670</v>
      </c>
      <c r="J150" s="4">
        <v>46074.831342349535</v>
      </c>
    </row>
    <row r="151" spans="1:11" x14ac:dyDescent="0.55000000000000004">
      <c r="A151" t="s">
        <v>671</v>
      </c>
      <c r="B151">
        <v>101056</v>
      </c>
      <c r="C151" t="s">
        <v>179</v>
      </c>
      <c r="D151" s="3">
        <v>46134</v>
      </c>
      <c r="E151" t="s">
        <v>495</v>
      </c>
      <c r="F151" t="s">
        <v>672</v>
      </c>
      <c r="G151" t="s">
        <v>15</v>
      </c>
      <c r="H151" t="s">
        <v>673</v>
      </c>
      <c r="I151" t="s">
        <v>674</v>
      </c>
      <c r="J151" s="4">
        <v>46078.211203460647</v>
      </c>
    </row>
    <row r="152" spans="1:11" x14ac:dyDescent="0.55000000000000004">
      <c r="A152" t="s">
        <v>675</v>
      </c>
      <c r="B152">
        <v>101162</v>
      </c>
      <c r="C152" t="s">
        <v>533</v>
      </c>
      <c r="D152" s="3">
        <v>46118</v>
      </c>
      <c r="E152" t="s">
        <v>43</v>
      </c>
      <c r="F152" t="s">
        <v>676</v>
      </c>
      <c r="G152" t="s">
        <v>22</v>
      </c>
      <c r="H152" t="s">
        <v>677</v>
      </c>
      <c r="I152" t="s">
        <v>678</v>
      </c>
      <c r="J152" s="4">
        <v>46052.541064583333</v>
      </c>
      <c r="K152" t="s">
        <v>139</v>
      </c>
    </row>
    <row r="153" spans="1:11" x14ac:dyDescent="0.55000000000000004">
      <c r="A153" t="s">
        <v>679</v>
      </c>
      <c r="B153">
        <v>100113</v>
      </c>
      <c r="C153" t="s">
        <v>179</v>
      </c>
      <c r="D153" s="3">
        <v>45761</v>
      </c>
      <c r="E153" t="s">
        <v>680</v>
      </c>
      <c r="F153" t="s">
        <v>681</v>
      </c>
      <c r="G153" t="s">
        <v>22</v>
      </c>
      <c r="H153" t="s">
        <v>682</v>
      </c>
      <c r="I153" t="s">
        <v>683</v>
      </c>
      <c r="J153" s="4">
        <v>46082.383425694446</v>
      </c>
    </row>
    <row r="154" spans="1:11" x14ac:dyDescent="0.55000000000000004">
      <c r="A154" t="s">
        <v>684</v>
      </c>
      <c r="B154">
        <v>100847</v>
      </c>
      <c r="C154" t="s">
        <v>248</v>
      </c>
      <c r="D154" s="3">
        <v>45901</v>
      </c>
      <c r="E154" t="s">
        <v>83</v>
      </c>
      <c r="F154" t="s">
        <v>685</v>
      </c>
      <c r="G154" t="s">
        <v>15</v>
      </c>
      <c r="H154" t="s">
        <v>686</v>
      </c>
      <c r="I154" t="s">
        <v>687</v>
      </c>
      <c r="J154" s="4">
        <v>46063.475092372682</v>
      </c>
    </row>
    <row r="155" spans="1:11" x14ac:dyDescent="0.55000000000000004">
      <c r="A155" t="s">
        <v>688</v>
      </c>
      <c r="B155">
        <v>100813</v>
      </c>
      <c r="C155" t="s">
        <v>37</v>
      </c>
      <c r="D155" s="3">
        <v>45869</v>
      </c>
      <c r="E155" t="s">
        <v>27</v>
      </c>
      <c r="F155" t="s">
        <v>689</v>
      </c>
      <c r="G155" t="s">
        <v>15</v>
      </c>
      <c r="H155" t="s">
        <v>690</v>
      </c>
      <c r="I155" t="s">
        <v>691</v>
      </c>
      <c r="J155" s="4">
        <v>46093.478564594909</v>
      </c>
    </row>
    <row r="156" spans="1:11" x14ac:dyDescent="0.55000000000000004">
      <c r="A156" t="s">
        <v>692</v>
      </c>
      <c r="B156">
        <v>100008</v>
      </c>
      <c r="C156" t="s">
        <v>19</v>
      </c>
      <c r="D156" s="3">
        <v>46102</v>
      </c>
      <c r="E156" t="s">
        <v>43</v>
      </c>
      <c r="F156" t="s">
        <v>693</v>
      </c>
      <c r="G156" t="s">
        <v>15</v>
      </c>
      <c r="H156" t="s">
        <v>694</v>
      </c>
      <c r="I156" t="s">
        <v>695</v>
      </c>
      <c r="J156" s="4">
        <v>46076.315370150463</v>
      </c>
    </row>
    <row r="157" spans="1:11" x14ac:dyDescent="0.55000000000000004">
      <c r="A157" t="s">
        <v>696</v>
      </c>
      <c r="B157">
        <v>100071</v>
      </c>
      <c r="C157" t="s">
        <v>37</v>
      </c>
      <c r="D157" s="3">
        <v>45840</v>
      </c>
      <c r="E157" t="s">
        <v>317</v>
      </c>
      <c r="F157" t="s">
        <v>697</v>
      </c>
      <c r="G157" t="s">
        <v>15</v>
      </c>
      <c r="H157" t="s">
        <v>698</v>
      </c>
      <c r="I157" t="s">
        <v>699</v>
      </c>
      <c r="J157" s="4">
        <v>46067.401481273148</v>
      </c>
    </row>
    <row r="158" spans="1:11" x14ac:dyDescent="0.55000000000000004">
      <c r="A158" t="s">
        <v>700</v>
      </c>
      <c r="B158">
        <v>101489</v>
      </c>
      <c r="C158" t="s">
        <v>19</v>
      </c>
      <c r="D158" s="3">
        <v>46092</v>
      </c>
      <c r="E158" t="s">
        <v>69</v>
      </c>
      <c r="F158" t="s">
        <v>701</v>
      </c>
      <c r="G158" t="s">
        <v>15</v>
      </c>
      <c r="H158" t="s">
        <v>702</v>
      </c>
      <c r="I158" t="s">
        <v>703</v>
      </c>
      <c r="J158" s="4">
        <v>46062.288981273145</v>
      </c>
    </row>
    <row r="159" spans="1:11" x14ac:dyDescent="0.55000000000000004">
      <c r="A159" t="s">
        <v>704</v>
      </c>
      <c r="B159">
        <v>100917</v>
      </c>
      <c r="C159" t="s">
        <v>68</v>
      </c>
      <c r="D159" s="3">
        <v>45926</v>
      </c>
      <c r="E159" t="s">
        <v>467</v>
      </c>
      <c r="F159" t="s">
        <v>705</v>
      </c>
      <c r="G159" t="s">
        <v>22</v>
      </c>
      <c r="H159" t="s">
        <v>706</v>
      </c>
      <c r="I159" t="s">
        <v>707</v>
      </c>
      <c r="J159" s="4">
        <v>46081.234814618052</v>
      </c>
    </row>
    <row r="160" spans="1:11" x14ac:dyDescent="0.55000000000000004">
      <c r="A160" t="s">
        <v>708</v>
      </c>
      <c r="B160">
        <v>100556</v>
      </c>
      <c r="C160" t="s">
        <v>19</v>
      </c>
      <c r="D160" s="3">
        <v>45986</v>
      </c>
      <c r="E160" t="s">
        <v>334</v>
      </c>
      <c r="F160" t="s">
        <v>709</v>
      </c>
      <c r="G160" t="s">
        <v>22</v>
      </c>
      <c r="H160" t="s">
        <v>710</v>
      </c>
      <c r="I160" t="s">
        <v>711</v>
      </c>
      <c r="J160" s="4">
        <v>46084.218842395836</v>
      </c>
    </row>
    <row r="161" spans="1:11" x14ac:dyDescent="0.55000000000000004">
      <c r="A161" t="s">
        <v>712</v>
      </c>
      <c r="B161">
        <v>101224</v>
      </c>
      <c r="C161" t="s">
        <v>68</v>
      </c>
      <c r="D161" s="3">
        <v>45943</v>
      </c>
      <c r="E161" t="s">
        <v>38</v>
      </c>
      <c r="F161" t="s">
        <v>713</v>
      </c>
      <c r="G161" t="s">
        <v>15</v>
      </c>
      <c r="H161" t="s">
        <v>714</v>
      </c>
      <c r="I161" t="s">
        <v>715</v>
      </c>
      <c r="J161" s="4">
        <v>46088.723009062502</v>
      </c>
    </row>
    <row r="162" spans="1:11" x14ac:dyDescent="0.55000000000000004">
      <c r="A162" t="s">
        <v>716</v>
      </c>
      <c r="B162">
        <v>101321</v>
      </c>
      <c r="C162" t="s">
        <v>248</v>
      </c>
      <c r="D162" s="3">
        <v>46015</v>
      </c>
      <c r="E162" t="s">
        <v>495</v>
      </c>
      <c r="F162" t="s">
        <v>717</v>
      </c>
      <c r="G162" t="s">
        <v>15</v>
      </c>
      <c r="H162" t="s">
        <v>718</v>
      </c>
      <c r="I162" t="s">
        <v>719</v>
      </c>
      <c r="J162" s="4">
        <v>46085.277175740739</v>
      </c>
    </row>
    <row r="163" spans="1:11" x14ac:dyDescent="0.55000000000000004">
      <c r="A163" t="s">
        <v>720</v>
      </c>
      <c r="B163">
        <v>101413</v>
      </c>
      <c r="C163" t="s">
        <v>248</v>
      </c>
      <c r="D163" s="3">
        <v>45926</v>
      </c>
      <c r="E163" t="s">
        <v>208</v>
      </c>
      <c r="F163" t="s">
        <v>721</v>
      </c>
      <c r="G163" t="s">
        <v>22</v>
      </c>
      <c r="H163" t="s">
        <v>722</v>
      </c>
      <c r="I163" t="s">
        <v>723</v>
      </c>
      <c r="J163" s="4">
        <v>46065.83342574074</v>
      </c>
    </row>
    <row r="164" spans="1:11" x14ac:dyDescent="0.55000000000000004">
      <c r="A164" t="s">
        <v>724</v>
      </c>
      <c r="B164">
        <v>100107</v>
      </c>
      <c r="C164" t="s">
        <v>19</v>
      </c>
      <c r="D164" s="3">
        <v>45967</v>
      </c>
      <c r="E164" t="s">
        <v>317</v>
      </c>
      <c r="F164" t="s">
        <v>725</v>
      </c>
      <c r="G164" t="s">
        <v>22</v>
      </c>
      <c r="H164" t="s">
        <v>726</v>
      </c>
      <c r="I164" t="s">
        <v>727</v>
      </c>
      <c r="J164" s="4">
        <v>46087.547314641204</v>
      </c>
    </row>
    <row r="165" spans="1:11" x14ac:dyDescent="0.55000000000000004">
      <c r="A165" t="s">
        <v>728</v>
      </c>
      <c r="B165">
        <v>101465</v>
      </c>
      <c r="C165" t="s">
        <v>19</v>
      </c>
      <c r="D165" s="3">
        <v>45982</v>
      </c>
      <c r="E165" t="s">
        <v>38</v>
      </c>
      <c r="F165" t="s">
        <v>729</v>
      </c>
      <c r="G165" t="s">
        <v>15</v>
      </c>
      <c r="H165" t="s">
        <v>730</v>
      </c>
      <c r="I165" t="s">
        <v>731</v>
      </c>
      <c r="J165" s="4">
        <v>46064.698009085645</v>
      </c>
    </row>
    <row r="166" spans="1:11" x14ac:dyDescent="0.55000000000000004">
      <c r="A166" t="s">
        <v>732</v>
      </c>
      <c r="B166">
        <v>100782</v>
      </c>
      <c r="C166" t="s">
        <v>37</v>
      </c>
      <c r="D166" s="3">
        <v>46150</v>
      </c>
      <c r="E166" t="s">
        <v>243</v>
      </c>
      <c r="F166" t="s">
        <v>733</v>
      </c>
      <c r="G166" t="s">
        <v>15</v>
      </c>
      <c r="H166" t="s">
        <v>734</v>
      </c>
      <c r="I166" t="s">
        <v>735</v>
      </c>
      <c r="J166" s="4">
        <v>46057.417453530092</v>
      </c>
    </row>
    <row r="167" spans="1:11" x14ac:dyDescent="0.55000000000000004">
      <c r="A167" t="s">
        <v>736</v>
      </c>
      <c r="B167">
        <v>101013</v>
      </c>
      <c r="C167" t="s">
        <v>37</v>
      </c>
      <c r="D167" s="3">
        <v>46094</v>
      </c>
      <c r="E167" t="s">
        <v>155</v>
      </c>
      <c r="F167" t="s">
        <v>737</v>
      </c>
      <c r="G167" t="s">
        <v>15</v>
      </c>
      <c r="H167" t="s">
        <v>738</v>
      </c>
      <c r="I167" t="s">
        <v>739</v>
      </c>
      <c r="J167" s="4">
        <v>46065.098009097223</v>
      </c>
    </row>
    <row r="168" spans="1:11" x14ac:dyDescent="0.55000000000000004">
      <c r="A168" t="s">
        <v>740</v>
      </c>
      <c r="B168">
        <v>100099</v>
      </c>
      <c r="C168" t="s">
        <v>68</v>
      </c>
      <c r="D168" s="3">
        <v>45762</v>
      </c>
      <c r="E168" t="s">
        <v>213</v>
      </c>
      <c r="F168" t="s">
        <v>741</v>
      </c>
      <c r="G168" t="s">
        <v>22</v>
      </c>
      <c r="H168" t="s">
        <v>742</v>
      </c>
      <c r="I168" t="s">
        <v>743</v>
      </c>
      <c r="J168" s="4">
        <v>46096.736897986113</v>
      </c>
    </row>
    <row r="169" spans="1:11" x14ac:dyDescent="0.55000000000000004">
      <c r="A169" t="s">
        <v>744</v>
      </c>
      <c r="B169">
        <v>100034</v>
      </c>
      <c r="C169" t="s">
        <v>19</v>
      </c>
      <c r="D169" s="3">
        <v>46014</v>
      </c>
      <c r="E169" t="s">
        <v>141</v>
      </c>
      <c r="F169" t="s">
        <v>745</v>
      </c>
      <c r="G169" t="s">
        <v>22</v>
      </c>
      <c r="H169" t="s">
        <v>746</v>
      </c>
      <c r="I169" t="s">
        <v>747</v>
      </c>
      <c r="J169" s="4">
        <v>46063.338286886574</v>
      </c>
    </row>
    <row r="170" spans="1:11" x14ac:dyDescent="0.55000000000000004">
      <c r="A170" t="s">
        <v>748</v>
      </c>
      <c r="B170">
        <v>100207</v>
      </c>
      <c r="C170" t="s">
        <v>37</v>
      </c>
      <c r="D170" s="3">
        <v>45989</v>
      </c>
      <c r="E170" t="s">
        <v>680</v>
      </c>
      <c r="F170" t="s">
        <v>749</v>
      </c>
      <c r="G170" t="s">
        <v>15</v>
      </c>
      <c r="H170" t="s">
        <v>750</v>
      </c>
      <c r="I170" t="s">
        <v>751</v>
      </c>
      <c r="J170" s="4">
        <v>46091.000786886572</v>
      </c>
    </row>
    <row r="171" spans="1:11" x14ac:dyDescent="0.55000000000000004">
      <c r="A171" t="s">
        <v>752</v>
      </c>
      <c r="B171">
        <v>100551</v>
      </c>
      <c r="C171" t="s">
        <v>533</v>
      </c>
      <c r="D171" s="3">
        <v>45855</v>
      </c>
      <c r="E171" t="s">
        <v>38</v>
      </c>
      <c r="F171" t="s">
        <v>753</v>
      </c>
      <c r="G171" t="s">
        <v>22</v>
      </c>
      <c r="H171" t="s">
        <v>754</v>
      </c>
      <c r="I171" t="s">
        <v>755</v>
      </c>
      <c r="J171" s="4">
        <v>46075.366064664355</v>
      </c>
      <c r="K171" t="s">
        <v>139</v>
      </c>
    </row>
    <row r="172" spans="1:11" x14ac:dyDescent="0.55000000000000004">
      <c r="A172" t="s">
        <v>756</v>
      </c>
      <c r="B172">
        <v>100024</v>
      </c>
      <c r="C172" t="s">
        <v>179</v>
      </c>
      <c r="D172" s="3">
        <v>45772</v>
      </c>
      <c r="E172" t="s">
        <v>757</v>
      </c>
      <c r="F172" t="s">
        <v>758</v>
      </c>
      <c r="G172" t="s">
        <v>15</v>
      </c>
      <c r="H172" t="s">
        <v>759</v>
      </c>
      <c r="I172" t="s">
        <v>760</v>
      </c>
      <c r="J172" s="4">
        <v>46053.425092453705</v>
      </c>
    </row>
    <row r="173" spans="1:11" x14ac:dyDescent="0.55000000000000004">
      <c r="A173" t="s">
        <v>761</v>
      </c>
      <c r="B173">
        <v>100925</v>
      </c>
      <c r="C173" t="s">
        <v>68</v>
      </c>
      <c r="D173" s="3">
        <v>46082</v>
      </c>
      <c r="E173" t="s">
        <v>317</v>
      </c>
      <c r="F173" t="s">
        <v>762</v>
      </c>
      <c r="G173" t="s">
        <v>15</v>
      </c>
      <c r="H173" t="s">
        <v>763</v>
      </c>
      <c r="I173" t="s">
        <v>764</v>
      </c>
      <c r="J173" s="4">
        <v>46092.169536898145</v>
      </c>
    </row>
    <row r="174" spans="1:11" x14ac:dyDescent="0.55000000000000004">
      <c r="A174" t="s">
        <v>765</v>
      </c>
      <c r="B174">
        <v>100126</v>
      </c>
      <c r="C174" t="s">
        <v>179</v>
      </c>
      <c r="D174" s="3">
        <v>45925</v>
      </c>
      <c r="E174" t="s">
        <v>270</v>
      </c>
      <c r="F174" t="s">
        <v>766</v>
      </c>
      <c r="G174" t="s">
        <v>15</v>
      </c>
      <c r="H174" t="s">
        <v>767</v>
      </c>
      <c r="I174" t="s">
        <v>768</v>
      </c>
      <c r="J174" s="4">
        <v>46092.035509120367</v>
      </c>
    </row>
    <row r="175" spans="1:11" x14ac:dyDescent="0.55000000000000004">
      <c r="A175" t="s">
        <v>769</v>
      </c>
      <c r="B175">
        <v>101264</v>
      </c>
      <c r="C175" t="s">
        <v>179</v>
      </c>
      <c r="D175" s="3">
        <v>46062</v>
      </c>
      <c r="E175" t="s">
        <v>170</v>
      </c>
      <c r="F175" t="s">
        <v>770</v>
      </c>
      <c r="G175" t="s">
        <v>15</v>
      </c>
      <c r="H175" t="s">
        <v>771</v>
      </c>
      <c r="I175" t="s">
        <v>772</v>
      </c>
      <c r="J175" s="4">
        <v>46083.445925798609</v>
      </c>
    </row>
    <row r="176" spans="1:11" x14ac:dyDescent="0.55000000000000004">
      <c r="A176" t="s">
        <v>773</v>
      </c>
      <c r="B176">
        <v>100009</v>
      </c>
      <c r="C176" t="s">
        <v>19</v>
      </c>
      <c r="D176" s="3">
        <v>45975</v>
      </c>
      <c r="E176" t="s">
        <v>141</v>
      </c>
      <c r="F176" t="s">
        <v>774</v>
      </c>
      <c r="G176" t="s">
        <v>22</v>
      </c>
      <c r="H176" t="s">
        <v>775</v>
      </c>
      <c r="I176" t="s">
        <v>776</v>
      </c>
      <c r="J176" s="4">
        <v>46062.944536909723</v>
      </c>
    </row>
    <row r="177" spans="1:10" x14ac:dyDescent="0.55000000000000004">
      <c r="A177" t="s">
        <v>777</v>
      </c>
      <c r="B177">
        <v>100708</v>
      </c>
      <c r="C177" t="s">
        <v>37</v>
      </c>
      <c r="D177" s="3">
        <v>45823</v>
      </c>
      <c r="E177" t="s">
        <v>265</v>
      </c>
      <c r="F177" t="s">
        <v>778</v>
      </c>
      <c r="G177" t="s">
        <v>15</v>
      </c>
      <c r="H177" t="s">
        <v>779</v>
      </c>
      <c r="I177" t="s">
        <v>780</v>
      </c>
      <c r="J177" s="4">
        <v>46052.179953587962</v>
      </c>
    </row>
    <row r="178" spans="1:10" x14ac:dyDescent="0.55000000000000004">
      <c r="A178" t="s">
        <v>781</v>
      </c>
      <c r="B178">
        <v>100482</v>
      </c>
      <c r="C178" t="s">
        <v>37</v>
      </c>
      <c r="D178" s="3">
        <v>45885</v>
      </c>
      <c r="E178" t="s">
        <v>38</v>
      </c>
      <c r="F178" t="s">
        <v>782</v>
      </c>
      <c r="G178" t="s">
        <v>15</v>
      </c>
      <c r="H178" t="s">
        <v>783</v>
      </c>
      <c r="I178" t="s">
        <v>784</v>
      </c>
      <c r="J178" s="4">
        <v>46061.193148032406</v>
      </c>
    </row>
    <row r="179" spans="1:10" x14ac:dyDescent="0.55000000000000004">
      <c r="A179" t="s">
        <v>785</v>
      </c>
      <c r="B179">
        <v>100709</v>
      </c>
      <c r="C179" t="s">
        <v>19</v>
      </c>
      <c r="D179" s="3">
        <v>45901</v>
      </c>
      <c r="E179" t="s">
        <v>189</v>
      </c>
      <c r="F179" t="s">
        <v>786</v>
      </c>
      <c r="G179" t="s">
        <v>15</v>
      </c>
      <c r="H179" t="s">
        <v>787</v>
      </c>
      <c r="I179" t="s">
        <v>788</v>
      </c>
      <c r="J179" s="4">
        <v>46065.254259143519</v>
      </c>
    </row>
    <row r="180" spans="1:10" x14ac:dyDescent="0.55000000000000004">
      <c r="A180" t="s">
        <v>789</v>
      </c>
      <c r="B180">
        <v>100966</v>
      </c>
      <c r="C180" t="s">
        <v>37</v>
      </c>
      <c r="D180" s="3">
        <v>45782</v>
      </c>
      <c r="E180" t="s">
        <v>265</v>
      </c>
      <c r="F180" t="s">
        <v>790</v>
      </c>
      <c r="G180" t="s">
        <v>22</v>
      </c>
      <c r="H180" t="s">
        <v>791</v>
      </c>
      <c r="I180" t="s">
        <v>792</v>
      </c>
      <c r="J180" s="4">
        <v>46058.87300915509</v>
      </c>
    </row>
    <row r="181" spans="1:10" x14ac:dyDescent="0.55000000000000004">
      <c r="A181" t="s">
        <v>793</v>
      </c>
      <c r="B181">
        <v>100321</v>
      </c>
      <c r="C181" t="s">
        <v>19</v>
      </c>
      <c r="D181" s="3">
        <v>45935</v>
      </c>
      <c r="E181" t="s">
        <v>295</v>
      </c>
      <c r="F181" t="s">
        <v>794</v>
      </c>
      <c r="G181" t="s">
        <v>22</v>
      </c>
      <c r="H181" t="s">
        <v>795</v>
      </c>
      <c r="I181" t="s">
        <v>796</v>
      </c>
      <c r="J181" s="4">
        <v>46066.421620266206</v>
      </c>
    </row>
    <row r="182" spans="1:10" x14ac:dyDescent="0.55000000000000004">
      <c r="A182" t="s">
        <v>797</v>
      </c>
      <c r="B182">
        <v>101341</v>
      </c>
      <c r="C182" t="s">
        <v>68</v>
      </c>
      <c r="D182" s="3">
        <v>46015</v>
      </c>
      <c r="E182" t="s">
        <v>418</v>
      </c>
      <c r="F182" t="s">
        <v>798</v>
      </c>
      <c r="G182" t="s">
        <v>22</v>
      </c>
      <c r="H182" t="s">
        <v>799</v>
      </c>
      <c r="I182" t="s">
        <v>800</v>
      </c>
      <c r="J182" s="4">
        <v>46091.866759155091</v>
      </c>
    </row>
    <row r="183" spans="1:10" x14ac:dyDescent="0.55000000000000004">
      <c r="A183" t="s">
        <v>801</v>
      </c>
      <c r="B183">
        <v>101001</v>
      </c>
      <c r="C183" t="s">
        <v>68</v>
      </c>
      <c r="D183" s="3">
        <v>46140</v>
      </c>
      <c r="E183" t="s">
        <v>317</v>
      </c>
      <c r="F183" t="s">
        <v>802</v>
      </c>
      <c r="G183" t="s">
        <v>15</v>
      </c>
      <c r="H183" t="s">
        <v>803</v>
      </c>
      <c r="I183" t="s">
        <v>804</v>
      </c>
      <c r="J183" s="4">
        <v>46092.365370277781</v>
      </c>
    </row>
    <row r="184" spans="1:10" x14ac:dyDescent="0.55000000000000004">
      <c r="A184" t="s">
        <v>805</v>
      </c>
      <c r="B184">
        <v>100787</v>
      </c>
      <c r="C184" t="s">
        <v>533</v>
      </c>
      <c r="D184" s="3">
        <v>45926</v>
      </c>
      <c r="E184" t="s">
        <v>680</v>
      </c>
      <c r="F184" t="s">
        <v>806</v>
      </c>
      <c r="G184" t="s">
        <v>22</v>
      </c>
      <c r="H184" t="s">
        <v>807</v>
      </c>
      <c r="I184" t="s">
        <v>808</v>
      </c>
      <c r="J184" s="4">
        <v>46074.594536944445</v>
      </c>
    </row>
    <row r="185" spans="1:10" x14ac:dyDescent="0.55000000000000004">
      <c r="A185" t="s">
        <v>809</v>
      </c>
      <c r="B185">
        <v>100342</v>
      </c>
      <c r="C185" t="s">
        <v>37</v>
      </c>
      <c r="D185" s="3">
        <v>45734</v>
      </c>
      <c r="E185" t="s">
        <v>58</v>
      </c>
      <c r="F185" t="s">
        <v>810</v>
      </c>
      <c r="G185" t="s">
        <v>22</v>
      </c>
      <c r="H185" t="s">
        <v>811</v>
      </c>
      <c r="I185" t="s">
        <v>812</v>
      </c>
      <c r="J185" s="4">
        <v>46091.557731400462</v>
      </c>
    </row>
    <row r="186" spans="1:10" x14ac:dyDescent="0.55000000000000004">
      <c r="A186" t="s">
        <v>813</v>
      </c>
      <c r="B186">
        <v>101143</v>
      </c>
      <c r="C186" t="s">
        <v>37</v>
      </c>
      <c r="D186" s="3">
        <v>45827</v>
      </c>
      <c r="E186" t="s">
        <v>89</v>
      </c>
      <c r="F186" t="s">
        <v>814</v>
      </c>
      <c r="G186" t="s">
        <v>22</v>
      </c>
      <c r="H186" t="s">
        <v>815</v>
      </c>
      <c r="I186" t="s">
        <v>816</v>
      </c>
      <c r="J186" s="4">
        <v>46091.70912028935</v>
      </c>
    </row>
    <row r="187" spans="1:10" x14ac:dyDescent="0.55000000000000004">
      <c r="A187" t="s">
        <v>817</v>
      </c>
      <c r="B187">
        <v>100635</v>
      </c>
      <c r="C187" t="s">
        <v>37</v>
      </c>
      <c r="D187" s="3">
        <v>45913</v>
      </c>
      <c r="E187" t="s">
        <v>343</v>
      </c>
      <c r="F187" t="s">
        <v>818</v>
      </c>
      <c r="G187" t="s">
        <v>22</v>
      </c>
      <c r="H187" t="s">
        <v>819</v>
      </c>
      <c r="I187" t="s">
        <v>820</v>
      </c>
      <c r="J187" s="4">
        <v>46097.331342511578</v>
      </c>
    </row>
    <row r="188" spans="1:10" x14ac:dyDescent="0.55000000000000004">
      <c r="A188" t="s">
        <v>821</v>
      </c>
      <c r="B188">
        <v>101292</v>
      </c>
      <c r="C188" t="s">
        <v>179</v>
      </c>
      <c r="D188" s="3">
        <v>45930</v>
      </c>
      <c r="E188" t="s">
        <v>317</v>
      </c>
      <c r="F188" t="s">
        <v>822</v>
      </c>
      <c r="G188" t="s">
        <v>15</v>
      </c>
      <c r="H188" t="s">
        <v>823</v>
      </c>
      <c r="I188" t="s">
        <v>824</v>
      </c>
      <c r="J188" s="4">
        <v>46061.004953634256</v>
      </c>
    </row>
    <row r="189" spans="1:10" x14ac:dyDescent="0.55000000000000004">
      <c r="A189" t="s">
        <v>825</v>
      </c>
      <c r="B189">
        <v>100720</v>
      </c>
      <c r="C189" t="s">
        <v>533</v>
      </c>
      <c r="D189" s="3">
        <v>46082</v>
      </c>
      <c r="E189" t="s">
        <v>189</v>
      </c>
      <c r="F189" t="s">
        <v>826</v>
      </c>
      <c r="G189" t="s">
        <v>22</v>
      </c>
      <c r="H189" t="s">
        <v>827</v>
      </c>
      <c r="I189" t="s">
        <v>828</v>
      </c>
      <c r="J189" s="4">
        <v>46078.364675856479</v>
      </c>
    </row>
    <row r="190" spans="1:10" x14ac:dyDescent="0.55000000000000004">
      <c r="A190" t="s">
        <v>829</v>
      </c>
      <c r="B190">
        <v>100706</v>
      </c>
      <c r="C190" t="s">
        <v>19</v>
      </c>
      <c r="D190" s="3">
        <v>45806</v>
      </c>
      <c r="E190" t="s">
        <v>115</v>
      </c>
      <c r="F190" t="s">
        <v>830</v>
      </c>
      <c r="G190" t="s">
        <v>22</v>
      </c>
      <c r="H190" t="s">
        <v>831</v>
      </c>
      <c r="I190" t="s">
        <v>832</v>
      </c>
      <c r="J190" s="4">
        <v>46080.147314756941</v>
      </c>
    </row>
    <row r="191" spans="1:10" x14ac:dyDescent="0.55000000000000004">
      <c r="A191" t="s">
        <v>833</v>
      </c>
      <c r="B191">
        <v>101037</v>
      </c>
      <c r="C191" t="s">
        <v>68</v>
      </c>
      <c r="D191" s="3">
        <v>45979</v>
      </c>
      <c r="E191" t="s">
        <v>20</v>
      </c>
      <c r="F191" t="s">
        <v>834</v>
      </c>
      <c r="G191" t="s">
        <v>22</v>
      </c>
      <c r="H191" t="s">
        <v>835</v>
      </c>
      <c r="I191" t="s">
        <v>836</v>
      </c>
      <c r="J191" s="4">
        <v>46081.857036979163</v>
      </c>
    </row>
    <row r="192" spans="1:10" x14ac:dyDescent="0.55000000000000004">
      <c r="A192" t="s">
        <v>837</v>
      </c>
      <c r="B192">
        <v>101076</v>
      </c>
      <c r="C192" t="s">
        <v>19</v>
      </c>
      <c r="D192" s="3">
        <v>46036</v>
      </c>
      <c r="E192" t="s">
        <v>121</v>
      </c>
      <c r="F192" t="s">
        <v>838</v>
      </c>
      <c r="G192" t="s">
        <v>15</v>
      </c>
      <c r="H192" t="s">
        <v>839</v>
      </c>
      <c r="I192" t="s">
        <v>840</v>
      </c>
      <c r="J192" s="4">
        <v>46078.736898090276</v>
      </c>
    </row>
    <row r="193" spans="1:11" x14ac:dyDescent="0.55000000000000004">
      <c r="A193" t="s">
        <v>841</v>
      </c>
      <c r="B193">
        <v>100854</v>
      </c>
      <c r="C193" t="s">
        <v>179</v>
      </c>
      <c r="D193" s="3">
        <v>45902</v>
      </c>
      <c r="E193" t="s">
        <v>300</v>
      </c>
      <c r="F193" t="s">
        <v>842</v>
      </c>
      <c r="G193" t="s">
        <v>22</v>
      </c>
      <c r="H193" t="s">
        <v>843</v>
      </c>
      <c r="I193" t="s">
        <v>844</v>
      </c>
      <c r="J193" s="4">
        <v>46069.820231435187</v>
      </c>
    </row>
    <row r="194" spans="1:11" x14ac:dyDescent="0.55000000000000004">
      <c r="A194" t="s">
        <v>845</v>
      </c>
      <c r="B194">
        <v>101305</v>
      </c>
      <c r="C194" t="s">
        <v>19</v>
      </c>
      <c r="D194" s="3">
        <v>45801</v>
      </c>
      <c r="E194" t="s">
        <v>467</v>
      </c>
      <c r="F194" t="s">
        <v>846</v>
      </c>
      <c r="G194" t="s">
        <v>15</v>
      </c>
      <c r="H194" t="s">
        <v>847</v>
      </c>
      <c r="I194" t="s">
        <v>848</v>
      </c>
      <c r="J194" s="4">
        <v>46067.299398101852</v>
      </c>
    </row>
    <row r="195" spans="1:11" x14ac:dyDescent="0.55000000000000004">
      <c r="A195" t="s">
        <v>849</v>
      </c>
      <c r="B195">
        <v>101028</v>
      </c>
      <c r="C195" t="s">
        <v>533</v>
      </c>
      <c r="D195" s="3">
        <v>45935</v>
      </c>
      <c r="E195" t="s">
        <v>58</v>
      </c>
      <c r="F195" t="s">
        <v>850</v>
      </c>
      <c r="G195" t="s">
        <v>15</v>
      </c>
      <c r="H195" t="s">
        <v>851</v>
      </c>
      <c r="I195" t="s">
        <v>852</v>
      </c>
      <c r="J195" s="4">
        <v>46077.21120366898</v>
      </c>
    </row>
    <row r="196" spans="1:11" x14ac:dyDescent="0.55000000000000004">
      <c r="A196" t="s">
        <v>853</v>
      </c>
      <c r="B196">
        <v>100573</v>
      </c>
      <c r="C196" t="s">
        <v>248</v>
      </c>
      <c r="D196" s="3">
        <v>46150</v>
      </c>
      <c r="E196" t="s">
        <v>295</v>
      </c>
      <c r="F196" t="s">
        <v>854</v>
      </c>
      <c r="G196" t="s">
        <v>15</v>
      </c>
      <c r="H196" t="s">
        <v>855</v>
      </c>
      <c r="I196" t="s">
        <v>856</v>
      </c>
      <c r="J196" s="4">
        <v>46059.970231446758</v>
      </c>
    </row>
    <row r="197" spans="1:11" x14ac:dyDescent="0.55000000000000004">
      <c r="A197" t="s">
        <v>857</v>
      </c>
      <c r="B197">
        <v>100869</v>
      </c>
      <c r="C197" t="s">
        <v>533</v>
      </c>
      <c r="D197" s="3">
        <v>46081</v>
      </c>
      <c r="E197" t="s">
        <v>121</v>
      </c>
      <c r="F197" t="s">
        <v>858</v>
      </c>
      <c r="G197" t="s">
        <v>22</v>
      </c>
      <c r="H197" t="s">
        <v>859</v>
      </c>
      <c r="I197" t="s">
        <v>860</v>
      </c>
      <c r="J197" s="4">
        <v>46078.761203668982</v>
      </c>
    </row>
    <row r="198" spans="1:11" x14ac:dyDescent="0.55000000000000004">
      <c r="A198" t="s">
        <v>861</v>
      </c>
      <c r="B198">
        <v>101030</v>
      </c>
      <c r="C198" t="s">
        <v>37</v>
      </c>
      <c r="D198" s="3">
        <v>46151</v>
      </c>
      <c r="E198" t="s">
        <v>757</v>
      </c>
      <c r="F198" t="s">
        <v>862</v>
      </c>
      <c r="G198" t="s">
        <v>15</v>
      </c>
      <c r="H198" t="s">
        <v>863</v>
      </c>
      <c r="I198" t="s">
        <v>864</v>
      </c>
      <c r="J198" s="4">
        <v>46057.31537034722</v>
      </c>
    </row>
    <row r="199" spans="1:11" x14ac:dyDescent="0.55000000000000004">
      <c r="A199" t="s">
        <v>865</v>
      </c>
      <c r="B199">
        <v>101432</v>
      </c>
      <c r="D199" s="3">
        <v>45861</v>
      </c>
      <c r="E199" t="s">
        <v>43</v>
      </c>
      <c r="F199" t="s">
        <v>866</v>
      </c>
      <c r="G199" t="s">
        <v>15</v>
      </c>
      <c r="H199" t="s">
        <v>867</v>
      </c>
      <c r="I199" t="s">
        <v>868</v>
      </c>
      <c r="J199" s="4">
        <v>46068.895925902776</v>
      </c>
      <c r="K199" t="s">
        <v>217</v>
      </c>
    </row>
    <row r="200" spans="1:11" x14ac:dyDescent="0.55000000000000004">
      <c r="A200" t="s">
        <v>869</v>
      </c>
      <c r="B200">
        <v>100980</v>
      </c>
      <c r="C200" t="s">
        <v>19</v>
      </c>
      <c r="D200" s="3">
        <v>46030</v>
      </c>
      <c r="E200" t="s">
        <v>27</v>
      </c>
      <c r="F200" t="s">
        <v>870</v>
      </c>
      <c r="G200" t="s">
        <v>22</v>
      </c>
      <c r="H200" t="s">
        <v>871</v>
      </c>
      <c r="I200" t="s">
        <v>872</v>
      </c>
      <c r="J200" s="4">
        <v>46063.693842581015</v>
      </c>
    </row>
    <row r="201" spans="1:11" x14ac:dyDescent="0.55000000000000004">
      <c r="A201" t="s">
        <v>873</v>
      </c>
      <c r="B201">
        <v>101299</v>
      </c>
      <c r="C201" t="s">
        <v>68</v>
      </c>
      <c r="D201" s="3">
        <v>46091</v>
      </c>
      <c r="E201" t="s">
        <v>184</v>
      </c>
      <c r="F201" t="s">
        <v>874</v>
      </c>
      <c r="G201" t="s">
        <v>15</v>
      </c>
      <c r="H201" t="s">
        <v>875</v>
      </c>
      <c r="I201" t="s">
        <v>876</v>
      </c>
      <c r="J201" s="4">
        <v>46054.800787025466</v>
      </c>
    </row>
    <row r="202" spans="1:11" x14ac:dyDescent="0.55000000000000004">
      <c r="A202" t="s">
        <v>877</v>
      </c>
      <c r="B202">
        <v>100515</v>
      </c>
      <c r="C202" t="s">
        <v>68</v>
      </c>
      <c r="D202" s="3">
        <v>45817</v>
      </c>
      <c r="E202" t="s">
        <v>270</v>
      </c>
      <c r="F202" t="s">
        <v>878</v>
      </c>
      <c r="G202" t="s">
        <v>22</v>
      </c>
      <c r="H202" t="s">
        <v>879</v>
      </c>
      <c r="I202" t="s">
        <v>880</v>
      </c>
      <c r="J202" s="4">
        <v>46070.595925914349</v>
      </c>
    </row>
    <row r="203" spans="1:11" x14ac:dyDescent="0.55000000000000004">
      <c r="A203" t="s">
        <v>881</v>
      </c>
      <c r="B203">
        <v>100729</v>
      </c>
      <c r="C203" t="s">
        <v>37</v>
      </c>
      <c r="D203" s="3">
        <v>45782</v>
      </c>
      <c r="E203" t="s">
        <v>409</v>
      </c>
      <c r="F203" t="s">
        <v>882</v>
      </c>
      <c r="G203" t="s">
        <v>15</v>
      </c>
      <c r="H203" t="s">
        <v>883</v>
      </c>
      <c r="I203" t="s">
        <v>884</v>
      </c>
      <c r="J203" s="4">
        <v>46069.21398148148</v>
      </c>
    </row>
    <row r="204" spans="1:11" x14ac:dyDescent="0.55000000000000004">
      <c r="A204" t="s">
        <v>885</v>
      </c>
      <c r="B204">
        <v>100790</v>
      </c>
      <c r="C204" t="s">
        <v>179</v>
      </c>
      <c r="D204" s="3">
        <v>45969</v>
      </c>
      <c r="E204" t="s">
        <v>587</v>
      </c>
      <c r="F204" t="s">
        <v>886</v>
      </c>
      <c r="G204" t="s">
        <v>22</v>
      </c>
      <c r="H204" t="s">
        <v>887</v>
      </c>
      <c r="I204" t="s">
        <v>888</v>
      </c>
      <c r="J204" s="4">
        <v>46096.059814814813</v>
      </c>
    </row>
    <row r="205" spans="1:11" x14ac:dyDescent="0.55000000000000004">
      <c r="A205" t="s">
        <v>889</v>
      </c>
      <c r="B205">
        <v>101239</v>
      </c>
      <c r="C205" t="s">
        <v>533</v>
      </c>
      <c r="D205" s="3">
        <v>45883</v>
      </c>
      <c r="E205" t="s">
        <v>141</v>
      </c>
      <c r="F205" t="s">
        <v>890</v>
      </c>
      <c r="G205" t="s">
        <v>15</v>
      </c>
      <c r="H205" t="s">
        <v>891</v>
      </c>
      <c r="I205" t="s">
        <v>892</v>
      </c>
      <c r="J205" s="4">
        <v>46075.302870370368</v>
      </c>
    </row>
    <row r="206" spans="1:11" x14ac:dyDescent="0.55000000000000004">
      <c r="A206" t="s">
        <v>893</v>
      </c>
      <c r="B206">
        <v>100094</v>
      </c>
      <c r="C206" t="s">
        <v>68</v>
      </c>
      <c r="D206" s="3">
        <v>45965</v>
      </c>
      <c r="E206" t="s">
        <v>38</v>
      </c>
      <c r="F206" t="s">
        <v>894</v>
      </c>
      <c r="G206" t="s">
        <v>22</v>
      </c>
      <c r="H206" t="s">
        <v>895</v>
      </c>
      <c r="I206" t="s">
        <v>896</v>
      </c>
      <c r="J206" s="4">
        <v>46075.068842604167</v>
      </c>
    </row>
    <row r="207" spans="1:11" x14ac:dyDescent="0.55000000000000004">
      <c r="A207" t="s">
        <v>897</v>
      </c>
      <c r="C207" t="s">
        <v>533</v>
      </c>
      <c r="D207" s="3">
        <v>45956</v>
      </c>
      <c r="E207" t="s">
        <v>300</v>
      </c>
      <c r="F207" t="s">
        <v>898</v>
      </c>
      <c r="G207" t="s">
        <v>15</v>
      </c>
      <c r="H207" t="s">
        <v>899</v>
      </c>
      <c r="I207" t="s">
        <v>900</v>
      </c>
      <c r="J207" s="4">
        <v>46078.682731493056</v>
      </c>
      <c r="K207" t="s">
        <v>112</v>
      </c>
    </row>
    <row r="208" spans="1:11" x14ac:dyDescent="0.55000000000000004">
      <c r="A208" t="s">
        <v>901</v>
      </c>
      <c r="B208">
        <v>100899</v>
      </c>
      <c r="C208" t="s">
        <v>533</v>
      </c>
      <c r="D208" s="3">
        <v>45743</v>
      </c>
      <c r="E208" t="s">
        <v>141</v>
      </c>
      <c r="F208" t="s">
        <v>902</v>
      </c>
      <c r="G208" t="s">
        <v>15</v>
      </c>
      <c r="H208" t="s">
        <v>903</v>
      </c>
      <c r="I208" t="s">
        <v>904</v>
      </c>
      <c r="J208" s="4">
        <v>46082.012592615742</v>
      </c>
    </row>
    <row r="209" spans="1:10" x14ac:dyDescent="0.55000000000000004">
      <c r="A209" t="s">
        <v>905</v>
      </c>
      <c r="B209">
        <v>100137</v>
      </c>
      <c r="C209" t="s">
        <v>533</v>
      </c>
      <c r="D209" s="3">
        <v>46014</v>
      </c>
      <c r="E209" t="s">
        <v>20</v>
      </c>
      <c r="F209" t="s">
        <v>906</v>
      </c>
      <c r="G209" t="s">
        <v>22</v>
      </c>
      <c r="H209" t="s">
        <v>907</v>
      </c>
      <c r="I209" t="s">
        <v>908</v>
      </c>
      <c r="J209" s="4">
        <v>46068.416759282409</v>
      </c>
    </row>
    <row r="210" spans="1:10" x14ac:dyDescent="0.55000000000000004">
      <c r="A210" t="s">
        <v>909</v>
      </c>
      <c r="B210">
        <v>100554</v>
      </c>
      <c r="C210" t="s">
        <v>179</v>
      </c>
      <c r="D210" s="3">
        <v>46054</v>
      </c>
      <c r="E210" t="s">
        <v>115</v>
      </c>
      <c r="F210" t="s">
        <v>910</v>
      </c>
      <c r="G210" t="s">
        <v>22</v>
      </c>
      <c r="H210" t="s">
        <v>911</v>
      </c>
      <c r="I210" t="s">
        <v>912</v>
      </c>
      <c r="J210" s="4">
        <v>46072.704953726854</v>
      </c>
    </row>
    <row r="211" spans="1:10" x14ac:dyDescent="0.55000000000000004">
      <c r="A211" t="s">
        <v>913</v>
      </c>
      <c r="B211">
        <v>101041</v>
      </c>
      <c r="C211" t="s">
        <v>19</v>
      </c>
      <c r="D211" s="3">
        <v>45833</v>
      </c>
      <c r="E211" t="s">
        <v>89</v>
      </c>
      <c r="F211" t="s">
        <v>914</v>
      </c>
      <c r="G211" t="s">
        <v>22</v>
      </c>
      <c r="H211" t="s">
        <v>915</v>
      </c>
      <c r="I211" t="s">
        <v>916</v>
      </c>
      <c r="J211" s="4">
        <v>46097.44106484954</v>
      </c>
    </row>
    <row r="212" spans="1:10" x14ac:dyDescent="0.55000000000000004">
      <c r="A212" t="s">
        <v>917</v>
      </c>
      <c r="B212">
        <v>100998</v>
      </c>
      <c r="C212" t="s">
        <v>248</v>
      </c>
      <c r="D212" s="3">
        <v>45874</v>
      </c>
      <c r="E212" t="s">
        <v>184</v>
      </c>
      <c r="F212" t="s">
        <v>918</v>
      </c>
      <c r="G212" t="s">
        <v>15</v>
      </c>
      <c r="H212" t="s">
        <v>919</v>
      </c>
      <c r="I212" t="s">
        <v>920</v>
      </c>
      <c r="J212" s="4">
        <v>46074.282731516207</v>
      </c>
    </row>
    <row r="213" spans="1:10" x14ac:dyDescent="0.55000000000000004">
      <c r="A213" t="s">
        <v>921</v>
      </c>
      <c r="B213">
        <v>101348</v>
      </c>
      <c r="C213" t="s">
        <v>248</v>
      </c>
      <c r="D213" s="3">
        <v>45966</v>
      </c>
      <c r="E213" t="s">
        <v>20</v>
      </c>
      <c r="F213" t="s">
        <v>922</v>
      </c>
      <c r="G213" t="s">
        <v>22</v>
      </c>
      <c r="H213" t="s">
        <v>923</v>
      </c>
      <c r="I213" t="s">
        <v>924</v>
      </c>
      <c r="J213" s="4">
        <v>46063.837592638891</v>
      </c>
    </row>
    <row r="214" spans="1:10" x14ac:dyDescent="0.55000000000000004">
      <c r="A214" t="s">
        <v>925</v>
      </c>
      <c r="B214">
        <v>100376</v>
      </c>
      <c r="C214" t="s">
        <v>68</v>
      </c>
      <c r="D214" s="3">
        <v>46037</v>
      </c>
      <c r="E214" t="s">
        <v>89</v>
      </c>
      <c r="F214" t="s">
        <v>926</v>
      </c>
      <c r="G214" t="s">
        <v>15</v>
      </c>
      <c r="H214" t="s">
        <v>927</v>
      </c>
      <c r="I214" t="s">
        <v>928</v>
      </c>
      <c r="J214" s="4">
        <v>46075.245925972224</v>
      </c>
    </row>
    <row r="215" spans="1:10" x14ac:dyDescent="0.55000000000000004">
      <c r="A215" t="s">
        <v>929</v>
      </c>
      <c r="B215">
        <v>101067</v>
      </c>
      <c r="C215" t="s">
        <v>179</v>
      </c>
      <c r="D215" s="3">
        <v>46048</v>
      </c>
      <c r="E215" t="s">
        <v>317</v>
      </c>
      <c r="F215" t="s">
        <v>930</v>
      </c>
      <c r="G215" t="s">
        <v>22</v>
      </c>
      <c r="H215" t="s">
        <v>931</v>
      </c>
      <c r="I215" t="s">
        <v>932</v>
      </c>
      <c r="J215" s="4">
        <v>46057.907037083336</v>
      </c>
    </row>
    <row r="216" spans="1:10" x14ac:dyDescent="0.55000000000000004">
      <c r="A216" t="s">
        <v>933</v>
      </c>
      <c r="B216">
        <v>101065</v>
      </c>
      <c r="C216" t="s">
        <v>37</v>
      </c>
      <c r="D216" s="3">
        <v>46076</v>
      </c>
      <c r="E216" t="s">
        <v>20</v>
      </c>
      <c r="F216" t="s">
        <v>934</v>
      </c>
      <c r="G216" t="s">
        <v>15</v>
      </c>
      <c r="H216" t="s">
        <v>935</v>
      </c>
      <c r="I216" t="s">
        <v>936</v>
      </c>
      <c r="J216" s="4">
        <v>46082.311898206019</v>
      </c>
    </row>
    <row r="217" spans="1:10" x14ac:dyDescent="0.55000000000000004">
      <c r="A217" t="s">
        <v>937</v>
      </c>
      <c r="B217">
        <v>100991</v>
      </c>
      <c r="C217" t="s">
        <v>533</v>
      </c>
      <c r="D217" s="3">
        <v>45825</v>
      </c>
      <c r="E217" t="s">
        <v>189</v>
      </c>
      <c r="F217" t="s">
        <v>938</v>
      </c>
      <c r="G217" t="s">
        <v>22</v>
      </c>
      <c r="H217" t="s">
        <v>939</v>
      </c>
      <c r="I217" t="s">
        <v>940</v>
      </c>
      <c r="J217" s="4">
        <v>46070.898009317127</v>
      </c>
    </row>
    <row r="218" spans="1:10" x14ac:dyDescent="0.55000000000000004">
      <c r="A218" t="s">
        <v>941</v>
      </c>
      <c r="B218">
        <v>101296</v>
      </c>
      <c r="C218" t="s">
        <v>533</v>
      </c>
      <c r="D218" s="3">
        <v>46026</v>
      </c>
      <c r="E218" t="s">
        <v>418</v>
      </c>
      <c r="F218" t="s">
        <v>942</v>
      </c>
      <c r="G218" t="s">
        <v>22</v>
      </c>
      <c r="H218" t="s">
        <v>943</v>
      </c>
      <c r="I218" t="s">
        <v>944</v>
      </c>
      <c r="J218" s="4">
        <v>46056.982037094909</v>
      </c>
    </row>
    <row r="219" spans="1:10" x14ac:dyDescent="0.55000000000000004">
      <c r="A219" t="s">
        <v>945</v>
      </c>
      <c r="B219">
        <v>100172</v>
      </c>
      <c r="C219" t="s">
        <v>533</v>
      </c>
      <c r="D219" s="3">
        <v>46016</v>
      </c>
      <c r="E219" t="s">
        <v>69</v>
      </c>
      <c r="F219" t="s">
        <v>946</v>
      </c>
      <c r="G219" t="s">
        <v>22</v>
      </c>
      <c r="H219" t="s">
        <v>947</v>
      </c>
      <c r="I219" t="s">
        <v>948</v>
      </c>
      <c r="J219" s="4">
        <v>46089.479953773145</v>
      </c>
    </row>
    <row r="220" spans="1:10" x14ac:dyDescent="0.55000000000000004">
      <c r="A220" t="s">
        <v>949</v>
      </c>
      <c r="B220">
        <v>100474</v>
      </c>
      <c r="C220" t="s">
        <v>68</v>
      </c>
      <c r="D220" s="3">
        <v>45962</v>
      </c>
      <c r="E220" t="s">
        <v>13</v>
      </c>
      <c r="F220" t="s">
        <v>950</v>
      </c>
      <c r="G220" t="s">
        <v>22</v>
      </c>
      <c r="H220" t="s">
        <v>951</v>
      </c>
      <c r="I220" t="s">
        <v>952</v>
      </c>
      <c r="J220" s="4">
        <v>46089.468842662034</v>
      </c>
    </row>
    <row r="221" spans="1:10" x14ac:dyDescent="0.55000000000000004">
      <c r="A221" t="s">
        <v>953</v>
      </c>
      <c r="B221">
        <v>100351</v>
      </c>
      <c r="C221" t="s">
        <v>179</v>
      </c>
      <c r="D221" s="3">
        <v>46019</v>
      </c>
      <c r="E221" t="s">
        <v>213</v>
      </c>
      <c r="F221" t="s">
        <v>954</v>
      </c>
      <c r="G221" t="s">
        <v>22</v>
      </c>
      <c r="H221" t="s">
        <v>955</v>
      </c>
      <c r="I221" t="s">
        <v>956</v>
      </c>
      <c r="J221" s="4">
        <v>46071.114676006946</v>
      </c>
    </row>
    <row r="222" spans="1:10" x14ac:dyDescent="0.55000000000000004">
      <c r="A222" t="s">
        <v>957</v>
      </c>
      <c r="B222">
        <v>100057</v>
      </c>
      <c r="C222" t="s">
        <v>19</v>
      </c>
      <c r="D222" s="3">
        <v>45817</v>
      </c>
      <c r="E222" t="s">
        <v>38</v>
      </c>
      <c r="F222" t="s">
        <v>958</v>
      </c>
      <c r="G222" t="s">
        <v>15</v>
      </c>
      <c r="H222" t="s">
        <v>959</v>
      </c>
      <c r="I222" t="s">
        <v>960</v>
      </c>
      <c r="J222" s="4">
        <v>46083.330648229166</v>
      </c>
    </row>
    <row r="223" spans="1:10" x14ac:dyDescent="0.55000000000000004">
      <c r="A223" t="s">
        <v>451</v>
      </c>
      <c r="B223">
        <v>101276</v>
      </c>
      <c r="C223" t="s">
        <v>37</v>
      </c>
      <c r="D223" s="3">
        <v>45872</v>
      </c>
      <c r="E223" t="s">
        <v>38</v>
      </c>
      <c r="F223" t="s">
        <v>961</v>
      </c>
      <c r="G223" t="s">
        <v>22</v>
      </c>
      <c r="H223" t="s">
        <v>962</v>
      </c>
      <c r="I223" t="s">
        <v>963</v>
      </c>
      <c r="J223" s="4">
        <v>46087.095926006943</v>
      </c>
    </row>
    <row r="224" spans="1:10" x14ac:dyDescent="0.55000000000000004">
      <c r="A224" t="s">
        <v>964</v>
      </c>
      <c r="B224">
        <v>100036</v>
      </c>
      <c r="C224" t="s">
        <v>19</v>
      </c>
      <c r="D224" s="3">
        <v>46112</v>
      </c>
      <c r="E224" t="s">
        <v>27</v>
      </c>
      <c r="F224" t="s">
        <v>965</v>
      </c>
      <c r="G224" t="s">
        <v>15</v>
      </c>
      <c r="H224" t="s">
        <v>966</v>
      </c>
      <c r="I224" t="s">
        <v>967</v>
      </c>
      <c r="J224" s="4">
        <v>46061.584120462961</v>
      </c>
    </row>
    <row r="225" spans="1:11" x14ac:dyDescent="0.55000000000000004">
      <c r="A225" t="s">
        <v>968</v>
      </c>
      <c r="B225">
        <v>100795</v>
      </c>
      <c r="C225" t="s">
        <v>248</v>
      </c>
      <c r="D225" s="3">
        <v>46128</v>
      </c>
      <c r="E225" t="s">
        <v>343</v>
      </c>
      <c r="F225" t="s">
        <v>969</v>
      </c>
      <c r="G225" t="s">
        <v>22</v>
      </c>
      <c r="H225" t="s">
        <v>970</v>
      </c>
      <c r="I225" t="s">
        <v>971</v>
      </c>
      <c r="J225" s="4">
        <v>46063.435509351853</v>
      </c>
    </row>
    <row r="226" spans="1:11" x14ac:dyDescent="0.55000000000000004">
      <c r="A226" t="s">
        <v>972</v>
      </c>
      <c r="B226">
        <v>100381</v>
      </c>
      <c r="C226" t="s">
        <v>179</v>
      </c>
      <c r="D226" s="3">
        <v>45784</v>
      </c>
      <c r="E226" t="s">
        <v>562</v>
      </c>
      <c r="F226" t="s">
        <v>973</v>
      </c>
      <c r="G226" t="s">
        <v>15</v>
      </c>
      <c r="H226" t="s">
        <v>974</v>
      </c>
      <c r="I226" t="s">
        <v>975</v>
      </c>
      <c r="J226" s="4">
        <v>46069.372314918983</v>
      </c>
    </row>
    <row r="227" spans="1:11" x14ac:dyDescent="0.55000000000000004">
      <c r="A227" t="s">
        <v>976</v>
      </c>
      <c r="B227">
        <v>101094</v>
      </c>
      <c r="C227" t="s">
        <v>68</v>
      </c>
      <c r="D227" s="3">
        <v>46150</v>
      </c>
      <c r="E227" t="s">
        <v>69</v>
      </c>
      <c r="F227" t="s">
        <v>977</v>
      </c>
      <c r="G227" t="s">
        <v>15</v>
      </c>
      <c r="H227" t="s">
        <v>978</v>
      </c>
      <c r="I227" t="s">
        <v>979</v>
      </c>
      <c r="J227" s="4">
        <v>46082.448009363427</v>
      </c>
    </row>
    <row r="228" spans="1:11" x14ac:dyDescent="0.55000000000000004">
      <c r="A228" t="s">
        <v>980</v>
      </c>
      <c r="B228">
        <v>101003</v>
      </c>
      <c r="C228" t="s">
        <v>19</v>
      </c>
      <c r="D228" s="3">
        <v>46084</v>
      </c>
      <c r="E228" t="s">
        <v>27</v>
      </c>
      <c r="F228" t="s">
        <v>981</v>
      </c>
      <c r="G228" t="s">
        <v>22</v>
      </c>
      <c r="H228" t="s">
        <v>982</v>
      </c>
      <c r="I228" t="s">
        <v>983</v>
      </c>
      <c r="J228" s="4">
        <v>46086.87023158565</v>
      </c>
    </row>
    <row r="229" spans="1:11" x14ac:dyDescent="0.55000000000000004">
      <c r="A229" t="s">
        <v>984</v>
      </c>
      <c r="B229">
        <v>100992</v>
      </c>
      <c r="C229" t="s">
        <v>533</v>
      </c>
      <c r="D229" s="3">
        <v>46133</v>
      </c>
      <c r="E229" t="s">
        <v>115</v>
      </c>
      <c r="F229" t="s">
        <v>985</v>
      </c>
      <c r="G229" t="s">
        <v>15</v>
      </c>
      <c r="H229" t="s">
        <v>986</v>
      </c>
      <c r="I229" t="s">
        <v>987</v>
      </c>
      <c r="J229" s="4">
        <v>46061.247314930559</v>
      </c>
    </row>
    <row r="230" spans="1:11" x14ac:dyDescent="0.55000000000000004">
      <c r="A230" t="s">
        <v>988</v>
      </c>
      <c r="B230">
        <v>100531</v>
      </c>
      <c r="C230" t="s">
        <v>19</v>
      </c>
      <c r="D230" s="3">
        <v>45875</v>
      </c>
      <c r="E230" t="s">
        <v>160</v>
      </c>
      <c r="F230" t="s">
        <v>989</v>
      </c>
      <c r="G230" t="s">
        <v>22</v>
      </c>
      <c r="H230" t="s">
        <v>990</v>
      </c>
      <c r="I230" t="s">
        <v>991</v>
      </c>
      <c r="J230" s="4">
        <v>46078.932037152779</v>
      </c>
    </row>
    <row r="231" spans="1:11" x14ac:dyDescent="0.55000000000000004">
      <c r="A231" t="s">
        <v>992</v>
      </c>
      <c r="B231">
        <v>100916</v>
      </c>
      <c r="C231" t="s">
        <v>248</v>
      </c>
      <c r="D231" s="3">
        <v>45995</v>
      </c>
      <c r="E231" t="s">
        <v>121</v>
      </c>
      <c r="F231" t="s">
        <v>993</v>
      </c>
      <c r="G231" t="s">
        <v>15</v>
      </c>
      <c r="H231" t="s">
        <v>994</v>
      </c>
      <c r="I231" t="s">
        <v>995</v>
      </c>
      <c r="J231" s="4">
        <v>46079.813287164354</v>
      </c>
    </row>
    <row r="232" spans="1:11" x14ac:dyDescent="0.55000000000000004">
      <c r="A232" t="s">
        <v>996</v>
      </c>
      <c r="B232">
        <v>100252</v>
      </c>
      <c r="C232" t="s">
        <v>533</v>
      </c>
      <c r="D232" s="3">
        <v>46091</v>
      </c>
      <c r="E232" t="s">
        <v>115</v>
      </c>
      <c r="F232" t="s">
        <v>997</v>
      </c>
      <c r="G232" t="s">
        <v>15</v>
      </c>
      <c r="H232" t="s">
        <v>998</v>
      </c>
      <c r="I232" t="s">
        <v>999</v>
      </c>
      <c r="J232" s="4">
        <v>46052.288287164352</v>
      </c>
    </row>
    <row r="233" spans="1:11" x14ac:dyDescent="0.55000000000000004">
      <c r="A233" t="s">
        <v>708</v>
      </c>
      <c r="B233">
        <v>100673</v>
      </c>
      <c r="C233" t="s">
        <v>248</v>
      </c>
      <c r="D233" s="3">
        <v>46121</v>
      </c>
      <c r="E233" t="s">
        <v>680</v>
      </c>
      <c r="F233" t="s">
        <v>1000</v>
      </c>
      <c r="G233" t="s">
        <v>22</v>
      </c>
      <c r="H233" t="s">
        <v>1001</v>
      </c>
      <c r="I233" t="s">
        <v>1002</v>
      </c>
      <c r="J233" s="4">
        <v>46057.157037164354</v>
      </c>
    </row>
    <row r="234" spans="1:11" x14ac:dyDescent="0.55000000000000004">
      <c r="A234" t="s">
        <v>1003</v>
      </c>
      <c r="B234">
        <v>101464</v>
      </c>
      <c r="C234" t="s">
        <v>179</v>
      </c>
      <c r="D234" s="3">
        <v>45963</v>
      </c>
      <c r="E234" t="s">
        <v>317</v>
      </c>
      <c r="F234" t="s">
        <v>1004</v>
      </c>
      <c r="G234" t="s">
        <v>15</v>
      </c>
      <c r="H234" t="s">
        <v>1005</v>
      </c>
      <c r="I234" t="s">
        <v>1006</v>
      </c>
      <c r="J234" s="4">
        <v>46072.013287175927</v>
      </c>
    </row>
    <row r="235" spans="1:11" x14ac:dyDescent="0.55000000000000004">
      <c r="A235" t="s">
        <v>1007</v>
      </c>
      <c r="B235">
        <v>100827</v>
      </c>
      <c r="C235" t="s">
        <v>248</v>
      </c>
      <c r="D235" s="3">
        <v>46087</v>
      </c>
      <c r="E235" t="s">
        <v>757</v>
      </c>
      <c r="F235" t="s">
        <v>1008</v>
      </c>
      <c r="G235" t="s">
        <v>22</v>
      </c>
      <c r="H235" t="s">
        <v>1009</v>
      </c>
      <c r="I235" t="s">
        <v>1010</v>
      </c>
      <c r="J235" s="4">
        <v>46060.742453842591</v>
      </c>
    </row>
    <row r="236" spans="1:11" x14ac:dyDescent="0.55000000000000004">
      <c r="A236" t="s">
        <v>1011</v>
      </c>
      <c r="B236">
        <v>101142</v>
      </c>
      <c r="C236" t="s">
        <v>37</v>
      </c>
      <c r="D236" s="3">
        <v>46106</v>
      </c>
      <c r="E236" t="s">
        <v>49</v>
      </c>
      <c r="F236" t="s">
        <v>1012</v>
      </c>
      <c r="G236" t="s">
        <v>15</v>
      </c>
      <c r="H236" t="s">
        <v>1013</v>
      </c>
      <c r="I236" t="s">
        <v>1014</v>
      </c>
      <c r="J236" s="4">
        <v>46063.180648298614</v>
      </c>
    </row>
    <row r="237" spans="1:11" x14ac:dyDescent="0.55000000000000004">
      <c r="A237" t="s">
        <v>1015</v>
      </c>
      <c r="B237">
        <v>100874</v>
      </c>
      <c r="C237" t="s">
        <v>248</v>
      </c>
      <c r="D237" s="3">
        <v>45951</v>
      </c>
      <c r="E237" t="s">
        <v>69</v>
      </c>
      <c r="F237" t="s">
        <v>1016</v>
      </c>
      <c r="G237" t="s">
        <v>22</v>
      </c>
      <c r="H237" t="s">
        <v>1017</v>
      </c>
      <c r="I237" t="s">
        <v>1018</v>
      </c>
      <c r="J237" s="4">
        <v>46077.343148298613</v>
      </c>
    </row>
    <row r="238" spans="1:11" x14ac:dyDescent="0.55000000000000004">
      <c r="A238" t="s">
        <v>1019</v>
      </c>
      <c r="B238">
        <v>100738</v>
      </c>
      <c r="C238" t="s">
        <v>68</v>
      </c>
      <c r="D238" s="3">
        <v>46012</v>
      </c>
      <c r="E238" t="s">
        <v>43</v>
      </c>
      <c r="F238" t="s">
        <v>1020</v>
      </c>
      <c r="G238" t="s">
        <v>22</v>
      </c>
      <c r="H238" t="s">
        <v>1021</v>
      </c>
      <c r="I238" t="s">
        <v>1022</v>
      </c>
      <c r="J238" s="4">
        <v>46054.677176076388</v>
      </c>
    </row>
    <row r="239" spans="1:11" x14ac:dyDescent="0.55000000000000004">
      <c r="A239" t="s">
        <v>1023</v>
      </c>
      <c r="B239">
        <v>101297</v>
      </c>
      <c r="C239" t="s">
        <v>37</v>
      </c>
      <c r="D239" s="3">
        <v>45782</v>
      </c>
      <c r="E239" t="s">
        <v>270</v>
      </c>
      <c r="F239" t="s">
        <v>1024</v>
      </c>
      <c r="G239" t="s">
        <v>15</v>
      </c>
      <c r="H239" t="s">
        <v>1025</v>
      </c>
      <c r="I239" t="s">
        <v>1026</v>
      </c>
      <c r="J239" s="4">
        <v>46069.097314976854</v>
      </c>
    </row>
    <row r="240" spans="1:11" x14ac:dyDescent="0.55000000000000004">
      <c r="A240" t="s">
        <v>1027</v>
      </c>
      <c r="C240" t="s">
        <v>37</v>
      </c>
      <c r="D240" s="3">
        <v>45951</v>
      </c>
      <c r="E240" t="s">
        <v>317</v>
      </c>
      <c r="F240" t="s">
        <v>1028</v>
      </c>
      <c r="G240" t="s">
        <v>15</v>
      </c>
      <c r="H240" t="s">
        <v>1029</v>
      </c>
      <c r="I240" t="s">
        <v>1030</v>
      </c>
      <c r="J240" s="4">
        <v>46056.316759421294</v>
      </c>
      <c r="K240" t="s">
        <v>112</v>
      </c>
    </row>
    <row r="241" spans="1:11" x14ac:dyDescent="0.55000000000000004">
      <c r="A241" t="s">
        <v>1031</v>
      </c>
      <c r="B241">
        <v>100179</v>
      </c>
      <c r="C241" t="s">
        <v>533</v>
      </c>
      <c r="D241" s="3">
        <v>45872</v>
      </c>
      <c r="E241" t="s">
        <v>317</v>
      </c>
      <c r="F241" t="s">
        <v>1032</v>
      </c>
      <c r="G241" t="s">
        <v>22</v>
      </c>
      <c r="H241" t="s">
        <v>1033</v>
      </c>
      <c r="I241" t="s">
        <v>1034</v>
      </c>
      <c r="J241" s="4">
        <v>46081.62925943287</v>
      </c>
      <c r="K241" t="s">
        <v>139</v>
      </c>
    </row>
    <row r="242" spans="1:11" x14ac:dyDescent="0.55000000000000004">
      <c r="A242" t="s">
        <v>1035</v>
      </c>
      <c r="B242">
        <v>100485</v>
      </c>
      <c r="C242" t="s">
        <v>68</v>
      </c>
      <c r="D242" s="3">
        <v>46072</v>
      </c>
      <c r="E242" t="s">
        <v>121</v>
      </c>
      <c r="F242" t="s">
        <v>1036</v>
      </c>
      <c r="G242" t="s">
        <v>22</v>
      </c>
      <c r="H242" t="s">
        <v>1037</v>
      </c>
      <c r="I242" t="s">
        <v>1038</v>
      </c>
      <c r="J242" s="4">
        <v>46053.413287210649</v>
      </c>
    </row>
    <row r="243" spans="1:11" x14ac:dyDescent="0.55000000000000004">
      <c r="A243" t="s">
        <v>1039</v>
      </c>
      <c r="B243">
        <v>100657</v>
      </c>
      <c r="C243" t="s">
        <v>179</v>
      </c>
      <c r="D243" s="3">
        <v>46067</v>
      </c>
      <c r="E243" t="s">
        <v>317</v>
      </c>
      <c r="F243" t="s">
        <v>1040</v>
      </c>
      <c r="G243" t="s">
        <v>15</v>
      </c>
      <c r="H243" t="s">
        <v>1041</v>
      </c>
      <c r="I243" t="s">
        <v>1042</v>
      </c>
      <c r="J243" s="4">
        <v>46097.442453877316</v>
      </c>
    </row>
    <row r="244" spans="1:11" x14ac:dyDescent="0.55000000000000004">
      <c r="A244" t="s">
        <v>1043</v>
      </c>
      <c r="B244">
        <v>100915</v>
      </c>
      <c r="C244" t="s">
        <v>19</v>
      </c>
      <c r="D244" s="3">
        <v>45771</v>
      </c>
      <c r="E244" t="s">
        <v>38</v>
      </c>
      <c r="F244" t="s">
        <v>1044</v>
      </c>
      <c r="G244" t="s">
        <v>15</v>
      </c>
      <c r="H244" t="s">
        <v>1045</v>
      </c>
      <c r="I244" t="s">
        <v>1046</v>
      </c>
      <c r="J244" s="4">
        <v>46063.779259444447</v>
      </c>
    </row>
    <row r="245" spans="1:11" x14ac:dyDescent="0.55000000000000004">
      <c r="A245" t="s">
        <v>1047</v>
      </c>
      <c r="B245">
        <v>100766</v>
      </c>
      <c r="C245" t="s">
        <v>179</v>
      </c>
      <c r="D245" s="3">
        <v>45736</v>
      </c>
      <c r="E245" t="s">
        <v>317</v>
      </c>
      <c r="F245" t="s">
        <v>1048</v>
      </c>
      <c r="G245" t="s">
        <v>22</v>
      </c>
      <c r="H245" t="s">
        <v>1049</v>
      </c>
      <c r="I245" t="s">
        <v>1050</v>
      </c>
      <c r="J245" s="4">
        <v>46090.145926111109</v>
      </c>
    </row>
    <row r="246" spans="1:11" x14ac:dyDescent="0.55000000000000004">
      <c r="A246" t="s">
        <v>1051</v>
      </c>
      <c r="B246">
        <v>100814</v>
      </c>
      <c r="C246" t="s">
        <v>533</v>
      </c>
      <c r="D246" s="3">
        <v>45976</v>
      </c>
      <c r="E246" t="s">
        <v>115</v>
      </c>
      <c r="F246" t="s">
        <v>1052</v>
      </c>
      <c r="G246" t="s">
        <v>22</v>
      </c>
      <c r="H246" t="s">
        <v>1053</v>
      </c>
      <c r="I246" t="s">
        <v>1054</v>
      </c>
      <c r="J246" s="4">
        <v>46092.600787233794</v>
      </c>
    </row>
    <row r="247" spans="1:11" x14ac:dyDescent="0.55000000000000004">
      <c r="A247" t="s">
        <v>1055</v>
      </c>
      <c r="B247">
        <v>100830</v>
      </c>
      <c r="C247" t="s">
        <v>533</v>
      </c>
      <c r="D247" s="3">
        <v>45892</v>
      </c>
      <c r="E247" t="s">
        <v>356</v>
      </c>
      <c r="F247" t="s">
        <v>1056</v>
      </c>
      <c r="G247" t="s">
        <v>22</v>
      </c>
      <c r="H247" t="s">
        <v>1057</v>
      </c>
      <c r="I247" t="s">
        <v>1058</v>
      </c>
      <c r="J247" s="4">
        <v>46088.834120567131</v>
      </c>
      <c r="K247" t="s">
        <v>139</v>
      </c>
    </row>
    <row r="248" spans="1:11" x14ac:dyDescent="0.55000000000000004">
      <c r="A248" t="s">
        <v>1059</v>
      </c>
      <c r="B248">
        <v>100655</v>
      </c>
      <c r="C248" t="s">
        <v>533</v>
      </c>
      <c r="D248" s="3">
        <v>45767</v>
      </c>
      <c r="E248" t="s">
        <v>528</v>
      </c>
      <c r="F248" t="s">
        <v>1060</v>
      </c>
      <c r="G248" t="s">
        <v>22</v>
      </c>
      <c r="H248" t="s">
        <v>1061</v>
      </c>
      <c r="I248" t="s">
        <v>1062</v>
      </c>
      <c r="J248" s="4">
        <v>46075.443148356484</v>
      </c>
    </row>
    <row r="249" spans="1:11" x14ac:dyDescent="0.55000000000000004">
      <c r="A249" t="s">
        <v>1063</v>
      </c>
      <c r="B249">
        <v>100885</v>
      </c>
      <c r="C249" t="s">
        <v>533</v>
      </c>
      <c r="D249" s="3">
        <v>45942</v>
      </c>
      <c r="E249" t="s">
        <v>680</v>
      </c>
      <c r="F249" t="s">
        <v>1064</v>
      </c>
      <c r="G249" t="s">
        <v>15</v>
      </c>
      <c r="H249" t="s">
        <v>1065</v>
      </c>
      <c r="I249" t="s">
        <v>1066</v>
      </c>
      <c r="J249" s="4">
        <v>46091.547315023148</v>
      </c>
    </row>
    <row r="250" spans="1:11" x14ac:dyDescent="0.55000000000000004">
      <c r="A250" t="s">
        <v>1067</v>
      </c>
      <c r="B250">
        <v>100044</v>
      </c>
      <c r="C250" t="s">
        <v>533</v>
      </c>
      <c r="D250" s="3">
        <v>46033</v>
      </c>
      <c r="E250" t="s">
        <v>300</v>
      </c>
      <c r="F250" t="s">
        <v>1068</v>
      </c>
      <c r="G250" t="s">
        <v>22</v>
      </c>
      <c r="H250" t="s">
        <v>1069</v>
      </c>
      <c r="I250" t="s">
        <v>1070</v>
      </c>
      <c r="J250" s="4">
        <v>46089.393842800928</v>
      </c>
    </row>
    <row r="251" spans="1:11" x14ac:dyDescent="0.55000000000000004">
      <c r="A251" t="s">
        <v>1071</v>
      </c>
      <c r="B251">
        <v>100106</v>
      </c>
      <c r="C251" t="s">
        <v>248</v>
      </c>
      <c r="D251" s="3">
        <v>46062</v>
      </c>
      <c r="E251" t="s">
        <v>115</v>
      </c>
      <c r="F251" t="s">
        <v>1072</v>
      </c>
      <c r="G251" t="s">
        <v>22</v>
      </c>
      <c r="H251" t="s">
        <v>1073</v>
      </c>
      <c r="I251" t="s">
        <v>1074</v>
      </c>
      <c r="J251" s="4">
        <v>46053.708426145837</v>
      </c>
    </row>
    <row r="252" spans="1:11" x14ac:dyDescent="0.55000000000000004">
      <c r="A252" t="s">
        <v>1075</v>
      </c>
      <c r="B252">
        <v>100979</v>
      </c>
      <c r="C252" t="s">
        <v>68</v>
      </c>
      <c r="D252" s="3">
        <v>45837</v>
      </c>
      <c r="E252" t="s">
        <v>587</v>
      </c>
      <c r="F252" t="s">
        <v>1076</v>
      </c>
      <c r="G252" t="s">
        <v>22</v>
      </c>
      <c r="H252" t="s">
        <v>1077</v>
      </c>
      <c r="I252" t="s">
        <v>1078</v>
      </c>
      <c r="J252" s="4">
        <v>46078.827176145831</v>
      </c>
    </row>
    <row r="253" spans="1:11" x14ac:dyDescent="0.55000000000000004">
      <c r="A253" t="s">
        <v>1079</v>
      </c>
      <c r="B253">
        <v>100575</v>
      </c>
      <c r="C253" t="s">
        <v>37</v>
      </c>
      <c r="D253" s="3">
        <v>46133</v>
      </c>
      <c r="E253" t="s">
        <v>69</v>
      </c>
      <c r="F253" t="s">
        <v>1080</v>
      </c>
      <c r="G253" t="s">
        <v>22</v>
      </c>
      <c r="H253" t="s">
        <v>1081</v>
      </c>
      <c r="I253" t="s">
        <v>1082</v>
      </c>
      <c r="J253" s="4">
        <v>46090.403565034721</v>
      </c>
    </row>
    <row r="254" spans="1:11" x14ac:dyDescent="0.55000000000000004">
      <c r="A254" t="s">
        <v>1083</v>
      </c>
      <c r="B254">
        <v>101443</v>
      </c>
      <c r="C254" t="s">
        <v>19</v>
      </c>
      <c r="D254" s="3">
        <v>46058</v>
      </c>
      <c r="E254" t="s">
        <v>184</v>
      </c>
      <c r="F254" t="s">
        <v>1084</v>
      </c>
      <c r="G254" t="s">
        <v>22</v>
      </c>
      <c r="H254" t="s">
        <v>1085</v>
      </c>
      <c r="I254" t="s">
        <v>1086</v>
      </c>
      <c r="J254" s="4">
        <v>46077.558426157404</v>
      </c>
    </row>
    <row r="255" spans="1:11" x14ac:dyDescent="0.55000000000000004">
      <c r="A255" t="s">
        <v>1087</v>
      </c>
      <c r="B255">
        <v>100494</v>
      </c>
      <c r="C255" t="s">
        <v>179</v>
      </c>
      <c r="D255" s="3">
        <v>46023</v>
      </c>
      <c r="E255" t="s">
        <v>467</v>
      </c>
      <c r="F255" t="s">
        <v>1088</v>
      </c>
      <c r="G255" t="s">
        <v>15</v>
      </c>
      <c r="H255" t="s">
        <v>1089</v>
      </c>
      <c r="I255" t="s">
        <v>1090</v>
      </c>
      <c r="J255" s="4">
        <v>46067.642453935186</v>
      </c>
    </row>
    <row r="256" spans="1:11" x14ac:dyDescent="0.55000000000000004">
      <c r="A256" t="s">
        <v>1091</v>
      </c>
      <c r="B256">
        <v>101077</v>
      </c>
      <c r="C256" t="s">
        <v>37</v>
      </c>
      <c r="D256" s="3">
        <v>46032</v>
      </c>
      <c r="E256" t="s">
        <v>155</v>
      </c>
      <c r="F256" t="s">
        <v>1092</v>
      </c>
      <c r="G256" t="s">
        <v>22</v>
      </c>
      <c r="H256" t="s">
        <v>1093</v>
      </c>
      <c r="I256" t="s">
        <v>1094</v>
      </c>
      <c r="J256" s="4">
        <v>46084.689676168979</v>
      </c>
    </row>
    <row r="257" spans="1:11" x14ac:dyDescent="0.55000000000000004">
      <c r="A257" t="s">
        <v>1095</v>
      </c>
      <c r="B257">
        <v>100463</v>
      </c>
      <c r="C257" t="s">
        <v>37</v>
      </c>
      <c r="D257" s="3">
        <v>46136</v>
      </c>
      <c r="E257" t="s">
        <v>467</v>
      </c>
      <c r="F257" t="s">
        <v>1096</v>
      </c>
      <c r="G257" t="s">
        <v>22</v>
      </c>
      <c r="H257" t="s">
        <v>1097</v>
      </c>
      <c r="I257" t="s">
        <v>1098</v>
      </c>
      <c r="J257" s="4">
        <v>46069.748009502313</v>
      </c>
    </row>
    <row r="258" spans="1:11" x14ac:dyDescent="0.55000000000000004">
      <c r="A258" t="s">
        <v>1099</v>
      </c>
      <c r="B258">
        <v>101286</v>
      </c>
      <c r="C258" t="s">
        <v>179</v>
      </c>
      <c r="D258" s="3">
        <v>45774</v>
      </c>
      <c r="E258" t="s">
        <v>587</v>
      </c>
      <c r="F258" t="s">
        <v>1100</v>
      </c>
      <c r="G258" t="s">
        <v>22</v>
      </c>
      <c r="H258" t="s">
        <v>1101</v>
      </c>
      <c r="I258" t="s">
        <v>1102</v>
      </c>
      <c r="J258" s="4">
        <v>46092.305648391201</v>
      </c>
    </row>
    <row r="259" spans="1:11" x14ac:dyDescent="0.55000000000000004">
      <c r="A259" t="s">
        <v>1103</v>
      </c>
      <c r="B259">
        <v>100669</v>
      </c>
      <c r="C259" t="s">
        <v>37</v>
      </c>
      <c r="D259" s="3">
        <v>45993</v>
      </c>
      <c r="E259" t="s">
        <v>115</v>
      </c>
      <c r="F259" t="s">
        <v>1104</v>
      </c>
      <c r="G259" t="s">
        <v>22</v>
      </c>
      <c r="H259" t="s">
        <v>1105</v>
      </c>
      <c r="I259" t="s">
        <v>1106</v>
      </c>
      <c r="J259" s="4">
        <v>46071.911898402781</v>
      </c>
    </row>
    <row r="260" spans="1:11" x14ac:dyDescent="0.55000000000000004">
      <c r="A260" t="s">
        <v>1107</v>
      </c>
      <c r="B260">
        <v>101446</v>
      </c>
      <c r="C260" t="s">
        <v>37</v>
      </c>
      <c r="D260" s="3">
        <v>45890</v>
      </c>
      <c r="E260" t="s">
        <v>121</v>
      </c>
      <c r="F260" t="s">
        <v>1108</v>
      </c>
      <c r="G260" t="s">
        <v>15</v>
      </c>
      <c r="H260" t="s">
        <v>1109</v>
      </c>
      <c r="I260" t="s">
        <v>1110</v>
      </c>
      <c r="J260" s="4">
        <v>46092.128565069441</v>
      </c>
    </row>
    <row r="261" spans="1:11" x14ac:dyDescent="0.55000000000000004">
      <c r="A261" t="s">
        <v>1111</v>
      </c>
      <c r="B261">
        <v>100158</v>
      </c>
      <c r="C261" t="s">
        <v>533</v>
      </c>
      <c r="D261" s="3">
        <v>45964</v>
      </c>
      <c r="E261" t="s">
        <v>343</v>
      </c>
      <c r="F261" t="s">
        <v>1112</v>
      </c>
      <c r="G261" t="s">
        <v>15</v>
      </c>
      <c r="H261" t="s">
        <v>1113</v>
      </c>
      <c r="I261" t="s">
        <v>1114</v>
      </c>
      <c r="J261" s="4">
        <v>46090.728565069447</v>
      </c>
    </row>
    <row r="262" spans="1:11" x14ac:dyDescent="0.55000000000000004">
      <c r="A262" t="s">
        <v>1115</v>
      </c>
      <c r="B262">
        <v>101359</v>
      </c>
      <c r="C262" t="s">
        <v>533</v>
      </c>
      <c r="D262" s="3">
        <v>46091</v>
      </c>
      <c r="E262" t="s">
        <v>115</v>
      </c>
      <c r="F262" t="s">
        <v>1116</v>
      </c>
      <c r="G262" t="s">
        <v>22</v>
      </c>
      <c r="H262" t="s">
        <v>1117</v>
      </c>
      <c r="I262" t="s">
        <v>1118</v>
      </c>
      <c r="J262" s="4">
        <v>46075.002176192131</v>
      </c>
    </row>
    <row r="263" spans="1:11" x14ac:dyDescent="0.55000000000000004">
      <c r="A263" t="s">
        <v>1119</v>
      </c>
      <c r="B263">
        <v>100049</v>
      </c>
      <c r="C263" t="s">
        <v>19</v>
      </c>
      <c r="D263" s="3">
        <v>46132</v>
      </c>
      <c r="E263" t="s">
        <v>562</v>
      </c>
      <c r="F263" t="s">
        <v>1120</v>
      </c>
      <c r="G263" t="s">
        <v>15</v>
      </c>
      <c r="H263" t="s">
        <v>1121</v>
      </c>
      <c r="I263" t="s">
        <v>1122</v>
      </c>
      <c r="J263" s="4">
        <v>46080.578565081021</v>
      </c>
    </row>
    <row r="264" spans="1:11" x14ac:dyDescent="0.55000000000000004">
      <c r="A264" t="s">
        <v>1123</v>
      </c>
      <c r="B264">
        <v>100846</v>
      </c>
      <c r="C264" t="s">
        <v>37</v>
      </c>
      <c r="D264" s="3">
        <v>45903</v>
      </c>
      <c r="E264" t="s">
        <v>467</v>
      </c>
      <c r="F264" t="s">
        <v>1124</v>
      </c>
      <c r="G264" t="s">
        <v>15</v>
      </c>
      <c r="H264" t="s">
        <v>1125</v>
      </c>
      <c r="I264" t="s">
        <v>1126</v>
      </c>
      <c r="J264" s="4">
        <v>46080.926481759256</v>
      </c>
    </row>
    <row r="265" spans="1:11" x14ac:dyDescent="0.55000000000000004">
      <c r="A265" t="s">
        <v>1127</v>
      </c>
      <c r="B265">
        <v>100686</v>
      </c>
      <c r="C265" t="s">
        <v>37</v>
      </c>
      <c r="D265" s="3">
        <v>45986</v>
      </c>
      <c r="E265" t="s">
        <v>467</v>
      </c>
      <c r="F265" t="s">
        <v>1128</v>
      </c>
      <c r="G265" t="s">
        <v>15</v>
      </c>
      <c r="H265" t="s">
        <v>1129</v>
      </c>
      <c r="I265" t="s">
        <v>1130</v>
      </c>
      <c r="J265" s="4">
        <v>46065.940370648146</v>
      </c>
    </row>
    <row r="266" spans="1:11" x14ac:dyDescent="0.55000000000000004">
      <c r="A266" t="s">
        <v>1131</v>
      </c>
      <c r="B266">
        <v>100420</v>
      </c>
      <c r="C266" t="s">
        <v>533</v>
      </c>
      <c r="D266" s="3">
        <v>45920</v>
      </c>
      <c r="E266" t="s">
        <v>20</v>
      </c>
      <c r="F266" t="s">
        <v>1132</v>
      </c>
      <c r="G266" t="s">
        <v>15</v>
      </c>
      <c r="H266" t="s">
        <v>1133</v>
      </c>
      <c r="I266" t="s">
        <v>1134</v>
      </c>
      <c r="J266" s="4">
        <v>46060.787592870372</v>
      </c>
    </row>
    <row r="267" spans="1:11" x14ac:dyDescent="0.55000000000000004">
      <c r="A267" t="s">
        <v>1135</v>
      </c>
      <c r="B267">
        <v>100112</v>
      </c>
      <c r="C267" t="s">
        <v>533</v>
      </c>
      <c r="D267" s="3">
        <v>45848</v>
      </c>
      <c r="E267" t="s">
        <v>184</v>
      </c>
      <c r="F267" t="s">
        <v>1136</v>
      </c>
      <c r="G267" t="s">
        <v>15</v>
      </c>
      <c r="H267" t="s">
        <v>1137</v>
      </c>
      <c r="I267" t="s">
        <v>1138</v>
      </c>
      <c r="J267" s="4">
        <v>46082.680648437497</v>
      </c>
    </row>
    <row r="268" spans="1:11" x14ac:dyDescent="0.55000000000000004">
      <c r="A268" t="s">
        <v>1139</v>
      </c>
      <c r="B268">
        <v>100718</v>
      </c>
      <c r="C268" t="s">
        <v>19</v>
      </c>
      <c r="D268" s="3">
        <v>45918</v>
      </c>
      <c r="E268" t="s">
        <v>189</v>
      </c>
      <c r="F268" t="s">
        <v>1140</v>
      </c>
      <c r="G268" t="s">
        <v>15</v>
      </c>
      <c r="H268" t="s">
        <v>1141</v>
      </c>
      <c r="I268" t="s">
        <v>1142</v>
      </c>
      <c r="J268" s="4">
        <v>46061.813981770836</v>
      </c>
    </row>
    <row r="269" spans="1:11" x14ac:dyDescent="0.55000000000000004">
      <c r="A269" t="s">
        <v>1143</v>
      </c>
      <c r="B269">
        <v>100884</v>
      </c>
      <c r="C269" t="s">
        <v>179</v>
      </c>
      <c r="D269" s="3">
        <v>45846</v>
      </c>
      <c r="E269" t="s">
        <v>418</v>
      </c>
      <c r="F269" t="s">
        <v>1144</v>
      </c>
      <c r="G269" t="s">
        <v>22</v>
      </c>
      <c r="H269" t="s">
        <v>1145</v>
      </c>
      <c r="I269" t="s">
        <v>1146</v>
      </c>
      <c r="J269" s="4">
        <v>46080.635509560183</v>
      </c>
    </row>
    <row r="270" spans="1:11" x14ac:dyDescent="0.55000000000000004">
      <c r="A270" t="s">
        <v>1147</v>
      </c>
      <c r="B270">
        <v>101416</v>
      </c>
      <c r="C270" t="s">
        <v>19</v>
      </c>
      <c r="D270" s="3">
        <v>45922</v>
      </c>
      <c r="E270" t="s">
        <v>38</v>
      </c>
      <c r="F270" t="s">
        <v>1148</v>
      </c>
      <c r="G270" t="s">
        <v>15</v>
      </c>
      <c r="H270" t="s">
        <v>1149</v>
      </c>
      <c r="I270" t="s">
        <v>1150</v>
      </c>
      <c r="J270" s="4">
        <v>46086.428565115741</v>
      </c>
    </row>
    <row r="271" spans="1:11" x14ac:dyDescent="0.55000000000000004">
      <c r="A271" t="s">
        <v>6025</v>
      </c>
      <c r="B271">
        <v>100742</v>
      </c>
      <c r="C271" t="s">
        <v>19</v>
      </c>
      <c r="D271" s="3">
        <v>45755</v>
      </c>
      <c r="E271" t="s">
        <v>334</v>
      </c>
      <c r="F271" t="s">
        <v>1152</v>
      </c>
      <c r="G271" t="s">
        <v>22</v>
      </c>
      <c r="H271" t="s">
        <v>1153</v>
      </c>
      <c r="I271" t="s">
        <v>1154</v>
      </c>
      <c r="J271" s="4">
        <v>46078.280648449072</v>
      </c>
      <c r="K271" t="s">
        <v>119</v>
      </c>
    </row>
    <row r="272" spans="1:11" x14ac:dyDescent="0.55000000000000004">
      <c r="A272" t="s">
        <v>1155</v>
      </c>
      <c r="B272">
        <v>100983</v>
      </c>
      <c r="C272" t="s">
        <v>37</v>
      </c>
      <c r="D272" s="3">
        <v>46015</v>
      </c>
      <c r="E272" t="s">
        <v>295</v>
      </c>
      <c r="F272" t="s">
        <v>1156</v>
      </c>
      <c r="G272" t="s">
        <v>15</v>
      </c>
      <c r="H272" t="s">
        <v>1157</v>
      </c>
      <c r="I272" t="s">
        <v>1158</v>
      </c>
      <c r="J272" s="4">
        <v>46078.94453734954</v>
      </c>
    </row>
    <row r="273" spans="1:11" x14ac:dyDescent="0.55000000000000004">
      <c r="A273" t="s">
        <v>1159</v>
      </c>
      <c r="B273">
        <v>100401</v>
      </c>
      <c r="C273" t="s">
        <v>68</v>
      </c>
      <c r="D273" s="3">
        <v>46110</v>
      </c>
      <c r="E273" t="s">
        <v>208</v>
      </c>
      <c r="F273" t="s">
        <v>1160</v>
      </c>
      <c r="G273" t="s">
        <v>22</v>
      </c>
      <c r="H273" t="s">
        <v>1161</v>
      </c>
      <c r="I273" t="s">
        <v>1162</v>
      </c>
      <c r="J273" s="4">
        <v>46084.968842905095</v>
      </c>
    </row>
    <row r="274" spans="1:11" x14ac:dyDescent="0.55000000000000004">
      <c r="A274" t="s">
        <v>1163</v>
      </c>
      <c r="B274">
        <v>101152</v>
      </c>
      <c r="C274" t="s">
        <v>248</v>
      </c>
      <c r="D274" s="3">
        <v>45809</v>
      </c>
      <c r="E274" t="s">
        <v>69</v>
      </c>
      <c r="F274" t="s">
        <v>1164</v>
      </c>
      <c r="G274" t="s">
        <v>15</v>
      </c>
      <c r="H274" t="s">
        <v>1165</v>
      </c>
      <c r="I274" t="s">
        <v>1166</v>
      </c>
      <c r="J274" s="4">
        <v>46082.975787361109</v>
      </c>
    </row>
    <row r="275" spans="1:11" x14ac:dyDescent="0.55000000000000004">
      <c r="A275" t="s">
        <v>1167</v>
      </c>
      <c r="B275">
        <v>100969</v>
      </c>
      <c r="C275" t="s">
        <v>68</v>
      </c>
      <c r="D275" s="3">
        <v>46057</v>
      </c>
      <c r="E275" t="s">
        <v>13</v>
      </c>
      <c r="F275" t="s">
        <v>1168</v>
      </c>
      <c r="G275" t="s">
        <v>22</v>
      </c>
      <c r="H275" t="s">
        <v>1169</v>
      </c>
      <c r="I275" t="s">
        <v>1170</v>
      </c>
      <c r="J275" s="4">
        <v>46078.598704027776</v>
      </c>
    </row>
    <row r="276" spans="1:11" x14ac:dyDescent="0.55000000000000004">
      <c r="A276" t="s">
        <v>729</v>
      </c>
      <c r="B276">
        <v>100011</v>
      </c>
      <c r="C276" t="s">
        <v>248</v>
      </c>
      <c r="D276" s="3">
        <v>46003</v>
      </c>
      <c r="E276" t="s">
        <v>69</v>
      </c>
      <c r="F276" t="s">
        <v>1171</v>
      </c>
      <c r="G276" t="s">
        <v>22</v>
      </c>
      <c r="H276" t="s">
        <v>1172</v>
      </c>
      <c r="I276" t="s">
        <v>1173</v>
      </c>
      <c r="J276" s="4">
        <v>46094.543842916668</v>
      </c>
    </row>
    <row r="277" spans="1:11" x14ac:dyDescent="0.55000000000000004">
      <c r="A277" t="s">
        <v>1174</v>
      </c>
      <c r="B277">
        <v>100715</v>
      </c>
      <c r="C277" t="s">
        <v>248</v>
      </c>
      <c r="D277" s="3">
        <v>45779</v>
      </c>
      <c r="E277" t="s">
        <v>115</v>
      </c>
      <c r="F277" t="s">
        <v>1175</v>
      </c>
      <c r="G277" t="s">
        <v>22</v>
      </c>
      <c r="H277" t="s">
        <v>1176</v>
      </c>
      <c r="I277" t="s">
        <v>1177</v>
      </c>
      <c r="J277" s="4">
        <v>46053.216759594907</v>
      </c>
    </row>
    <row r="278" spans="1:11" x14ac:dyDescent="0.55000000000000004">
      <c r="A278" t="s">
        <v>1178</v>
      </c>
      <c r="B278">
        <v>100954</v>
      </c>
      <c r="C278" t="s">
        <v>179</v>
      </c>
      <c r="D278" s="3">
        <v>46114</v>
      </c>
      <c r="E278" t="s">
        <v>38</v>
      </c>
      <c r="F278" t="s">
        <v>1179</v>
      </c>
      <c r="G278" t="s">
        <v>15</v>
      </c>
      <c r="H278" t="s">
        <v>1180</v>
      </c>
      <c r="I278" t="s">
        <v>1181</v>
      </c>
      <c r="J278" s="4">
        <v>46065.556342928241</v>
      </c>
    </row>
    <row r="279" spans="1:11" x14ac:dyDescent="0.55000000000000004">
      <c r="A279" t="s">
        <v>1182</v>
      </c>
      <c r="B279">
        <v>100473</v>
      </c>
      <c r="C279" t="s">
        <v>179</v>
      </c>
      <c r="D279" s="3">
        <v>45770</v>
      </c>
      <c r="E279" t="s">
        <v>270</v>
      </c>
      <c r="F279" t="s">
        <v>1183</v>
      </c>
      <c r="G279" t="s">
        <v>15</v>
      </c>
      <c r="H279" t="s">
        <v>1184</v>
      </c>
      <c r="I279" t="s">
        <v>1185</v>
      </c>
      <c r="J279" s="4">
        <v>46082.331342939811</v>
      </c>
    </row>
    <row r="280" spans="1:11" x14ac:dyDescent="0.55000000000000004">
      <c r="A280" t="s">
        <v>1186</v>
      </c>
      <c r="B280">
        <v>100419</v>
      </c>
      <c r="C280" t="s">
        <v>248</v>
      </c>
      <c r="D280" s="3">
        <v>45893</v>
      </c>
      <c r="E280" t="s">
        <v>49</v>
      </c>
      <c r="F280" t="s">
        <v>1187</v>
      </c>
      <c r="G280" t="s">
        <v>22</v>
      </c>
      <c r="H280" t="s">
        <v>1188</v>
      </c>
      <c r="I280" t="s">
        <v>1189</v>
      </c>
      <c r="J280" s="4">
        <v>46069.359815162039</v>
      </c>
    </row>
    <row r="281" spans="1:11" x14ac:dyDescent="0.55000000000000004">
      <c r="A281" t="s">
        <v>1190</v>
      </c>
      <c r="B281">
        <v>100591</v>
      </c>
      <c r="C281" t="s">
        <v>248</v>
      </c>
      <c r="D281" s="3">
        <v>45770</v>
      </c>
      <c r="E281" t="s">
        <v>115</v>
      </c>
      <c r="F281" t="s">
        <v>1191</v>
      </c>
      <c r="G281" t="s">
        <v>15</v>
      </c>
      <c r="H281" t="s">
        <v>1192</v>
      </c>
      <c r="I281" t="s">
        <v>1193</v>
      </c>
      <c r="J281" s="4">
        <v>46088.595926273149</v>
      </c>
    </row>
    <row r="282" spans="1:11" x14ac:dyDescent="0.55000000000000004">
      <c r="A282" t="s">
        <v>1194</v>
      </c>
      <c r="B282">
        <v>101121</v>
      </c>
      <c r="C282" t="s">
        <v>533</v>
      </c>
      <c r="D282" s="3">
        <v>45962</v>
      </c>
      <c r="E282" t="s">
        <v>58</v>
      </c>
      <c r="F282" t="s">
        <v>1195</v>
      </c>
      <c r="G282" t="s">
        <v>15</v>
      </c>
      <c r="H282" t="s">
        <v>1196</v>
      </c>
      <c r="I282" t="s">
        <v>1197</v>
      </c>
      <c r="J282" s="4">
        <v>46063.236898506948</v>
      </c>
      <c r="K282" t="s">
        <v>139</v>
      </c>
    </row>
    <row r="283" spans="1:11" x14ac:dyDescent="0.55000000000000004">
      <c r="A283" t="s">
        <v>1198</v>
      </c>
      <c r="B283">
        <v>100413</v>
      </c>
      <c r="C283" t="s">
        <v>248</v>
      </c>
      <c r="D283" s="3">
        <v>45963</v>
      </c>
      <c r="E283" t="s">
        <v>58</v>
      </c>
      <c r="F283" t="s">
        <v>1199</v>
      </c>
      <c r="G283" t="s">
        <v>15</v>
      </c>
      <c r="H283" t="s">
        <v>1200</v>
      </c>
      <c r="I283" t="s">
        <v>1201</v>
      </c>
      <c r="J283" s="4">
        <v>46092.522315173614</v>
      </c>
    </row>
    <row r="284" spans="1:11" x14ac:dyDescent="0.55000000000000004">
      <c r="A284" t="s">
        <v>1202</v>
      </c>
      <c r="B284">
        <v>100872</v>
      </c>
      <c r="C284" t="s">
        <v>68</v>
      </c>
      <c r="D284" s="3">
        <v>46155</v>
      </c>
      <c r="E284" t="s">
        <v>184</v>
      </c>
      <c r="F284" t="s">
        <v>1203</v>
      </c>
      <c r="G284" t="s">
        <v>15</v>
      </c>
      <c r="H284" t="s">
        <v>1204</v>
      </c>
      <c r="I284" t="s">
        <v>1205</v>
      </c>
      <c r="J284" s="4">
        <v>46077.535509618057</v>
      </c>
    </row>
    <row r="285" spans="1:11" x14ac:dyDescent="0.55000000000000004">
      <c r="A285" t="s">
        <v>1206</v>
      </c>
      <c r="B285">
        <v>100739</v>
      </c>
      <c r="C285" t="s">
        <v>37</v>
      </c>
      <c r="D285" s="3">
        <v>46096</v>
      </c>
      <c r="E285" t="s">
        <v>20</v>
      </c>
      <c r="F285" t="s">
        <v>1207</v>
      </c>
      <c r="G285" t="s">
        <v>22</v>
      </c>
      <c r="H285" t="s">
        <v>1208</v>
      </c>
      <c r="I285" t="s">
        <v>1209</v>
      </c>
      <c r="J285" s="4">
        <v>46065.67648185185</v>
      </c>
    </row>
    <row r="286" spans="1:11" x14ac:dyDescent="0.55000000000000004">
      <c r="A286" t="s">
        <v>1210</v>
      </c>
      <c r="B286">
        <v>100948</v>
      </c>
      <c r="C286" t="s">
        <v>68</v>
      </c>
      <c r="D286" s="3">
        <v>45865</v>
      </c>
      <c r="E286" t="s">
        <v>155</v>
      </c>
      <c r="F286" t="s">
        <v>1211</v>
      </c>
      <c r="G286" t="s">
        <v>22</v>
      </c>
      <c r="H286" t="s">
        <v>1212</v>
      </c>
      <c r="I286" t="s">
        <v>1213</v>
      </c>
      <c r="J286" s="4">
        <v>46068.955648518517</v>
      </c>
    </row>
    <row r="287" spans="1:11" x14ac:dyDescent="0.55000000000000004">
      <c r="A287" t="s">
        <v>1214</v>
      </c>
      <c r="B287">
        <v>100653</v>
      </c>
      <c r="C287" t="s">
        <v>19</v>
      </c>
      <c r="D287" s="3">
        <v>45859</v>
      </c>
      <c r="E287" t="s">
        <v>69</v>
      </c>
      <c r="F287" t="s">
        <v>1215</v>
      </c>
      <c r="G287" t="s">
        <v>15</v>
      </c>
      <c r="H287" t="s">
        <v>1216</v>
      </c>
      <c r="I287" t="s">
        <v>1217</v>
      </c>
      <c r="J287" s="4">
        <v>46089.573704085647</v>
      </c>
    </row>
    <row r="288" spans="1:11" x14ac:dyDescent="0.55000000000000004">
      <c r="A288" t="s">
        <v>1218</v>
      </c>
      <c r="B288">
        <v>100128</v>
      </c>
      <c r="C288" t="s">
        <v>37</v>
      </c>
      <c r="D288" s="3">
        <v>45763</v>
      </c>
      <c r="E288" t="s">
        <v>115</v>
      </c>
      <c r="F288" t="s">
        <v>1219</v>
      </c>
      <c r="G288" t="s">
        <v>15</v>
      </c>
      <c r="H288" t="s">
        <v>1220</v>
      </c>
      <c r="I288" t="s">
        <v>1221</v>
      </c>
      <c r="J288" s="4">
        <v>46072.216759641204</v>
      </c>
    </row>
    <row r="289" spans="1:11" x14ac:dyDescent="0.55000000000000004">
      <c r="A289" t="s">
        <v>1222</v>
      </c>
      <c r="B289">
        <v>100690</v>
      </c>
      <c r="C289" t="s">
        <v>37</v>
      </c>
      <c r="D289" s="3">
        <v>46030</v>
      </c>
      <c r="E289" t="s">
        <v>343</v>
      </c>
      <c r="F289" t="s">
        <v>1223</v>
      </c>
      <c r="G289" t="s">
        <v>15</v>
      </c>
      <c r="H289" t="s">
        <v>1224</v>
      </c>
      <c r="I289" t="s">
        <v>1225</v>
      </c>
      <c r="J289" s="4">
        <v>46084.827870752313</v>
      </c>
    </row>
    <row r="290" spans="1:11" x14ac:dyDescent="0.55000000000000004">
      <c r="A290" t="s">
        <v>1226</v>
      </c>
      <c r="B290">
        <v>101097</v>
      </c>
      <c r="C290" t="s">
        <v>179</v>
      </c>
      <c r="D290" s="3">
        <v>46146</v>
      </c>
      <c r="E290" t="s">
        <v>155</v>
      </c>
      <c r="F290" t="s">
        <v>1227</v>
      </c>
      <c r="G290" t="s">
        <v>22</v>
      </c>
      <c r="H290" t="s">
        <v>1228</v>
      </c>
      <c r="I290" t="s">
        <v>1229</v>
      </c>
      <c r="J290" s="4">
        <v>46090.68550965278</v>
      </c>
    </row>
    <row r="291" spans="1:11" x14ac:dyDescent="0.55000000000000004">
      <c r="A291" t="s">
        <v>1230</v>
      </c>
      <c r="B291">
        <v>100394</v>
      </c>
      <c r="C291" t="s">
        <v>179</v>
      </c>
      <c r="D291" s="3">
        <v>45757</v>
      </c>
      <c r="E291" t="s">
        <v>38</v>
      </c>
      <c r="F291" t="s">
        <v>1231</v>
      </c>
      <c r="G291" t="s">
        <v>22</v>
      </c>
      <c r="H291" t="s">
        <v>1232</v>
      </c>
      <c r="I291" t="s">
        <v>1233</v>
      </c>
      <c r="J291" s="4">
        <v>46072.040370763891</v>
      </c>
    </row>
    <row r="292" spans="1:11" x14ac:dyDescent="0.55000000000000004">
      <c r="A292" t="s">
        <v>6026</v>
      </c>
      <c r="B292">
        <v>101400</v>
      </c>
      <c r="C292" t="s">
        <v>37</v>
      </c>
      <c r="D292" s="3">
        <v>45927</v>
      </c>
      <c r="E292" t="s">
        <v>208</v>
      </c>
      <c r="F292" t="s">
        <v>1235</v>
      </c>
      <c r="G292" t="s">
        <v>15</v>
      </c>
      <c r="H292" t="s">
        <v>1236</v>
      </c>
      <c r="I292" t="s">
        <v>1237</v>
      </c>
      <c r="J292" s="4">
        <v>46086.3549541088</v>
      </c>
      <c r="K292" t="s">
        <v>119</v>
      </c>
    </row>
    <row r="293" spans="1:11" x14ac:dyDescent="0.55000000000000004">
      <c r="A293" t="s">
        <v>1238</v>
      </c>
      <c r="B293">
        <v>100037</v>
      </c>
      <c r="C293" t="s">
        <v>248</v>
      </c>
      <c r="D293" s="3">
        <v>45960</v>
      </c>
      <c r="E293" t="s">
        <v>155</v>
      </c>
      <c r="F293" t="s">
        <v>1239</v>
      </c>
      <c r="G293" t="s">
        <v>15</v>
      </c>
      <c r="H293" t="s">
        <v>1240</v>
      </c>
      <c r="I293" t="s">
        <v>1241</v>
      </c>
      <c r="J293" s="4">
        <v>46056.326481886572</v>
      </c>
    </row>
    <row r="294" spans="1:11" x14ac:dyDescent="0.55000000000000004">
      <c r="A294" t="s">
        <v>1242</v>
      </c>
      <c r="B294">
        <v>100080</v>
      </c>
      <c r="C294" t="s">
        <v>19</v>
      </c>
      <c r="D294" s="3">
        <v>45942</v>
      </c>
      <c r="E294" t="s">
        <v>270</v>
      </c>
      <c r="F294" t="s">
        <v>1243</v>
      </c>
      <c r="G294" t="s">
        <v>22</v>
      </c>
      <c r="H294" t="s">
        <v>1244</v>
      </c>
      <c r="I294" t="s">
        <v>1245</v>
      </c>
      <c r="J294" s="4">
        <v>46073.550787442131</v>
      </c>
    </row>
    <row r="295" spans="1:11" x14ac:dyDescent="0.55000000000000004">
      <c r="A295" t="s">
        <v>1246</v>
      </c>
      <c r="B295">
        <v>100839</v>
      </c>
      <c r="C295" t="s">
        <v>179</v>
      </c>
      <c r="D295" s="3">
        <v>45834</v>
      </c>
      <c r="E295" t="s">
        <v>528</v>
      </c>
      <c r="F295" t="s">
        <v>1247</v>
      </c>
      <c r="G295" t="s">
        <v>22</v>
      </c>
      <c r="H295" t="s">
        <v>1248</v>
      </c>
      <c r="I295" t="s">
        <v>1249</v>
      </c>
      <c r="J295" s="4">
        <v>46052.235509675927</v>
      </c>
    </row>
    <row r="296" spans="1:11" x14ac:dyDescent="0.55000000000000004">
      <c r="A296" t="s">
        <v>1250</v>
      </c>
      <c r="B296">
        <v>100372</v>
      </c>
      <c r="D296" s="3">
        <v>46010</v>
      </c>
      <c r="E296" t="s">
        <v>467</v>
      </c>
      <c r="F296" t="s">
        <v>1251</v>
      </c>
      <c r="G296" t="s">
        <v>22</v>
      </c>
      <c r="H296" t="s">
        <v>1252</v>
      </c>
      <c r="I296" t="s">
        <v>1253</v>
      </c>
      <c r="J296" s="4">
        <v>46073.361898564814</v>
      </c>
      <c r="K296" t="s">
        <v>217</v>
      </c>
    </row>
    <row r="297" spans="1:11" x14ac:dyDescent="0.55000000000000004">
      <c r="A297" t="s">
        <v>1254</v>
      </c>
      <c r="B297">
        <v>100238</v>
      </c>
      <c r="C297" t="s">
        <v>533</v>
      </c>
      <c r="D297" s="3">
        <v>45745</v>
      </c>
      <c r="E297" t="s">
        <v>409</v>
      </c>
      <c r="F297" t="s">
        <v>1255</v>
      </c>
      <c r="G297" t="s">
        <v>15</v>
      </c>
      <c r="H297" t="s">
        <v>1256</v>
      </c>
      <c r="I297" t="s">
        <v>1257</v>
      </c>
      <c r="J297" s="4">
        <v>46080.663287453703</v>
      </c>
    </row>
    <row r="298" spans="1:11" x14ac:dyDescent="0.55000000000000004">
      <c r="A298" t="s">
        <v>1258</v>
      </c>
      <c r="B298">
        <v>101215</v>
      </c>
      <c r="C298" t="s">
        <v>19</v>
      </c>
      <c r="D298" s="3">
        <v>46003</v>
      </c>
      <c r="E298" t="s">
        <v>409</v>
      </c>
      <c r="F298" t="s">
        <v>1259</v>
      </c>
      <c r="G298" t="s">
        <v>15</v>
      </c>
      <c r="H298" t="s">
        <v>1260</v>
      </c>
      <c r="I298" t="s">
        <v>1261</v>
      </c>
      <c r="J298" s="4">
        <v>46091.393843020836</v>
      </c>
    </row>
    <row r="299" spans="1:11" x14ac:dyDescent="0.55000000000000004">
      <c r="A299" t="s">
        <v>6027</v>
      </c>
      <c r="B299">
        <v>101145</v>
      </c>
      <c r="C299" t="s">
        <v>248</v>
      </c>
      <c r="D299" s="3">
        <v>45868</v>
      </c>
      <c r="E299" t="s">
        <v>108</v>
      </c>
      <c r="F299" t="s">
        <v>1263</v>
      </c>
      <c r="G299" t="s">
        <v>22</v>
      </c>
      <c r="H299" t="s">
        <v>1264</v>
      </c>
      <c r="I299" t="s">
        <v>1265</v>
      </c>
      <c r="J299" s="4">
        <v>46075.499398576387</v>
      </c>
      <c r="K299" t="s">
        <v>119</v>
      </c>
    </row>
    <row r="300" spans="1:11" x14ac:dyDescent="0.55000000000000004">
      <c r="A300" t="s">
        <v>1266</v>
      </c>
      <c r="B300">
        <v>100235</v>
      </c>
      <c r="C300" t="s">
        <v>533</v>
      </c>
      <c r="D300" s="3">
        <v>45853</v>
      </c>
      <c r="E300" t="s">
        <v>13</v>
      </c>
      <c r="F300" t="s">
        <v>1267</v>
      </c>
      <c r="G300" t="s">
        <v>22</v>
      </c>
      <c r="H300" t="s">
        <v>1268</v>
      </c>
      <c r="I300" t="s">
        <v>1269</v>
      </c>
      <c r="J300" s="4">
        <v>46060.944537476855</v>
      </c>
    </row>
    <row r="301" spans="1:11" x14ac:dyDescent="0.55000000000000004">
      <c r="A301" t="s">
        <v>1270</v>
      </c>
      <c r="B301">
        <v>101184</v>
      </c>
      <c r="C301" t="s">
        <v>533</v>
      </c>
      <c r="D301" s="3">
        <v>46020</v>
      </c>
      <c r="E301" t="s">
        <v>69</v>
      </c>
      <c r="F301" t="s">
        <v>1271</v>
      </c>
      <c r="G301" t="s">
        <v>22</v>
      </c>
      <c r="H301" t="s">
        <v>1272</v>
      </c>
      <c r="I301" t="s">
        <v>1273</v>
      </c>
      <c r="J301" s="4">
        <v>46086.048704143519</v>
      </c>
    </row>
    <row r="302" spans="1:11" x14ac:dyDescent="0.55000000000000004">
      <c r="A302" t="s">
        <v>1274</v>
      </c>
      <c r="B302">
        <v>101012</v>
      </c>
      <c r="C302" t="s">
        <v>37</v>
      </c>
      <c r="D302" s="3">
        <v>45778</v>
      </c>
      <c r="E302" t="s">
        <v>115</v>
      </c>
      <c r="F302" t="s">
        <v>1275</v>
      </c>
      <c r="G302" t="s">
        <v>15</v>
      </c>
      <c r="H302" t="s">
        <v>1276</v>
      </c>
      <c r="I302" t="s">
        <v>1277</v>
      </c>
      <c r="J302" s="4">
        <v>46095.99731525463</v>
      </c>
    </row>
    <row r="303" spans="1:11" x14ac:dyDescent="0.55000000000000004">
      <c r="A303" t="s">
        <v>1278</v>
      </c>
      <c r="B303">
        <v>101387</v>
      </c>
      <c r="C303" t="s">
        <v>19</v>
      </c>
      <c r="D303" s="3">
        <v>45732</v>
      </c>
      <c r="E303" t="s">
        <v>409</v>
      </c>
      <c r="F303" t="s">
        <v>1279</v>
      </c>
      <c r="G303" t="s">
        <v>15</v>
      </c>
      <c r="H303" t="s">
        <v>1280</v>
      </c>
      <c r="I303" t="s">
        <v>1281</v>
      </c>
      <c r="J303" s="4">
        <v>46076.49384304398</v>
      </c>
    </row>
    <row r="304" spans="1:11" x14ac:dyDescent="0.55000000000000004">
      <c r="A304" t="s">
        <v>1282</v>
      </c>
      <c r="B304">
        <v>100791</v>
      </c>
      <c r="C304" t="s">
        <v>68</v>
      </c>
      <c r="D304" s="3">
        <v>45762</v>
      </c>
      <c r="E304" t="s">
        <v>115</v>
      </c>
      <c r="F304" t="s">
        <v>1283</v>
      </c>
      <c r="G304" t="s">
        <v>15</v>
      </c>
      <c r="H304" t="s">
        <v>1284</v>
      </c>
      <c r="I304" t="s">
        <v>1285</v>
      </c>
      <c r="J304" s="4">
        <v>46089.998009710645</v>
      </c>
    </row>
    <row r="305" spans="1:10" x14ac:dyDescent="0.55000000000000004">
      <c r="A305" t="s">
        <v>1286</v>
      </c>
      <c r="B305">
        <v>100564</v>
      </c>
      <c r="C305" t="s">
        <v>68</v>
      </c>
      <c r="D305" s="3">
        <v>45769</v>
      </c>
      <c r="E305" t="s">
        <v>757</v>
      </c>
      <c r="F305" t="s">
        <v>1287</v>
      </c>
      <c r="G305" t="s">
        <v>15</v>
      </c>
      <c r="H305" t="s">
        <v>1288</v>
      </c>
      <c r="I305" t="s">
        <v>1289</v>
      </c>
      <c r="J305" s="4">
        <v>46076.31675972222</v>
      </c>
    </row>
    <row r="306" spans="1:10" x14ac:dyDescent="0.55000000000000004">
      <c r="A306" t="s">
        <v>1290</v>
      </c>
      <c r="B306">
        <v>100759</v>
      </c>
      <c r="C306" t="s">
        <v>68</v>
      </c>
      <c r="D306" s="3">
        <v>45801</v>
      </c>
      <c r="E306" t="s">
        <v>317</v>
      </c>
      <c r="F306" t="s">
        <v>1291</v>
      </c>
      <c r="G306" t="s">
        <v>22</v>
      </c>
      <c r="H306" t="s">
        <v>1292</v>
      </c>
      <c r="I306" t="s">
        <v>1293</v>
      </c>
      <c r="J306" s="4">
        <v>46057.053565277776</v>
      </c>
    </row>
    <row r="307" spans="1:10" x14ac:dyDescent="0.55000000000000004">
      <c r="A307" t="s">
        <v>1294</v>
      </c>
      <c r="B307">
        <v>101165</v>
      </c>
      <c r="C307" t="s">
        <v>68</v>
      </c>
      <c r="D307" s="3">
        <v>45821</v>
      </c>
      <c r="E307" t="s">
        <v>126</v>
      </c>
      <c r="F307" t="s">
        <v>1295</v>
      </c>
      <c r="G307" t="s">
        <v>15</v>
      </c>
      <c r="H307" t="s">
        <v>1296</v>
      </c>
      <c r="I307" t="s">
        <v>1297</v>
      </c>
      <c r="J307" s="4">
        <v>46054.908426388887</v>
      </c>
    </row>
    <row r="308" spans="1:10" x14ac:dyDescent="0.55000000000000004">
      <c r="A308" t="s">
        <v>1298</v>
      </c>
      <c r="B308">
        <v>101237</v>
      </c>
      <c r="C308" t="s">
        <v>533</v>
      </c>
      <c r="D308" s="3">
        <v>45925</v>
      </c>
      <c r="E308" t="s">
        <v>49</v>
      </c>
      <c r="F308" t="s">
        <v>1299</v>
      </c>
      <c r="G308" t="s">
        <v>15</v>
      </c>
      <c r="H308" t="s">
        <v>1300</v>
      </c>
      <c r="I308" t="s">
        <v>1301</v>
      </c>
      <c r="J308" s="4">
        <v>46086.743843067132</v>
      </c>
    </row>
    <row r="309" spans="1:10" x14ac:dyDescent="0.55000000000000004">
      <c r="A309" t="s">
        <v>1302</v>
      </c>
      <c r="B309">
        <v>101147</v>
      </c>
      <c r="C309" t="s">
        <v>19</v>
      </c>
      <c r="D309" s="3">
        <v>45932</v>
      </c>
      <c r="E309" t="s">
        <v>199</v>
      </c>
      <c r="F309" t="s">
        <v>1303</v>
      </c>
      <c r="G309" t="s">
        <v>15</v>
      </c>
      <c r="H309" t="s">
        <v>1304</v>
      </c>
      <c r="I309" t="s">
        <v>1305</v>
      </c>
      <c r="J309" s="4">
        <v>46056.941759733796</v>
      </c>
    </row>
    <row r="310" spans="1:10" x14ac:dyDescent="0.55000000000000004">
      <c r="A310" t="s">
        <v>1306</v>
      </c>
      <c r="B310">
        <v>100089</v>
      </c>
      <c r="C310" t="s">
        <v>533</v>
      </c>
      <c r="D310" s="3">
        <v>45986</v>
      </c>
      <c r="E310" t="s">
        <v>20</v>
      </c>
      <c r="F310" t="s">
        <v>1307</v>
      </c>
      <c r="G310" t="s">
        <v>15</v>
      </c>
      <c r="H310" t="s">
        <v>1308</v>
      </c>
      <c r="I310" t="s">
        <v>1309</v>
      </c>
      <c r="J310" s="4">
        <v>46082.252870856479</v>
      </c>
    </row>
    <row r="311" spans="1:10" x14ac:dyDescent="0.55000000000000004">
      <c r="A311" t="s">
        <v>1310</v>
      </c>
      <c r="B311">
        <v>101370</v>
      </c>
      <c r="C311" t="s">
        <v>68</v>
      </c>
      <c r="D311" s="3">
        <v>45817</v>
      </c>
      <c r="E311" t="s">
        <v>83</v>
      </c>
      <c r="F311" t="s">
        <v>81</v>
      </c>
      <c r="G311" t="s">
        <v>15</v>
      </c>
      <c r="H311" t="s">
        <v>1311</v>
      </c>
      <c r="I311" t="s">
        <v>1312</v>
      </c>
      <c r="J311" s="4">
        <v>46081.448009745371</v>
      </c>
    </row>
    <row r="312" spans="1:10" x14ac:dyDescent="0.55000000000000004">
      <c r="A312" t="s">
        <v>1313</v>
      </c>
      <c r="B312">
        <v>100092</v>
      </c>
      <c r="C312" t="s">
        <v>248</v>
      </c>
      <c r="D312" s="3">
        <v>46086</v>
      </c>
      <c r="E312" t="s">
        <v>20</v>
      </c>
      <c r="F312" t="s">
        <v>1314</v>
      </c>
      <c r="G312" t="s">
        <v>22</v>
      </c>
      <c r="H312" t="s">
        <v>1315</v>
      </c>
      <c r="I312" t="s">
        <v>1316</v>
      </c>
      <c r="J312" s="4">
        <v>46091.744537523147</v>
      </c>
    </row>
    <row r="313" spans="1:10" x14ac:dyDescent="0.55000000000000004">
      <c r="A313" t="s">
        <v>1317</v>
      </c>
      <c r="B313">
        <v>100560</v>
      </c>
      <c r="C313" t="s">
        <v>37</v>
      </c>
      <c r="D313" s="3">
        <v>45929</v>
      </c>
      <c r="E313" t="s">
        <v>757</v>
      </c>
      <c r="F313" t="s">
        <v>1318</v>
      </c>
      <c r="G313" t="s">
        <v>15</v>
      </c>
      <c r="H313" t="s">
        <v>1319</v>
      </c>
      <c r="I313" t="s">
        <v>1320</v>
      </c>
      <c r="J313" s="4">
        <v>46071.045231979166</v>
      </c>
    </row>
    <row r="314" spans="1:10" x14ac:dyDescent="0.55000000000000004">
      <c r="A314" t="s">
        <v>338</v>
      </c>
      <c r="B314">
        <v>101188</v>
      </c>
      <c r="C314" t="s">
        <v>179</v>
      </c>
      <c r="D314" s="3">
        <v>45911</v>
      </c>
      <c r="E314" t="s">
        <v>243</v>
      </c>
      <c r="F314" t="s">
        <v>1321</v>
      </c>
      <c r="G314" t="s">
        <v>15</v>
      </c>
      <c r="H314" t="s">
        <v>1322</v>
      </c>
      <c r="I314" t="s">
        <v>1323</v>
      </c>
      <c r="J314" s="4">
        <v>46087.104259756947</v>
      </c>
    </row>
    <row r="315" spans="1:10" x14ac:dyDescent="0.55000000000000004">
      <c r="A315" t="s">
        <v>1324</v>
      </c>
      <c r="B315">
        <v>101154</v>
      </c>
      <c r="C315" t="s">
        <v>37</v>
      </c>
      <c r="D315" s="3">
        <v>46141</v>
      </c>
      <c r="E315" t="s">
        <v>20</v>
      </c>
      <c r="F315" t="s">
        <v>1325</v>
      </c>
      <c r="G315" t="s">
        <v>15</v>
      </c>
      <c r="H315" t="s">
        <v>1326</v>
      </c>
      <c r="I315" t="s">
        <v>1327</v>
      </c>
      <c r="J315" s="4">
        <v>46077.375093090275</v>
      </c>
    </row>
    <row r="316" spans="1:10" x14ac:dyDescent="0.55000000000000004">
      <c r="A316" t="s">
        <v>1328</v>
      </c>
      <c r="B316">
        <v>100125</v>
      </c>
      <c r="C316" t="s">
        <v>533</v>
      </c>
      <c r="D316" s="3">
        <v>45769</v>
      </c>
      <c r="E316" t="s">
        <v>418</v>
      </c>
      <c r="F316" t="s">
        <v>1329</v>
      </c>
      <c r="G316" t="s">
        <v>15</v>
      </c>
      <c r="H316" t="s">
        <v>1330</v>
      </c>
      <c r="I316" t="s">
        <v>1331</v>
      </c>
      <c r="J316" s="4">
        <v>46092.968148657405</v>
      </c>
    </row>
    <row r="317" spans="1:10" x14ac:dyDescent="0.55000000000000004">
      <c r="A317" t="s">
        <v>1332</v>
      </c>
      <c r="B317">
        <v>100660</v>
      </c>
      <c r="C317" t="s">
        <v>37</v>
      </c>
      <c r="D317" s="3">
        <v>45905</v>
      </c>
      <c r="E317" t="s">
        <v>270</v>
      </c>
      <c r="F317" t="s">
        <v>1333</v>
      </c>
      <c r="G317" t="s">
        <v>22</v>
      </c>
      <c r="H317" t="s">
        <v>1334</v>
      </c>
      <c r="I317" t="s">
        <v>1335</v>
      </c>
      <c r="J317" s="4">
        <v>46056.511898657409</v>
      </c>
    </row>
    <row r="318" spans="1:10" x14ac:dyDescent="0.55000000000000004">
      <c r="A318" t="s">
        <v>1336</v>
      </c>
      <c r="B318">
        <v>100220</v>
      </c>
      <c r="C318" t="s">
        <v>19</v>
      </c>
      <c r="D318" s="3">
        <v>45954</v>
      </c>
      <c r="E318" t="s">
        <v>155</v>
      </c>
      <c r="F318" t="s">
        <v>1337</v>
      </c>
      <c r="G318" t="s">
        <v>15</v>
      </c>
      <c r="H318" t="s">
        <v>1338</v>
      </c>
      <c r="I318" t="s">
        <v>1339</v>
      </c>
      <c r="J318" s="4">
        <v>46076.45425978009</v>
      </c>
    </row>
    <row r="319" spans="1:10" x14ac:dyDescent="0.55000000000000004">
      <c r="A319" t="s">
        <v>1340</v>
      </c>
      <c r="B319">
        <v>101324</v>
      </c>
      <c r="C319" t="s">
        <v>248</v>
      </c>
      <c r="D319" s="3">
        <v>45941</v>
      </c>
      <c r="E319" t="s">
        <v>126</v>
      </c>
      <c r="F319" t="s">
        <v>1341</v>
      </c>
      <c r="G319" t="s">
        <v>22</v>
      </c>
      <c r="H319" t="s">
        <v>1342</v>
      </c>
      <c r="I319" t="s">
        <v>1343</v>
      </c>
      <c r="J319" s="4">
        <v>46078.40842644676</v>
      </c>
    </row>
    <row r="320" spans="1:10" x14ac:dyDescent="0.55000000000000004">
      <c r="A320" t="s">
        <v>1344</v>
      </c>
      <c r="B320">
        <v>100628</v>
      </c>
      <c r="C320" t="s">
        <v>533</v>
      </c>
      <c r="D320" s="3">
        <v>45757</v>
      </c>
      <c r="E320" t="s">
        <v>27</v>
      </c>
      <c r="F320" t="s">
        <v>1345</v>
      </c>
      <c r="G320" t="s">
        <v>22</v>
      </c>
      <c r="H320" t="s">
        <v>1346</v>
      </c>
      <c r="I320" t="s">
        <v>1347</v>
      </c>
      <c r="J320" s="4">
        <v>46088.668843113424</v>
      </c>
    </row>
    <row r="321" spans="1:11" x14ac:dyDescent="0.55000000000000004">
      <c r="A321" t="s">
        <v>1348</v>
      </c>
      <c r="B321">
        <v>100345</v>
      </c>
      <c r="C321" t="s">
        <v>68</v>
      </c>
      <c r="D321" s="3">
        <v>45733</v>
      </c>
      <c r="E321" t="s">
        <v>295</v>
      </c>
      <c r="F321" t="s">
        <v>1349</v>
      </c>
      <c r="G321" t="s">
        <v>22</v>
      </c>
      <c r="H321" t="s">
        <v>1350</v>
      </c>
      <c r="I321" t="s">
        <v>1351</v>
      </c>
      <c r="J321" s="4">
        <v>46085.608426458333</v>
      </c>
      <c r="K321" t="s">
        <v>139</v>
      </c>
    </row>
    <row r="322" spans="1:11" x14ac:dyDescent="0.55000000000000004">
      <c r="A322" t="s">
        <v>1352</v>
      </c>
      <c r="C322" t="s">
        <v>37</v>
      </c>
      <c r="D322" s="3">
        <v>45837</v>
      </c>
      <c r="E322" t="s">
        <v>317</v>
      </c>
      <c r="F322" t="s">
        <v>1353</v>
      </c>
      <c r="G322" t="s">
        <v>22</v>
      </c>
      <c r="H322" t="s">
        <v>1354</v>
      </c>
      <c r="I322" t="s">
        <v>1355</v>
      </c>
      <c r="J322" s="4">
        <v>46092.073009791668</v>
      </c>
      <c r="K322" t="s">
        <v>112</v>
      </c>
    </row>
    <row r="323" spans="1:11" x14ac:dyDescent="0.55000000000000004">
      <c r="A323" t="s">
        <v>1356</v>
      </c>
      <c r="B323">
        <v>100166</v>
      </c>
      <c r="C323" t="s">
        <v>533</v>
      </c>
      <c r="D323" s="3">
        <v>45889</v>
      </c>
      <c r="E323" t="s">
        <v>757</v>
      </c>
      <c r="F323" t="s">
        <v>1357</v>
      </c>
      <c r="G323" t="s">
        <v>22</v>
      </c>
      <c r="H323" t="s">
        <v>1358</v>
      </c>
      <c r="I323" t="s">
        <v>1359</v>
      </c>
      <c r="J323" s="4">
        <v>46091.833426469908</v>
      </c>
    </row>
    <row r="324" spans="1:11" x14ac:dyDescent="0.55000000000000004">
      <c r="A324" t="s">
        <v>1360</v>
      </c>
      <c r="B324">
        <v>101353</v>
      </c>
      <c r="C324" t="s">
        <v>19</v>
      </c>
      <c r="D324" s="3">
        <v>45930</v>
      </c>
      <c r="E324" t="s">
        <v>20</v>
      </c>
      <c r="F324" t="s">
        <v>1361</v>
      </c>
      <c r="G324" t="s">
        <v>22</v>
      </c>
      <c r="H324" t="s">
        <v>1362</v>
      </c>
      <c r="I324" t="s">
        <v>1363</v>
      </c>
      <c r="J324" s="4">
        <v>46074.48064869213</v>
      </c>
    </row>
    <row r="325" spans="1:11" x14ac:dyDescent="0.55000000000000004">
      <c r="A325" t="s">
        <v>1364</v>
      </c>
      <c r="B325">
        <v>100911</v>
      </c>
      <c r="C325" t="s">
        <v>179</v>
      </c>
      <c r="D325" s="3">
        <v>45754</v>
      </c>
      <c r="E325" t="s">
        <v>757</v>
      </c>
      <c r="F325" t="s">
        <v>1365</v>
      </c>
      <c r="G325" t="s">
        <v>22</v>
      </c>
      <c r="H325" t="s">
        <v>1366</v>
      </c>
      <c r="I325" t="s">
        <v>1367</v>
      </c>
      <c r="J325" s="4">
        <v>46083.363982025461</v>
      </c>
    </row>
    <row r="326" spans="1:11" x14ac:dyDescent="0.55000000000000004">
      <c r="A326" t="s">
        <v>1368</v>
      </c>
      <c r="B326">
        <v>100153</v>
      </c>
      <c r="C326" t="s">
        <v>19</v>
      </c>
      <c r="D326" s="3">
        <v>45763</v>
      </c>
      <c r="E326" t="s">
        <v>317</v>
      </c>
      <c r="F326" t="s">
        <v>1369</v>
      </c>
      <c r="G326" t="s">
        <v>15</v>
      </c>
      <c r="H326" t="s">
        <v>1370</v>
      </c>
      <c r="I326" t="s">
        <v>1371</v>
      </c>
      <c r="J326" s="4">
        <v>46091.795926481478</v>
      </c>
    </row>
    <row r="327" spans="1:11" x14ac:dyDescent="0.55000000000000004">
      <c r="A327" t="s">
        <v>1372</v>
      </c>
      <c r="B327">
        <v>100831</v>
      </c>
      <c r="C327" t="s">
        <v>68</v>
      </c>
      <c r="D327" s="3">
        <v>46145</v>
      </c>
      <c r="E327" t="s">
        <v>43</v>
      </c>
      <c r="F327" t="s">
        <v>1373</v>
      </c>
      <c r="G327" t="s">
        <v>15</v>
      </c>
      <c r="H327" t="s">
        <v>1374</v>
      </c>
      <c r="I327" t="s">
        <v>1375</v>
      </c>
      <c r="J327" s="4">
        <v>46073.002870925928</v>
      </c>
    </row>
    <row r="328" spans="1:11" x14ac:dyDescent="0.55000000000000004">
      <c r="A328" t="s">
        <v>1376</v>
      </c>
      <c r="B328">
        <v>100227</v>
      </c>
      <c r="C328" t="s">
        <v>179</v>
      </c>
      <c r="D328" s="3">
        <v>46006</v>
      </c>
      <c r="E328" t="s">
        <v>43</v>
      </c>
      <c r="F328" t="s">
        <v>1377</v>
      </c>
      <c r="G328" t="s">
        <v>22</v>
      </c>
      <c r="H328" t="s">
        <v>1378</v>
      </c>
      <c r="I328" t="s">
        <v>1379</v>
      </c>
      <c r="J328" s="4">
        <v>46078.634120925926</v>
      </c>
    </row>
    <row r="329" spans="1:11" x14ac:dyDescent="0.55000000000000004">
      <c r="A329" t="s">
        <v>1380</v>
      </c>
      <c r="B329">
        <v>101499</v>
      </c>
      <c r="C329" t="s">
        <v>179</v>
      </c>
      <c r="D329" s="3">
        <v>46097</v>
      </c>
      <c r="E329" t="s">
        <v>38</v>
      </c>
      <c r="F329" t="s">
        <v>1381</v>
      </c>
      <c r="G329" t="s">
        <v>15</v>
      </c>
      <c r="H329" t="s">
        <v>1382</v>
      </c>
      <c r="I329" t="s">
        <v>1383</v>
      </c>
      <c r="J329" s="4">
        <v>46090.107732048615</v>
      </c>
    </row>
    <row r="330" spans="1:11" x14ac:dyDescent="0.55000000000000004">
      <c r="A330" t="s">
        <v>1384</v>
      </c>
      <c r="B330">
        <v>100923</v>
      </c>
      <c r="C330" t="s">
        <v>533</v>
      </c>
      <c r="D330" s="3">
        <v>45817</v>
      </c>
      <c r="E330" t="s">
        <v>115</v>
      </c>
      <c r="F330" t="s">
        <v>1385</v>
      </c>
      <c r="G330" t="s">
        <v>15</v>
      </c>
      <c r="H330" t="s">
        <v>1386</v>
      </c>
      <c r="I330" t="s">
        <v>1387</v>
      </c>
      <c r="J330" s="4">
        <v>46095.14384315972</v>
      </c>
    </row>
    <row r="331" spans="1:11" x14ac:dyDescent="0.55000000000000004">
      <c r="A331" t="s">
        <v>1388</v>
      </c>
      <c r="B331">
        <v>101088</v>
      </c>
      <c r="C331" t="s">
        <v>37</v>
      </c>
      <c r="D331" s="3">
        <v>46081</v>
      </c>
      <c r="E331" t="s">
        <v>189</v>
      </c>
      <c r="F331" t="s">
        <v>1389</v>
      </c>
      <c r="G331" t="s">
        <v>22</v>
      </c>
      <c r="H331" t="s">
        <v>1390</v>
      </c>
      <c r="I331" t="s">
        <v>1391</v>
      </c>
      <c r="J331" s="4">
        <v>46077.650787615741</v>
      </c>
    </row>
    <row r="332" spans="1:11" x14ac:dyDescent="0.55000000000000004">
      <c r="A332" t="s">
        <v>1392</v>
      </c>
      <c r="B332">
        <v>101053</v>
      </c>
      <c r="C332" t="s">
        <v>37</v>
      </c>
      <c r="D332" s="3">
        <v>45930</v>
      </c>
      <c r="E332" t="s">
        <v>495</v>
      </c>
      <c r="F332" t="s">
        <v>1393</v>
      </c>
      <c r="G332" t="s">
        <v>22</v>
      </c>
      <c r="H332" t="s">
        <v>1394</v>
      </c>
      <c r="I332" t="s">
        <v>1395</v>
      </c>
      <c r="J332" s="4">
        <v>46064.09453761574</v>
      </c>
    </row>
    <row r="333" spans="1:11" x14ac:dyDescent="0.55000000000000004">
      <c r="A333" t="s">
        <v>1396</v>
      </c>
      <c r="B333">
        <v>100622</v>
      </c>
      <c r="C333" t="s">
        <v>37</v>
      </c>
      <c r="D333" s="3">
        <v>46134</v>
      </c>
      <c r="E333" t="s">
        <v>213</v>
      </c>
      <c r="F333" t="s">
        <v>1397</v>
      </c>
      <c r="G333" t="s">
        <v>15</v>
      </c>
      <c r="H333" t="s">
        <v>1398</v>
      </c>
      <c r="I333" t="s">
        <v>1399</v>
      </c>
      <c r="J333" s="4">
        <v>46071.533426504633</v>
      </c>
    </row>
    <row r="334" spans="1:11" x14ac:dyDescent="0.55000000000000004">
      <c r="A334" t="s">
        <v>1400</v>
      </c>
      <c r="B334">
        <v>100604</v>
      </c>
      <c r="C334" t="s">
        <v>533</v>
      </c>
      <c r="D334" s="3">
        <v>46022</v>
      </c>
      <c r="E334" t="s">
        <v>184</v>
      </c>
      <c r="F334" t="s">
        <v>1401</v>
      </c>
      <c r="G334" t="s">
        <v>15</v>
      </c>
      <c r="H334" t="s">
        <v>1402</v>
      </c>
      <c r="I334" t="s">
        <v>1403</v>
      </c>
      <c r="J334" s="4">
        <v>46078.984815405092</v>
      </c>
    </row>
    <row r="335" spans="1:11" x14ac:dyDescent="0.55000000000000004">
      <c r="A335" t="s">
        <v>1404</v>
      </c>
      <c r="B335">
        <v>100462</v>
      </c>
      <c r="C335" t="s">
        <v>68</v>
      </c>
      <c r="D335" s="3">
        <v>45942</v>
      </c>
      <c r="E335" t="s">
        <v>757</v>
      </c>
      <c r="F335" t="s">
        <v>1405</v>
      </c>
      <c r="G335" t="s">
        <v>22</v>
      </c>
      <c r="H335" t="s">
        <v>1406</v>
      </c>
      <c r="I335" t="s">
        <v>1407</v>
      </c>
      <c r="J335" s="4">
        <v>46095.501482071762</v>
      </c>
    </row>
    <row r="336" spans="1:11" x14ac:dyDescent="0.55000000000000004">
      <c r="A336" t="s">
        <v>1408</v>
      </c>
      <c r="B336">
        <v>100645</v>
      </c>
      <c r="C336" t="s">
        <v>248</v>
      </c>
      <c r="D336" s="3">
        <v>45938</v>
      </c>
      <c r="E336" t="s">
        <v>38</v>
      </c>
      <c r="F336" t="s">
        <v>1409</v>
      </c>
      <c r="G336" t="s">
        <v>22</v>
      </c>
      <c r="H336" t="s">
        <v>1410</v>
      </c>
      <c r="I336" t="s">
        <v>1411</v>
      </c>
      <c r="J336" s="4">
        <v>46095.183426527779</v>
      </c>
    </row>
    <row r="337" spans="1:10" x14ac:dyDescent="0.55000000000000004">
      <c r="A337" t="s">
        <v>1412</v>
      </c>
      <c r="B337">
        <v>101218</v>
      </c>
      <c r="C337" t="s">
        <v>68</v>
      </c>
      <c r="D337" s="3">
        <v>46085</v>
      </c>
      <c r="E337" t="s">
        <v>155</v>
      </c>
      <c r="F337" t="s">
        <v>1413</v>
      </c>
      <c r="G337" t="s">
        <v>22</v>
      </c>
      <c r="H337" t="s">
        <v>1414</v>
      </c>
      <c r="I337" t="s">
        <v>1415</v>
      </c>
      <c r="J337" s="4">
        <v>46080.216759918978</v>
      </c>
    </row>
    <row r="338" spans="1:10" x14ac:dyDescent="0.55000000000000004">
      <c r="A338" t="s">
        <v>1416</v>
      </c>
      <c r="B338">
        <v>101019</v>
      </c>
      <c r="C338" t="s">
        <v>37</v>
      </c>
      <c r="D338" s="3">
        <v>45904</v>
      </c>
      <c r="E338" t="s">
        <v>49</v>
      </c>
      <c r="F338" t="s">
        <v>1417</v>
      </c>
      <c r="G338" t="s">
        <v>22</v>
      </c>
      <c r="H338" t="s">
        <v>1418</v>
      </c>
      <c r="I338" t="s">
        <v>1419</v>
      </c>
      <c r="J338" s="4">
        <v>46052.77231547454</v>
      </c>
    </row>
    <row r="339" spans="1:10" x14ac:dyDescent="0.55000000000000004">
      <c r="A339" t="s">
        <v>1420</v>
      </c>
      <c r="B339">
        <v>101412</v>
      </c>
      <c r="C339" t="s">
        <v>533</v>
      </c>
      <c r="D339" s="3">
        <v>45848</v>
      </c>
      <c r="E339" t="s">
        <v>20</v>
      </c>
      <c r="F339" t="s">
        <v>1421</v>
      </c>
      <c r="G339" t="s">
        <v>22</v>
      </c>
      <c r="H339" t="s">
        <v>1422</v>
      </c>
      <c r="I339" t="s">
        <v>1423</v>
      </c>
      <c r="J339" s="4">
        <v>46077.363287708336</v>
      </c>
    </row>
    <row r="340" spans="1:10" x14ac:dyDescent="0.55000000000000004">
      <c r="A340" t="s">
        <v>1424</v>
      </c>
      <c r="B340">
        <v>101318</v>
      </c>
      <c r="C340" t="s">
        <v>179</v>
      </c>
      <c r="D340" s="3">
        <v>46041</v>
      </c>
      <c r="E340" t="s">
        <v>121</v>
      </c>
      <c r="F340" t="s">
        <v>1425</v>
      </c>
      <c r="G340" t="s">
        <v>15</v>
      </c>
      <c r="H340" t="s">
        <v>1426</v>
      </c>
      <c r="I340" t="s">
        <v>1427</v>
      </c>
      <c r="J340" s="4">
        <v>46071.057037708335</v>
      </c>
    </row>
    <row r="341" spans="1:10" x14ac:dyDescent="0.55000000000000004">
      <c r="A341" t="s">
        <v>1428</v>
      </c>
      <c r="B341">
        <v>100612</v>
      </c>
      <c r="C341" t="s">
        <v>19</v>
      </c>
      <c r="D341" s="3">
        <v>45923</v>
      </c>
      <c r="E341" t="s">
        <v>38</v>
      </c>
      <c r="F341" t="s">
        <v>1429</v>
      </c>
      <c r="G341" t="s">
        <v>15</v>
      </c>
      <c r="H341" t="s">
        <v>1430</v>
      </c>
      <c r="I341" t="s">
        <v>1431</v>
      </c>
      <c r="J341" s="4">
        <v>46093.303565497685</v>
      </c>
    </row>
    <row r="342" spans="1:10" x14ac:dyDescent="0.55000000000000004">
      <c r="A342" t="s">
        <v>1432</v>
      </c>
      <c r="B342">
        <v>101403</v>
      </c>
      <c r="C342" t="s">
        <v>19</v>
      </c>
      <c r="D342" s="3">
        <v>45938</v>
      </c>
      <c r="E342" t="s">
        <v>38</v>
      </c>
      <c r="F342" t="s">
        <v>1433</v>
      </c>
      <c r="G342" t="s">
        <v>15</v>
      </c>
      <c r="H342" t="s">
        <v>1434</v>
      </c>
      <c r="I342" t="s">
        <v>1435</v>
      </c>
      <c r="J342" s="4">
        <v>46086.472315497682</v>
      </c>
    </row>
    <row r="343" spans="1:10" x14ac:dyDescent="0.55000000000000004">
      <c r="A343" t="s">
        <v>1436</v>
      </c>
      <c r="B343">
        <v>100721</v>
      </c>
      <c r="C343" t="s">
        <v>248</v>
      </c>
      <c r="D343" s="3">
        <v>45761</v>
      </c>
      <c r="E343" t="s">
        <v>155</v>
      </c>
      <c r="F343" t="s">
        <v>1437</v>
      </c>
      <c r="G343" t="s">
        <v>22</v>
      </c>
      <c r="H343" t="s">
        <v>1438</v>
      </c>
      <c r="I343" t="s">
        <v>1439</v>
      </c>
      <c r="J343" s="4">
        <v>46094.233426608793</v>
      </c>
    </row>
    <row r="344" spans="1:10" x14ac:dyDescent="0.55000000000000004">
      <c r="A344" t="s">
        <v>1440</v>
      </c>
      <c r="B344">
        <v>100378</v>
      </c>
      <c r="C344" t="s">
        <v>248</v>
      </c>
      <c r="D344" s="3">
        <v>45872</v>
      </c>
      <c r="E344" t="s">
        <v>89</v>
      </c>
      <c r="F344" t="s">
        <v>1441</v>
      </c>
      <c r="G344" t="s">
        <v>22</v>
      </c>
      <c r="H344" t="s">
        <v>1442</v>
      </c>
      <c r="I344" t="s">
        <v>1443</v>
      </c>
      <c r="J344" s="4">
        <v>46057.570232175924</v>
      </c>
    </row>
    <row r="345" spans="1:10" x14ac:dyDescent="0.55000000000000004">
      <c r="A345" t="s">
        <v>1444</v>
      </c>
      <c r="B345">
        <v>100194</v>
      </c>
      <c r="C345" t="s">
        <v>37</v>
      </c>
      <c r="D345" s="3">
        <v>45855</v>
      </c>
      <c r="E345" t="s">
        <v>89</v>
      </c>
      <c r="F345" t="s">
        <v>1445</v>
      </c>
      <c r="G345" t="s">
        <v>22</v>
      </c>
      <c r="H345" t="s">
        <v>1446</v>
      </c>
      <c r="I345" t="s">
        <v>1447</v>
      </c>
      <c r="J345" s="4">
        <v>46086.071621064817</v>
      </c>
    </row>
    <row r="346" spans="1:10" x14ac:dyDescent="0.55000000000000004">
      <c r="A346" t="s">
        <v>1448</v>
      </c>
      <c r="B346">
        <v>100273</v>
      </c>
      <c r="C346" t="s">
        <v>19</v>
      </c>
      <c r="D346" s="3">
        <v>46014</v>
      </c>
      <c r="E346" t="s">
        <v>356</v>
      </c>
      <c r="F346" t="s">
        <v>1449</v>
      </c>
      <c r="G346" t="s">
        <v>22</v>
      </c>
      <c r="H346" t="s">
        <v>1450</v>
      </c>
      <c r="I346" t="s">
        <v>1451</v>
      </c>
      <c r="J346" s="4">
        <v>46053.617454409723</v>
      </c>
    </row>
    <row r="347" spans="1:10" x14ac:dyDescent="0.55000000000000004">
      <c r="A347" t="s">
        <v>1452</v>
      </c>
      <c r="B347">
        <v>101011</v>
      </c>
      <c r="C347" t="s">
        <v>68</v>
      </c>
      <c r="D347" s="3">
        <v>45746</v>
      </c>
      <c r="E347" t="s">
        <v>265</v>
      </c>
      <c r="F347" t="s">
        <v>1453</v>
      </c>
      <c r="G347" t="s">
        <v>15</v>
      </c>
      <c r="H347" t="s">
        <v>1454</v>
      </c>
      <c r="I347" t="s">
        <v>1455</v>
      </c>
      <c r="J347" s="4">
        <v>46082.825787743059</v>
      </c>
    </row>
    <row r="348" spans="1:10" x14ac:dyDescent="0.55000000000000004">
      <c r="A348" t="s">
        <v>1456</v>
      </c>
      <c r="B348">
        <v>101246</v>
      </c>
      <c r="C348" t="s">
        <v>248</v>
      </c>
      <c r="D348" s="3">
        <v>46078</v>
      </c>
      <c r="E348" t="s">
        <v>20</v>
      </c>
      <c r="F348" t="s">
        <v>1457</v>
      </c>
      <c r="G348" t="s">
        <v>22</v>
      </c>
      <c r="H348" t="s">
        <v>1458</v>
      </c>
      <c r="I348" t="s">
        <v>1459</v>
      </c>
      <c r="J348" s="4">
        <v>46065.717454409722</v>
      </c>
    </row>
    <row r="349" spans="1:10" x14ac:dyDescent="0.55000000000000004">
      <c r="A349" t="s">
        <v>1460</v>
      </c>
      <c r="B349">
        <v>100524</v>
      </c>
      <c r="C349" t="s">
        <v>37</v>
      </c>
      <c r="D349" s="3">
        <v>45974</v>
      </c>
      <c r="E349" t="s">
        <v>317</v>
      </c>
      <c r="F349" t="s">
        <v>1461</v>
      </c>
      <c r="G349" t="s">
        <v>15</v>
      </c>
      <c r="H349" t="s">
        <v>1462</v>
      </c>
      <c r="I349" t="s">
        <v>1463</v>
      </c>
      <c r="J349" s="4">
        <v>46059.73412108796</v>
      </c>
    </row>
    <row r="350" spans="1:10" x14ac:dyDescent="0.55000000000000004">
      <c r="A350" t="s">
        <v>1464</v>
      </c>
      <c r="B350">
        <v>100755</v>
      </c>
      <c r="C350" t="s">
        <v>248</v>
      </c>
      <c r="D350" s="3">
        <v>45861</v>
      </c>
      <c r="E350" t="s">
        <v>300</v>
      </c>
      <c r="F350" t="s">
        <v>1465</v>
      </c>
      <c r="G350" t="s">
        <v>22</v>
      </c>
      <c r="H350" t="s">
        <v>1466</v>
      </c>
      <c r="I350" t="s">
        <v>1467</v>
      </c>
      <c r="J350" s="4">
        <v>46075.093148877313</v>
      </c>
    </row>
    <row r="351" spans="1:10" x14ac:dyDescent="0.55000000000000004">
      <c r="A351" t="s">
        <v>1468</v>
      </c>
      <c r="B351">
        <v>100751</v>
      </c>
      <c r="C351" t="s">
        <v>248</v>
      </c>
      <c r="D351" s="3">
        <v>45843</v>
      </c>
      <c r="E351" t="s">
        <v>467</v>
      </c>
      <c r="F351" t="s">
        <v>1469</v>
      </c>
      <c r="G351" t="s">
        <v>22</v>
      </c>
      <c r="H351" t="s">
        <v>1470</v>
      </c>
      <c r="I351" t="s">
        <v>1471</v>
      </c>
      <c r="J351" s="4">
        <v>46060.600787766205</v>
      </c>
    </row>
    <row r="352" spans="1:10" x14ac:dyDescent="0.55000000000000004">
      <c r="A352" t="s">
        <v>1472</v>
      </c>
      <c r="B352">
        <v>100757</v>
      </c>
      <c r="C352" t="s">
        <v>37</v>
      </c>
      <c r="D352" s="3">
        <v>45993</v>
      </c>
      <c r="E352" t="s">
        <v>126</v>
      </c>
      <c r="F352" t="s">
        <v>1473</v>
      </c>
      <c r="G352" t="s">
        <v>22</v>
      </c>
      <c r="H352" t="s">
        <v>1474</v>
      </c>
      <c r="I352" t="s">
        <v>1475</v>
      </c>
      <c r="J352" s="4">
        <v>46054.592454444442</v>
      </c>
    </row>
    <row r="353" spans="1:11" x14ac:dyDescent="0.55000000000000004">
      <c r="A353" t="s">
        <v>1476</v>
      </c>
      <c r="B353">
        <v>101222</v>
      </c>
      <c r="C353" t="s">
        <v>19</v>
      </c>
      <c r="D353" s="3">
        <v>45764</v>
      </c>
      <c r="E353" t="s">
        <v>49</v>
      </c>
      <c r="F353" t="s">
        <v>1477</v>
      </c>
      <c r="G353" t="s">
        <v>22</v>
      </c>
      <c r="H353" t="s">
        <v>1478</v>
      </c>
      <c r="I353" t="s">
        <v>1479</v>
      </c>
      <c r="J353" s="4">
        <v>46080.813287789351</v>
      </c>
    </row>
    <row r="354" spans="1:11" x14ac:dyDescent="0.55000000000000004">
      <c r="A354" t="s">
        <v>1480</v>
      </c>
      <c r="B354">
        <v>101395</v>
      </c>
      <c r="C354" t="s">
        <v>68</v>
      </c>
      <c r="D354" s="3">
        <v>45828</v>
      </c>
      <c r="E354" t="s">
        <v>38</v>
      </c>
      <c r="F354" t="s">
        <v>1481</v>
      </c>
      <c r="G354" t="s">
        <v>15</v>
      </c>
      <c r="H354" t="s">
        <v>1482</v>
      </c>
      <c r="I354" t="s">
        <v>1483</v>
      </c>
      <c r="J354" s="4">
        <v>46093.893148900461</v>
      </c>
    </row>
    <row r="355" spans="1:11" x14ac:dyDescent="0.55000000000000004">
      <c r="A355" t="s">
        <v>1484</v>
      </c>
      <c r="B355">
        <v>100888</v>
      </c>
      <c r="C355" t="s">
        <v>179</v>
      </c>
      <c r="D355" s="3">
        <v>46070</v>
      </c>
      <c r="E355" t="s">
        <v>189</v>
      </c>
      <c r="F355" t="s">
        <v>1485</v>
      </c>
      <c r="G355" t="s">
        <v>15</v>
      </c>
      <c r="H355" t="s">
        <v>1486</v>
      </c>
      <c r="I355" t="s">
        <v>1487</v>
      </c>
      <c r="J355" s="4">
        <v>46056.038982245373</v>
      </c>
    </row>
    <row r="356" spans="1:11" x14ac:dyDescent="0.55000000000000004">
      <c r="A356" t="s">
        <v>1488</v>
      </c>
      <c r="B356">
        <v>100038</v>
      </c>
      <c r="C356" t="s">
        <v>68</v>
      </c>
      <c r="D356" s="3">
        <v>45864</v>
      </c>
      <c r="E356" t="s">
        <v>757</v>
      </c>
      <c r="F356" t="s">
        <v>1489</v>
      </c>
      <c r="G356" t="s">
        <v>15</v>
      </c>
      <c r="H356" t="s">
        <v>1490</v>
      </c>
      <c r="I356" t="s">
        <v>1491</v>
      </c>
      <c r="J356" s="4">
        <v>46059.932732245368</v>
      </c>
    </row>
    <row r="357" spans="1:11" x14ac:dyDescent="0.55000000000000004">
      <c r="A357" t="s">
        <v>1492</v>
      </c>
      <c r="B357">
        <v>100891</v>
      </c>
      <c r="C357" t="s">
        <v>248</v>
      </c>
      <c r="D357" s="3">
        <v>45907</v>
      </c>
      <c r="E357" t="s">
        <v>680</v>
      </c>
      <c r="F357" t="s">
        <v>1493</v>
      </c>
      <c r="G357" t="s">
        <v>22</v>
      </c>
      <c r="H357" t="s">
        <v>1494</v>
      </c>
      <c r="I357" t="s">
        <v>1495</v>
      </c>
      <c r="J357" s="4">
        <v>46065.319537800926</v>
      </c>
    </row>
    <row r="358" spans="1:11" x14ac:dyDescent="0.55000000000000004">
      <c r="A358" t="s">
        <v>1496</v>
      </c>
      <c r="B358">
        <v>100808</v>
      </c>
      <c r="C358" t="s">
        <v>533</v>
      </c>
      <c r="D358" s="3">
        <v>46068</v>
      </c>
      <c r="E358" t="s">
        <v>199</v>
      </c>
      <c r="F358" t="s">
        <v>1497</v>
      </c>
      <c r="G358" t="s">
        <v>22</v>
      </c>
      <c r="H358" t="s">
        <v>1498</v>
      </c>
      <c r="I358" t="s">
        <v>1499</v>
      </c>
      <c r="J358" s="4">
        <v>46089.378565590276</v>
      </c>
    </row>
    <row r="359" spans="1:11" x14ac:dyDescent="0.55000000000000004">
      <c r="A359" t="s">
        <v>1500</v>
      </c>
      <c r="B359">
        <v>101458</v>
      </c>
      <c r="C359" t="s">
        <v>19</v>
      </c>
      <c r="D359" s="3">
        <v>46122</v>
      </c>
      <c r="E359" t="s">
        <v>317</v>
      </c>
      <c r="F359" t="s">
        <v>1501</v>
      </c>
      <c r="G359" t="s">
        <v>22</v>
      </c>
      <c r="H359" t="s">
        <v>1502</v>
      </c>
      <c r="I359" t="s">
        <v>1503</v>
      </c>
      <c r="J359" s="4">
        <v>46056.619537812498</v>
      </c>
    </row>
    <row r="360" spans="1:11" x14ac:dyDescent="0.55000000000000004">
      <c r="A360" t="s">
        <v>1504</v>
      </c>
      <c r="B360">
        <v>101172</v>
      </c>
      <c r="C360" t="s">
        <v>248</v>
      </c>
      <c r="D360" s="3">
        <v>45913</v>
      </c>
      <c r="E360" t="s">
        <v>317</v>
      </c>
      <c r="F360" t="s">
        <v>1505</v>
      </c>
      <c r="G360" t="s">
        <v>22</v>
      </c>
      <c r="H360" t="s">
        <v>1506</v>
      </c>
      <c r="I360" t="s">
        <v>1507</v>
      </c>
      <c r="J360" s="4">
        <v>46071.275093368058</v>
      </c>
    </row>
    <row r="361" spans="1:11" x14ac:dyDescent="0.55000000000000004">
      <c r="A361" t="s">
        <v>1508</v>
      </c>
      <c r="B361">
        <v>101483</v>
      </c>
      <c r="C361" t="s">
        <v>68</v>
      </c>
      <c r="D361" s="3">
        <v>45865</v>
      </c>
      <c r="E361" t="s">
        <v>83</v>
      </c>
      <c r="F361" t="s">
        <v>1509</v>
      </c>
      <c r="G361" t="s">
        <v>22</v>
      </c>
      <c r="H361" t="s">
        <v>1510</v>
      </c>
      <c r="I361" t="s">
        <v>1511</v>
      </c>
      <c r="J361" s="4">
        <v>46093.843843379633</v>
      </c>
    </row>
    <row r="362" spans="1:11" x14ac:dyDescent="0.55000000000000004">
      <c r="A362" t="s">
        <v>1512</v>
      </c>
      <c r="B362">
        <v>100697</v>
      </c>
      <c r="C362" t="s">
        <v>19</v>
      </c>
      <c r="D362" s="3">
        <v>46029</v>
      </c>
      <c r="E362" t="s">
        <v>121</v>
      </c>
      <c r="F362" t="s">
        <v>1513</v>
      </c>
      <c r="G362" t="s">
        <v>15</v>
      </c>
      <c r="H362" t="s">
        <v>1514</v>
      </c>
      <c r="I362" t="s">
        <v>1515</v>
      </c>
      <c r="J362" s="4">
        <v>46054.203565601849</v>
      </c>
    </row>
    <row r="363" spans="1:11" x14ac:dyDescent="0.55000000000000004">
      <c r="A363" t="s">
        <v>1516</v>
      </c>
      <c r="C363" t="s">
        <v>19</v>
      </c>
      <c r="D363" s="3">
        <v>45884</v>
      </c>
      <c r="E363" t="s">
        <v>265</v>
      </c>
      <c r="F363" t="s">
        <v>1517</v>
      </c>
      <c r="G363" t="s">
        <v>15</v>
      </c>
      <c r="H363" t="s">
        <v>1518</v>
      </c>
      <c r="I363" t="s">
        <v>1519</v>
      </c>
      <c r="J363" s="4">
        <v>46085.259121157411</v>
      </c>
      <c r="K363" t="s">
        <v>112</v>
      </c>
    </row>
    <row r="364" spans="1:11" x14ac:dyDescent="0.55000000000000004">
      <c r="A364" t="s">
        <v>1520</v>
      </c>
      <c r="B364">
        <v>100364</v>
      </c>
      <c r="C364" t="s">
        <v>179</v>
      </c>
      <c r="D364" s="3">
        <v>46023</v>
      </c>
      <c r="E364" t="s">
        <v>356</v>
      </c>
      <c r="F364" t="s">
        <v>1521</v>
      </c>
      <c r="G364" t="s">
        <v>15</v>
      </c>
      <c r="H364" t="s">
        <v>1522</v>
      </c>
      <c r="I364" t="s">
        <v>1523</v>
      </c>
      <c r="J364" s="4">
        <v>46092.052871168984</v>
      </c>
    </row>
    <row r="365" spans="1:11" x14ac:dyDescent="0.55000000000000004">
      <c r="A365" t="s">
        <v>1524</v>
      </c>
      <c r="B365">
        <v>100842</v>
      </c>
      <c r="C365" t="s">
        <v>68</v>
      </c>
      <c r="D365" s="3">
        <v>46055</v>
      </c>
      <c r="E365" t="s">
        <v>20</v>
      </c>
      <c r="F365" t="s">
        <v>1144</v>
      </c>
      <c r="G365" t="s">
        <v>15</v>
      </c>
      <c r="H365" t="s">
        <v>1525</v>
      </c>
      <c r="I365" t="s">
        <v>1526</v>
      </c>
      <c r="J365" s="4">
        <v>46097.103565613426</v>
      </c>
    </row>
    <row r="366" spans="1:11" x14ac:dyDescent="0.55000000000000004">
      <c r="A366" t="s">
        <v>1527</v>
      </c>
      <c r="B366">
        <v>100811</v>
      </c>
      <c r="C366" t="s">
        <v>248</v>
      </c>
      <c r="D366" s="3">
        <v>45839</v>
      </c>
      <c r="E366" t="s">
        <v>38</v>
      </c>
      <c r="F366" t="s">
        <v>1528</v>
      </c>
      <c r="G366" t="s">
        <v>15</v>
      </c>
      <c r="H366" t="s">
        <v>1529</v>
      </c>
      <c r="I366" t="s">
        <v>1530</v>
      </c>
      <c r="J366" s="4">
        <v>46066.620926724536</v>
      </c>
    </row>
    <row r="367" spans="1:11" x14ac:dyDescent="0.55000000000000004">
      <c r="A367" t="s">
        <v>1531</v>
      </c>
      <c r="B367">
        <v>100970</v>
      </c>
      <c r="C367" t="s">
        <v>533</v>
      </c>
      <c r="D367" s="3">
        <v>46046</v>
      </c>
      <c r="E367" t="s">
        <v>757</v>
      </c>
      <c r="F367" t="s">
        <v>1532</v>
      </c>
      <c r="G367" t="s">
        <v>22</v>
      </c>
      <c r="H367" t="s">
        <v>1533</v>
      </c>
      <c r="I367" t="s">
        <v>1534</v>
      </c>
      <c r="J367" s="4">
        <v>46070.06745451389</v>
      </c>
    </row>
    <row r="368" spans="1:11" x14ac:dyDescent="0.55000000000000004">
      <c r="A368" t="s">
        <v>1535</v>
      </c>
      <c r="B368">
        <v>100302</v>
      </c>
      <c r="C368" t="s">
        <v>179</v>
      </c>
      <c r="D368" s="3">
        <v>45734</v>
      </c>
      <c r="E368" t="s">
        <v>38</v>
      </c>
      <c r="F368" t="s">
        <v>1536</v>
      </c>
      <c r="G368" t="s">
        <v>15</v>
      </c>
      <c r="H368" t="s">
        <v>1537</v>
      </c>
      <c r="I368" t="s">
        <v>1538</v>
      </c>
      <c r="J368" s="4">
        <v>46074.72648229167</v>
      </c>
    </row>
    <row r="369" spans="1:11" x14ac:dyDescent="0.55000000000000004">
      <c r="A369" t="s">
        <v>1539</v>
      </c>
      <c r="B369">
        <v>100649</v>
      </c>
      <c r="C369" t="s">
        <v>68</v>
      </c>
      <c r="D369" s="3">
        <v>46119</v>
      </c>
      <c r="E369" t="s">
        <v>528</v>
      </c>
      <c r="F369" t="s">
        <v>1540</v>
      </c>
      <c r="G369" t="s">
        <v>15</v>
      </c>
      <c r="H369" t="s">
        <v>1541</v>
      </c>
      <c r="I369" t="s">
        <v>1542</v>
      </c>
      <c r="J369" s="4">
        <v>46082.759815636571</v>
      </c>
    </row>
    <row r="370" spans="1:11" x14ac:dyDescent="0.55000000000000004">
      <c r="A370" t="s">
        <v>6028</v>
      </c>
      <c r="B370">
        <v>101274</v>
      </c>
      <c r="C370" t="s">
        <v>68</v>
      </c>
      <c r="D370" s="3">
        <v>45891</v>
      </c>
      <c r="E370" t="s">
        <v>155</v>
      </c>
      <c r="F370" t="s">
        <v>1544</v>
      </c>
      <c r="G370" t="s">
        <v>22</v>
      </c>
      <c r="H370" t="s">
        <v>1545</v>
      </c>
      <c r="I370" t="s">
        <v>1546</v>
      </c>
      <c r="J370" s="4">
        <v>46064.909121192133</v>
      </c>
      <c r="K370" t="s">
        <v>119</v>
      </c>
    </row>
    <row r="371" spans="1:11" x14ac:dyDescent="0.55000000000000004">
      <c r="A371" t="s">
        <v>1547</v>
      </c>
      <c r="B371">
        <v>100639</v>
      </c>
      <c r="C371" t="s">
        <v>68</v>
      </c>
      <c r="D371" s="3">
        <v>45817</v>
      </c>
      <c r="E371" t="s">
        <v>155</v>
      </c>
      <c r="F371" t="s">
        <v>1548</v>
      </c>
      <c r="G371" t="s">
        <v>22</v>
      </c>
      <c r="H371" t="s">
        <v>1549</v>
      </c>
      <c r="I371" t="s">
        <v>1550</v>
      </c>
      <c r="J371" s="4">
        <v>46079.098010081019</v>
      </c>
    </row>
    <row r="372" spans="1:11" x14ac:dyDescent="0.55000000000000004">
      <c r="A372" t="s">
        <v>1551</v>
      </c>
      <c r="B372">
        <v>100517</v>
      </c>
      <c r="C372" t="s">
        <v>19</v>
      </c>
      <c r="D372" s="3">
        <v>46037</v>
      </c>
      <c r="E372" t="s">
        <v>208</v>
      </c>
      <c r="F372" t="s">
        <v>1552</v>
      </c>
      <c r="G372" t="s">
        <v>22</v>
      </c>
      <c r="H372" t="s">
        <v>1553</v>
      </c>
      <c r="I372" t="s">
        <v>1554</v>
      </c>
      <c r="J372" s="4">
        <v>46066.235510092592</v>
      </c>
    </row>
    <row r="373" spans="1:11" x14ac:dyDescent="0.55000000000000004">
      <c r="A373" t="s">
        <v>1555</v>
      </c>
      <c r="B373">
        <v>100750</v>
      </c>
      <c r="C373" t="s">
        <v>248</v>
      </c>
      <c r="D373" s="3">
        <v>45816</v>
      </c>
      <c r="E373" t="s">
        <v>265</v>
      </c>
      <c r="F373" t="s">
        <v>1556</v>
      </c>
      <c r="G373" t="s">
        <v>15</v>
      </c>
      <c r="H373" t="s">
        <v>1557</v>
      </c>
      <c r="I373" t="s">
        <v>1558</v>
      </c>
      <c r="J373" s="4">
        <v>46089.445926759261</v>
      </c>
    </row>
    <row r="374" spans="1:11" x14ac:dyDescent="0.55000000000000004">
      <c r="A374" t="s">
        <v>1559</v>
      </c>
      <c r="B374">
        <v>101424</v>
      </c>
      <c r="C374" t="s">
        <v>37</v>
      </c>
      <c r="D374" s="3">
        <v>46033</v>
      </c>
      <c r="E374" t="s">
        <v>199</v>
      </c>
      <c r="F374" t="s">
        <v>1560</v>
      </c>
      <c r="G374" t="s">
        <v>15</v>
      </c>
      <c r="H374" t="s">
        <v>1561</v>
      </c>
      <c r="I374" t="s">
        <v>1562</v>
      </c>
      <c r="J374" s="4">
        <v>46072.835510092591</v>
      </c>
    </row>
    <row r="375" spans="1:11" x14ac:dyDescent="0.55000000000000004">
      <c r="A375" t="s">
        <v>1563</v>
      </c>
      <c r="B375">
        <v>100726</v>
      </c>
      <c r="C375" t="s">
        <v>248</v>
      </c>
      <c r="D375" s="3">
        <v>46126</v>
      </c>
      <c r="E375" t="s">
        <v>184</v>
      </c>
      <c r="F375" t="s">
        <v>1564</v>
      </c>
      <c r="G375" t="s">
        <v>15</v>
      </c>
      <c r="H375" t="s">
        <v>1565</v>
      </c>
      <c r="I375" t="s">
        <v>1566</v>
      </c>
      <c r="J375" s="4">
        <v>46056.718148993059</v>
      </c>
    </row>
    <row r="376" spans="1:11" x14ac:dyDescent="0.55000000000000004">
      <c r="A376" t="s">
        <v>1567</v>
      </c>
      <c r="B376">
        <v>101398</v>
      </c>
      <c r="C376" t="s">
        <v>37</v>
      </c>
      <c r="D376" s="3">
        <v>46085</v>
      </c>
      <c r="E376" t="s">
        <v>69</v>
      </c>
      <c r="F376" t="s">
        <v>1568</v>
      </c>
      <c r="G376" t="s">
        <v>22</v>
      </c>
      <c r="H376" t="s">
        <v>1569</v>
      </c>
      <c r="I376" t="s">
        <v>1570</v>
      </c>
      <c r="J376" s="4">
        <v>46073.57023232639</v>
      </c>
    </row>
    <row r="377" spans="1:11" x14ac:dyDescent="0.55000000000000004">
      <c r="A377" t="s">
        <v>1571</v>
      </c>
      <c r="B377">
        <v>101326</v>
      </c>
      <c r="C377" t="s">
        <v>19</v>
      </c>
      <c r="D377" s="3">
        <v>45861</v>
      </c>
      <c r="E377" t="s">
        <v>189</v>
      </c>
      <c r="F377" t="s">
        <v>1572</v>
      </c>
      <c r="G377" t="s">
        <v>15</v>
      </c>
      <c r="H377" t="s">
        <v>1573</v>
      </c>
      <c r="I377" t="s">
        <v>1574</v>
      </c>
      <c r="J377" s="4">
        <v>46052.770926770834</v>
      </c>
    </row>
    <row r="378" spans="1:11" x14ac:dyDescent="0.55000000000000004">
      <c r="A378" t="s">
        <v>1575</v>
      </c>
      <c r="B378">
        <v>101214</v>
      </c>
      <c r="C378" t="s">
        <v>37</v>
      </c>
      <c r="D378" s="3">
        <v>45886</v>
      </c>
      <c r="E378" t="s">
        <v>141</v>
      </c>
      <c r="F378" t="s">
        <v>1576</v>
      </c>
      <c r="G378" t="s">
        <v>22</v>
      </c>
      <c r="H378" t="s">
        <v>1577</v>
      </c>
      <c r="I378" t="s">
        <v>1578</v>
      </c>
      <c r="J378" s="4">
        <v>46057.884815671299</v>
      </c>
    </row>
    <row r="379" spans="1:11" x14ac:dyDescent="0.55000000000000004">
      <c r="A379" t="s">
        <v>1579</v>
      </c>
      <c r="B379">
        <v>100242</v>
      </c>
      <c r="C379" t="s">
        <v>533</v>
      </c>
      <c r="D379" s="3">
        <v>45946</v>
      </c>
      <c r="E379" t="s">
        <v>38</v>
      </c>
      <c r="F379" t="s">
        <v>1580</v>
      </c>
      <c r="G379" t="s">
        <v>15</v>
      </c>
      <c r="H379" t="s">
        <v>1581</v>
      </c>
      <c r="I379" t="s">
        <v>1582</v>
      </c>
      <c r="J379" s="4">
        <v>46079.584121238426</v>
      </c>
    </row>
    <row r="380" spans="1:11" x14ac:dyDescent="0.55000000000000004">
      <c r="A380" t="s">
        <v>1583</v>
      </c>
      <c r="B380">
        <v>100910</v>
      </c>
      <c r="C380" t="s">
        <v>533</v>
      </c>
      <c r="D380" s="3">
        <v>45986</v>
      </c>
      <c r="E380" t="s">
        <v>38</v>
      </c>
      <c r="F380" t="s">
        <v>1584</v>
      </c>
      <c r="G380" t="s">
        <v>15</v>
      </c>
      <c r="H380" t="s">
        <v>1585</v>
      </c>
      <c r="I380" t="s">
        <v>1586</v>
      </c>
      <c r="J380" s="4">
        <v>46081.002176793983</v>
      </c>
    </row>
    <row r="381" spans="1:11" x14ac:dyDescent="0.55000000000000004">
      <c r="A381" t="s">
        <v>1587</v>
      </c>
      <c r="B381">
        <v>100022</v>
      </c>
      <c r="C381" t="s">
        <v>248</v>
      </c>
      <c r="D381" s="3">
        <v>45915</v>
      </c>
      <c r="E381" t="s">
        <v>208</v>
      </c>
      <c r="F381" t="s">
        <v>1588</v>
      </c>
      <c r="G381" t="s">
        <v>15</v>
      </c>
      <c r="H381" t="s">
        <v>1589</v>
      </c>
      <c r="I381" t="s">
        <v>1590</v>
      </c>
      <c r="J381" s="4">
        <v>46062.040371238429</v>
      </c>
    </row>
    <row r="382" spans="1:11" x14ac:dyDescent="0.55000000000000004">
      <c r="A382" t="s">
        <v>1591</v>
      </c>
      <c r="B382">
        <v>101473</v>
      </c>
      <c r="C382" t="s">
        <v>248</v>
      </c>
      <c r="D382" s="3">
        <v>46084</v>
      </c>
      <c r="E382" t="s">
        <v>356</v>
      </c>
      <c r="F382" t="s">
        <v>1592</v>
      </c>
      <c r="G382" t="s">
        <v>15</v>
      </c>
      <c r="H382" t="s">
        <v>1593</v>
      </c>
      <c r="I382" t="s">
        <v>1594</v>
      </c>
      <c r="J382" s="4">
        <v>46096.791065694444</v>
      </c>
    </row>
    <row r="383" spans="1:11" x14ac:dyDescent="0.55000000000000004">
      <c r="A383" t="s">
        <v>1595</v>
      </c>
      <c r="B383">
        <v>101203</v>
      </c>
      <c r="C383" t="s">
        <v>37</v>
      </c>
      <c r="D383" s="3">
        <v>45788</v>
      </c>
      <c r="E383" t="s">
        <v>680</v>
      </c>
      <c r="F383" t="s">
        <v>1596</v>
      </c>
      <c r="G383" t="s">
        <v>15</v>
      </c>
      <c r="H383" t="s">
        <v>1597</v>
      </c>
      <c r="I383" t="s">
        <v>1598</v>
      </c>
      <c r="J383" s="4">
        <v>46065.639676805557</v>
      </c>
    </row>
    <row r="384" spans="1:11" x14ac:dyDescent="0.55000000000000004">
      <c r="A384" t="s">
        <v>1599</v>
      </c>
      <c r="B384">
        <v>100421</v>
      </c>
      <c r="C384" t="s">
        <v>533</v>
      </c>
      <c r="D384" s="3">
        <v>45863</v>
      </c>
      <c r="E384" t="s">
        <v>208</v>
      </c>
      <c r="F384" t="s">
        <v>1600</v>
      </c>
      <c r="G384" t="s">
        <v>22</v>
      </c>
      <c r="H384" t="s">
        <v>1601</v>
      </c>
      <c r="I384" t="s">
        <v>1602</v>
      </c>
      <c r="J384" s="4">
        <v>46068.675093472222</v>
      </c>
    </row>
    <row r="385" spans="1:11" x14ac:dyDescent="0.55000000000000004">
      <c r="A385" t="s">
        <v>1603</v>
      </c>
      <c r="B385">
        <v>101271</v>
      </c>
      <c r="C385" t="s">
        <v>533</v>
      </c>
      <c r="D385" s="3">
        <v>46148</v>
      </c>
      <c r="E385" t="s">
        <v>155</v>
      </c>
      <c r="F385" t="s">
        <v>1604</v>
      </c>
      <c r="G385" t="s">
        <v>22</v>
      </c>
      <c r="H385" t="s">
        <v>1605</v>
      </c>
      <c r="I385" t="s">
        <v>1606</v>
      </c>
      <c r="J385" s="4">
        <v>46073.783426817128</v>
      </c>
    </row>
    <row r="386" spans="1:11" x14ac:dyDescent="0.55000000000000004">
      <c r="A386" t="s">
        <v>283</v>
      </c>
      <c r="B386">
        <v>101044</v>
      </c>
      <c r="C386" t="s">
        <v>68</v>
      </c>
      <c r="D386" s="3">
        <v>45950</v>
      </c>
      <c r="E386" t="s">
        <v>184</v>
      </c>
      <c r="F386" t="s">
        <v>1607</v>
      </c>
      <c r="G386" t="s">
        <v>15</v>
      </c>
      <c r="H386" t="s">
        <v>1608</v>
      </c>
      <c r="I386" t="s">
        <v>1609</v>
      </c>
      <c r="J386" s="4">
        <v>46088.802871261571</v>
      </c>
    </row>
    <row r="387" spans="1:11" x14ac:dyDescent="0.55000000000000004">
      <c r="A387" t="s">
        <v>1610</v>
      </c>
      <c r="B387">
        <v>100459</v>
      </c>
      <c r="C387" t="s">
        <v>533</v>
      </c>
      <c r="D387" s="3">
        <v>45900</v>
      </c>
      <c r="E387" t="s">
        <v>89</v>
      </c>
      <c r="F387" t="s">
        <v>1611</v>
      </c>
      <c r="G387" t="s">
        <v>22</v>
      </c>
      <c r="H387" t="s">
        <v>1612</v>
      </c>
      <c r="I387" t="s">
        <v>1613</v>
      </c>
      <c r="J387" s="4">
        <v>46092.216065717592</v>
      </c>
    </row>
    <row r="388" spans="1:11" x14ac:dyDescent="0.55000000000000004">
      <c r="A388" t="s">
        <v>1614</v>
      </c>
      <c r="B388">
        <v>100711</v>
      </c>
      <c r="C388" t="s">
        <v>68</v>
      </c>
      <c r="D388" s="3">
        <v>45825</v>
      </c>
      <c r="E388" t="s">
        <v>69</v>
      </c>
      <c r="F388" t="s">
        <v>1615</v>
      </c>
      <c r="G388" t="s">
        <v>22</v>
      </c>
      <c r="H388" t="s">
        <v>1616</v>
      </c>
      <c r="I388" t="s">
        <v>1617</v>
      </c>
      <c r="J388" s="4">
        <v>46068.359815717595</v>
      </c>
    </row>
    <row r="389" spans="1:11" x14ac:dyDescent="0.55000000000000004">
      <c r="A389" t="s">
        <v>1618</v>
      </c>
      <c r="B389">
        <v>101189</v>
      </c>
      <c r="C389" t="s">
        <v>179</v>
      </c>
      <c r="D389" s="3">
        <v>46085</v>
      </c>
      <c r="E389" t="s">
        <v>418</v>
      </c>
      <c r="F389" t="s">
        <v>1619</v>
      </c>
      <c r="G389" t="s">
        <v>15</v>
      </c>
      <c r="H389" t="s">
        <v>1620</v>
      </c>
      <c r="I389" t="s">
        <v>1621</v>
      </c>
      <c r="J389" s="4">
        <v>46088.75634349537</v>
      </c>
    </row>
    <row r="390" spans="1:11" x14ac:dyDescent="0.55000000000000004">
      <c r="A390" t="s">
        <v>1622</v>
      </c>
      <c r="B390">
        <v>100873</v>
      </c>
      <c r="C390" t="s">
        <v>37</v>
      </c>
      <c r="D390" s="3">
        <v>45813</v>
      </c>
      <c r="E390" t="s">
        <v>69</v>
      </c>
      <c r="F390" t="s">
        <v>1623</v>
      </c>
      <c r="G390" t="s">
        <v>22</v>
      </c>
      <c r="H390" t="s">
        <v>1624</v>
      </c>
      <c r="I390" t="s">
        <v>1625</v>
      </c>
      <c r="J390" s="4">
        <v>46060.781343506947</v>
      </c>
    </row>
    <row r="391" spans="1:11" x14ac:dyDescent="0.55000000000000004">
      <c r="A391" t="s">
        <v>1626</v>
      </c>
      <c r="B391">
        <v>101257</v>
      </c>
      <c r="C391" t="s">
        <v>179</v>
      </c>
      <c r="D391" s="3">
        <v>45824</v>
      </c>
      <c r="E391" t="s">
        <v>83</v>
      </c>
      <c r="F391" t="s">
        <v>1627</v>
      </c>
      <c r="G391" t="s">
        <v>15</v>
      </c>
      <c r="H391" t="s">
        <v>1628</v>
      </c>
      <c r="I391" t="s">
        <v>1629</v>
      </c>
      <c r="J391" s="4">
        <v>46067.052176840276</v>
      </c>
    </row>
    <row r="392" spans="1:11" x14ac:dyDescent="0.55000000000000004">
      <c r="A392" t="s">
        <v>1630</v>
      </c>
      <c r="B392">
        <v>101379</v>
      </c>
      <c r="C392" t="s">
        <v>533</v>
      </c>
      <c r="D392" s="3">
        <v>45942</v>
      </c>
      <c r="E392" t="s">
        <v>141</v>
      </c>
      <c r="F392" t="s">
        <v>1631</v>
      </c>
      <c r="G392" t="s">
        <v>22</v>
      </c>
      <c r="H392" t="s">
        <v>1632</v>
      </c>
      <c r="I392" t="s">
        <v>1633</v>
      </c>
      <c r="J392" s="4">
        <v>46056.299399062496</v>
      </c>
    </row>
    <row r="393" spans="1:11" x14ac:dyDescent="0.55000000000000004">
      <c r="A393" t="s">
        <v>1634</v>
      </c>
      <c r="B393">
        <v>100390</v>
      </c>
      <c r="C393" t="s">
        <v>37</v>
      </c>
      <c r="D393" s="3">
        <v>46092</v>
      </c>
      <c r="E393" t="s">
        <v>587</v>
      </c>
      <c r="F393" t="s">
        <v>1635</v>
      </c>
      <c r="G393" t="s">
        <v>22</v>
      </c>
      <c r="H393" t="s">
        <v>1636</v>
      </c>
      <c r="I393" t="s">
        <v>1637</v>
      </c>
      <c r="J393" s="4">
        <v>46064.002176851849</v>
      </c>
    </row>
    <row r="394" spans="1:11" x14ac:dyDescent="0.55000000000000004">
      <c r="A394" t="s">
        <v>1638</v>
      </c>
      <c r="B394">
        <v>100423</v>
      </c>
      <c r="C394" t="s">
        <v>19</v>
      </c>
      <c r="D394" s="3">
        <v>45780</v>
      </c>
      <c r="E394" t="s">
        <v>189</v>
      </c>
      <c r="F394" t="s">
        <v>1639</v>
      </c>
      <c r="G394" t="s">
        <v>22</v>
      </c>
      <c r="H394" t="s">
        <v>1640</v>
      </c>
      <c r="I394" t="s">
        <v>1641</v>
      </c>
      <c r="J394" s="4">
        <v>46074.802176851852</v>
      </c>
    </row>
    <row r="395" spans="1:11" x14ac:dyDescent="0.55000000000000004">
      <c r="A395" t="s">
        <v>1642</v>
      </c>
      <c r="B395">
        <v>100170</v>
      </c>
      <c r="C395" t="s">
        <v>179</v>
      </c>
      <c r="D395" s="3">
        <v>45808</v>
      </c>
      <c r="E395" t="s">
        <v>184</v>
      </c>
      <c r="F395" t="s">
        <v>1643</v>
      </c>
      <c r="G395" t="s">
        <v>15</v>
      </c>
      <c r="H395" t="s">
        <v>1644</v>
      </c>
      <c r="I395" t="s">
        <v>1645</v>
      </c>
      <c r="J395" s="4">
        <v>46065.07856574074</v>
      </c>
    </row>
    <row r="396" spans="1:11" x14ac:dyDescent="0.55000000000000004">
      <c r="A396" t="s">
        <v>6029</v>
      </c>
      <c r="B396">
        <v>100176</v>
      </c>
      <c r="C396" t="s">
        <v>19</v>
      </c>
      <c r="D396" s="3">
        <v>45816</v>
      </c>
      <c r="E396" t="s">
        <v>69</v>
      </c>
      <c r="F396" t="s">
        <v>1647</v>
      </c>
      <c r="G396" t="s">
        <v>22</v>
      </c>
      <c r="H396" t="s">
        <v>1648</v>
      </c>
      <c r="I396" t="s">
        <v>1649</v>
      </c>
      <c r="J396" s="4">
        <v>46082.27578797454</v>
      </c>
      <c r="K396" t="s">
        <v>119</v>
      </c>
    </row>
    <row r="397" spans="1:11" x14ac:dyDescent="0.55000000000000004">
      <c r="A397" t="s">
        <v>1650</v>
      </c>
      <c r="B397">
        <v>100428</v>
      </c>
      <c r="C397" t="s">
        <v>248</v>
      </c>
      <c r="D397" s="3">
        <v>45757</v>
      </c>
      <c r="E397" t="s">
        <v>43</v>
      </c>
      <c r="F397" t="s">
        <v>1651</v>
      </c>
      <c r="G397" t="s">
        <v>22</v>
      </c>
      <c r="H397" t="s">
        <v>1652</v>
      </c>
      <c r="I397" t="s">
        <v>1653</v>
      </c>
      <c r="J397" s="4">
        <v>46082.63412130787</v>
      </c>
    </row>
    <row r="398" spans="1:11" x14ac:dyDescent="0.55000000000000004">
      <c r="A398" t="s">
        <v>1654</v>
      </c>
      <c r="B398">
        <v>100525</v>
      </c>
      <c r="C398" t="s">
        <v>179</v>
      </c>
      <c r="D398" s="3">
        <v>45959</v>
      </c>
      <c r="E398" t="s">
        <v>243</v>
      </c>
      <c r="F398" t="s">
        <v>1655</v>
      </c>
      <c r="G398" t="s">
        <v>22</v>
      </c>
      <c r="H398" t="s">
        <v>1656</v>
      </c>
      <c r="I398" t="s">
        <v>1657</v>
      </c>
      <c r="J398" s="4">
        <v>46077.577176863429</v>
      </c>
    </row>
    <row r="399" spans="1:11" x14ac:dyDescent="0.55000000000000004">
      <c r="A399" t="s">
        <v>1658</v>
      </c>
      <c r="B399">
        <v>101347</v>
      </c>
      <c r="C399" t="s">
        <v>19</v>
      </c>
      <c r="D399" s="3">
        <v>46113</v>
      </c>
      <c r="E399" t="s">
        <v>243</v>
      </c>
      <c r="F399" t="s">
        <v>1659</v>
      </c>
      <c r="G399" t="s">
        <v>22</v>
      </c>
      <c r="H399" t="s">
        <v>1660</v>
      </c>
      <c r="I399" t="s">
        <v>1661</v>
      </c>
      <c r="J399" s="4">
        <v>46094.953565763892</v>
      </c>
    </row>
    <row r="400" spans="1:11" x14ac:dyDescent="0.55000000000000004">
      <c r="A400" t="s">
        <v>1662</v>
      </c>
      <c r="B400">
        <v>100935</v>
      </c>
      <c r="C400" t="s">
        <v>19</v>
      </c>
      <c r="D400" s="3">
        <v>45732</v>
      </c>
      <c r="E400" t="s">
        <v>38</v>
      </c>
      <c r="F400" t="s">
        <v>1663</v>
      </c>
      <c r="G400" t="s">
        <v>22</v>
      </c>
      <c r="H400" t="s">
        <v>1664</v>
      </c>
      <c r="I400" t="s">
        <v>1665</v>
      </c>
      <c r="J400" s="4">
        <v>46064.946621319446</v>
      </c>
    </row>
    <row r="401" spans="1:10" x14ac:dyDescent="0.55000000000000004">
      <c r="A401" t="s">
        <v>1666</v>
      </c>
      <c r="B401">
        <v>100972</v>
      </c>
      <c r="C401" t="s">
        <v>248</v>
      </c>
      <c r="D401" s="3">
        <v>46067</v>
      </c>
      <c r="E401" t="s">
        <v>495</v>
      </c>
      <c r="F401" t="s">
        <v>1667</v>
      </c>
      <c r="G401" t="s">
        <v>15</v>
      </c>
      <c r="H401" t="s">
        <v>1668</v>
      </c>
      <c r="I401" t="s">
        <v>1669</v>
      </c>
      <c r="J401" s="4">
        <v>46083.100093541667</v>
      </c>
    </row>
    <row r="402" spans="1:10" x14ac:dyDescent="0.55000000000000004">
      <c r="A402" t="s">
        <v>1670</v>
      </c>
      <c r="B402">
        <v>101217</v>
      </c>
      <c r="C402" t="s">
        <v>68</v>
      </c>
      <c r="D402" s="3">
        <v>46018</v>
      </c>
      <c r="E402" t="s">
        <v>495</v>
      </c>
      <c r="F402" t="s">
        <v>1671</v>
      </c>
      <c r="G402" t="s">
        <v>22</v>
      </c>
      <c r="H402" t="s">
        <v>1672</v>
      </c>
      <c r="I402" t="s">
        <v>1673</v>
      </c>
      <c r="J402" s="4">
        <v>46090.607732442128</v>
      </c>
    </row>
    <row r="403" spans="1:10" x14ac:dyDescent="0.55000000000000004">
      <c r="A403" t="s">
        <v>1674</v>
      </c>
      <c r="B403">
        <v>100296</v>
      </c>
      <c r="C403" t="s">
        <v>248</v>
      </c>
      <c r="D403" s="3">
        <v>45733</v>
      </c>
      <c r="E403" t="s">
        <v>49</v>
      </c>
      <c r="F403" t="s">
        <v>1675</v>
      </c>
      <c r="G403" t="s">
        <v>22</v>
      </c>
      <c r="H403" t="s">
        <v>1676</v>
      </c>
      <c r="I403" t="s">
        <v>1677</v>
      </c>
      <c r="J403" s="4">
        <v>46053.595232442131</v>
      </c>
    </row>
    <row r="404" spans="1:10" x14ac:dyDescent="0.55000000000000004">
      <c r="A404" t="s">
        <v>1678</v>
      </c>
      <c r="B404">
        <v>100300</v>
      </c>
      <c r="C404" t="s">
        <v>37</v>
      </c>
      <c r="D404" s="3">
        <v>45816</v>
      </c>
      <c r="E404" t="s">
        <v>418</v>
      </c>
      <c r="F404" t="s">
        <v>1679</v>
      </c>
      <c r="G404" t="s">
        <v>15</v>
      </c>
      <c r="H404" t="s">
        <v>1680</v>
      </c>
      <c r="I404" t="s">
        <v>1681</v>
      </c>
      <c r="J404" s="4">
        <v>46080.877176898146</v>
      </c>
    </row>
    <row r="405" spans="1:10" x14ac:dyDescent="0.55000000000000004">
      <c r="A405" t="s">
        <v>1682</v>
      </c>
      <c r="B405">
        <v>100744</v>
      </c>
      <c r="C405" t="s">
        <v>248</v>
      </c>
      <c r="D405" s="3">
        <v>45828</v>
      </c>
      <c r="E405" t="s">
        <v>69</v>
      </c>
      <c r="F405" t="s">
        <v>1683</v>
      </c>
      <c r="G405" t="s">
        <v>15</v>
      </c>
      <c r="H405" t="s">
        <v>1684</v>
      </c>
      <c r="I405" t="s">
        <v>1685</v>
      </c>
      <c r="J405" s="4">
        <v>46068.475093564812</v>
      </c>
    </row>
    <row r="406" spans="1:10" x14ac:dyDescent="0.55000000000000004">
      <c r="A406" t="s">
        <v>1686</v>
      </c>
      <c r="B406">
        <v>100371</v>
      </c>
      <c r="C406" t="s">
        <v>68</v>
      </c>
      <c r="D406" s="3">
        <v>45787</v>
      </c>
      <c r="E406" t="s">
        <v>170</v>
      </c>
      <c r="F406" t="s">
        <v>1687</v>
      </c>
      <c r="G406" t="s">
        <v>15</v>
      </c>
      <c r="H406" t="s">
        <v>1688</v>
      </c>
      <c r="I406" t="s">
        <v>1689</v>
      </c>
      <c r="J406" s="4">
        <v>46069.095926898146</v>
      </c>
    </row>
    <row r="407" spans="1:10" x14ac:dyDescent="0.55000000000000004">
      <c r="A407" t="s">
        <v>615</v>
      </c>
      <c r="B407">
        <v>100144</v>
      </c>
      <c r="C407" t="s">
        <v>19</v>
      </c>
      <c r="D407" s="3">
        <v>45990</v>
      </c>
      <c r="E407" t="s">
        <v>69</v>
      </c>
      <c r="F407" t="s">
        <v>1690</v>
      </c>
      <c r="G407" t="s">
        <v>15</v>
      </c>
      <c r="H407" t="s">
        <v>1691</v>
      </c>
      <c r="I407" t="s">
        <v>1692</v>
      </c>
      <c r="J407" s="4">
        <v>46064.677176898149</v>
      </c>
    </row>
    <row r="408" spans="1:10" x14ac:dyDescent="0.55000000000000004">
      <c r="A408" t="s">
        <v>1693</v>
      </c>
      <c r="B408">
        <v>101325</v>
      </c>
      <c r="C408" t="s">
        <v>19</v>
      </c>
      <c r="D408" s="3">
        <v>45953</v>
      </c>
      <c r="E408" t="s">
        <v>43</v>
      </c>
      <c r="F408" t="s">
        <v>1694</v>
      </c>
      <c r="G408" t="s">
        <v>15</v>
      </c>
      <c r="H408" t="s">
        <v>1695</v>
      </c>
      <c r="I408" t="s">
        <v>1696</v>
      </c>
      <c r="J408" s="4">
        <v>46089.598704687502</v>
      </c>
    </row>
    <row r="409" spans="1:10" x14ac:dyDescent="0.55000000000000004">
      <c r="A409" t="s">
        <v>1697</v>
      </c>
      <c r="B409">
        <v>100806</v>
      </c>
      <c r="C409" t="s">
        <v>179</v>
      </c>
      <c r="D409" s="3">
        <v>46068</v>
      </c>
      <c r="E409" t="s">
        <v>495</v>
      </c>
      <c r="F409" t="s">
        <v>1698</v>
      </c>
      <c r="G409" t="s">
        <v>22</v>
      </c>
      <c r="H409" t="s">
        <v>1699</v>
      </c>
      <c r="I409" t="s">
        <v>1700</v>
      </c>
      <c r="J409" s="4">
        <v>46058.7612046875</v>
      </c>
    </row>
    <row r="410" spans="1:10" x14ac:dyDescent="0.55000000000000004">
      <c r="A410" t="s">
        <v>1701</v>
      </c>
      <c r="B410">
        <v>100259</v>
      </c>
      <c r="C410" t="s">
        <v>248</v>
      </c>
      <c r="D410" s="3">
        <v>45872</v>
      </c>
      <c r="E410" t="s">
        <v>49</v>
      </c>
      <c r="F410" t="s">
        <v>1702</v>
      </c>
      <c r="G410" t="s">
        <v>22</v>
      </c>
      <c r="H410" t="s">
        <v>1703</v>
      </c>
      <c r="I410" t="s">
        <v>1704</v>
      </c>
      <c r="J410" s="4">
        <v>46089.550093576392</v>
      </c>
    </row>
    <row r="411" spans="1:10" x14ac:dyDescent="0.55000000000000004">
      <c r="A411" t="s">
        <v>1705</v>
      </c>
      <c r="B411">
        <v>100822</v>
      </c>
      <c r="C411" t="s">
        <v>179</v>
      </c>
      <c r="D411" s="3">
        <v>46040</v>
      </c>
      <c r="E411" t="s">
        <v>126</v>
      </c>
      <c r="F411" t="s">
        <v>1706</v>
      </c>
      <c r="G411" t="s">
        <v>22</v>
      </c>
      <c r="H411" t="s">
        <v>1707</v>
      </c>
      <c r="I411" t="s">
        <v>1708</v>
      </c>
      <c r="J411" s="4">
        <v>46051.95912136574</v>
      </c>
    </row>
    <row r="412" spans="1:10" x14ac:dyDescent="0.55000000000000004">
      <c r="A412" t="s">
        <v>1709</v>
      </c>
      <c r="B412">
        <v>100174</v>
      </c>
      <c r="C412" t="s">
        <v>248</v>
      </c>
      <c r="D412" s="3">
        <v>45834</v>
      </c>
      <c r="E412" t="s">
        <v>38</v>
      </c>
      <c r="F412" t="s">
        <v>1710</v>
      </c>
      <c r="G412" t="s">
        <v>22</v>
      </c>
      <c r="H412" t="s">
        <v>1711</v>
      </c>
      <c r="I412" t="s">
        <v>1712</v>
      </c>
      <c r="J412" s="4">
        <v>46054.254954699078</v>
      </c>
    </row>
    <row r="413" spans="1:10" x14ac:dyDescent="0.55000000000000004">
      <c r="A413" t="s">
        <v>1713</v>
      </c>
      <c r="B413">
        <v>100849</v>
      </c>
      <c r="C413" t="s">
        <v>533</v>
      </c>
      <c r="D413" s="3">
        <v>46095</v>
      </c>
      <c r="E413" t="s">
        <v>160</v>
      </c>
      <c r="F413" t="s">
        <v>1714</v>
      </c>
      <c r="G413" t="s">
        <v>15</v>
      </c>
      <c r="H413" t="s">
        <v>1715</v>
      </c>
      <c r="I413" t="s">
        <v>1716</v>
      </c>
      <c r="J413" s="4">
        <v>46074.946621377312</v>
      </c>
    </row>
    <row r="414" spans="1:10" x14ac:dyDescent="0.55000000000000004">
      <c r="A414" t="s">
        <v>1717</v>
      </c>
      <c r="B414">
        <v>100404</v>
      </c>
      <c r="C414" t="s">
        <v>19</v>
      </c>
      <c r="D414" s="3">
        <v>46030</v>
      </c>
      <c r="E414" t="s">
        <v>300</v>
      </c>
      <c r="F414" t="s">
        <v>1718</v>
      </c>
      <c r="G414" t="s">
        <v>22</v>
      </c>
      <c r="H414" t="s">
        <v>1719</v>
      </c>
      <c r="I414" t="s">
        <v>1720</v>
      </c>
      <c r="J414" s="4">
        <v>46097.002871377314</v>
      </c>
    </row>
    <row r="415" spans="1:10" x14ac:dyDescent="0.55000000000000004">
      <c r="A415" t="s">
        <v>1721</v>
      </c>
      <c r="B415">
        <v>100855</v>
      </c>
      <c r="C415" t="s">
        <v>533</v>
      </c>
      <c r="D415" s="3">
        <v>45744</v>
      </c>
      <c r="E415" t="s">
        <v>265</v>
      </c>
      <c r="F415" t="s">
        <v>1722</v>
      </c>
      <c r="G415" t="s">
        <v>15</v>
      </c>
      <c r="H415" t="s">
        <v>1723</v>
      </c>
      <c r="I415" t="s">
        <v>1724</v>
      </c>
      <c r="J415" s="4">
        <v>46085.366760266203</v>
      </c>
    </row>
    <row r="416" spans="1:10" x14ac:dyDescent="0.55000000000000004">
      <c r="A416" t="s">
        <v>1725</v>
      </c>
      <c r="B416">
        <v>100908</v>
      </c>
      <c r="C416" t="s">
        <v>533</v>
      </c>
      <c r="D416" s="3">
        <v>45878</v>
      </c>
      <c r="E416" t="s">
        <v>199</v>
      </c>
      <c r="F416" t="s">
        <v>1726</v>
      </c>
      <c r="G416" t="s">
        <v>22</v>
      </c>
      <c r="H416" t="s">
        <v>1727</v>
      </c>
      <c r="I416" t="s">
        <v>1728</v>
      </c>
      <c r="J416" s="4">
        <v>46083.976482500002</v>
      </c>
    </row>
    <row r="417" spans="1:11" x14ac:dyDescent="0.55000000000000004">
      <c r="A417" t="s">
        <v>1729</v>
      </c>
      <c r="B417">
        <v>100035</v>
      </c>
      <c r="C417" t="s">
        <v>37</v>
      </c>
      <c r="D417" s="3">
        <v>45915</v>
      </c>
      <c r="E417" t="s">
        <v>170</v>
      </c>
      <c r="F417" t="s">
        <v>1730</v>
      </c>
      <c r="G417" t="s">
        <v>15</v>
      </c>
      <c r="H417" t="s">
        <v>1731</v>
      </c>
      <c r="I417" t="s">
        <v>1732</v>
      </c>
      <c r="J417" s="4">
        <v>46055.948010277774</v>
      </c>
    </row>
    <row r="418" spans="1:11" x14ac:dyDescent="0.55000000000000004">
      <c r="A418" t="s">
        <v>1733</v>
      </c>
      <c r="B418">
        <v>100069</v>
      </c>
      <c r="C418" t="s">
        <v>179</v>
      </c>
      <c r="D418" s="3">
        <v>45853</v>
      </c>
      <c r="E418" t="s">
        <v>13</v>
      </c>
      <c r="F418" t="s">
        <v>1734</v>
      </c>
      <c r="G418" t="s">
        <v>22</v>
      </c>
      <c r="H418" t="s">
        <v>1735</v>
      </c>
      <c r="I418" t="s">
        <v>1736</v>
      </c>
      <c r="J418" s="4">
        <v>46073.153565833331</v>
      </c>
    </row>
    <row r="419" spans="1:11" x14ac:dyDescent="0.55000000000000004">
      <c r="A419" t="s">
        <v>1737</v>
      </c>
      <c r="B419">
        <v>100382</v>
      </c>
      <c r="C419" t="s">
        <v>68</v>
      </c>
      <c r="D419" s="3">
        <v>46014</v>
      </c>
      <c r="E419" t="s">
        <v>155</v>
      </c>
      <c r="F419" t="s">
        <v>1738</v>
      </c>
      <c r="G419" t="s">
        <v>22</v>
      </c>
      <c r="H419" t="s">
        <v>1739</v>
      </c>
      <c r="I419" t="s">
        <v>1740</v>
      </c>
      <c r="J419" s="4">
        <v>46084.863982511575</v>
      </c>
    </row>
    <row r="420" spans="1:11" x14ac:dyDescent="0.55000000000000004">
      <c r="A420" t="s">
        <v>1741</v>
      </c>
      <c r="B420">
        <v>101394</v>
      </c>
      <c r="C420" t="s">
        <v>179</v>
      </c>
      <c r="D420" s="3">
        <v>46156</v>
      </c>
      <c r="E420" t="s">
        <v>317</v>
      </c>
      <c r="F420" t="s">
        <v>1742</v>
      </c>
      <c r="G420" t="s">
        <v>22</v>
      </c>
      <c r="H420" t="s">
        <v>1743</v>
      </c>
      <c r="I420" t="s">
        <v>1744</v>
      </c>
      <c r="J420" s="4">
        <v>46059.968843622686</v>
      </c>
    </row>
    <row r="421" spans="1:11" x14ac:dyDescent="0.55000000000000004">
      <c r="A421" t="s">
        <v>1745</v>
      </c>
      <c r="B421">
        <v>100306</v>
      </c>
      <c r="C421" t="s">
        <v>19</v>
      </c>
      <c r="D421" s="3">
        <v>45832</v>
      </c>
      <c r="E421" t="s">
        <v>208</v>
      </c>
      <c r="F421" t="s">
        <v>1746</v>
      </c>
      <c r="G421" t="s">
        <v>15</v>
      </c>
      <c r="H421" t="s">
        <v>1747</v>
      </c>
      <c r="I421" t="s">
        <v>1748</v>
      </c>
      <c r="J421" s="4">
        <v>46054.640371400463</v>
      </c>
    </row>
    <row r="422" spans="1:11" x14ac:dyDescent="0.55000000000000004">
      <c r="A422" t="s">
        <v>1749</v>
      </c>
      <c r="B422">
        <v>100097</v>
      </c>
      <c r="C422" t="s">
        <v>533</v>
      </c>
      <c r="D422" s="3">
        <v>45820</v>
      </c>
      <c r="E422" t="s">
        <v>270</v>
      </c>
      <c r="F422" t="s">
        <v>1750</v>
      </c>
      <c r="G422" t="s">
        <v>15</v>
      </c>
      <c r="H422" t="s">
        <v>1751</v>
      </c>
      <c r="I422" t="s">
        <v>1752</v>
      </c>
      <c r="J422" s="4">
        <v>46070.349399189814</v>
      </c>
    </row>
    <row r="423" spans="1:11" x14ac:dyDescent="0.55000000000000004">
      <c r="A423" t="s">
        <v>992</v>
      </c>
      <c r="B423">
        <v>100895</v>
      </c>
      <c r="C423" t="s">
        <v>19</v>
      </c>
      <c r="D423" s="3">
        <v>45867</v>
      </c>
      <c r="E423" t="s">
        <v>115</v>
      </c>
      <c r="F423" t="s">
        <v>1753</v>
      </c>
      <c r="G423" t="s">
        <v>22</v>
      </c>
      <c r="H423" t="s">
        <v>1754</v>
      </c>
      <c r="I423" t="s">
        <v>1755</v>
      </c>
      <c r="J423" s="4">
        <v>46097.27648252315</v>
      </c>
    </row>
    <row r="424" spans="1:11" x14ac:dyDescent="0.55000000000000004">
      <c r="A424" t="s">
        <v>1756</v>
      </c>
      <c r="B424">
        <v>100967</v>
      </c>
      <c r="C424" t="s">
        <v>179</v>
      </c>
      <c r="D424" s="3">
        <v>46095</v>
      </c>
      <c r="E424" t="s">
        <v>155</v>
      </c>
      <c r="F424" t="s">
        <v>1757</v>
      </c>
      <c r="G424" t="s">
        <v>15</v>
      </c>
      <c r="H424" t="s">
        <v>1758</v>
      </c>
      <c r="I424" t="s">
        <v>1759</v>
      </c>
      <c r="J424" s="4">
        <v>46076.897315856484</v>
      </c>
    </row>
    <row r="425" spans="1:11" x14ac:dyDescent="0.55000000000000004">
      <c r="A425" t="s">
        <v>1760</v>
      </c>
      <c r="B425">
        <v>100731</v>
      </c>
      <c r="C425" t="s">
        <v>37</v>
      </c>
      <c r="D425" s="3">
        <v>46128</v>
      </c>
      <c r="E425" t="s">
        <v>495</v>
      </c>
      <c r="F425" t="s">
        <v>1761</v>
      </c>
      <c r="G425" t="s">
        <v>22</v>
      </c>
      <c r="H425" t="s">
        <v>1762</v>
      </c>
      <c r="I425" t="s">
        <v>1763</v>
      </c>
      <c r="J425" s="4">
        <v>46093.294538090275</v>
      </c>
    </row>
    <row r="426" spans="1:11" x14ac:dyDescent="0.55000000000000004">
      <c r="A426" t="s">
        <v>1764</v>
      </c>
      <c r="B426">
        <v>100233</v>
      </c>
      <c r="C426" t="s">
        <v>19</v>
      </c>
      <c r="D426" s="3">
        <v>45844</v>
      </c>
      <c r="E426" t="s">
        <v>38</v>
      </c>
      <c r="F426" t="s">
        <v>1765</v>
      </c>
      <c r="G426" t="s">
        <v>15</v>
      </c>
      <c r="H426" t="s">
        <v>1766</v>
      </c>
      <c r="I426" t="s">
        <v>1767</v>
      </c>
      <c r="J426" s="4">
        <v>46065.519538090281</v>
      </c>
    </row>
    <row r="427" spans="1:11" x14ac:dyDescent="0.55000000000000004">
      <c r="A427" t="s">
        <v>1768</v>
      </c>
      <c r="B427">
        <v>100932</v>
      </c>
      <c r="C427" t="s">
        <v>179</v>
      </c>
      <c r="D427" s="3">
        <v>46010</v>
      </c>
      <c r="E427" t="s">
        <v>83</v>
      </c>
      <c r="F427" t="s">
        <v>1769</v>
      </c>
      <c r="G427" t="s">
        <v>15</v>
      </c>
      <c r="H427" t="s">
        <v>1770</v>
      </c>
      <c r="I427" t="s">
        <v>1771</v>
      </c>
      <c r="J427" s="4">
        <v>46083.802871435182</v>
      </c>
    </row>
    <row r="428" spans="1:11" x14ac:dyDescent="0.55000000000000004">
      <c r="A428" t="s">
        <v>1772</v>
      </c>
      <c r="B428">
        <v>100241</v>
      </c>
      <c r="C428" t="s">
        <v>68</v>
      </c>
      <c r="D428" s="3">
        <v>45901</v>
      </c>
      <c r="E428" t="s">
        <v>356</v>
      </c>
      <c r="F428" t="s">
        <v>1773</v>
      </c>
      <c r="G428" t="s">
        <v>22</v>
      </c>
      <c r="H428" t="s">
        <v>1774</v>
      </c>
      <c r="I428" t="s">
        <v>1775</v>
      </c>
      <c r="J428" s="4">
        <v>46061.823010324071</v>
      </c>
    </row>
    <row r="429" spans="1:11" x14ac:dyDescent="0.55000000000000004">
      <c r="A429" t="s">
        <v>6030</v>
      </c>
      <c r="B429">
        <v>101089</v>
      </c>
      <c r="C429" t="s">
        <v>37</v>
      </c>
      <c r="D429" s="3">
        <v>45790</v>
      </c>
      <c r="E429" t="s">
        <v>208</v>
      </c>
      <c r="F429" t="s">
        <v>1777</v>
      </c>
      <c r="G429" t="s">
        <v>15</v>
      </c>
      <c r="H429" t="s">
        <v>1778</v>
      </c>
      <c r="I429" t="s">
        <v>1779</v>
      </c>
      <c r="J429" s="4">
        <v>46094.775788101855</v>
      </c>
      <c r="K429" t="s">
        <v>119</v>
      </c>
    </row>
    <row r="430" spans="1:11" x14ac:dyDescent="0.55000000000000004">
      <c r="A430" t="s">
        <v>1780</v>
      </c>
      <c r="B430">
        <v>100427</v>
      </c>
      <c r="C430" t="s">
        <v>68</v>
      </c>
      <c r="D430" s="3">
        <v>45927</v>
      </c>
      <c r="E430" t="s">
        <v>69</v>
      </c>
      <c r="F430" t="s">
        <v>1781</v>
      </c>
      <c r="G430" t="s">
        <v>22</v>
      </c>
      <c r="H430" t="s">
        <v>1782</v>
      </c>
      <c r="I430" t="s">
        <v>1783</v>
      </c>
      <c r="J430" s="4">
        <v>46063.343843668983</v>
      </c>
    </row>
    <row r="431" spans="1:11" x14ac:dyDescent="0.55000000000000004">
      <c r="A431" t="s">
        <v>1784</v>
      </c>
      <c r="B431">
        <v>100578</v>
      </c>
      <c r="C431" t="s">
        <v>37</v>
      </c>
      <c r="D431" s="3">
        <v>45996</v>
      </c>
      <c r="E431" t="s">
        <v>27</v>
      </c>
      <c r="F431" t="s">
        <v>1785</v>
      </c>
      <c r="G431" t="s">
        <v>22</v>
      </c>
      <c r="H431" t="s">
        <v>1786</v>
      </c>
      <c r="I431" t="s">
        <v>1787</v>
      </c>
      <c r="J431" s="4">
        <v>46066.684121446757</v>
      </c>
    </row>
    <row r="432" spans="1:11" x14ac:dyDescent="0.55000000000000004">
      <c r="A432" t="s">
        <v>1788</v>
      </c>
      <c r="B432">
        <v>101202</v>
      </c>
      <c r="C432" t="s">
        <v>68</v>
      </c>
      <c r="D432" s="3">
        <v>46065</v>
      </c>
      <c r="E432" t="s">
        <v>20</v>
      </c>
      <c r="F432" t="s">
        <v>1789</v>
      </c>
      <c r="G432" t="s">
        <v>15</v>
      </c>
      <c r="H432" t="s">
        <v>1790</v>
      </c>
      <c r="I432" t="s">
        <v>1791</v>
      </c>
      <c r="J432" s="4">
        <v>46091.508427002314</v>
      </c>
    </row>
    <row r="433" spans="1:11" x14ac:dyDescent="0.55000000000000004">
      <c r="A433" t="s">
        <v>1792</v>
      </c>
      <c r="B433">
        <v>100361</v>
      </c>
      <c r="C433" t="s">
        <v>19</v>
      </c>
      <c r="D433" s="3">
        <v>46005</v>
      </c>
      <c r="E433" t="s">
        <v>317</v>
      </c>
      <c r="F433" t="s">
        <v>1793</v>
      </c>
      <c r="G433" t="s">
        <v>15</v>
      </c>
      <c r="H433" t="s">
        <v>1794</v>
      </c>
      <c r="I433" t="s">
        <v>1795</v>
      </c>
      <c r="J433" s="4">
        <v>46083.793149236109</v>
      </c>
    </row>
    <row r="434" spans="1:11" x14ac:dyDescent="0.55000000000000004">
      <c r="A434" t="s">
        <v>1796</v>
      </c>
      <c r="B434">
        <v>101027</v>
      </c>
      <c r="C434" t="s">
        <v>248</v>
      </c>
      <c r="D434" s="3">
        <v>46082</v>
      </c>
      <c r="E434" t="s">
        <v>265</v>
      </c>
      <c r="F434" t="s">
        <v>1797</v>
      </c>
      <c r="G434" t="s">
        <v>22</v>
      </c>
      <c r="H434" t="s">
        <v>1798</v>
      </c>
      <c r="I434" t="s">
        <v>1799</v>
      </c>
      <c r="J434" s="4">
        <v>46056.643843680555</v>
      </c>
    </row>
    <row r="435" spans="1:11" x14ac:dyDescent="0.55000000000000004">
      <c r="A435" t="s">
        <v>1800</v>
      </c>
      <c r="B435">
        <v>100149</v>
      </c>
      <c r="C435" t="s">
        <v>533</v>
      </c>
      <c r="D435" s="3">
        <v>45744</v>
      </c>
      <c r="E435" t="s">
        <v>49</v>
      </c>
      <c r="F435" t="s">
        <v>1801</v>
      </c>
      <c r="G435" t="s">
        <v>15</v>
      </c>
      <c r="H435" t="s">
        <v>1802</v>
      </c>
      <c r="I435" t="s">
        <v>1803</v>
      </c>
      <c r="J435" s="4">
        <v>46092.641760347222</v>
      </c>
    </row>
    <row r="436" spans="1:11" x14ac:dyDescent="0.55000000000000004">
      <c r="A436" t="s">
        <v>1804</v>
      </c>
      <c r="B436">
        <v>100366</v>
      </c>
      <c r="C436" t="s">
        <v>37</v>
      </c>
      <c r="D436" s="3">
        <v>45823</v>
      </c>
      <c r="E436" t="s">
        <v>170</v>
      </c>
      <c r="F436" t="s">
        <v>1805</v>
      </c>
      <c r="G436" t="s">
        <v>15</v>
      </c>
      <c r="H436" t="s">
        <v>1806</v>
      </c>
      <c r="I436" t="s">
        <v>1807</v>
      </c>
      <c r="J436" s="4">
        <v>46081.166760358799</v>
      </c>
    </row>
    <row r="437" spans="1:11" x14ac:dyDescent="0.55000000000000004">
      <c r="A437" t="s">
        <v>1808</v>
      </c>
      <c r="B437">
        <v>101282</v>
      </c>
      <c r="C437" t="s">
        <v>179</v>
      </c>
      <c r="D437" s="3">
        <v>45962</v>
      </c>
      <c r="E437" t="s">
        <v>300</v>
      </c>
      <c r="F437" t="s">
        <v>1809</v>
      </c>
      <c r="G437" t="s">
        <v>15</v>
      </c>
      <c r="H437" t="s">
        <v>1810</v>
      </c>
      <c r="I437" t="s">
        <v>1811</v>
      </c>
      <c r="J437" s="4">
        <v>46072.78898258102</v>
      </c>
    </row>
    <row r="438" spans="1:11" x14ac:dyDescent="0.55000000000000004">
      <c r="A438" t="s">
        <v>1812</v>
      </c>
      <c r="B438">
        <v>101054</v>
      </c>
      <c r="C438" t="s">
        <v>533</v>
      </c>
      <c r="D438" s="3">
        <v>46005</v>
      </c>
      <c r="E438" t="s">
        <v>317</v>
      </c>
      <c r="F438" t="s">
        <v>1813</v>
      </c>
      <c r="G438" t="s">
        <v>15</v>
      </c>
      <c r="H438" t="s">
        <v>1814</v>
      </c>
      <c r="I438" t="s">
        <v>1815</v>
      </c>
      <c r="J438" s="4">
        <v>46060.681343692129</v>
      </c>
    </row>
    <row r="439" spans="1:11" x14ac:dyDescent="0.55000000000000004">
      <c r="A439" t="s">
        <v>1816</v>
      </c>
      <c r="B439">
        <v>101228</v>
      </c>
      <c r="C439" t="s">
        <v>37</v>
      </c>
      <c r="D439" s="3">
        <v>45915</v>
      </c>
      <c r="E439" t="s">
        <v>343</v>
      </c>
      <c r="F439" t="s">
        <v>1817</v>
      </c>
      <c r="G439" t="s">
        <v>15</v>
      </c>
      <c r="H439" t="s">
        <v>1818</v>
      </c>
      <c r="I439" t="s">
        <v>1819</v>
      </c>
      <c r="J439" s="4">
        <v>46079.123704814818</v>
      </c>
    </row>
    <row r="440" spans="1:11" x14ac:dyDescent="0.55000000000000004">
      <c r="A440" t="s">
        <v>1820</v>
      </c>
      <c r="B440">
        <v>100704</v>
      </c>
      <c r="C440" t="s">
        <v>179</v>
      </c>
      <c r="D440" s="3">
        <v>45934</v>
      </c>
      <c r="E440" t="s">
        <v>121</v>
      </c>
      <c r="F440" t="s">
        <v>1821</v>
      </c>
      <c r="G440" t="s">
        <v>15</v>
      </c>
      <c r="H440" t="s">
        <v>1822</v>
      </c>
      <c r="I440" t="s">
        <v>1823</v>
      </c>
      <c r="J440" s="4">
        <v>46089.190371481483</v>
      </c>
      <c r="K440" t="s">
        <v>139</v>
      </c>
    </row>
    <row r="441" spans="1:11" x14ac:dyDescent="0.55000000000000004">
      <c r="A441" t="s">
        <v>909</v>
      </c>
      <c r="B441">
        <v>100060</v>
      </c>
      <c r="C441" t="s">
        <v>19</v>
      </c>
      <c r="D441" s="3">
        <v>45883</v>
      </c>
      <c r="E441" t="s">
        <v>160</v>
      </c>
      <c r="F441" t="s">
        <v>1824</v>
      </c>
      <c r="G441" t="s">
        <v>15</v>
      </c>
      <c r="H441" t="s">
        <v>1825</v>
      </c>
      <c r="I441" t="s">
        <v>1826</v>
      </c>
      <c r="J441" s="4">
        <v>46061.957038148146</v>
      </c>
    </row>
    <row r="442" spans="1:11" x14ac:dyDescent="0.55000000000000004">
      <c r="A442" t="s">
        <v>1827</v>
      </c>
      <c r="B442">
        <v>101488</v>
      </c>
      <c r="C442" t="s">
        <v>533</v>
      </c>
      <c r="D442" s="3">
        <v>45795</v>
      </c>
      <c r="E442" t="s">
        <v>155</v>
      </c>
      <c r="F442" t="s">
        <v>1828</v>
      </c>
      <c r="G442" t="s">
        <v>22</v>
      </c>
      <c r="H442" t="s">
        <v>1829</v>
      </c>
      <c r="I442" t="s">
        <v>1830</v>
      </c>
      <c r="J442" s="4">
        <v>46062.967454826387</v>
      </c>
    </row>
    <row r="443" spans="1:11" x14ac:dyDescent="0.55000000000000004">
      <c r="A443" t="s">
        <v>1831</v>
      </c>
      <c r="B443">
        <v>100058</v>
      </c>
      <c r="C443" t="s">
        <v>37</v>
      </c>
      <c r="D443" s="3">
        <v>45888</v>
      </c>
      <c r="E443" t="s">
        <v>317</v>
      </c>
      <c r="F443" t="s">
        <v>1832</v>
      </c>
      <c r="G443" t="s">
        <v>22</v>
      </c>
      <c r="H443" t="s">
        <v>1833</v>
      </c>
      <c r="I443" t="s">
        <v>1834</v>
      </c>
      <c r="J443" s="4">
        <v>46084.159121493052</v>
      </c>
    </row>
    <row r="444" spans="1:11" x14ac:dyDescent="0.55000000000000004">
      <c r="A444" t="s">
        <v>1835</v>
      </c>
      <c r="B444">
        <v>101422</v>
      </c>
      <c r="C444" t="s">
        <v>19</v>
      </c>
      <c r="D444" s="3">
        <v>45804</v>
      </c>
      <c r="E444" t="s">
        <v>115</v>
      </c>
      <c r="F444" t="s">
        <v>1836</v>
      </c>
      <c r="G444" t="s">
        <v>15</v>
      </c>
      <c r="H444" t="s">
        <v>1837</v>
      </c>
      <c r="I444" t="s">
        <v>1838</v>
      </c>
      <c r="J444" s="4">
        <v>46058.386899282406</v>
      </c>
    </row>
    <row r="445" spans="1:11" x14ac:dyDescent="0.55000000000000004">
      <c r="A445" t="s">
        <v>1839</v>
      </c>
      <c r="B445">
        <v>100115</v>
      </c>
      <c r="C445" t="s">
        <v>248</v>
      </c>
      <c r="D445" s="3">
        <v>45790</v>
      </c>
      <c r="E445" t="s">
        <v>317</v>
      </c>
      <c r="F445" t="s">
        <v>1840</v>
      </c>
      <c r="G445" t="s">
        <v>15</v>
      </c>
      <c r="H445" t="s">
        <v>1841</v>
      </c>
      <c r="I445" t="s">
        <v>1842</v>
      </c>
      <c r="J445" s="4">
        <v>46062.09037150463</v>
      </c>
    </row>
    <row r="446" spans="1:11" x14ac:dyDescent="0.55000000000000004">
      <c r="A446" t="s">
        <v>1843</v>
      </c>
      <c r="B446">
        <v>101306</v>
      </c>
      <c r="C446" t="s">
        <v>19</v>
      </c>
      <c r="D446" s="3">
        <v>45769</v>
      </c>
      <c r="E446" t="s">
        <v>141</v>
      </c>
      <c r="F446" t="s">
        <v>1844</v>
      </c>
      <c r="G446" t="s">
        <v>22</v>
      </c>
      <c r="H446" t="s">
        <v>1845</v>
      </c>
      <c r="I446" t="s">
        <v>1846</v>
      </c>
      <c r="J446" s="4">
        <v>46091.46537150463</v>
      </c>
    </row>
    <row r="447" spans="1:11" x14ac:dyDescent="0.55000000000000004">
      <c r="A447" t="s">
        <v>1847</v>
      </c>
      <c r="B447">
        <v>100208</v>
      </c>
      <c r="C447" t="s">
        <v>19</v>
      </c>
      <c r="D447" s="3">
        <v>45981</v>
      </c>
      <c r="E447" t="s">
        <v>356</v>
      </c>
      <c r="F447" t="s">
        <v>1848</v>
      </c>
      <c r="G447" t="s">
        <v>15</v>
      </c>
      <c r="H447" t="s">
        <v>1849</v>
      </c>
      <c r="I447" t="s">
        <v>1850</v>
      </c>
      <c r="J447" s="4">
        <v>46091.341065960645</v>
      </c>
    </row>
    <row r="448" spans="1:11" x14ac:dyDescent="0.55000000000000004">
      <c r="A448" t="s">
        <v>1851</v>
      </c>
      <c r="B448">
        <v>100829</v>
      </c>
      <c r="C448" t="s">
        <v>19</v>
      </c>
      <c r="D448" s="3">
        <v>45767</v>
      </c>
      <c r="E448" t="s">
        <v>20</v>
      </c>
      <c r="F448" t="s">
        <v>1852</v>
      </c>
      <c r="G448" t="s">
        <v>22</v>
      </c>
      <c r="H448" t="s">
        <v>1853</v>
      </c>
      <c r="I448" t="s">
        <v>1854</v>
      </c>
      <c r="J448" s="4">
        <v>46069.279260405092</v>
      </c>
    </row>
    <row r="449" spans="1:11" x14ac:dyDescent="0.55000000000000004">
      <c r="A449" t="s">
        <v>1855</v>
      </c>
      <c r="B449">
        <v>101119</v>
      </c>
      <c r="C449" t="s">
        <v>19</v>
      </c>
      <c r="D449" s="3">
        <v>46069</v>
      </c>
      <c r="E449" t="s">
        <v>27</v>
      </c>
      <c r="F449" t="s">
        <v>1856</v>
      </c>
      <c r="G449" t="s">
        <v>15</v>
      </c>
      <c r="H449" t="s">
        <v>1857</v>
      </c>
      <c r="I449" t="s">
        <v>1858</v>
      </c>
      <c r="J449" s="4">
        <v>46060.940371516204</v>
      </c>
    </row>
    <row r="450" spans="1:11" x14ac:dyDescent="0.55000000000000004">
      <c r="A450" t="s">
        <v>1859</v>
      </c>
      <c r="B450">
        <v>100698</v>
      </c>
      <c r="C450" t="s">
        <v>68</v>
      </c>
      <c r="D450" s="3">
        <v>46145</v>
      </c>
      <c r="E450" t="s">
        <v>418</v>
      </c>
      <c r="F450" t="s">
        <v>1860</v>
      </c>
      <c r="G450" t="s">
        <v>15</v>
      </c>
      <c r="H450" t="s">
        <v>1861</v>
      </c>
      <c r="I450" t="s">
        <v>1862</v>
      </c>
      <c r="J450" s="4">
        <v>46077.395927083337</v>
      </c>
    </row>
    <row r="451" spans="1:11" x14ac:dyDescent="0.55000000000000004">
      <c r="A451" t="s">
        <v>1863</v>
      </c>
      <c r="B451">
        <v>100159</v>
      </c>
      <c r="C451" t="s">
        <v>248</v>
      </c>
      <c r="D451" s="3">
        <v>46096</v>
      </c>
      <c r="E451" t="s">
        <v>300</v>
      </c>
      <c r="F451" t="s">
        <v>1864</v>
      </c>
      <c r="G451" t="s">
        <v>22</v>
      </c>
      <c r="H451" t="s">
        <v>1865</v>
      </c>
      <c r="I451" t="s">
        <v>1866</v>
      </c>
      <c r="J451" s="4">
        <v>46088.779954861115</v>
      </c>
    </row>
    <row r="452" spans="1:11" x14ac:dyDescent="0.55000000000000004">
      <c r="A452" t="s">
        <v>1867</v>
      </c>
      <c r="B452">
        <v>101100</v>
      </c>
      <c r="C452" t="s">
        <v>68</v>
      </c>
      <c r="D452" s="3">
        <v>45977</v>
      </c>
      <c r="E452" t="s">
        <v>58</v>
      </c>
      <c r="F452" t="s">
        <v>1868</v>
      </c>
      <c r="G452" t="s">
        <v>22</v>
      </c>
      <c r="H452" t="s">
        <v>1869</v>
      </c>
      <c r="I452" t="s">
        <v>1870</v>
      </c>
      <c r="J452" s="4">
        <v>46065.961899305556</v>
      </c>
    </row>
    <row r="453" spans="1:11" x14ac:dyDescent="0.55000000000000004">
      <c r="A453" t="s">
        <v>1871</v>
      </c>
      <c r="B453">
        <v>101459</v>
      </c>
      <c r="C453" t="s">
        <v>533</v>
      </c>
      <c r="D453" s="3">
        <v>45821</v>
      </c>
      <c r="E453" t="s">
        <v>343</v>
      </c>
      <c r="F453" t="s">
        <v>1872</v>
      </c>
      <c r="G453" t="s">
        <v>15</v>
      </c>
      <c r="H453" t="s">
        <v>1873</v>
      </c>
      <c r="I453" t="s">
        <v>1874</v>
      </c>
      <c r="J453" s="4">
        <v>46063.466760428244</v>
      </c>
    </row>
    <row r="454" spans="1:11" x14ac:dyDescent="0.55000000000000004">
      <c r="A454" t="s">
        <v>1875</v>
      </c>
      <c r="B454">
        <v>101078</v>
      </c>
      <c r="C454" t="s">
        <v>248</v>
      </c>
      <c r="D454" s="3">
        <v>46107</v>
      </c>
      <c r="E454" t="s">
        <v>184</v>
      </c>
      <c r="F454" t="s">
        <v>1876</v>
      </c>
      <c r="G454" t="s">
        <v>15</v>
      </c>
      <c r="H454" t="s">
        <v>1877</v>
      </c>
      <c r="I454" t="s">
        <v>1878</v>
      </c>
      <c r="J454" s="4">
        <v>46059.92301042824</v>
      </c>
    </row>
    <row r="455" spans="1:11" x14ac:dyDescent="0.55000000000000004">
      <c r="A455" t="s">
        <v>1879</v>
      </c>
      <c r="B455">
        <v>101251</v>
      </c>
      <c r="C455" t="s">
        <v>179</v>
      </c>
      <c r="D455" s="3">
        <v>46125</v>
      </c>
      <c r="E455" t="s">
        <v>199</v>
      </c>
      <c r="F455" t="s">
        <v>1880</v>
      </c>
      <c r="G455" t="s">
        <v>22</v>
      </c>
      <c r="H455" t="s">
        <v>1881</v>
      </c>
      <c r="I455" t="s">
        <v>1882</v>
      </c>
      <c r="J455" s="4">
        <v>46056.534815983796</v>
      </c>
    </row>
    <row r="456" spans="1:11" x14ac:dyDescent="0.55000000000000004">
      <c r="A456" t="s">
        <v>1883</v>
      </c>
      <c r="B456">
        <v>101128</v>
      </c>
      <c r="C456" t="s">
        <v>68</v>
      </c>
      <c r="D456" s="3">
        <v>45932</v>
      </c>
      <c r="E456" t="s">
        <v>38</v>
      </c>
      <c r="F456" t="s">
        <v>1884</v>
      </c>
      <c r="G456" t="s">
        <v>22</v>
      </c>
      <c r="H456" t="s">
        <v>1885</v>
      </c>
      <c r="I456" t="s">
        <v>1886</v>
      </c>
      <c r="J456" s="4">
        <v>46089.085510439814</v>
      </c>
    </row>
    <row r="457" spans="1:11" x14ac:dyDescent="0.55000000000000004">
      <c r="A457" t="s">
        <v>1887</v>
      </c>
      <c r="B457">
        <v>101192</v>
      </c>
      <c r="C457" t="s">
        <v>19</v>
      </c>
      <c r="D457" s="3">
        <v>45993</v>
      </c>
      <c r="E457" t="s">
        <v>69</v>
      </c>
      <c r="F457" t="s">
        <v>1888</v>
      </c>
      <c r="G457" t="s">
        <v>22</v>
      </c>
      <c r="H457" t="s">
        <v>1889</v>
      </c>
      <c r="I457" t="s">
        <v>1890</v>
      </c>
      <c r="J457" s="4">
        <v>46065.73134377315</v>
      </c>
    </row>
    <row r="458" spans="1:11" x14ac:dyDescent="0.55000000000000004">
      <c r="A458" t="s">
        <v>1891</v>
      </c>
      <c r="B458">
        <v>100626</v>
      </c>
      <c r="C458" t="s">
        <v>248</v>
      </c>
      <c r="D458" s="3">
        <v>46144</v>
      </c>
      <c r="E458" t="s">
        <v>587</v>
      </c>
      <c r="F458" t="s">
        <v>1892</v>
      </c>
      <c r="G458" t="s">
        <v>22</v>
      </c>
      <c r="H458" t="s">
        <v>1893</v>
      </c>
      <c r="I458" t="s">
        <v>1894</v>
      </c>
      <c r="J458" s="4">
        <v>46087.491760439814</v>
      </c>
    </row>
    <row r="459" spans="1:11" x14ac:dyDescent="0.55000000000000004">
      <c r="A459" t="s">
        <v>1895</v>
      </c>
      <c r="B459">
        <v>100062</v>
      </c>
      <c r="C459" t="s">
        <v>19</v>
      </c>
      <c r="D459" s="3">
        <v>46021</v>
      </c>
      <c r="E459" t="s">
        <v>208</v>
      </c>
      <c r="F459" t="s">
        <v>1896</v>
      </c>
      <c r="G459" t="s">
        <v>15</v>
      </c>
      <c r="H459" t="s">
        <v>1897</v>
      </c>
      <c r="I459" t="s">
        <v>1898</v>
      </c>
      <c r="J459" s="4">
        <v>46083.052871562497</v>
      </c>
    </row>
    <row r="460" spans="1:11" x14ac:dyDescent="0.55000000000000004">
      <c r="A460" t="s">
        <v>1899</v>
      </c>
      <c r="B460">
        <v>101158</v>
      </c>
      <c r="C460" t="s">
        <v>248</v>
      </c>
      <c r="D460" s="3">
        <v>45764</v>
      </c>
      <c r="E460" t="s">
        <v>356</v>
      </c>
      <c r="F460" t="s">
        <v>1900</v>
      </c>
      <c r="G460" t="s">
        <v>15</v>
      </c>
      <c r="H460" t="s">
        <v>1901</v>
      </c>
      <c r="I460" t="s">
        <v>1902</v>
      </c>
      <c r="J460" s="4">
        <v>46055.452177118059</v>
      </c>
    </row>
    <row r="461" spans="1:11" x14ac:dyDescent="0.55000000000000004">
      <c r="A461" t="s">
        <v>1903</v>
      </c>
      <c r="B461">
        <v>100357</v>
      </c>
      <c r="C461" t="s">
        <v>19</v>
      </c>
      <c r="D461" s="3">
        <v>46137</v>
      </c>
      <c r="E461" t="s">
        <v>757</v>
      </c>
      <c r="F461" t="s">
        <v>1904</v>
      </c>
      <c r="G461" t="s">
        <v>22</v>
      </c>
      <c r="H461" t="s">
        <v>1905</v>
      </c>
      <c r="I461" t="s">
        <v>1906</v>
      </c>
      <c r="J461" s="4">
        <v>46095.689677129631</v>
      </c>
    </row>
    <row r="462" spans="1:11" x14ac:dyDescent="0.55000000000000004">
      <c r="A462" t="s">
        <v>1907</v>
      </c>
      <c r="C462" t="s">
        <v>68</v>
      </c>
      <c r="D462" s="3">
        <v>45784</v>
      </c>
      <c r="E462" t="s">
        <v>126</v>
      </c>
      <c r="F462" t="s">
        <v>1908</v>
      </c>
      <c r="G462" t="s">
        <v>15</v>
      </c>
      <c r="H462" t="s">
        <v>1909</v>
      </c>
      <c r="I462" t="s">
        <v>1910</v>
      </c>
      <c r="J462" s="4">
        <v>46072.816760462963</v>
      </c>
      <c r="K462" t="s">
        <v>112</v>
      </c>
    </row>
    <row r="463" spans="1:11" x14ac:dyDescent="0.55000000000000004">
      <c r="A463" t="s">
        <v>1911</v>
      </c>
      <c r="C463" t="s">
        <v>179</v>
      </c>
      <c r="D463" s="3">
        <v>45919</v>
      </c>
      <c r="E463" t="s">
        <v>13</v>
      </c>
      <c r="F463" t="s">
        <v>1286</v>
      </c>
      <c r="G463" t="s">
        <v>22</v>
      </c>
      <c r="H463" t="s">
        <v>1912</v>
      </c>
      <c r="I463" t="s">
        <v>1913</v>
      </c>
      <c r="J463" s="4">
        <v>46083.011899351855</v>
      </c>
      <c r="K463" t="s">
        <v>112</v>
      </c>
    </row>
    <row r="464" spans="1:11" x14ac:dyDescent="0.55000000000000004">
      <c r="A464" t="s">
        <v>1914</v>
      </c>
      <c r="B464">
        <v>101085</v>
      </c>
      <c r="C464" t="s">
        <v>179</v>
      </c>
      <c r="D464" s="3">
        <v>45912</v>
      </c>
      <c r="E464" t="s">
        <v>757</v>
      </c>
      <c r="F464" t="s">
        <v>1915</v>
      </c>
      <c r="G464" t="s">
        <v>15</v>
      </c>
      <c r="H464" t="s">
        <v>1916</v>
      </c>
      <c r="I464" t="s">
        <v>1917</v>
      </c>
      <c r="J464" s="4">
        <v>46065.548704918983</v>
      </c>
    </row>
    <row r="465" spans="1:10" x14ac:dyDescent="0.55000000000000004">
      <c r="A465" t="s">
        <v>1918</v>
      </c>
      <c r="B465">
        <v>100067</v>
      </c>
      <c r="C465" t="s">
        <v>179</v>
      </c>
      <c r="D465" s="3">
        <v>45816</v>
      </c>
      <c r="E465" t="s">
        <v>155</v>
      </c>
      <c r="F465" t="s">
        <v>1919</v>
      </c>
      <c r="G465" t="s">
        <v>22</v>
      </c>
      <c r="H465" t="s">
        <v>1920</v>
      </c>
      <c r="I465" t="s">
        <v>1921</v>
      </c>
      <c r="J465" s="4">
        <v>46084.53273269676</v>
      </c>
    </row>
    <row r="466" spans="1:10" x14ac:dyDescent="0.55000000000000004">
      <c r="A466" t="s">
        <v>1922</v>
      </c>
      <c r="B466">
        <v>100896</v>
      </c>
      <c r="C466" t="s">
        <v>533</v>
      </c>
      <c r="D466" s="3">
        <v>45812</v>
      </c>
      <c r="E466" t="s">
        <v>170</v>
      </c>
      <c r="F466" t="s">
        <v>1923</v>
      </c>
      <c r="G466" t="s">
        <v>15</v>
      </c>
      <c r="H466" t="s">
        <v>1924</v>
      </c>
      <c r="I466" t="s">
        <v>1925</v>
      </c>
      <c r="J466" s="4">
        <v>46071.276482696761</v>
      </c>
    </row>
    <row r="467" spans="1:10" x14ac:dyDescent="0.55000000000000004">
      <c r="A467" t="s">
        <v>1926</v>
      </c>
      <c r="B467">
        <v>100930</v>
      </c>
      <c r="C467" t="s">
        <v>533</v>
      </c>
      <c r="D467" s="3">
        <v>45978</v>
      </c>
      <c r="E467" t="s">
        <v>680</v>
      </c>
      <c r="F467" t="s">
        <v>1927</v>
      </c>
      <c r="G467" t="s">
        <v>15</v>
      </c>
      <c r="H467" t="s">
        <v>1928</v>
      </c>
      <c r="I467" t="s">
        <v>1929</v>
      </c>
      <c r="J467" s="4">
        <v>46056.161899375002</v>
      </c>
    </row>
    <row r="468" spans="1:10" x14ac:dyDescent="0.55000000000000004">
      <c r="A468" t="s">
        <v>1930</v>
      </c>
      <c r="B468">
        <v>101333</v>
      </c>
      <c r="C468" t="s">
        <v>37</v>
      </c>
      <c r="D468" s="3">
        <v>45856</v>
      </c>
      <c r="E468" t="s">
        <v>115</v>
      </c>
      <c r="F468" t="s">
        <v>1931</v>
      </c>
      <c r="G468" t="s">
        <v>15</v>
      </c>
      <c r="H468" t="s">
        <v>1932</v>
      </c>
      <c r="I468" t="s">
        <v>1933</v>
      </c>
      <c r="J468" s="4">
        <v>46088.850788263888</v>
      </c>
    </row>
    <row r="469" spans="1:10" x14ac:dyDescent="0.55000000000000004">
      <c r="A469" t="s">
        <v>1934</v>
      </c>
      <c r="B469">
        <v>100681</v>
      </c>
      <c r="C469" t="s">
        <v>19</v>
      </c>
      <c r="D469" s="3">
        <v>45752</v>
      </c>
      <c r="E469" t="s">
        <v>108</v>
      </c>
      <c r="F469" t="s">
        <v>1935</v>
      </c>
      <c r="G469" t="s">
        <v>22</v>
      </c>
      <c r="H469" t="s">
        <v>1936</v>
      </c>
      <c r="I469" t="s">
        <v>1937</v>
      </c>
      <c r="J469" s="4">
        <v>46086.01120494213</v>
      </c>
    </row>
    <row r="470" spans="1:10" x14ac:dyDescent="0.55000000000000004">
      <c r="A470" t="s">
        <v>1938</v>
      </c>
      <c r="B470">
        <v>100837</v>
      </c>
      <c r="C470" t="s">
        <v>179</v>
      </c>
      <c r="D470" s="3">
        <v>46038</v>
      </c>
      <c r="E470" t="s">
        <v>13</v>
      </c>
      <c r="F470" t="s">
        <v>1939</v>
      </c>
      <c r="G470" t="s">
        <v>15</v>
      </c>
      <c r="H470" t="s">
        <v>1940</v>
      </c>
      <c r="I470" t="s">
        <v>1941</v>
      </c>
      <c r="J470" s="4">
        <v>46084.107732719909</v>
      </c>
    </row>
    <row r="471" spans="1:10" x14ac:dyDescent="0.55000000000000004">
      <c r="A471" t="s">
        <v>1942</v>
      </c>
      <c r="B471">
        <v>100800</v>
      </c>
      <c r="C471" t="s">
        <v>19</v>
      </c>
      <c r="D471" s="3">
        <v>45973</v>
      </c>
      <c r="E471" t="s">
        <v>189</v>
      </c>
      <c r="F471" t="s">
        <v>203</v>
      </c>
      <c r="G471" t="s">
        <v>22</v>
      </c>
      <c r="H471" t="s">
        <v>1943</v>
      </c>
      <c r="I471" t="s">
        <v>1944</v>
      </c>
      <c r="J471" s="4">
        <v>46059.543149386576</v>
      </c>
    </row>
    <row r="472" spans="1:10" x14ac:dyDescent="0.55000000000000004">
      <c r="A472" t="s">
        <v>1945</v>
      </c>
      <c r="B472">
        <v>100320</v>
      </c>
      <c r="C472" t="s">
        <v>19</v>
      </c>
      <c r="D472" s="3">
        <v>46152</v>
      </c>
      <c r="E472" t="s">
        <v>38</v>
      </c>
      <c r="F472" t="s">
        <v>1946</v>
      </c>
      <c r="G472" t="s">
        <v>22</v>
      </c>
      <c r="H472" t="s">
        <v>1947</v>
      </c>
      <c r="I472" t="s">
        <v>1948</v>
      </c>
      <c r="J472" s="4">
        <v>46086.770927175923</v>
      </c>
    </row>
    <row r="473" spans="1:10" x14ac:dyDescent="0.55000000000000004">
      <c r="A473" t="s">
        <v>1949</v>
      </c>
      <c r="B473">
        <v>100934</v>
      </c>
      <c r="C473" t="s">
        <v>68</v>
      </c>
      <c r="D473" s="3">
        <v>45964</v>
      </c>
      <c r="E473" t="s">
        <v>528</v>
      </c>
      <c r="F473" t="s">
        <v>1950</v>
      </c>
      <c r="G473" t="s">
        <v>22</v>
      </c>
      <c r="H473" t="s">
        <v>1951</v>
      </c>
      <c r="I473" t="s">
        <v>1952</v>
      </c>
      <c r="J473" s="4">
        <v>46073.558427175929</v>
      </c>
    </row>
    <row r="474" spans="1:10" x14ac:dyDescent="0.55000000000000004">
      <c r="A474" t="s">
        <v>1953</v>
      </c>
      <c r="B474">
        <v>100387</v>
      </c>
      <c r="C474" t="s">
        <v>533</v>
      </c>
      <c r="D474" s="3">
        <v>45740</v>
      </c>
      <c r="E474" t="s">
        <v>38</v>
      </c>
      <c r="F474" t="s">
        <v>1954</v>
      </c>
      <c r="G474" t="s">
        <v>22</v>
      </c>
      <c r="H474" t="s">
        <v>1955</v>
      </c>
      <c r="I474" t="s">
        <v>1956</v>
      </c>
      <c r="J474" s="4">
        <v>46087.884816064812</v>
      </c>
    </row>
    <row r="475" spans="1:10" x14ac:dyDescent="0.55000000000000004">
      <c r="A475" t="s">
        <v>1957</v>
      </c>
      <c r="B475">
        <v>100909</v>
      </c>
      <c r="C475" t="s">
        <v>533</v>
      </c>
      <c r="D475" s="3">
        <v>45822</v>
      </c>
      <c r="E475" t="s">
        <v>27</v>
      </c>
      <c r="F475" t="s">
        <v>1958</v>
      </c>
      <c r="G475" t="s">
        <v>15</v>
      </c>
      <c r="H475" t="s">
        <v>1959</v>
      </c>
      <c r="I475" t="s">
        <v>1960</v>
      </c>
      <c r="J475" s="4">
        <v>46063.030649409724</v>
      </c>
    </row>
    <row r="476" spans="1:10" x14ac:dyDescent="0.55000000000000004">
      <c r="A476" t="s">
        <v>1961</v>
      </c>
      <c r="B476">
        <v>100519</v>
      </c>
      <c r="C476" t="s">
        <v>533</v>
      </c>
      <c r="D476" s="3">
        <v>45779</v>
      </c>
      <c r="E476" t="s">
        <v>189</v>
      </c>
      <c r="F476" t="s">
        <v>1962</v>
      </c>
      <c r="G476" t="s">
        <v>15</v>
      </c>
      <c r="H476" t="s">
        <v>1963</v>
      </c>
      <c r="I476" t="s">
        <v>1964</v>
      </c>
      <c r="J476" s="4">
        <v>46053.823010520835</v>
      </c>
    </row>
    <row r="477" spans="1:10" x14ac:dyDescent="0.55000000000000004">
      <c r="A477" t="s">
        <v>1965</v>
      </c>
      <c r="B477">
        <v>100905</v>
      </c>
      <c r="C477" t="s">
        <v>179</v>
      </c>
      <c r="D477" s="3">
        <v>45999</v>
      </c>
      <c r="E477" t="s">
        <v>295</v>
      </c>
      <c r="F477" t="s">
        <v>1966</v>
      </c>
      <c r="G477" t="s">
        <v>22</v>
      </c>
      <c r="H477" t="s">
        <v>1967</v>
      </c>
      <c r="I477" t="s">
        <v>1968</v>
      </c>
      <c r="J477" s="4">
        <v>46083.060510520831</v>
      </c>
    </row>
    <row r="478" spans="1:10" x14ac:dyDescent="0.55000000000000004">
      <c r="A478" t="s">
        <v>1969</v>
      </c>
      <c r="B478">
        <v>101368</v>
      </c>
      <c r="C478" t="s">
        <v>179</v>
      </c>
      <c r="D478" s="3">
        <v>45911</v>
      </c>
      <c r="E478" t="s">
        <v>184</v>
      </c>
      <c r="F478" t="s">
        <v>1970</v>
      </c>
      <c r="G478" t="s">
        <v>22</v>
      </c>
      <c r="H478" t="s">
        <v>1971</v>
      </c>
      <c r="I478" t="s">
        <v>1972</v>
      </c>
      <c r="J478" s="4">
        <v>46089.384121643518</v>
      </c>
    </row>
    <row r="479" spans="1:10" x14ac:dyDescent="0.55000000000000004">
      <c r="A479" t="s">
        <v>1973</v>
      </c>
      <c r="B479">
        <v>101061</v>
      </c>
      <c r="C479" t="s">
        <v>19</v>
      </c>
      <c r="D479" s="3">
        <v>46124</v>
      </c>
      <c r="E479" t="s">
        <v>155</v>
      </c>
      <c r="F479" t="s">
        <v>1974</v>
      </c>
      <c r="G479" t="s">
        <v>22</v>
      </c>
      <c r="H479" t="s">
        <v>1975</v>
      </c>
      <c r="I479" t="s">
        <v>1976</v>
      </c>
      <c r="J479" s="4">
        <v>46058.973010532405</v>
      </c>
    </row>
    <row r="480" spans="1:10" x14ac:dyDescent="0.55000000000000004">
      <c r="A480" t="s">
        <v>1977</v>
      </c>
      <c r="B480">
        <v>101210</v>
      </c>
      <c r="C480" t="s">
        <v>179</v>
      </c>
      <c r="D480" s="3">
        <v>45863</v>
      </c>
      <c r="E480" t="s">
        <v>155</v>
      </c>
      <c r="F480" t="s">
        <v>1978</v>
      </c>
      <c r="G480" t="s">
        <v>15</v>
      </c>
      <c r="H480" t="s">
        <v>1979</v>
      </c>
      <c r="I480" t="s">
        <v>1980</v>
      </c>
      <c r="J480" s="4">
        <v>46061.002871655095</v>
      </c>
    </row>
    <row r="481" spans="1:11" x14ac:dyDescent="0.55000000000000004">
      <c r="A481" t="s">
        <v>1981</v>
      </c>
      <c r="B481">
        <v>100988</v>
      </c>
      <c r="C481" t="s">
        <v>533</v>
      </c>
      <c r="D481" s="3">
        <v>45998</v>
      </c>
      <c r="E481" t="s">
        <v>69</v>
      </c>
      <c r="F481" t="s">
        <v>1982</v>
      </c>
      <c r="G481" t="s">
        <v>15</v>
      </c>
      <c r="H481" t="s">
        <v>1983</v>
      </c>
      <c r="I481" t="s">
        <v>1984</v>
      </c>
      <c r="J481" s="4">
        <v>46053.297316099539</v>
      </c>
    </row>
    <row r="482" spans="1:11" x14ac:dyDescent="0.55000000000000004">
      <c r="A482" t="s">
        <v>1985</v>
      </c>
      <c r="B482">
        <v>100651</v>
      </c>
      <c r="C482" t="s">
        <v>179</v>
      </c>
      <c r="D482" s="3">
        <v>45917</v>
      </c>
      <c r="E482" t="s">
        <v>115</v>
      </c>
      <c r="F482" t="s">
        <v>1986</v>
      </c>
      <c r="G482" t="s">
        <v>22</v>
      </c>
      <c r="H482" t="s">
        <v>1987</v>
      </c>
      <c r="I482" t="s">
        <v>1988</v>
      </c>
      <c r="J482" s="4">
        <v>46055.9139827662</v>
      </c>
    </row>
    <row r="483" spans="1:11" x14ac:dyDescent="0.55000000000000004">
      <c r="A483" t="s">
        <v>6031</v>
      </c>
      <c r="B483">
        <v>101063</v>
      </c>
      <c r="C483" t="s">
        <v>248</v>
      </c>
      <c r="D483" s="3">
        <v>45865</v>
      </c>
      <c r="E483" t="s">
        <v>495</v>
      </c>
      <c r="F483" t="s">
        <v>1990</v>
      </c>
      <c r="G483" t="s">
        <v>22</v>
      </c>
      <c r="H483" t="s">
        <v>1991</v>
      </c>
      <c r="I483" t="s">
        <v>1992</v>
      </c>
      <c r="J483" s="4">
        <v>46054.181343888886</v>
      </c>
      <c r="K483" t="s">
        <v>119</v>
      </c>
    </row>
    <row r="484" spans="1:11" x14ac:dyDescent="0.55000000000000004">
      <c r="A484" t="s">
        <v>1993</v>
      </c>
      <c r="B484">
        <v>100336</v>
      </c>
      <c r="C484" t="s">
        <v>248</v>
      </c>
      <c r="D484" s="3">
        <v>45943</v>
      </c>
      <c r="E484" t="s">
        <v>43</v>
      </c>
      <c r="F484" t="s">
        <v>1994</v>
      </c>
      <c r="G484" t="s">
        <v>22</v>
      </c>
      <c r="H484" t="s">
        <v>1995</v>
      </c>
      <c r="I484" t="s">
        <v>1996</v>
      </c>
      <c r="J484" s="4">
        <v>46061.957038333334</v>
      </c>
    </row>
    <row r="485" spans="1:11" x14ac:dyDescent="0.55000000000000004">
      <c r="A485" t="s">
        <v>1997</v>
      </c>
      <c r="B485">
        <v>101016</v>
      </c>
      <c r="C485" t="s">
        <v>19</v>
      </c>
      <c r="D485" s="3">
        <v>45861</v>
      </c>
      <c r="E485" t="s">
        <v>467</v>
      </c>
      <c r="F485" t="s">
        <v>1998</v>
      </c>
      <c r="G485" t="s">
        <v>22</v>
      </c>
      <c r="H485" t="s">
        <v>1999</v>
      </c>
      <c r="I485" t="s">
        <v>2000</v>
      </c>
      <c r="J485" s="4">
        <v>46088.808427222219</v>
      </c>
    </row>
    <row r="486" spans="1:11" x14ac:dyDescent="0.55000000000000004">
      <c r="A486" t="s">
        <v>2001</v>
      </c>
      <c r="B486">
        <v>100422</v>
      </c>
      <c r="C486" t="s">
        <v>533</v>
      </c>
      <c r="D486" s="3">
        <v>46114</v>
      </c>
      <c r="E486" t="s">
        <v>69</v>
      </c>
      <c r="F486" t="s">
        <v>2002</v>
      </c>
      <c r="G486" t="s">
        <v>15</v>
      </c>
      <c r="H486" t="s">
        <v>2003</v>
      </c>
      <c r="I486" t="s">
        <v>2004</v>
      </c>
      <c r="J486" s="4">
        <v>46091.441066122687</v>
      </c>
    </row>
    <row r="487" spans="1:11" x14ac:dyDescent="0.55000000000000004">
      <c r="A487" t="s">
        <v>2005</v>
      </c>
      <c r="B487">
        <v>100263</v>
      </c>
      <c r="C487" t="s">
        <v>19</v>
      </c>
      <c r="D487" s="3">
        <v>45937</v>
      </c>
      <c r="E487" t="s">
        <v>27</v>
      </c>
      <c r="F487" t="s">
        <v>2006</v>
      </c>
      <c r="G487" t="s">
        <v>15</v>
      </c>
      <c r="H487" t="s">
        <v>2007</v>
      </c>
      <c r="I487" t="s">
        <v>2008</v>
      </c>
      <c r="J487" s="4">
        <v>46087.193149456019</v>
      </c>
    </row>
    <row r="488" spans="1:11" x14ac:dyDescent="0.55000000000000004">
      <c r="A488" t="s">
        <v>2009</v>
      </c>
      <c r="B488">
        <v>100532</v>
      </c>
      <c r="C488" t="s">
        <v>37</v>
      </c>
      <c r="D488" s="3">
        <v>46143</v>
      </c>
      <c r="E488" t="s">
        <v>115</v>
      </c>
      <c r="F488" t="s">
        <v>2010</v>
      </c>
      <c r="G488" t="s">
        <v>22</v>
      </c>
      <c r="H488" t="s">
        <v>2011</v>
      </c>
      <c r="I488" t="s">
        <v>2012</v>
      </c>
      <c r="J488" s="4">
        <v>46059.127177233793</v>
      </c>
    </row>
    <row r="489" spans="1:11" x14ac:dyDescent="0.55000000000000004">
      <c r="A489" t="s">
        <v>2013</v>
      </c>
      <c r="B489">
        <v>101430</v>
      </c>
      <c r="C489" t="s">
        <v>37</v>
      </c>
      <c r="D489" s="3">
        <v>45764</v>
      </c>
      <c r="E489" t="s">
        <v>356</v>
      </c>
      <c r="F489" t="s">
        <v>2014</v>
      </c>
      <c r="G489" t="s">
        <v>15</v>
      </c>
      <c r="H489" t="s">
        <v>2015</v>
      </c>
      <c r="I489" t="s">
        <v>2016</v>
      </c>
      <c r="J489" s="4">
        <v>46059.692455023149</v>
      </c>
    </row>
    <row r="490" spans="1:11" x14ac:dyDescent="0.55000000000000004">
      <c r="A490" t="s">
        <v>2017</v>
      </c>
      <c r="B490">
        <v>101069</v>
      </c>
      <c r="C490" t="s">
        <v>179</v>
      </c>
      <c r="D490" s="3">
        <v>45937</v>
      </c>
      <c r="E490" t="s">
        <v>126</v>
      </c>
      <c r="F490" t="s">
        <v>2018</v>
      </c>
      <c r="G490" t="s">
        <v>15</v>
      </c>
      <c r="H490" t="s">
        <v>2019</v>
      </c>
      <c r="I490" t="s">
        <v>2020</v>
      </c>
      <c r="J490" s="4">
        <v>46085.835510578705</v>
      </c>
    </row>
    <row r="491" spans="1:11" x14ac:dyDescent="0.55000000000000004">
      <c r="A491" t="s">
        <v>2021</v>
      </c>
      <c r="B491">
        <v>100059</v>
      </c>
      <c r="C491" t="s">
        <v>19</v>
      </c>
      <c r="D491" s="3">
        <v>45956</v>
      </c>
      <c r="E491" t="s">
        <v>115</v>
      </c>
      <c r="F491" t="s">
        <v>2022</v>
      </c>
      <c r="G491" t="s">
        <v>22</v>
      </c>
      <c r="H491" t="s">
        <v>2023</v>
      </c>
      <c r="I491" t="s">
        <v>2024</v>
      </c>
      <c r="J491" s="4">
        <v>46085.698705034723</v>
      </c>
    </row>
    <row r="492" spans="1:11" x14ac:dyDescent="0.55000000000000004">
      <c r="A492" t="s">
        <v>2025</v>
      </c>
      <c r="B492">
        <v>100165</v>
      </c>
      <c r="C492" t="s">
        <v>19</v>
      </c>
      <c r="D492" s="3">
        <v>45993</v>
      </c>
      <c r="E492" t="s">
        <v>587</v>
      </c>
      <c r="F492" t="s">
        <v>2026</v>
      </c>
      <c r="G492" t="s">
        <v>15</v>
      </c>
      <c r="H492" t="s">
        <v>2027</v>
      </c>
      <c r="I492" t="s">
        <v>2028</v>
      </c>
      <c r="J492" s="4">
        <v>46074.406343923612</v>
      </c>
    </row>
    <row r="493" spans="1:11" x14ac:dyDescent="0.55000000000000004">
      <c r="A493" t="s">
        <v>2029</v>
      </c>
      <c r="B493">
        <v>100618</v>
      </c>
      <c r="C493" t="s">
        <v>37</v>
      </c>
      <c r="D493" s="3">
        <v>45812</v>
      </c>
      <c r="E493" t="s">
        <v>20</v>
      </c>
      <c r="F493" t="s">
        <v>2030</v>
      </c>
      <c r="G493" t="s">
        <v>22</v>
      </c>
      <c r="H493" t="s">
        <v>2031</v>
      </c>
      <c r="I493" t="s">
        <v>2032</v>
      </c>
      <c r="J493" s="4">
        <v>46074.79384392361</v>
      </c>
    </row>
    <row r="494" spans="1:11" x14ac:dyDescent="0.55000000000000004">
      <c r="A494" t="s">
        <v>2033</v>
      </c>
      <c r="B494">
        <v>101313</v>
      </c>
      <c r="C494" t="s">
        <v>179</v>
      </c>
      <c r="D494" s="3">
        <v>45939</v>
      </c>
      <c r="E494" t="s">
        <v>528</v>
      </c>
      <c r="F494" t="s">
        <v>2034</v>
      </c>
      <c r="G494" t="s">
        <v>15</v>
      </c>
      <c r="H494" t="s">
        <v>2035</v>
      </c>
      <c r="I494" t="s">
        <v>2036</v>
      </c>
      <c r="J494" s="4">
        <v>46091.964677268516</v>
      </c>
    </row>
    <row r="495" spans="1:11" x14ac:dyDescent="0.55000000000000004">
      <c r="A495" t="s">
        <v>2037</v>
      </c>
      <c r="B495">
        <v>100045</v>
      </c>
      <c r="C495" t="s">
        <v>68</v>
      </c>
      <c r="D495" s="3">
        <v>46103</v>
      </c>
      <c r="E495" t="s">
        <v>126</v>
      </c>
      <c r="F495" t="s">
        <v>2038</v>
      </c>
      <c r="G495" t="s">
        <v>22</v>
      </c>
      <c r="H495" t="s">
        <v>2039</v>
      </c>
      <c r="I495" t="s">
        <v>2040</v>
      </c>
      <c r="J495" s="4">
        <v>46082.884121712967</v>
      </c>
    </row>
    <row r="496" spans="1:11" x14ac:dyDescent="0.55000000000000004">
      <c r="A496" t="s">
        <v>2041</v>
      </c>
      <c r="B496">
        <v>101314</v>
      </c>
      <c r="C496" t="s">
        <v>248</v>
      </c>
      <c r="D496" s="3">
        <v>45964</v>
      </c>
      <c r="E496" t="s">
        <v>170</v>
      </c>
      <c r="F496" t="s">
        <v>2042</v>
      </c>
      <c r="G496" t="s">
        <v>22</v>
      </c>
      <c r="H496" t="s">
        <v>2043</v>
      </c>
      <c r="I496" t="s">
        <v>2044</v>
      </c>
      <c r="J496" s="4">
        <v>46086.167455046299</v>
      </c>
    </row>
    <row r="497" spans="1:10" x14ac:dyDescent="0.55000000000000004">
      <c r="A497" t="s">
        <v>2045</v>
      </c>
      <c r="B497">
        <v>100018</v>
      </c>
      <c r="C497" t="s">
        <v>19</v>
      </c>
      <c r="D497" s="3">
        <v>45786</v>
      </c>
      <c r="E497" t="s">
        <v>343</v>
      </c>
      <c r="F497" t="s">
        <v>2046</v>
      </c>
      <c r="G497" t="s">
        <v>22</v>
      </c>
      <c r="H497" t="s">
        <v>2047</v>
      </c>
      <c r="I497" t="s">
        <v>2048</v>
      </c>
      <c r="J497" s="4">
        <v>46090.016066168981</v>
      </c>
    </row>
    <row r="498" spans="1:10" x14ac:dyDescent="0.55000000000000004">
      <c r="A498" t="s">
        <v>2049</v>
      </c>
      <c r="B498">
        <v>101042</v>
      </c>
      <c r="C498" t="s">
        <v>248</v>
      </c>
      <c r="D498" s="3">
        <v>46007</v>
      </c>
      <c r="E498" t="s">
        <v>495</v>
      </c>
      <c r="F498" t="s">
        <v>2050</v>
      </c>
      <c r="G498" t="s">
        <v>22</v>
      </c>
      <c r="H498" t="s">
        <v>2051</v>
      </c>
      <c r="I498" t="s">
        <v>2052</v>
      </c>
      <c r="J498" s="4">
        <v>46082.263288391201</v>
      </c>
    </row>
    <row r="499" spans="1:10" x14ac:dyDescent="0.55000000000000004">
      <c r="A499" t="s">
        <v>2053</v>
      </c>
      <c r="B499">
        <v>100586</v>
      </c>
      <c r="C499" t="s">
        <v>179</v>
      </c>
      <c r="D499" s="3">
        <v>46080</v>
      </c>
      <c r="E499" t="s">
        <v>170</v>
      </c>
      <c r="F499" t="s">
        <v>2054</v>
      </c>
      <c r="G499" t="s">
        <v>22</v>
      </c>
      <c r="H499" t="s">
        <v>2055</v>
      </c>
      <c r="I499" t="s">
        <v>2056</v>
      </c>
      <c r="J499" s="4">
        <v>46090.379260624999</v>
      </c>
    </row>
    <row r="500" spans="1:10" x14ac:dyDescent="0.55000000000000004">
      <c r="A500" t="s">
        <v>2057</v>
      </c>
      <c r="B500">
        <v>100734</v>
      </c>
      <c r="C500" t="s">
        <v>37</v>
      </c>
      <c r="D500" s="3">
        <v>45927</v>
      </c>
      <c r="E500" t="s">
        <v>562</v>
      </c>
      <c r="F500" t="s">
        <v>2058</v>
      </c>
      <c r="G500" t="s">
        <v>22</v>
      </c>
      <c r="H500" t="s">
        <v>2059</v>
      </c>
      <c r="I500" t="s">
        <v>2060</v>
      </c>
      <c r="J500" s="4">
        <v>46075.011899513891</v>
      </c>
    </row>
    <row r="501" spans="1:10" x14ac:dyDescent="0.55000000000000004">
      <c r="A501" t="s">
        <v>2061</v>
      </c>
      <c r="B501">
        <v>100205</v>
      </c>
      <c r="C501" t="s">
        <v>19</v>
      </c>
      <c r="D501" s="3">
        <v>45736</v>
      </c>
      <c r="E501" t="s">
        <v>562</v>
      </c>
      <c r="F501" t="s">
        <v>2062</v>
      </c>
      <c r="G501" t="s">
        <v>15</v>
      </c>
      <c r="H501" t="s">
        <v>2063</v>
      </c>
      <c r="I501" t="s">
        <v>2064</v>
      </c>
      <c r="J501" s="4">
        <v>46071.788288402779</v>
      </c>
    </row>
    <row r="502" spans="1:10" x14ac:dyDescent="0.55000000000000004">
      <c r="A502" t="s">
        <v>2065</v>
      </c>
      <c r="B502">
        <v>100483</v>
      </c>
      <c r="C502" t="s">
        <v>68</v>
      </c>
      <c r="D502" s="3">
        <v>45770</v>
      </c>
      <c r="E502" t="s">
        <v>208</v>
      </c>
      <c r="F502" t="s">
        <v>725</v>
      </c>
      <c r="G502" t="s">
        <v>22</v>
      </c>
      <c r="H502" t="s">
        <v>2066</v>
      </c>
      <c r="I502" t="s">
        <v>2067</v>
      </c>
      <c r="J502" s="4">
        <v>46083.930649525464</v>
      </c>
    </row>
    <row r="503" spans="1:10" x14ac:dyDescent="0.55000000000000004">
      <c r="A503" t="s">
        <v>2068</v>
      </c>
      <c r="B503">
        <v>100339</v>
      </c>
      <c r="C503" t="s">
        <v>248</v>
      </c>
      <c r="D503" s="3">
        <v>45825</v>
      </c>
      <c r="E503" t="s">
        <v>680</v>
      </c>
      <c r="F503" t="s">
        <v>2069</v>
      </c>
      <c r="G503" t="s">
        <v>15</v>
      </c>
      <c r="H503" t="s">
        <v>2070</v>
      </c>
      <c r="I503" t="s">
        <v>2071</v>
      </c>
      <c r="J503" s="4">
        <v>46082.402177303244</v>
      </c>
    </row>
    <row r="504" spans="1:10" x14ac:dyDescent="0.55000000000000004">
      <c r="A504" t="s">
        <v>2072</v>
      </c>
      <c r="B504">
        <v>100147</v>
      </c>
      <c r="C504" t="s">
        <v>248</v>
      </c>
      <c r="D504" s="3">
        <v>45837</v>
      </c>
      <c r="E504" t="s">
        <v>115</v>
      </c>
      <c r="F504" t="s">
        <v>2073</v>
      </c>
      <c r="G504" t="s">
        <v>15</v>
      </c>
      <c r="H504" t="s">
        <v>2074</v>
      </c>
      <c r="I504" t="s">
        <v>2075</v>
      </c>
      <c r="J504" s="4">
        <v>46058.239677303238</v>
      </c>
    </row>
    <row r="505" spans="1:10" x14ac:dyDescent="0.55000000000000004">
      <c r="A505" t="s">
        <v>2076</v>
      </c>
      <c r="B505">
        <v>101178</v>
      </c>
      <c r="C505" t="s">
        <v>533</v>
      </c>
      <c r="D505" s="3">
        <v>46130</v>
      </c>
      <c r="E505" t="s">
        <v>155</v>
      </c>
      <c r="F505" t="s">
        <v>2077</v>
      </c>
      <c r="G505" t="s">
        <v>15</v>
      </c>
      <c r="H505" t="s">
        <v>2078</v>
      </c>
      <c r="I505" t="s">
        <v>2079</v>
      </c>
      <c r="J505" s="4">
        <v>46053.802871759261</v>
      </c>
    </row>
    <row r="506" spans="1:10" x14ac:dyDescent="0.55000000000000004">
      <c r="A506" t="s">
        <v>2080</v>
      </c>
      <c r="B506">
        <v>100737</v>
      </c>
      <c r="C506" t="s">
        <v>19</v>
      </c>
      <c r="D506" s="3">
        <v>46046</v>
      </c>
      <c r="E506" t="s">
        <v>38</v>
      </c>
      <c r="F506" t="s">
        <v>2081</v>
      </c>
      <c r="G506" t="s">
        <v>15</v>
      </c>
      <c r="H506" t="s">
        <v>2082</v>
      </c>
      <c r="I506" t="s">
        <v>2083</v>
      </c>
      <c r="J506" s="4">
        <v>46067.218149537039</v>
      </c>
    </row>
    <row r="507" spans="1:10" x14ac:dyDescent="0.55000000000000004">
      <c r="A507" t="s">
        <v>2084</v>
      </c>
      <c r="B507">
        <v>101096</v>
      </c>
      <c r="C507" t="s">
        <v>19</v>
      </c>
      <c r="D507" s="3">
        <v>45893</v>
      </c>
      <c r="E507" t="s">
        <v>467</v>
      </c>
      <c r="F507" t="s">
        <v>2085</v>
      </c>
      <c r="G507" t="s">
        <v>22</v>
      </c>
      <c r="H507" t="s">
        <v>2086</v>
      </c>
      <c r="I507" t="s">
        <v>2087</v>
      </c>
      <c r="J507" s="4">
        <v>46086.019538425928</v>
      </c>
    </row>
    <row r="508" spans="1:10" x14ac:dyDescent="0.55000000000000004">
      <c r="A508" t="s">
        <v>2088</v>
      </c>
      <c r="B508">
        <v>100168</v>
      </c>
      <c r="C508" t="s">
        <v>248</v>
      </c>
      <c r="D508" s="3">
        <v>45935</v>
      </c>
      <c r="E508" t="s">
        <v>38</v>
      </c>
      <c r="F508" t="s">
        <v>2089</v>
      </c>
      <c r="G508" t="s">
        <v>15</v>
      </c>
      <c r="H508" t="s">
        <v>2090</v>
      </c>
      <c r="I508" t="s">
        <v>2091</v>
      </c>
      <c r="J508" s="4">
        <v>46093.998705104168</v>
      </c>
    </row>
    <row r="509" spans="1:10" x14ac:dyDescent="0.55000000000000004">
      <c r="A509" t="s">
        <v>2092</v>
      </c>
      <c r="B509">
        <v>100717</v>
      </c>
      <c r="C509" t="s">
        <v>179</v>
      </c>
      <c r="D509" s="3">
        <v>45976</v>
      </c>
      <c r="E509" t="s">
        <v>343</v>
      </c>
      <c r="F509" t="s">
        <v>2093</v>
      </c>
      <c r="G509" t="s">
        <v>22</v>
      </c>
      <c r="H509" t="s">
        <v>2094</v>
      </c>
      <c r="I509" t="s">
        <v>2095</v>
      </c>
      <c r="J509" s="4">
        <v>46054.498010659721</v>
      </c>
    </row>
    <row r="510" spans="1:10" x14ac:dyDescent="0.55000000000000004">
      <c r="A510" t="s">
        <v>2096</v>
      </c>
      <c r="B510">
        <v>101021</v>
      </c>
      <c r="C510" t="s">
        <v>179</v>
      </c>
      <c r="D510" s="3">
        <v>45793</v>
      </c>
      <c r="E510" t="s">
        <v>495</v>
      </c>
      <c r="F510" t="s">
        <v>2097</v>
      </c>
      <c r="G510" t="s">
        <v>15</v>
      </c>
      <c r="H510" t="s">
        <v>2098</v>
      </c>
      <c r="I510" t="s">
        <v>2099</v>
      </c>
      <c r="J510" s="4">
        <v>46096.787593993053</v>
      </c>
    </row>
    <row r="511" spans="1:10" x14ac:dyDescent="0.55000000000000004">
      <c r="A511" t="s">
        <v>2100</v>
      </c>
      <c r="B511">
        <v>100792</v>
      </c>
      <c r="C511" t="s">
        <v>248</v>
      </c>
      <c r="D511" s="3">
        <v>45926</v>
      </c>
      <c r="E511" t="s">
        <v>343</v>
      </c>
      <c r="F511" t="s">
        <v>2101</v>
      </c>
      <c r="G511" t="s">
        <v>22</v>
      </c>
      <c r="H511" t="s">
        <v>2102</v>
      </c>
      <c r="I511" t="s">
        <v>2103</v>
      </c>
      <c r="J511" s="4">
        <v>46085.966066226851</v>
      </c>
    </row>
    <row r="512" spans="1:10" x14ac:dyDescent="0.55000000000000004">
      <c r="A512" t="s">
        <v>2104</v>
      </c>
      <c r="B512">
        <v>100886</v>
      </c>
      <c r="C512" t="s">
        <v>248</v>
      </c>
      <c r="D512" s="3">
        <v>45853</v>
      </c>
      <c r="E512" t="s">
        <v>89</v>
      </c>
      <c r="F512" t="s">
        <v>2105</v>
      </c>
      <c r="G512" t="s">
        <v>22</v>
      </c>
      <c r="H512" t="s">
        <v>2106</v>
      </c>
      <c r="I512" t="s">
        <v>2107</v>
      </c>
      <c r="J512" s="4">
        <v>46074.484816226854</v>
      </c>
    </row>
    <row r="513" spans="1:11" x14ac:dyDescent="0.55000000000000004">
      <c r="A513" t="s">
        <v>2108</v>
      </c>
      <c r="B513">
        <v>100328</v>
      </c>
      <c r="C513" t="s">
        <v>19</v>
      </c>
      <c r="D513" s="3">
        <v>45949</v>
      </c>
      <c r="E513" t="s">
        <v>69</v>
      </c>
      <c r="F513" t="s">
        <v>2109</v>
      </c>
      <c r="G513" t="s">
        <v>22</v>
      </c>
      <c r="H513" t="s">
        <v>2110</v>
      </c>
      <c r="I513" t="s">
        <v>2111</v>
      </c>
      <c r="J513" s="4">
        <v>46074.176482905095</v>
      </c>
    </row>
    <row r="514" spans="1:11" x14ac:dyDescent="0.55000000000000004">
      <c r="A514" t="s">
        <v>2112</v>
      </c>
      <c r="B514">
        <v>100341</v>
      </c>
      <c r="C514" t="s">
        <v>248</v>
      </c>
      <c r="D514" s="3">
        <v>45962</v>
      </c>
      <c r="E514" t="s">
        <v>38</v>
      </c>
      <c r="F514" t="s">
        <v>2113</v>
      </c>
      <c r="G514" t="s">
        <v>15</v>
      </c>
      <c r="H514" t="s">
        <v>2114</v>
      </c>
      <c r="I514" t="s">
        <v>2115</v>
      </c>
      <c r="J514" s="4">
        <v>46060.770927349535</v>
      </c>
    </row>
    <row r="515" spans="1:11" x14ac:dyDescent="0.55000000000000004">
      <c r="A515" t="s">
        <v>2116</v>
      </c>
      <c r="B515">
        <v>100567</v>
      </c>
      <c r="C515" t="s">
        <v>248</v>
      </c>
      <c r="D515" s="3">
        <v>46148</v>
      </c>
      <c r="E515" t="s">
        <v>317</v>
      </c>
      <c r="F515" t="s">
        <v>2117</v>
      </c>
      <c r="G515" t="s">
        <v>22</v>
      </c>
      <c r="H515" t="s">
        <v>2118</v>
      </c>
      <c r="I515" t="s">
        <v>2119</v>
      </c>
      <c r="J515" s="4">
        <v>46081.956344016202</v>
      </c>
    </row>
    <row r="516" spans="1:11" x14ac:dyDescent="0.55000000000000004">
      <c r="A516" t="s">
        <v>2120</v>
      </c>
      <c r="B516">
        <v>101023</v>
      </c>
      <c r="C516" t="s">
        <v>179</v>
      </c>
      <c r="D516" s="3">
        <v>45927</v>
      </c>
      <c r="E516" t="s">
        <v>115</v>
      </c>
      <c r="F516" t="s">
        <v>2121</v>
      </c>
      <c r="G516" t="s">
        <v>15</v>
      </c>
      <c r="H516" t="s">
        <v>2122</v>
      </c>
      <c r="I516" t="s">
        <v>2123</v>
      </c>
      <c r="J516" s="4">
        <v>46067.732732916666</v>
      </c>
    </row>
    <row r="517" spans="1:11" x14ac:dyDescent="0.55000000000000004">
      <c r="A517" t="s">
        <v>2124</v>
      </c>
      <c r="B517">
        <v>100522</v>
      </c>
      <c r="C517" t="s">
        <v>533</v>
      </c>
      <c r="D517" s="3">
        <v>45947</v>
      </c>
      <c r="E517" t="s">
        <v>409</v>
      </c>
      <c r="F517" t="s">
        <v>2125</v>
      </c>
      <c r="G517" t="s">
        <v>22</v>
      </c>
      <c r="H517" t="s">
        <v>2126</v>
      </c>
      <c r="I517" t="s">
        <v>2127</v>
      </c>
      <c r="J517" s="4">
        <v>46066.31953847222</v>
      </c>
    </row>
    <row r="518" spans="1:11" x14ac:dyDescent="0.55000000000000004">
      <c r="A518" t="s">
        <v>2128</v>
      </c>
      <c r="B518">
        <v>100528</v>
      </c>
      <c r="C518" t="s">
        <v>248</v>
      </c>
      <c r="D518" s="3">
        <v>46019</v>
      </c>
      <c r="E518" t="s">
        <v>243</v>
      </c>
      <c r="F518" t="s">
        <v>2129</v>
      </c>
      <c r="G518" t="s">
        <v>15</v>
      </c>
      <c r="H518" t="s">
        <v>2130</v>
      </c>
      <c r="I518" t="s">
        <v>2131</v>
      </c>
      <c r="J518" s="4">
        <v>46094.439677361108</v>
      </c>
    </row>
    <row r="519" spans="1:11" x14ac:dyDescent="0.55000000000000004">
      <c r="A519" t="s">
        <v>2132</v>
      </c>
      <c r="B519">
        <v>101346</v>
      </c>
      <c r="C519" t="s">
        <v>248</v>
      </c>
      <c r="D519" s="3">
        <v>45975</v>
      </c>
      <c r="E519" t="s">
        <v>83</v>
      </c>
      <c r="F519" t="s">
        <v>2133</v>
      </c>
      <c r="G519" t="s">
        <v>22</v>
      </c>
      <c r="H519" t="s">
        <v>2134</v>
      </c>
      <c r="I519" t="s">
        <v>2135</v>
      </c>
      <c r="J519" s="4">
        <v>46074.234121817128</v>
      </c>
    </row>
    <row r="520" spans="1:11" x14ac:dyDescent="0.55000000000000004">
      <c r="A520" t="s">
        <v>6032</v>
      </c>
      <c r="B520">
        <v>100878</v>
      </c>
      <c r="C520" t="s">
        <v>19</v>
      </c>
      <c r="D520" s="3">
        <v>46017</v>
      </c>
      <c r="E520" t="s">
        <v>295</v>
      </c>
      <c r="F520" t="s">
        <v>2137</v>
      </c>
      <c r="G520" t="s">
        <v>22</v>
      </c>
      <c r="H520" t="s">
        <v>2138</v>
      </c>
      <c r="I520" t="s">
        <v>2139</v>
      </c>
      <c r="J520" s="4">
        <v>46090.246621817132</v>
      </c>
      <c r="K520" t="s">
        <v>119</v>
      </c>
    </row>
    <row r="521" spans="1:11" x14ac:dyDescent="0.55000000000000004">
      <c r="A521" t="s">
        <v>2140</v>
      </c>
      <c r="B521">
        <v>100185</v>
      </c>
      <c r="C521" t="s">
        <v>19</v>
      </c>
      <c r="D521" s="3">
        <v>45833</v>
      </c>
      <c r="E521" t="s">
        <v>587</v>
      </c>
      <c r="F521" t="s">
        <v>2141</v>
      </c>
      <c r="G521" t="s">
        <v>22</v>
      </c>
      <c r="H521" t="s">
        <v>2142</v>
      </c>
      <c r="I521" t="s">
        <v>2143</v>
      </c>
      <c r="J521" s="4">
        <v>46075.284121828707</v>
      </c>
    </row>
    <row r="522" spans="1:11" x14ac:dyDescent="0.55000000000000004">
      <c r="A522" t="s">
        <v>2144</v>
      </c>
      <c r="B522">
        <v>100801</v>
      </c>
      <c r="C522" t="s">
        <v>19</v>
      </c>
      <c r="D522" s="3">
        <v>45981</v>
      </c>
      <c r="E522" t="s">
        <v>243</v>
      </c>
      <c r="F522" t="s">
        <v>2145</v>
      </c>
      <c r="G522" t="s">
        <v>22</v>
      </c>
      <c r="H522" t="s">
        <v>2146</v>
      </c>
      <c r="I522" t="s">
        <v>2147</v>
      </c>
      <c r="J522" s="4">
        <v>46067.848010717593</v>
      </c>
    </row>
    <row r="523" spans="1:11" x14ac:dyDescent="0.55000000000000004">
      <c r="A523" t="s">
        <v>2148</v>
      </c>
      <c r="B523">
        <v>101004</v>
      </c>
      <c r="C523" t="s">
        <v>533</v>
      </c>
      <c r="D523" s="3">
        <v>45817</v>
      </c>
      <c r="E523" t="s">
        <v>495</v>
      </c>
      <c r="F523" t="s">
        <v>2149</v>
      </c>
      <c r="G523" t="s">
        <v>15</v>
      </c>
      <c r="H523" t="s">
        <v>2150</v>
      </c>
      <c r="I523" t="s">
        <v>2151</v>
      </c>
      <c r="J523" s="4">
        <v>46092.51606627315</v>
      </c>
    </row>
    <row r="524" spans="1:11" x14ac:dyDescent="0.55000000000000004">
      <c r="A524" t="s">
        <v>2152</v>
      </c>
      <c r="B524">
        <v>100599</v>
      </c>
      <c r="C524" t="s">
        <v>68</v>
      </c>
      <c r="D524" s="3">
        <v>45848</v>
      </c>
      <c r="E524" t="s">
        <v>49</v>
      </c>
      <c r="F524" t="s">
        <v>2153</v>
      </c>
      <c r="G524" t="s">
        <v>22</v>
      </c>
      <c r="H524" t="s">
        <v>2154</v>
      </c>
      <c r="I524" t="s">
        <v>2155</v>
      </c>
      <c r="J524" s="4">
        <v>46058.829260729166</v>
      </c>
    </row>
    <row r="525" spans="1:11" x14ac:dyDescent="0.55000000000000004">
      <c r="A525" t="s">
        <v>2156</v>
      </c>
      <c r="B525">
        <v>100179</v>
      </c>
      <c r="C525" t="s">
        <v>179</v>
      </c>
      <c r="D525" s="3">
        <v>45870</v>
      </c>
      <c r="E525" t="s">
        <v>467</v>
      </c>
      <c r="F525" t="s">
        <v>2157</v>
      </c>
      <c r="G525" t="s">
        <v>22</v>
      </c>
      <c r="H525" t="s">
        <v>2158</v>
      </c>
      <c r="I525" t="s">
        <v>2159</v>
      </c>
      <c r="J525" s="4">
        <v>46071.508427395835</v>
      </c>
    </row>
    <row r="526" spans="1:11" x14ac:dyDescent="0.55000000000000004">
      <c r="A526" t="s">
        <v>2160</v>
      </c>
      <c r="B526">
        <v>101260</v>
      </c>
      <c r="C526" t="s">
        <v>533</v>
      </c>
      <c r="D526" s="3">
        <v>45743</v>
      </c>
      <c r="E526" t="s">
        <v>317</v>
      </c>
      <c r="F526" t="s">
        <v>2161</v>
      </c>
      <c r="G526" t="s">
        <v>15</v>
      </c>
      <c r="H526" t="s">
        <v>2162</v>
      </c>
      <c r="I526" t="s">
        <v>2163</v>
      </c>
      <c r="J526" s="4">
        <v>46055.388288506947</v>
      </c>
    </row>
    <row r="527" spans="1:11" x14ac:dyDescent="0.55000000000000004">
      <c r="A527" t="s">
        <v>2164</v>
      </c>
      <c r="B527">
        <v>101139</v>
      </c>
      <c r="C527" t="s">
        <v>37</v>
      </c>
      <c r="D527" s="3">
        <v>45839</v>
      </c>
      <c r="E527" t="s">
        <v>69</v>
      </c>
      <c r="F527" t="s">
        <v>2165</v>
      </c>
      <c r="G527" t="s">
        <v>15</v>
      </c>
      <c r="H527" t="s">
        <v>2166</v>
      </c>
      <c r="I527" t="s">
        <v>2167</v>
      </c>
      <c r="J527" s="4">
        <v>46091.655649629633</v>
      </c>
    </row>
    <row r="528" spans="1:11" x14ac:dyDescent="0.55000000000000004">
      <c r="A528" t="s">
        <v>2168</v>
      </c>
      <c r="B528">
        <v>100021</v>
      </c>
      <c r="C528" t="s">
        <v>19</v>
      </c>
      <c r="D528" s="3">
        <v>46012</v>
      </c>
      <c r="E528" t="s">
        <v>155</v>
      </c>
      <c r="F528" t="s">
        <v>2169</v>
      </c>
      <c r="G528" t="s">
        <v>22</v>
      </c>
      <c r="H528" t="s">
        <v>2170</v>
      </c>
      <c r="I528" t="s">
        <v>2171</v>
      </c>
      <c r="J528" s="4">
        <v>46064.627871851852</v>
      </c>
    </row>
    <row r="529" spans="1:11" x14ac:dyDescent="0.55000000000000004">
      <c r="A529" t="s">
        <v>2172</v>
      </c>
      <c r="B529">
        <v>101352</v>
      </c>
      <c r="C529" t="s">
        <v>533</v>
      </c>
      <c r="D529" s="3">
        <v>45866</v>
      </c>
      <c r="E529" t="s">
        <v>121</v>
      </c>
      <c r="F529" t="s">
        <v>2173</v>
      </c>
      <c r="G529" t="s">
        <v>22</v>
      </c>
      <c r="H529" t="s">
        <v>2174</v>
      </c>
      <c r="I529" t="s">
        <v>2175</v>
      </c>
      <c r="J529" s="4">
        <v>46083.394538518522</v>
      </c>
    </row>
    <row r="530" spans="1:11" x14ac:dyDescent="0.55000000000000004">
      <c r="A530" t="s">
        <v>2176</v>
      </c>
      <c r="B530">
        <v>101474</v>
      </c>
      <c r="C530" t="s">
        <v>68</v>
      </c>
      <c r="D530" s="3">
        <v>45958</v>
      </c>
      <c r="E530" t="s">
        <v>587</v>
      </c>
      <c r="F530" t="s">
        <v>2177</v>
      </c>
      <c r="G530" t="s">
        <v>15</v>
      </c>
      <c r="H530" t="s">
        <v>2178</v>
      </c>
      <c r="I530" t="s">
        <v>2179</v>
      </c>
      <c r="J530" s="4">
        <v>46094.802871863423</v>
      </c>
    </row>
    <row r="531" spans="1:11" x14ac:dyDescent="0.55000000000000004">
      <c r="A531" t="s">
        <v>2180</v>
      </c>
      <c r="B531">
        <v>101423</v>
      </c>
      <c r="C531" t="s">
        <v>68</v>
      </c>
      <c r="D531" s="3">
        <v>45898</v>
      </c>
      <c r="E531" t="s">
        <v>89</v>
      </c>
      <c r="F531" t="s">
        <v>2181</v>
      </c>
      <c r="G531" t="s">
        <v>22</v>
      </c>
      <c r="H531" t="s">
        <v>2182</v>
      </c>
      <c r="I531" t="s">
        <v>2183</v>
      </c>
      <c r="J531" s="4">
        <v>46062.11328853009</v>
      </c>
    </row>
    <row r="532" spans="1:11" x14ac:dyDescent="0.55000000000000004">
      <c r="A532" t="s">
        <v>2184</v>
      </c>
      <c r="B532">
        <v>100256</v>
      </c>
      <c r="C532" t="s">
        <v>533</v>
      </c>
      <c r="D532" s="3">
        <v>46089</v>
      </c>
      <c r="E532" t="s">
        <v>43</v>
      </c>
      <c r="F532" t="s">
        <v>2185</v>
      </c>
      <c r="G532" t="s">
        <v>22</v>
      </c>
      <c r="H532" t="s">
        <v>2186</v>
      </c>
      <c r="I532" t="s">
        <v>2187</v>
      </c>
      <c r="J532" s="4">
        <v>46063.836205208332</v>
      </c>
    </row>
    <row r="533" spans="1:11" x14ac:dyDescent="0.55000000000000004">
      <c r="A533" t="s">
        <v>2188</v>
      </c>
      <c r="B533">
        <v>100748</v>
      </c>
      <c r="C533" t="s">
        <v>19</v>
      </c>
      <c r="D533" s="3">
        <v>45890</v>
      </c>
      <c r="E533" t="s">
        <v>89</v>
      </c>
      <c r="F533" t="s">
        <v>2189</v>
      </c>
      <c r="G533" t="s">
        <v>15</v>
      </c>
      <c r="H533" t="s">
        <v>2190</v>
      </c>
      <c r="I533" t="s">
        <v>2191</v>
      </c>
      <c r="J533" s="4">
        <v>46092.118149652779</v>
      </c>
    </row>
    <row r="534" spans="1:11" x14ac:dyDescent="0.55000000000000004">
      <c r="A534" t="s">
        <v>2192</v>
      </c>
      <c r="B534">
        <v>100442</v>
      </c>
      <c r="C534" t="s">
        <v>68</v>
      </c>
      <c r="D534" s="3">
        <v>45919</v>
      </c>
      <c r="E534" t="s">
        <v>356</v>
      </c>
      <c r="F534" t="s">
        <v>2193</v>
      </c>
      <c r="G534" t="s">
        <v>22</v>
      </c>
      <c r="H534" t="s">
        <v>2194</v>
      </c>
      <c r="I534" t="s">
        <v>2195</v>
      </c>
      <c r="J534" s="4">
        <v>46097.745927430558</v>
      </c>
    </row>
    <row r="535" spans="1:11" x14ac:dyDescent="0.55000000000000004">
      <c r="A535" t="s">
        <v>2196</v>
      </c>
      <c r="B535">
        <v>100040</v>
      </c>
      <c r="C535" t="s">
        <v>19</v>
      </c>
      <c r="D535" s="3">
        <v>46149</v>
      </c>
      <c r="E535" t="s">
        <v>20</v>
      </c>
      <c r="F535" t="s">
        <v>2197</v>
      </c>
      <c r="G535" t="s">
        <v>22</v>
      </c>
      <c r="H535" t="s">
        <v>2198</v>
      </c>
      <c r="I535" t="s">
        <v>2199</v>
      </c>
      <c r="J535" s="4">
        <v>46066.985510775463</v>
      </c>
    </row>
    <row r="536" spans="1:11" x14ac:dyDescent="0.55000000000000004">
      <c r="A536" t="s">
        <v>2200</v>
      </c>
      <c r="B536">
        <v>101038</v>
      </c>
      <c r="C536" t="s">
        <v>37</v>
      </c>
      <c r="D536" s="3">
        <v>46084</v>
      </c>
      <c r="E536" t="s">
        <v>58</v>
      </c>
      <c r="F536" t="s">
        <v>2201</v>
      </c>
      <c r="G536" t="s">
        <v>15</v>
      </c>
      <c r="H536" t="s">
        <v>2202</v>
      </c>
      <c r="I536" t="s">
        <v>2203</v>
      </c>
      <c r="J536" s="4">
        <v>46070.32995521991</v>
      </c>
    </row>
    <row r="537" spans="1:11" x14ac:dyDescent="0.55000000000000004">
      <c r="A537" t="s">
        <v>2204</v>
      </c>
      <c r="B537">
        <v>100676</v>
      </c>
      <c r="C537" t="s">
        <v>19</v>
      </c>
      <c r="D537" s="3">
        <v>45850</v>
      </c>
      <c r="E537" t="s">
        <v>38</v>
      </c>
      <c r="F537" t="s">
        <v>2205</v>
      </c>
      <c r="G537" t="s">
        <v>22</v>
      </c>
      <c r="H537" t="s">
        <v>2206</v>
      </c>
      <c r="I537" t="s">
        <v>2207</v>
      </c>
      <c r="J537" s="4">
        <v>46085.160510775466</v>
      </c>
      <c r="K537" t="s">
        <v>139</v>
      </c>
    </row>
    <row r="538" spans="1:11" x14ac:dyDescent="0.55000000000000004">
      <c r="A538" t="s">
        <v>2208</v>
      </c>
      <c r="B538">
        <v>101382</v>
      </c>
      <c r="C538" t="s">
        <v>19</v>
      </c>
      <c r="D538" s="3">
        <v>45955</v>
      </c>
      <c r="E538" t="s">
        <v>189</v>
      </c>
      <c r="F538" t="s">
        <v>2209</v>
      </c>
      <c r="G538" t="s">
        <v>22</v>
      </c>
      <c r="H538" t="s">
        <v>2210</v>
      </c>
      <c r="I538" t="s">
        <v>2211</v>
      </c>
      <c r="J538" s="4">
        <v>46073.432733009256</v>
      </c>
    </row>
    <row r="539" spans="1:11" x14ac:dyDescent="0.55000000000000004">
      <c r="A539" t="s">
        <v>2212</v>
      </c>
      <c r="B539">
        <v>100512</v>
      </c>
      <c r="C539" t="s">
        <v>248</v>
      </c>
      <c r="D539" s="3">
        <v>45772</v>
      </c>
      <c r="E539" t="s">
        <v>189</v>
      </c>
      <c r="F539" t="s">
        <v>2213</v>
      </c>
      <c r="G539" t="s">
        <v>22</v>
      </c>
      <c r="H539" t="s">
        <v>2214</v>
      </c>
      <c r="I539" t="s">
        <v>2215</v>
      </c>
      <c r="J539" s="4">
        <v>46078.82370523148</v>
      </c>
    </row>
    <row r="540" spans="1:11" x14ac:dyDescent="0.55000000000000004">
      <c r="A540" t="s">
        <v>2216</v>
      </c>
      <c r="B540">
        <v>100887</v>
      </c>
      <c r="C540" t="s">
        <v>19</v>
      </c>
      <c r="D540" s="3">
        <v>46146</v>
      </c>
      <c r="E540" t="s">
        <v>418</v>
      </c>
      <c r="F540" t="s">
        <v>2217</v>
      </c>
      <c r="G540" t="s">
        <v>15</v>
      </c>
      <c r="H540" t="s">
        <v>2218</v>
      </c>
      <c r="I540" t="s">
        <v>2219</v>
      </c>
      <c r="J540" s="4">
        <v>46086.552177453705</v>
      </c>
    </row>
    <row r="541" spans="1:11" x14ac:dyDescent="0.55000000000000004">
      <c r="A541" t="s">
        <v>2220</v>
      </c>
      <c r="B541">
        <v>100412</v>
      </c>
      <c r="C541" t="s">
        <v>68</v>
      </c>
      <c r="D541" s="3">
        <v>45788</v>
      </c>
      <c r="E541" t="s">
        <v>213</v>
      </c>
      <c r="F541" t="s">
        <v>2221</v>
      </c>
      <c r="G541" t="s">
        <v>22</v>
      </c>
      <c r="H541" t="s">
        <v>2222</v>
      </c>
      <c r="I541" t="s">
        <v>2223</v>
      </c>
      <c r="J541" s="4">
        <v>46052.860510798608</v>
      </c>
    </row>
    <row r="542" spans="1:11" x14ac:dyDescent="0.55000000000000004">
      <c r="A542" t="s">
        <v>2224</v>
      </c>
      <c r="B542">
        <v>100594</v>
      </c>
      <c r="C542" t="s">
        <v>19</v>
      </c>
      <c r="D542" s="3">
        <v>45828</v>
      </c>
      <c r="E542" t="s">
        <v>265</v>
      </c>
      <c r="F542" t="s">
        <v>2225</v>
      </c>
      <c r="G542" t="s">
        <v>15</v>
      </c>
      <c r="H542" t="s">
        <v>2226</v>
      </c>
      <c r="I542" t="s">
        <v>2227</v>
      </c>
      <c r="J542" s="4">
        <v>46063.714677465279</v>
      </c>
    </row>
    <row r="543" spans="1:11" x14ac:dyDescent="0.55000000000000004">
      <c r="A543" t="s">
        <v>2228</v>
      </c>
      <c r="B543">
        <v>100479</v>
      </c>
      <c r="C543" t="s">
        <v>533</v>
      </c>
      <c r="D543" s="3">
        <v>45784</v>
      </c>
      <c r="E543" t="s">
        <v>356</v>
      </c>
      <c r="F543" t="s">
        <v>2229</v>
      </c>
      <c r="G543" t="s">
        <v>22</v>
      </c>
      <c r="H543" t="s">
        <v>2230</v>
      </c>
      <c r="I543" t="s">
        <v>2231</v>
      </c>
      <c r="J543" s="4">
        <v>46097.415371921299</v>
      </c>
    </row>
    <row r="544" spans="1:11" x14ac:dyDescent="0.55000000000000004">
      <c r="A544" t="s">
        <v>2232</v>
      </c>
      <c r="B544">
        <v>100127</v>
      </c>
      <c r="C544" t="s">
        <v>37</v>
      </c>
      <c r="D544" s="3">
        <v>45809</v>
      </c>
      <c r="E544" t="s">
        <v>69</v>
      </c>
      <c r="F544" t="s">
        <v>2233</v>
      </c>
      <c r="G544" t="s">
        <v>15</v>
      </c>
      <c r="H544" t="s">
        <v>2234</v>
      </c>
      <c r="I544" t="s">
        <v>2235</v>
      </c>
      <c r="J544" s="4">
        <v>46076.148705254629</v>
      </c>
    </row>
    <row r="545" spans="1:10" x14ac:dyDescent="0.55000000000000004">
      <c r="A545" t="s">
        <v>2236</v>
      </c>
      <c r="B545">
        <v>101373</v>
      </c>
      <c r="C545" t="s">
        <v>68</v>
      </c>
      <c r="D545" s="3">
        <v>46134</v>
      </c>
      <c r="E545" t="s">
        <v>58</v>
      </c>
      <c r="F545" t="s">
        <v>2237</v>
      </c>
      <c r="G545" t="s">
        <v>15</v>
      </c>
      <c r="H545" t="s">
        <v>2238</v>
      </c>
      <c r="I545" t="s">
        <v>2239</v>
      </c>
      <c r="J545" s="4">
        <v>46076.632038587966</v>
      </c>
    </row>
    <row r="546" spans="1:10" x14ac:dyDescent="0.55000000000000004">
      <c r="A546" t="s">
        <v>2240</v>
      </c>
      <c r="B546">
        <v>100921</v>
      </c>
      <c r="C546" t="s">
        <v>533</v>
      </c>
      <c r="D546" s="3">
        <v>45760</v>
      </c>
      <c r="E546" t="s">
        <v>334</v>
      </c>
      <c r="F546" t="s">
        <v>2241</v>
      </c>
      <c r="G546" t="s">
        <v>22</v>
      </c>
      <c r="H546" t="s">
        <v>2242</v>
      </c>
      <c r="I546" t="s">
        <v>2243</v>
      </c>
      <c r="J546" s="4">
        <v>46086.473010821763</v>
      </c>
    </row>
    <row r="547" spans="1:10" x14ac:dyDescent="0.55000000000000004">
      <c r="A547" t="s">
        <v>2244</v>
      </c>
      <c r="B547">
        <v>100314</v>
      </c>
      <c r="C547" t="s">
        <v>248</v>
      </c>
      <c r="D547" s="3">
        <v>46150</v>
      </c>
      <c r="E547" t="s">
        <v>141</v>
      </c>
      <c r="F547" t="s">
        <v>2245</v>
      </c>
      <c r="G547" t="s">
        <v>15</v>
      </c>
      <c r="H547" t="s">
        <v>2246</v>
      </c>
      <c r="I547" t="s">
        <v>2247</v>
      </c>
      <c r="J547" s="4">
        <v>46073.116066377312</v>
      </c>
    </row>
    <row r="548" spans="1:10" x14ac:dyDescent="0.55000000000000004">
      <c r="A548" t="s">
        <v>2248</v>
      </c>
      <c r="B548">
        <v>100828</v>
      </c>
      <c r="C548" t="s">
        <v>248</v>
      </c>
      <c r="D548" s="3">
        <v>46109</v>
      </c>
      <c r="E548" t="s">
        <v>115</v>
      </c>
      <c r="F548" t="s">
        <v>2249</v>
      </c>
      <c r="G548" t="s">
        <v>22</v>
      </c>
      <c r="H548" t="s">
        <v>2250</v>
      </c>
      <c r="I548" t="s">
        <v>2251</v>
      </c>
      <c r="J548" s="4">
        <v>46091.004955266202</v>
      </c>
    </row>
    <row r="549" spans="1:10" x14ac:dyDescent="0.55000000000000004">
      <c r="A549" t="s">
        <v>2252</v>
      </c>
      <c r="B549">
        <v>100580</v>
      </c>
      <c r="C549" t="s">
        <v>248</v>
      </c>
      <c r="D549" s="3">
        <v>45974</v>
      </c>
      <c r="E549" t="s">
        <v>49</v>
      </c>
      <c r="F549" t="s">
        <v>2253</v>
      </c>
      <c r="G549" t="s">
        <v>22</v>
      </c>
      <c r="H549" t="s">
        <v>2254</v>
      </c>
      <c r="I549" t="s">
        <v>2255</v>
      </c>
      <c r="J549" s="4">
        <v>46086.851483055558</v>
      </c>
    </row>
    <row r="550" spans="1:10" x14ac:dyDescent="0.55000000000000004">
      <c r="A550" t="s">
        <v>2256</v>
      </c>
      <c r="B550">
        <v>101108</v>
      </c>
      <c r="C550" t="s">
        <v>37</v>
      </c>
      <c r="D550" s="3">
        <v>46113</v>
      </c>
      <c r="E550" t="s">
        <v>343</v>
      </c>
      <c r="F550" t="s">
        <v>2257</v>
      </c>
      <c r="G550" t="s">
        <v>22</v>
      </c>
      <c r="H550" t="s">
        <v>2258</v>
      </c>
      <c r="I550" t="s">
        <v>2259</v>
      </c>
      <c r="J550" s="4">
        <v>46057.321621944444</v>
      </c>
    </row>
    <row r="551" spans="1:10" x14ac:dyDescent="0.55000000000000004">
      <c r="A551" t="s">
        <v>2260</v>
      </c>
      <c r="B551">
        <v>101272</v>
      </c>
      <c r="C551" t="s">
        <v>248</v>
      </c>
      <c r="D551" s="3">
        <v>45916</v>
      </c>
      <c r="E551" t="s">
        <v>317</v>
      </c>
      <c r="F551" t="s">
        <v>2261</v>
      </c>
      <c r="G551" t="s">
        <v>15</v>
      </c>
      <c r="H551" t="s">
        <v>2262</v>
      </c>
      <c r="I551" t="s">
        <v>2263</v>
      </c>
      <c r="J551" s="4">
        <v>46090.410510833332</v>
      </c>
    </row>
    <row r="552" spans="1:10" x14ac:dyDescent="0.55000000000000004">
      <c r="A552" t="s">
        <v>2264</v>
      </c>
      <c r="B552">
        <v>100272</v>
      </c>
      <c r="C552" t="s">
        <v>179</v>
      </c>
      <c r="D552" s="3">
        <v>45898</v>
      </c>
      <c r="E552" t="s">
        <v>115</v>
      </c>
      <c r="F552" t="s">
        <v>2265</v>
      </c>
      <c r="G552" t="s">
        <v>22</v>
      </c>
      <c r="H552" t="s">
        <v>2266</v>
      </c>
      <c r="I552" t="s">
        <v>2267</v>
      </c>
      <c r="J552" s="4">
        <v>46060.575788622686</v>
      </c>
    </row>
    <row r="553" spans="1:10" x14ac:dyDescent="0.55000000000000004">
      <c r="A553" t="s">
        <v>2268</v>
      </c>
      <c r="B553">
        <v>100596</v>
      </c>
      <c r="C553" t="s">
        <v>179</v>
      </c>
      <c r="D553" s="3">
        <v>46136</v>
      </c>
      <c r="E553" t="s">
        <v>155</v>
      </c>
      <c r="F553" t="s">
        <v>2269</v>
      </c>
      <c r="G553" t="s">
        <v>15</v>
      </c>
      <c r="H553" t="s">
        <v>2270</v>
      </c>
      <c r="I553" t="s">
        <v>2271</v>
      </c>
      <c r="J553" s="4">
        <v>46059.763983067132</v>
      </c>
    </row>
    <row r="554" spans="1:10" x14ac:dyDescent="0.55000000000000004">
      <c r="A554" t="s">
        <v>2272</v>
      </c>
      <c r="B554">
        <v>100978</v>
      </c>
      <c r="C554" t="s">
        <v>19</v>
      </c>
      <c r="D554" s="3">
        <v>46084</v>
      </c>
      <c r="E554" t="s">
        <v>199</v>
      </c>
      <c r="F554" t="s">
        <v>2273</v>
      </c>
      <c r="G554" t="s">
        <v>15</v>
      </c>
      <c r="H554" t="s">
        <v>2274</v>
      </c>
      <c r="I554" t="s">
        <v>2275</v>
      </c>
      <c r="J554" s="4">
        <v>46087.035510844908</v>
      </c>
    </row>
    <row r="555" spans="1:10" x14ac:dyDescent="0.55000000000000004">
      <c r="A555" t="s">
        <v>2276</v>
      </c>
      <c r="B555">
        <v>100763</v>
      </c>
      <c r="C555" t="s">
        <v>37</v>
      </c>
      <c r="D555" s="3">
        <v>46083</v>
      </c>
      <c r="E555" t="s">
        <v>343</v>
      </c>
      <c r="F555" t="s">
        <v>2277</v>
      </c>
      <c r="G555" t="s">
        <v>22</v>
      </c>
      <c r="H555" t="s">
        <v>2278</v>
      </c>
      <c r="I555" t="s">
        <v>2279</v>
      </c>
      <c r="J555" s="4">
        <v>46056.527177523145</v>
      </c>
    </row>
    <row r="556" spans="1:10" x14ac:dyDescent="0.55000000000000004">
      <c r="A556" t="s">
        <v>2280</v>
      </c>
      <c r="B556">
        <v>100656</v>
      </c>
      <c r="C556" t="s">
        <v>19</v>
      </c>
      <c r="D556" s="3">
        <v>46137</v>
      </c>
      <c r="E556" t="s">
        <v>115</v>
      </c>
      <c r="F556" t="s">
        <v>2281</v>
      </c>
      <c r="G556" t="s">
        <v>22</v>
      </c>
      <c r="H556" t="s">
        <v>2282</v>
      </c>
      <c r="I556" t="s">
        <v>2283</v>
      </c>
      <c r="J556" s="4">
        <v>46083.295927523148</v>
      </c>
    </row>
    <row r="557" spans="1:10" x14ac:dyDescent="0.55000000000000004">
      <c r="A557" t="s">
        <v>2284</v>
      </c>
      <c r="B557">
        <v>100202</v>
      </c>
      <c r="C557" t="s">
        <v>19</v>
      </c>
      <c r="D557" s="3">
        <v>46135</v>
      </c>
      <c r="E557" t="s">
        <v>208</v>
      </c>
      <c r="F557" t="s">
        <v>2285</v>
      </c>
      <c r="G557" t="s">
        <v>15</v>
      </c>
      <c r="H557" t="s">
        <v>2286</v>
      </c>
      <c r="I557" t="s">
        <v>2287</v>
      </c>
      <c r="J557" s="4">
        <v>46053.209121979169</v>
      </c>
    </row>
    <row r="558" spans="1:10" x14ac:dyDescent="0.55000000000000004">
      <c r="A558" t="s">
        <v>2288</v>
      </c>
      <c r="B558">
        <v>100662</v>
      </c>
      <c r="C558" t="s">
        <v>68</v>
      </c>
      <c r="D558" s="3">
        <v>46102</v>
      </c>
      <c r="E558" t="s">
        <v>20</v>
      </c>
      <c r="F558" t="s">
        <v>2289</v>
      </c>
      <c r="G558" t="s">
        <v>15</v>
      </c>
      <c r="H558" t="s">
        <v>2290</v>
      </c>
      <c r="I558" t="s">
        <v>2291</v>
      </c>
      <c r="J558" s="4">
        <v>46066.123705312501</v>
      </c>
    </row>
    <row r="559" spans="1:10" x14ac:dyDescent="0.55000000000000004">
      <c r="A559" t="s">
        <v>2292</v>
      </c>
      <c r="B559">
        <v>100239</v>
      </c>
      <c r="C559" t="s">
        <v>19</v>
      </c>
      <c r="D559" s="3">
        <v>45882</v>
      </c>
      <c r="E559" t="s">
        <v>680</v>
      </c>
      <c r="F559" t="s">
        <v>2293</v>
      </c>
      <c r="G559" t="s">
        <v>15</v>
      </c>
      <c r="H559" t="s">
        <v>2294</v>
      </c>
      <c r="I559" t="s">
        <v>2295</v>
      </c>
      <c r="J559" s="4">
        <v>46063.25148309028</v>
      </c>
    </row>
    <row r="560" spans="1:10" x14ac:dyDescent="0.55000000000000004">
      <c r="A560" t="s">
        <v>2296</v>
      </c>
      <c r="B560">
        <v>100072</v>
      </c>
      <c r="C560" t="s">
        <v>68</v>
      </c>
      <c r="D560" s="3">
        <v>46106</v>
      </c>
      <c r="E560" t="s">
        <v>467</v>
      </c>
      <c r="F560" t="s">
        <v>2297</v>
      </c>
      <c r="G560" t="s">
        <v>15</v>
      </c>
      <c r="H560" t="s">
        <v>2298</v>
      </c>
      <c r="I560" t="s">
        <v>2299</v>
      </c>
      <c r="J560" s="4">
        <v>46092.991066435185</v>
      </c>
    </row>
    <row r="561" spans="1:11" x14ac:dyDescent="0.55000000000000004">
      <c r="A561" t="s">
        <v>2300</v>
      </c>
      <c r="B561">
        <v>100901</v>
      </c>
      <c r="C561" t="s">
        <v>533</v>
      </c>
      <c r="D561" s="3">
        <v>45962</v>
      </c>
      <c r="E561" t="s">
        <v>467</v>
      </c>
      <c r="F561" t="s">
        <v>2301</v>
      </c>
      <c r="G561" t="s">
        <v>22</v>
      </c>
      <c r="H561" t="s">
        <v>2302</v>
      </c>
      <c r="I561" t="s">
        <v>2303</v>
      </c>
      <c r="J561" s="4">
        <v>46068.74523310185</v>
      </c>
    </row>
    <row r="562" spans="1:11" x14ac:dyDescent="0.55000000000000004">
      <c r="A562" t="s">
        <v>2304</v>
      </c>
      <c r="B562">
        <v>100987</v>
      </c>
      <c r="C562" t="s">
        <v>19</v>
      </c>
      <c r="D562" s="3">
        <v>45926</v>
      </c>
      <c r="E562" t="s">
        <v>199</v>
      </c>
      <c r="F562" t="s">
        <v>2305</v>
      </c>
      <c r="G562" t="s">
        <v>15</v>
      </c>
      <c r="H562" t="s">
        <v>2306</v>
      </c>
      <c r="I562" t="s">
        <v>2307</v>
      </c>
      <c r="J562" s="4">
        <v>46077.656344212963</v>
      </c>
    </row>
    <row r="563" spans="1:11" x14ac:dyDescent="0.55000000000000004">
      <c r="A563" t="s">
        <v>2308</v>
      </c>
      <c r="B563">
        <v>100295</v>
      </c>
      <c r="C563" t="s">
        <v>19</v>
      </c>
      <c r="D563" s="3">
        <v>46151</v>
      </c>
      <c r="E563" t="s">
        <v>409</v>
      </c>
      <c r="F563" t="s">
        <v>2309</v>
      </c>
      <c r="G563" t="s">
        <v>22</v>
      </c>
      <c r="H563" t="s">
        <v>2310</v>
      </c>
      <c r="I563" t="s">
        <v>2311</v>
      </c>
      <c r="J563" s="4">
        <v>46062.527177557873</v>
      </c>
    </row>
    <row r="564" spans="1:11" x14ac:dyDescent="0.55000000000000004">
      <c r="A564" t="s">
        <v>2312</v>
      </c>
      <c r="B564">
        <v>100237</v>
      </c>
      <c r="C564" t="s">
        <v>19</v>
      </c>
      <c r="D564" s="3">
        <v>45876</v>
      </c>
      <c r="E564" t="s">
        <v>58</v>
      </c>
      <c r="F564" t="s">
        <v>2313</v>
      </c>
      <c r="G564" t="s">
        <v>15</v>
      </c>
      <c r="H564" t="s">
        <v>2314</v>
      </c>
      <c r="I564" t="s">
        <v>2315</v>
      </c>
      <c r="J564" s="4">
        <v>46091.002177557872</v>
      </c>
    </row>
    <row r="565" spans="1:11" x14ac:dyDescent="0.55000000000000004">
      <c r="A565" t="s">
        <v>2316</v>
      </c>
      <c r="B565">
        <v>100033</v>
      </c>
      <c r="C565" t="s">
        <v>37</v>
      </c>
      <c r="D565" s="3">
        <v>45754</v>
      </c>
      <c r="E565" t="s">
        <v>115</v>
      </c>
      <c r="F565" t="s">
        <v>2317</v>
      </c>
      <c r="G565" t="s">
        <v>15</v>
      </c>
      <c r="H565" t="s">
        <v>2318</v>
      </c>
      <c r="I565" t="s">
        <v>2319</v>
      </c>
      <c r="J565" s="4">
        <v>46085.593844224539</v>
      </c>
    </row>
    <row r="566" spans="1:11" x14ac:dyDescent="0.55000000000000004">
      <c r="A566" t="s">
        <v>2320</v>
      </c>
      <c r="B566">
        <v>101385</v>
      </c>
      <c r="C566" t="s">
        <v>19</v>
      </c>
      <c r="D566" s="3">
        <v>45830</v>
      </c>
      <c r="E566" t="s">
        <v>155</v>
      </c>
      <c r="F566" t="s">
        <v>2321</v>
      </c>
      <c r="G566" t="s">
        <v>22</v>
      </c>
      <c r="H566" t="s">
        <v>2322</v>
      </c>
      <c r="I566" t="s">
        <v>2323</v>
      </c>
      <c r="J566" s="4">
        <v>46055.049399791664</v>
      </c>
      <c r="K566" t="s">
        <v>139</v>
      </c>
    </row>
    <row r="567" spans="1:11" x14ac:dyDescent="0.55000000000000004">
      <c r="A567" t="s">
        <v>2324</v>
      </c>
      <c r="B567">
        <v>100898</v>
      </c>
      <c r="C567" t="s">
        <v>19</v>
      </c>
      <c r="D567" s="3">
        <v>46051</v>
      </c>
      <c r="E567" t="s">
        <v>343</v>
      </c>
      <c r="F567" t="s">
        <v>2325</v>
      </c>
      <c r="G567" t="s">
        <v>22</v>
      </c>
      <c r="H567" t="s">
        <v>2326</v>
      </c>
      <c r="I567" t="s">
        <v>2327</v>
      </c>
      <c r="J567" s="4">
        <v>46082.884816458332</v>
      </c>
    </row>
    <row r="568" spans="1:11" x14ac:dyDescent="0.55000000000000004">
      <c r="A568" t="s">
        <v>2328</v>
      </c>
      <c r="B568">
        <v>100585</v>
      </c>
      <c r="C568" t="s">
        <v>37</v>
      </c>
      <c r="D568" s="3">
        <v>45738</v>
      </c>
      <c r="E568" t="s">
        <v>317</v>
      </c>
      <c r="F568" t="s">
        <v>2329</v>
      </c>
      <c r="G568" t="s">
        <v>22</v>
      </c>
      <c r="H568" t="s">
        <v>2330</v>
      </c>
      <c r="I568" t="s">
        <v>2331</v>
      </c>
      <c r="J568" s="4">
        <v>46092.08064980324</v>
      </c>
    </row>
    <row r="569" spans="1:11" x14ac:dyDescent="0.55000000000000004">
      <c r="A569" t="s">
        <v>2332</v>
      </c>
      <c r="B569">
        <v>101173</v>
      </c>
      <c r="C569" t="s">
        <v>37</v>
      </c>
      <c r="D569" s="3">
        <v>45916</v>
      </c>
      <c r="E569" t="s">
        <v>300</v>
      </c>
      <c r="F569" t="s">
        <v>2333</v>
      </c>
      <c r="G569" t="s">
        <v>15</v>
      </c>
      <c r="H569" t="s">
        <v>2334</v>
      </c>
      <c r="I569" t="s">
        <v>2335</v>
      </c>
      <c r="J569" s="4">
        <v>46058.368149803238</v>
      </c>
    </row>
    <row r="570" spans="1:11" x14ac:dyDescent="0.55000000000000004">
      <c r="A570" t="s">
        <v>2336</v>
      </c>
      <c r="B570">
        <v>100002</v>
      </c>
      <c r="C570" t="s">
        <v>19</v>
      </c>
      <c r="D570" s="3">
        <v>45752</v>
      </c>
      <c r="E570" t="s">
        <v>13</v>
      </c>
      <c r="F570" t="s">
        <v>2337</v>
      </c>
      <c r="G570" t="s">
        <v>15</v>
      </c>
      <c r="H570" t="s">
        <v>2338</v>
      </c>
      <c r="I570" t="s">
        <v>2339</v>
      </c>
      <c r="J570" s="4">
        <v>46064.608427581021</v>
      </c>
    </row>
    <row r="571" spans="1:11" x14ac:dyDescent="0.55000000000000004">
      <c r="A571" t="s">
        <v>2340</v>
      </c>
      <c r="B571">
        <v>100574</v>
      </c>
      <c r="C571" t="s">
        <v>533</v>
      </c>
      <c r="D571" s="3">
        <v>46103</v>
      </c>
      <c r="E571" t="s">
        <v>38</v>
      </c>
      <c r="F571" t="s">
        <v>2341</v>
      </c>
      <c r="G571" t="s">
        <v>22</v>
      </c>
      <c r="H571" t="s">
        <v>2342</v>
      </c>
      <c r="I571" t="s">
        <v>2343</v>
      </c>
      <c r="J571" s="4">
        <v>46085.471622037039</v>
      </c>
    </row>
    <row r="572" spans="1:11" x14ac:dyDescent="0.55000000000000004">
      <c r="A572" t="s">
        <v>2344</v>
      </c>
      <c r="B572">
        <v>100076</v>
      </c>
      <c r="C572" t="s">
        <v>19</v>
      </c>
      <c r="D572" s="3">
        <v>46068</v>
      </c>
      <c r="E572" t="s">
        <v>38</v>
      </c>
      <c r="F572" t="s">
        <v>2345</v>
      </c>
      <c r="G572" t="s">
        <v>15</v>
      </c>
      <c r="H572" t="s">
        <v>2346</v>
      </c>
      <c r="I572" t="s">
        <v>2347</v>
      </c>
      <c r="J572" s="4">
        <v>46061.95217759259</v>
      </c>
    </row>
    <row r="573" spans="1:11" x14ac:dyDescent="0.55000000000000004">
      <c r="A573" t="s">
        <v>2348</v>
      </c>
      <c r="B573">
        <v>100565</v>
      </c>
      <c r="C573" t="s">
        <v>179</v>
      </c>
      <c r="D573" s="3">
        <v>46114</v>
      </c>
      <c r="E573" t="s">
        <v>317</v>
      </c>
      <c r="F573" t="s">
        <v>2349</v>
      </c>
      <c r="G573" t="s">
        <v>22</v>
      </c>
      <c r="H573" t="s">
        <v>2350</v>
      </c>
      <c r="I573" t="s">
        <v>2351</v>
      </c>
      <c r="J573" s="4">
        <v>46054.09384425926</v>
      </c>
    </row>
    <row r="574" spans="1:11" x14ac:dyDescent="0.55000000000000004">
      <c r="A574" t="s">
        <v>2352</v>
      </c>
      <c r="B574">
        <v>100177</v>
      </c>
      <c r="C574" t="s">
        <v>179</v>
      </c>
      <c r="D574" s="3">
        <v>45785</v>
      </c>
      <c r="E574" t="s">
        <v>115</v>
      </c>
      <c r="F574" t="s">
        <v>2353</v>
      </c>
      <c r="G574" t="s">
        <v>22</v>
      </c>
      <c r="H574" t="s">
        <v>2354</v>
      </c>
      <c r="I574" t="s">
        <v>2355</v>
      </c>
      <c r="J574" s="4">
        <v>46065.266066493059</v>
      </c>
    </row>
    <row r="575" spans="1:11" x14ac:dyDescent="0.55000000000000004">
      <c r="A575" t="s">
        <v>2356</v>
      </c>
      <c r="B575">
        <v>101183</v>
      </c>
      <c r="C575" t="s">
        <v>533</v>
      </c>
      <c r="D575" s="3">
        <v>46005</v>
      </c>
      <c r="E575" t="s">
        <v>495</v>
      </c>
      <c r="F575" t="s">
        <v>2357</v>
      </c>
      <c r="G575" t="s">
        <v>22</v>
      </c>
      <c r="H575" t="s">
        <v>2358</v>
      </c>
      <c r="I575" t="s">
        <v>2359</v>
      </c>
      <c r="J575" s="4">
        <v>46074.159816493055</v>
      </c>
    </row>
    <row r="576" spans="1:11" x14ac:dyDescent="0.55000000000000004">
      <c r="A576" t="s">
        <v>2360</v>
      </c>
      <c r="B576">
        <v>100160</v>
      </c>
      <c r="C576" t="s">
        <v>179</v>
      </c>
      <c r="D576" s="3">
        <v>46154</v>
      </c>
      <c r="E576" t="s">
        <v>160</v>
      </c>
      <c r="F576" t="s">
        <v>2361</v>
      </c>
      <c r="G576" t="s">
        <v>15</v>
      </c>
      <c r="H576" t="s">
        <v>2362</v>
      </c>
      <c r="I576" t="s">
        <v>2363</v>
      </c>
      <c r="J576" s="4">
        <v>46072.963983159723</v>
      </c>
    </row>
    <row r="577" spans="1:11" x14ac:dyDescent="0.55000000000000004">
      <c r="A577" t="s">
        <v>2364</v>
      </c>
      <c r="B577">
        <v>100944</v>
      </c>
      <c r="C577" t="s">
        <v>248</v>
      </c>
      <c r="D577" s="3">
        <v>45916</v>
      </c>
      <c r="E577" t="s">
        <v>757</v>
      </c>
      <c r="F577" t="s">
        <v>2365</v>
      </c>
      <c r="G577" t="s">
        <v>15</v>
      </c>
      <c r="H577" t="s">
        <v>2366</v>
      </c>
      <c r="I577" t="s">
        <v>2367</v>
      </c>
      <c r="J577" s="4">
        <v>46095.341760949072</v>
      </c>
    </row>
    <row r="578" spans="1:11" x14ac:dyDescent="0.55000000000000004">
      <c r="A578" t="s">
        <v>2368</v>
      </c>
      <c r="B578">
        <v>101265</v>
      </c>
      <c r="C578" t="s">
        <v>19</v>
      </c>
      <c r="D578" s="3">
        <v>45740</v>
      </c>
      <c r="E578" t="s">
        <v>199</v>
      </c>
      <c r="F578" t="s">
        <v>2369</v>
      </c>
      <c r="G578" t="s">
        <v>22</v>
      </c>
      <c r="H578" t="s">
        <v>2370</v>
      </c>
      <c r="I578" t="s">
        <v>2371</v>
      </c>
      <c r="J578" s="4">
        <v>46083.441066504631</v>
      </c>
    </row>
    <row r="579" spans="1:11" x14ac:dyDescent="0.55000000000000004">
      <c r="A579" t="s">
        <v>2372</v>
      </c>
      <c r="B579">
        <v>100807</v>
      </c>
      <c r="C579" t="s">
        <v>68</v>
      </c>
      <c r="D579" s="3">
        <v>45743</v>
      </c>
      <c r="E579" t="s">
        <v>160</v>
      </c>
      <c r="F579" t="s">
        <v>2373</v>
      </c>
      <c r="G579" t="s">
        <v>15</v>
      </c>
      <c r="H579" t="s">
        <v>2374</v>
      </c>
      <c r="I579" t="s">
        <v>2375</v>
      </c>
      <c r="J579" s="4">
        <v>46095.091760960648</v>
      </c>
    </row>
    <row r="580" spans="1:11" x14ac:dyDescent="0.55000000000000004">
      <c r="A580" t="s">
        <v>2376</v>
      </c>
      <c r="B580">
        <v>101405</v>
      </c>
      <c r="C580" t="s">
        <v>68</v>
      </c>
      <c r="D580" s="3">
        <v>45811</v>
      </c>
      <c r="E580" t="s">
        <v>20</v>
      </c>
      <c r="F580" t="s">
        <v>2377</v>
      </c>
      <c r="G580" t="s">
        <v>22</v>
      </c>
      <c r="H580" t="s">
        <v>2378</v>
      </c>
      <c r="I580" t="s">
        <v>2379</v>
      </c>
      <c r="J580" s="4">
        <v>46060.391066516204</v>
      </c>
    </row>
    <row r="581" spans="1:11" x14ac:dyDescent="0.55000000000000004">
      <c r="A581" t="s">
        <v>2380</v>
      </c>
      <c r="B581">
        <v>100101</v>
      </c>
      <c r="C581" t="s">
        <v>248</v>
      </c>
      <c r="D581" s="3">
        <v>45863</v>
      </c>
      <c r="E581" t="s">
        <v>170</v>
      </c>
      <c r="F581" t="s">
        <v>2381</v>
      </c>
      <c r="G581" t="s">
        <v>22</v>
      </c>
      <c r="H581" t="s">
        <v>2382</v>
      </c>
      <c r="I581" t="s">
        <v>2383</v>
      </c>
      <c r="J581" s="4">
        <v>46061.436899849534</v>
      </c>
    </row>
    <row r="582" spans="1:11" x14ac:dyDescent="0.55000000000000004">
      <c r="A582" t="s">
        <v>2384</v>
      </c>
      <c r="B582">
        <v>101485</v>
      </c>
      <c r="C582" t="s">
        <v>37</v>
      </c>
      <c r="D582" s="3">
        <v>46102</v>
      </c>
      <c r="E582" t="s">
        <v>418</v>
      </c>
      <c r="F582" t="s">
        <v>2385</v>
      </c>
      <c r="G582" t="s">
        <v>22</v>
      </c>
      <c r="H582" t="s">
        <v>2386</v>
      </c>
      <c r="I582" t="s">
        <v>2387</v>
      </c>
      <c r="J582" s="4">
        <v>46052.74662208333</v>
      </c>
    </row>
    <row r="583" spans="1:11" x14ac:dyDescent="0.55000000000000004">
      <c r="A583" t="s">
        <v>2388</v>
      </c>
      <c r="B583">
        <v>100312</v>
      </c>
      <c r="C583" t="s">
        <v>19</v>
      </c>
      <c r="D583" s="3">
        <v>46151</v>
      </c>
      <c r="E583" t="s">
        <v>38</v>
      </c>
      <c r="F583" t="s">
        <v>2389</v>
      </c>
      <c r="G583" t="s">
        <v>22</v>
      </c>
      <c r="H583" t="s">
        <v>2390</v>
      </c>
      <c r="I583" t="s">
        <v>2391</v>
      </c>
      <c r="J583" s="4">
        <v>46094.926483194446</v>
      </c>
    </row>
    <row r="584" spans="1:11" x14ac:dyDescent="0.55000000000000004">
      <c r="A584" t="s">
        <v>2392</v>
      </c>
      <c r="B584">
        <v>100439</v>
      </c>
      <c r="C584" t="s">
        <v>179</v>
      </c>
      <c r="D584" s="3">
        <v>45772</v>
      </c>
      <c r="E584" t="s">
        <v>20</v>
      </c>
      <c r="F584" t="s">
        <v>2393</v>
      </c>
      <c r="G584" t="s">
        <v>22</v>
      </c>
      <c r="H584" t="s">
        <v>2394</v>
      </c>
      <c r="I584" t="s">
        <v>2395</v>
      </c>
      <c r="J584" s="4">
        <v>46070.153566527777</v>
      </c>
    </row>
    <row r="585" spans="1:11" x14ac:dyDescent="0.55000000000000004">
      <c r="A585" t="s">
        <v>2396</v>
      </c>
      <c r="B585">
        <v>100304</v>
      </c>
      <c r="C585" t="s">
        <v>533</v>
      </c>
      <c r="D585" s="3">
        <v>46126</v>
      </c>
      <c r="E585" t="s">
        <v>317</v>
      </c>
      <c r="F585" t="s">
        <v>2397</v>
      </c>
      <c r="G585" t="s">
        <v>15</v>
      </c>
      <c r="H585" t="s">
        <v>2398</v>
      </c>
      <c r="I585" t="s">
        <v>2399</v>
      </c>
      <c r="J585" s="4">
        <v>46056.847316539352</v>
      </c>
    </row>
    <row r="586" spans="1:11" x14ac:dyDescent="0.55000000000000004">
      <c r="A586" t="s">
        <v>2400</v>
      </c>
      <c r="B586">
        <v>100920</v>
      </c>
      <c r="C586" t="s">
        <v>179</v>
      </c>
      <c r="D586" s="3">
        <v>45759</v>
      </c>
      <c r="E586" t="s">
        <v>170</v>
      </c>
      <c r="F586" t="s">
        <v>2401</v>
      </c>
      <c r="G586" t="s">
        <v>22</v>
      </c>
      <c r="H586" t="s">
        <v>2402</v>
      </c>
      <c r="I586" t="s">
        <v>2403</v>
      </c>
      <c r="J586" s="4">
        <v>46062.943149872684</v>
      </c>
    </row>
    <row r="587" spans="1:11" x14ac:dyDescent="0.55000000000000004">
      <c r="A587" t="s">
        <v>2404</v>
      </c>
      <c r="B587">
        <v>100703</v>
      </c>
      <c r="D587" s="3">
        <v>45899</v>
      </c>
      <c r="E587" t="s">
        <v>587</v>
      </c>
      <c r="F587" t="s">
        <v>2405</v>
      </c>
      <c r="G587" t="s">
        <v>15</v>
      </c>
      <c r="H587" t="s">
        <v>2406</v>
      </c>
      <c r="I587" t="s">
        <v>2407</v>
      </c>
      <c r="J587" s="4">
        <v>46054.187594317133</v>
      </c>
      <c r="K587" t="s">
        <v>217</v>
      </c>
    </row>
    <row r="588" spans="1:11" x14ac:dyDescent="0.55000000000000004">
      <c r="A588" t="s">
        <v>2408</v>
      </c>
      <c r="B588">
        <v>100856</v>
      </c>
      <c r="C588" t="s">
        <v>179</v>
      </c>
      <c r="D588" s="3">
        <v>46117</v>
      </c>
      <c r="E588" t="s">
        <v>184</v>
      </c>
      <c r="F588" t="s">
        <v>2409</v>
      </c>
      <c r="G588" t="s">
        <v>15</v>
      </c>
      <c r="H588" t="s">
        <v>2410</v>
      </c>
      <c r="I588" t="s">
        <v>2411</v>
      </c>
      <c r="J588" s="4">
        <v>46070.334122106484</v>
      </c>
    </row>
    <row r="589" spans="1:11" x14ac:dyDescent="0.55000000000000004">
      <c r="A589" t="s">
        <v>2412</v>
      </c>
      <c r="B589">
        <v>100535</v>
      </c>
      <c r="C589" t="s">
        <v>179</v>
      </c>
      <c r="D589" s="3">
        <v>45807</v>
      </c>
      <c r="E589" t="s">
        <v>20</v>
      </c>
      <c r="F589" t="s">
        <v>2413</v>
      </c>
      <c r="G589" t="s">
        <v>15</v>
      </c>
      <c r="H589" t="s">
        <v>2414</v>
      </c>
      <c r="I589" t="s">
        <v>2415</v>
      </c>
      <c r="J589" s="4">
        <v>46066.933427662036</v>
      </c>
    </row>
    <row r="590" spans="1:11" x14ac:dyDescent="0.55000000000000004">
      <c r="A590" t="s">
        <v>2416</v>
      </c>
      <c r="B590">
        <v>100231</v>
      </c>
      <c r="C590" t="s">
        <v>37</v>
      </c>
      <c r="D590" s="3">
        <v>46012</v>
      </c>
      <c r="E590" t="s">
        <v>295</v>
      </c>
      <c r="F590" t="s">
        <v>2417</v>
      </c>
      <c r="G590" t="s">
        <v>22</v>
      </c>
      <c r="H590" t="s">
        <v>2418</v>
      </c>
      <c r="I590" t="s">
        <v>2419</v>
      </c>
      <c r="J590" s="4">
        <v>46065.128566562496</v>
      </c>
    </row>
    <row r="591" spans="1:11" x14ac:dyDescent="0.55000000000000004">
      <c r="A591" t="s">
        <v>2420</v>
      </c>
      <c r="B591">
        <v>100123</v>
      </c>
      <c r="C591" t="s">
        <v>533</v>
      </c>
      <c r="D591" s="3">
        <v>46122</v>
      </c>
      <c r="E591" t="s">
        <v>69</v>
      </c>
      <c r="F591" t="s">
        <v>2421</v>
      </c>
      <c r="G591" t="s">
        <v>15</v>
      </c>
      <c r="H591" t="s">
        <v>2422</v>
      </c>
      <c r="I591" t="s">
        <v>2423</v>
      </c>
      <c r="J591" s="4">
        <v>46066.184122118058</v>
      </c>
      <c r="K591" t="s">
        <v>139</v>
      </c>
    </row>
    <row r="592" spans="1:11" x14ac:dyDescent="0.55000000000000004">
      <c r="A592" t="s">
        <v>2424</v>
      </c>
      <c r="B592">
        <v>101064</v>
      </c>
      <c r="C592" t="s">
        <v>19</v>
      </c>
      <c r="D592" s="3">
        <v>45832</v>
      </c>
      <c r="E592" t="s">
        <v>587</v>
      </c>
      <c r="F592" t="s">
        <v>2425</v>
      </c>
      <c r="G592" t="s">
        <v>15</v>
      </c>
      <c r="H592" t="s">
        <v>2426</v>
      </c>
      <c r="I592" t="s">
        <v>2427</v>
      </c>
      <c r="J592" s="4">
        <v>46093.367455451385</v>
      </c>
    </row>
    <row r="593" spans="1:11" x14ac:dyDescent="0.55000000000000004">
      <c r="A593" t="s">
        <v>2428</v>
      </c>
      <c r="B593">
        <v>100121</v>
      </c>
      <c r="C593" t="s">
        <v>179</v>
      </c>
      <c r="D593" s="3">
        <v>45897</v>
      </c>
      <c r="E593" t="s">
        <v>184</v>
      </c>
      <c r="F593" t="s">
        <v>2429</v>
      </c>
      <c r="G593" t="s">
        <v>22</v>
      </c>
      <c r="H593" t="s">
        <v>2430</v>
      </c>
      <c r="I593" t="s">
        <v>2431</v>
      </c>
      <c r="J593" s="4">
        <v>46070.226483240738</v>
      </c>
    </row>
    <row r="594" spans="1:11" x14ac:dyDescent="0.55000000000000004">
      <c r="A594" t="s">
        <v>2432</v>
      </c>
      <c r="B594">
        <v>100254</v>
      </c>
      <c r="C594" t="s">
        <v>68</v>
      </c>
      <c r="D594" s="3">
        <v>45829</v>
      </c>
      <c r="E594" t="s">
        <v>467</v>
      </c>
      <c r="F594" t="s">
        <v>2433</v>
      </c>
      <c r="G594" t="s">
        <v>15</v>
      </c>
      <c r="H594" t="s">
        <v>2434</v>
      </c>
      <c r="I594" t="s">
        <v>2435</v>
      </c>
      <c r="J594" s="4">
        <v>46078.505649907405</v>
      </c>
    </row>
    <row r="595" spans="1:11" x14ac:dyDescent="0.55000000000000004">
      <c r="A595" t="s">
        <v>2436</v>
      </c>
      <c r="C595" t="s">
        <v>68</v>
      </c>
      <c r="D595" s="3">
        <v>46047</v>
      </c>
      <c r="E595" t="s">
        <v>409</v>
      </c>
      <c r="F595" t="s">
        <v>2437</v>
      </c>
      <c r="G595" t="s">
        <v>22</v>
      </c>
      <c r="H595" t="s">
        <v>2438</v>
      </c>
      <c r="I595" t="s">
        <v>2439</v>
      </c>
      <c r="J595" s="4">
        <v>46095.413983240738</v>
      </c>
      <c r="K595" t="s">
        <v>112</v>
      </c>
    </row>
    <row r="596" spans="1:11" x14ac:dyDescent="0.55000000000000004">
      <c r="A596" t="s">
        <v>2440</v>
      </c>
      <c r="B596">
        <v>101015</v>
      </c>
      <c r="C596" t="s">
        <v>248</v>
      </c>
      <c r="D596" s="3">
        <v>46082</v>
      </c>
      <c r="E596" t="s">
        <v>265</v>
      </c>
      <c r="F596" t="s">
        <v>2441</v>
      </c>
      <c r="G596" t="s">
        <v>15</v>
      </c>
      <c r="H596" t="s">
        <v>2442</v>
      </c>
      <c r="I596" t="s">
        <v>2443</v>
      </c>
      <c r="J596" s="4">
        <v>46094.40078880787</v>
      </c>
    </row>
    <row r="597" spans="1:11" x14ac:dyDescent="0.55000000000000004">
      <c r="A597" t="s">
        <v>2444</v>
      </c>
      <c r="B597">
        <v>100576</v>
      </c>
      <c r="C597" t="s">
        <v>19</v>
      </c>
      <c r="D597" s="3">
        <v>45807</v>
      </c>
      <c r="E597" t="s">
        <v>295</v>
      </c>
      <c r="F597" t="s">
        <v>2445</v>
      </c>
      <c r="G597" t="s">
        <v>15</v>
      </c>
      <c r="H597" t="s">
        <v>2446</v>
      </c>
      <c r="I597" t="s">
        <v>2447</v>
      </c>
      <c r="J597" s="4">
        <v>46078.106344363427</v>
      </c>
    </row>
    <row r="598" spans="1:11" x14ac:dyDescent="0.55000000000000004">
      <c r="A598" t="s">
        <v>2448</v>
      </c>
      <c r="B598">
        <v>100152</v>
      </c>
      <c r="C598" t="s">
        <v>19</v>
      </c>
      <c r="D598" s="3">
        <v>45743</v>
      </c>
      <c r="E598" t="s">
        <v>409</v>
      </c>
      <c r="F598" t="s">
        <v>2449</v>
      </c>
      <c r="G598" t="s">
        <v>15</v>
      </c>
      <c r="H598" t="s">
        <v>2450</v>
      </c>
      <c r="I598" t="s">
        <v>2451</v>
      </c>
      <c r="J598" s="4">
        <v>46083.968844374998</v>
      </c>
    </row>
    <row r="599" spans="1:11" x14ac:dyDescent="0.55000000000000004">
      <c r="A599" t="s">
        <v>2452</v>
      </c>
      <c r="B599">
        <v>100155</v>
      </c>
      <c r="C599" t="s">
        <v>19</v>
      </c>
      <c r="D599" s="3">
        <v>46116</v>
      </c>
      <c r="E599" t="s">
        <v>89</v>
      </c>
      <c r="F599" t="s">
        <v>2453</v>
      </c>
      <c r="G599" t="s">
        <v>15</v>
      </c>
      <c r="H599" t="s">
        <v>2454</v>
      </c>
      <c r="I599" t="s">
        <v>2455</v>
      </c>
      <c r="J599" s="4">
        <v>46052.752177708331</v>
      </c>
    </row>
    <row r="600" spans="1:11" x14ac:dyDescent="0.55000000000000004">
      <c r="A600" t="s">
        <v>6033</v>
      </c>
      <c r="B600">
        <v>101479</v>
      </c>
      <c r="C600" t="s">
        <v>37</v>
      </c>
      <c r="D600" s="3">
        <v>45924</v>
      </c>
      <c r="E600" t="s">
        <v>184</v>
      </c>
      <c r="F600" t="s">
        <v>2457</v>
      </c>
      <c r="G600" t="s">
        <v>22</v>
      </c>
      <c r="H600" t="s">
        <v>2458</v>
      </c>
      <c r="I600" t="s">
        <v>2459</v>
      </c>
      <c r="J600" s="4">
        <v>46087.660511041664</v>
      </c>
      <c r="K600" t="s">
        <v>119</v>
      </c>
    </row>
    <row r="601" spans="1:11" x14ac:dyDescent="0.55000000000000004">
      <c r="A601" t="s">
        <v>2460</v>
      </c>
      <c r="B601">
        <v>100590</v>
      </c>
      <c r="C601" t="s">
        <v>68</v>
      </c>
      <c r="D601" s="3">
        <v>45834</v>
      </c>
      <c r="E601" t="s">
        <v>343</v>
      </c>
      <c r="F601" t="s">
        <v>2461</v>
      </c>
      <c r="G601" t="s">
        <v>22</v>
      </c>
      <c r="H601" t="s">
        <v>2462</v>
      </c>
      <c r="I601" t="s">
        <v>2463</v>
      </c>
      <c r="J601" s="4">
        <v>46056.734122164351</v>
      </c>
    </row>
    <row r="602" spans="1:11" x14ac:dyDescent="0.55000000000000004">
      <c r="A602" t="s">
        <v>2464</v>
      </c>
      <c r="B602">
        <v>100075</v>
      </c>
      <c r="C602" t="s">
        <v>37</v>
      </c>
      <c r="D602" s="3">
        <v>45930</v>
      </c>
      <c r="E602" t="s">
        <v>13</v>
      </c>
      <c r="F602" t="s">
        <v>2465</v>
      </c>
      <c r="G602" t="s">
        <v>15</v>
      </c>
      <c r="H602" t="s">
        <v>2466</v>
      </c>
      <c r="I602" t="s">
        <v>2467</v>
      </c>
      <c r="J602" s="4">
        <v>46078.823011053239</v>
      </c>
    </row>
    <row r="603" spans="1:11" x14ac:dyDescent="0.55000000000000004">
      <c r="A603" t="s">
        <v>2468</v>
      </c>
      <c r="B603">
        <v>100503</v>
      </c>
      <c r="C603" t="s">
        <v>179</v>
      </c>
      <c r="D603" s="3">
        <v>45850</v>
      </c>
      <c r="E603" t="s">
        <v>170</v>
      </c>
      <c r="F603" t="s">
        <v>2469</v>
      </c>
      <c r="G603" t="s">
        <v>22</v>
      </c>
      <c r="H603" t="s">
        <v>2470</v>
      </c>
      <c r="I603" t="s">
        <v>2471</v>
      </c>
      <c r="J603" s="4">
        <v>46065.897316620372</v>
      </c>
    </row>
    <row r="604" spans="1:11" x14ac:dyDescent="0.55000000000000004">
      <c r="A604" t="s">
        <v>2472</v>
      </c>
      <c r="B604">
        <v>100410</v>
      </c>
      <c r="C604" t="s">
        <v>19</v>
      </c>
      <c r="D604" s="3">
        <v>45777</v>
      </c>
      <c r="E604" t="s">
        <v>115</v>
      </c>
      <c r="F604" t="s">
        <v>2473</v>
      </c>
      <c r="G604" t="s">
        <v>22</v>
      </c>
      <c r="H604" t="s">
        <v>2474</v>
      </c>
      <c r="I604" t="s">
        <v>2475</v>
      </c>
      <c r="J604" s="4">
        <v>46062.715372175924</v>
      </c>
    </row>
    <row r="605" spans="1:11" x14ac:dyDescent="0.55000000000000004">
      <c r="A605" t="s">
        <v>2476</v>
      </c>
      <c r="B605">
        <v>100066</v>
      </c>
      <c r="C605" t="s">
        <v>37</v>
      </c>
      <c r="D605" s="3">
        <v>45858</v>
      </c>
      <c r="E605" t="s">
        <v>300</v>
      </c>
      <c r="F605" t="s">
        <v>2477</v>
      </c>
      <c r="G605" t="s">
        <v>22</v>
      </c>
      <c r="H605" t="s">
        <v>2478</v>
      </c>
      <c r="I605" t="s">
        <v>2479</v>
      </c>
      <c r="J605" s="4">
        <v>46087.720233287037</v>
      </c>
    </row>
    <row r="606" spans="1:11" x14ac:dyDescent="0.55000000000000004">
      <c r="A606" t="s">
        <v>2480</v>
      </c>
      <c r="B606">
        <v>101191</v>
      </c>
      <c r="C606" t="s">
        <v>68</v>
      </c>
      <c r="D606" s="3">
        <v>46082</v>
      </c>
      <c r="E606" t="s">
        <v>49</v>
      </c>
      <c r="F606" t="s">
        <v>2481</v>
      </c>
      <c r="G606" t="s">
        <v>15</v>
      </c>
      <c r="H606" t="s">
        <v>2482</v>
      </c>
      <c r="I606" t="s">
        <v>2483</v>
      </c>
      <c r="J606" s="4">
        <v>46065.354261076391</v>
      </c>
    </row>
    <row r="607" spans="1:11" x14ac:dyDescent="0.55000000000000004">
      <c r="A607" t="s">
        <v>2484</v>
      </c>
      <c r="B607">
        <v>100489</v>
      </c>
      <c r="C607" t="s">
        <v>37</v>
      </c>
      <c r="D607" s="3">
        <v>46052</v>
      </c>
      <c r="E607" t="s">
        <v>334</v>
      </c>
      <c r="F607" t="s">
        <v>2485</v>
      </c>
      <c r="G607" t="s">
        <v>22</v>
      </c>
      <c r="H607" t="s">
        <v>2486</v>
      </c>
      <c r="I607" t="s">
        <v>2487</v>
      </c>
      <c r="J607" s="4">
        <v>46083.53064996528</v>
      </c>
    </row>
    <row r="608" spans="1:11" x14ac:dyDescent="0.55000000000000004">
      <c r="A608" t="s">
        <v>2488</v>
      </c>
      <c r="B608">
        <v>100798</v>
      </c>
      <c r="C608" t="s">
        <v>68</v>
      </c>
      <c r="D608" s="3">
        <v>45933</v>
      </c>
      <c r="E608" t="s">
        <v>121</v>
      </c>
      <c r="F608" t="s">
        <v>2489</v>
      </c>
      <c r="G608" t="s">
        <v>15</v>
      </c>
      <c r="H608" t="s">
        <v>2490</v>
      </c>
      <c r="I608" t="s">
        <v>2491</v>
      </c>
      <c r="J608" s="4">
        <v>46071.404261076386</v>
      </c>
    </row>
    <row r="609" spans="1:11" x14ac:dyDescent="0.55000000000000004">
      <c r="A609" t="s">
        <v>2492</v>
      </c>
      <c r="B609">
        <v>100052</v>
      </c>
      <c r="C609" t="s">
        <v>19</v>
      </c>
      <c r="D609" s="3">
        <v>45810</v>
      </c>
      <c r="E609" t="s">
        <v>467</v>
      </c>
      <c r="F609" t="s">
        <v>2493</v>
      </c>
      <c r="G609" t="s">
        <v>22</v>
      </c>
      <c r="H609" t="s">
        <v>2494</v>
      </c>
      <c r="I609" t="s">
        <v>2495</v>
      </c>
      <c r="J609" s="4">
        <v>46068.975094421294</v>
      </c>
    </row>
    <row r="610" spans="1:11" x14ac:dyDescent="0.55000000000000004">
      <c r="A610" t="s">
        <v>2496</v>
      </c>
      <c r="B610">
        <v>100188</v>
      </c>
      <c r="C610" t="s">
        <v>533</v>
      </c>
      <c r="D610" s="3">
        <v>45837</v>
      </c>
      <c r="E610" t="s">
        <v>587</v>
      </c>
      <c r="F610" t="s">
        <v>2497</v>
      </c>
      <c r="G610" t="s">
        <v>15</v>
      </c>
      <c r="H610" t="s">
        <v>2498</v>
      </c>
      <c r="I610" t="s">
        <v>2499</v>
      </c>
      <c r="J610" s="4">
        <v>46077.766761087965</v>
      </c>
    </row>
    <row r="611" spans="1:11" x14ac:dyDescent="0.55000000000000004">
      <c r="A611" t="s">
        <v>2500</v>
      </c>
      <c r="B611">
        <v>100687</v>
      </c>
      <c r="C611" t="s">
        <v>19</v>
      </c>
      <c r="D611" s="3">
        <v>45801</v>
      </c>
      <c r="E611" t="s">
        <v>409</v>
      </c>
      <c r="F611" t="s">
        <v>2501</v>
      </c>
      <c r="G611" t="s">
        <v>15</v>
      </c>
      <c r="H611" t="s">
        <v>2502</v>
      </c>
      <c r="I611" t="s">
        <v>2503</v>
      </c>
      <c r="J611" s="4">
        <v>46077.650094421297</v>
      </c>
    </row>
    <row r="612" spans="1:11" x14ac:dyDescent="0.55000000000000004">
      <c r="A612" t="s">
        <v>2504</v>
      </c>
      <c r="B612">
        <v>101336</v>
      </c>
      <c r="C612" t="s">
        <v>19</v>
      </c>
      <c r="D612" s="3">
        <v>46004</v>
      </c>
      <c r="E612" t="s">
        <v>199</v>
      </c>
      <c r="F612" t="s">
        <v>2505</v>
      </c>
      <c r="G612" t="s">
        <v>15</v>
      </c>
      <c r="H612" t="s">
        <v>2506</v>
      </c>
      <c r="I612" t="s">
        <v>2507</v>
      </c>
      <c r="J612" s="4">
        <v>46096.293149988429</v>
      </c>
    </row>
    <row r="613" spans="1:11" x14ac:dyDescent="0.55000000000000004">
      <c r="A613" t="s">
        <v>2508</v>
      </c>
      <c r="B613">
        <v>101317</v>
      </c>
      <c r="C613" t="s">
        <v>179</v>
      </c>
      <c r="D613" s="3">
        <v>45942</v>
      </c>
      <c r="E613" t="s">
        <v>58</v>
      </c>
      <c r="F613" t="s">
        <v>2509</v>
      </c>
      <c r="G613" t="s">
        <v>15</v>
      </c>
      <c r="H613" t="s">
        <v>2510</v>
      </c>
      <c r="I613" t="s">
        <v>2511</v>
      </c>
      <c r="J613" s="4">
        <v>46085.594538877318</v>
      </c>
    </row>
    <row r="614" spans="1:11" x14ac:dyDescent="0.55000000000000004">
      <c r="A614" t="s">
        <v>2512</v>
      </c>
      <c r="B614">
        <v>100480</v>
      </c>
      <c r="C614" t="s">
        <v>533</v>
      </c>
      <c r="D614" s="3">
        <v>45826</v>
      </c>
      <c r="E614" t="s">
        <v>38</v>
      </c>
      <c r="F614" t="s">
        <v>2513</v>
      </c>
      <c r="G614" t="s">
        <v>22</v>
      </c>
      <c r="H614" t="s">
        <v>2514</v>
      </c>
      <c r="I614" t="s">
        <v>2515</v>
      </c>
      <c r="J614" s="4">
        <v>46058.93967777778</v>
      </c>
    </row>
    <row r="615" spans="1:11" x14ac:dyDescent="0.55000000000000004">
      <c r="A615" t="s">
        <v>2516</v>
      </c>
      <c r="B615">
        <v>100291</v>
      </c>
      <c r="C615" t="s">
        <v>19</v>
      </c>
      <c r="D615" s="3">
        <v>45850</v>
      </c>
      <c r="E615" t="s">
        <v>108</v>
      </c>
      <c r="F615" t="s">
        <v>2517</v>
      </c>
      <c r="G615" t="s">
        <v>22</v>
      </c>
      <c r="H615" t="s">
        <v>2518</v>
      </c>
      <c r="I615" t="s">
        <v>2519</v>
      </c>
      <c r="J615" s="4">
        <v>46091.767455555557</v>
      </c>
    </row>
    <row r="616" spans="1:11" x14ac:dyDescent="0.55000000000000004">
      <c r="A616" t="s">
        <v>2520</v>
      </c>
      <c r="B616">
        <v>100587</v>
      </c>
      <c r="C616" t="s">
        <v>19</v>
      </c>
      <c r="D616" s="3">
        <v>45800</v>
      </c>
      <c r="E616" t="s">
        <v>495</v>
      </c>
      <c r="F616" t="s">
        <v>2521</v>
      </c>
      <c r="G616" t="s">
        <v>15</v>
      </c>
      <c r="H616" t="s">
        <v>2522</v>
      </c>
      <c r="I616" t="s">
        <v>2523</v>
      </c>
      <c r="J616" s="4">
        <v>46073.047316666663</v>
      </c>
    </row>
    <row r="617" spans="1:11" x14ac:dyDescent="0.55000000000000004">
      <c r="A617" t="s">
        <v>2524</v>
      </c>
      <c r="B617">
        <v>100728</v>
      </c>
      <c r="C617" t="s">
        <v>19</v>
      </c>
      <c r="D617" s="3">
        <v>45802</v>
      </c>
      <c r="E617" t="s">
        <v>115</v>
      </c>
      <c r="F617" t="s">
        <v>1785</v>
      </c>
      <c r="G617" t="s">
        <v>15</v>
      </c>
      <c r="H617" t="s">
        <v>2525</v>
      </c>
      <c r="I617" t="s">
        <v>2526</v>
      </c>
      <c r="J617" s="4">
        <v>46095.165372233794</v>
      </c>
    </row>
    <row r="618" spans="1:11" x14ac:dyDescent="0.55000000000000004">
      <c r="A618" t="s">
        <v>2527</v>
      </c>
      <c r="B618">
        <v>100105</v>
      </c>
      <c r="C618" t="s">
        <v>37</v>
      </c>
      <c r="D618" s="3">
        <v>45870</v>
      </c>
      <c r="E618" t="s">
        <v>189</v>
      </c>
      <c r="F618" t="s">
        <v>2528</v>
      </c>
      <c r="G618" t="s">
        <v>15</v>
      </c>
      <c r="H618" t="s">
        <v>2529</v>
      </c>
      <c r="I618" t="s">
        <v>2530</v>
      </c>
      <c r="J618" s="4">
        <v>46093.494538900464</v>
      </c>
    </row>
    <row r="619" spans="1:11" x14ac:dyDescent="0.55000000000000004">
      <c r="A619" t="s">
        <v>2531</v>
      </c>
      <c r="B619">
        <v>100953</v>
      </c>
      <c r="C619" t="s">
        <v>179</v>
      </c>
      <c r="D619" s="3">
        <v>46047</v>
      </c>
      <c r="E619" t="s">
        <v>49</v>
      </c>
      <c r="F619" t="s">
        <v>2532</v>
      </c>
      <c r="G619" t="s">
        <v>22</v>
      </c>
      <c r="H619" t="s">
        <v>2533</v>
      </c>
      <c r="I619" t="s">
        <v>2534</v>
      </c>
      <c r="J619" s="4">
        <v>46082.138288912036</v>
      </c>
    </row>
    <row r="620" spans="1:11" x14ac:dyDescent="0.55000000000000004">
      <c r="A620" t="s">
        <v>2535</v>
      </c>
      <c r="B620">
        <v>100699</v>
      </c>
      <c r="C620" t="s">
        <v>179</v>
      </c>
      <c r="D620" s="3">
        <v>46129</v>
      </c>
      <c r="E620" t="s">
        <v>38</v>
      </c>
      <c r="F620" t="s">
        <v>2536</v>
      </c>
      <c r="G620" t="s">
        <v>22</v>
      </c>
      <c r="H620" t="s">
        <v>2537</v>
      </c>
      <c r="I620" t="s">
        <v>2538</v>
      </c>
      <c r="J620" s="4">
        <v>46077.185511134259</v>
      </c>
    </row>
    <row r="621" spans="1:11" x14ac:dyDescent="0.55000000000000004">
      <c r="A621" t="s">
        <v>2539</v>
      </c>
      <c r="B621">
        <v>100299</v>
      </c>
      <c r="C621" t="s">
        <v>19</v>
      </c>
      <c r="D621" s="3">
        <v>46112</v>
      </c>
      <c r="E621" t="s">
        <v>184</v>
      </c>
      <c r="F621" t="s">
        <v>2540</v>
      </c>
      <c r="G621" t="s">
        <v>15</v>
      </c>
      <c r="H621" t="s">
        <v>2541</v>
      </c>
      <c r="I621" t="s">
        <v>2542</v>
      </c>
      <c r="J621" s="4">
        <v>46069.096622245372</v>
      </c>
    </row>
    <row r="622" spans="1:11" x14ac:dyDescent="0.55000000000000004">
      <c r="A622" t="s">
        <v>2543</v>
      </c>
      <c r="C622" t="s">
        <v>37</v>
      </c>
      <c r="D622" s="3">
        <v>45857</v>
      </c>
      <c r="E622" t="s">
        <v>270</v>
      </c>
      <c r="F622" t="s">
        <v>2544</v>
      </c>
      <c r="G622" t="s">
        <v>22</v>
      </c>
      <c r="H622" t="s">
        <v>2545</v>
      </c>
      <c r="I622" t="s">
        <v>2546</v>
      </c>
      <c r="J622" s="4">
        <v>46063.84940003472</v>
      </c>
      <c r="K622" t="s">
        <v>112</v>
      </c>
    </row>
    <row r="623" spans="1:11" x14ac:dyDescent="0.55000000000000004">
      <c r="A623" t="s">
        <v>2547</v>
      </c>
      <c r="B623">
        <v>100055</v>
      </c>
      <c r="C623" t="s">
        <v>37</v>
      </c>
      <c r="D623" s="3">
        <v>45829</v>
      </c>
      <c r="E623" t="s">
        <v>757</v>
      </c>
      <c r="F623" t="s">
        <v>2548</v>
      </c>
      <c r="G623" t="s">
        <v>22</v>
      </c>
      <c r="H623" t="s">
        <v>2549</v>
      </c>
      <c r="I623" t="s">
        <v>2550</v>
      </c>
      <c r="J623" s="4">
        <v>46079.090372256942</v>
      </c>
    </row>
    <row r="624" spans="1:11" x14ac:dyDescent="0.55000000000000004">
      <c r="A624" t="s">
        <v>2551</v>
      </c>
      <c r="B624">
        <v>100046</v>
      </c>
      <c r="C624" t="s">
        <v>533</v>
      </c>
      <c r="D624" s="3">
        <v>45948</v>
      </c>
      <c r="E624" t="s">
        <v>170</v>
      </c>
      <c r="F624" t="s">
        <v>2552</v>
      </c>
      <c r="G624" t="s">
        <v>15</v>
      </c>
      <c r="H624" t="s">
        <v>2553</v>
      </c>
      <c r="I624" t="s">
        <v>2554</v>
      </c>
      <c r="J624" s="4">
        <v>46067.827177824074</v>
      </c>
    </row>
    <row r="625" spans="1:11" x14ac:dyDescent="0.55000000000000004">
      <c r="A625" t="s">
        <v>2555</v>
      </c>
      <c r="B625">
        <v>100280</v>
      </c>
      <c r="C625" t="s">
        <v>179</v>
      </c>
      <c r="D625" s="3">
        <v>45778</v>
      </c>
      <c r="E625" t="s">
        <v>528</v>
      </c>
      <c r="F625" t="s">
        <v>2556</v>
      </c>
      <c r="G625" t="s">
        <v>15</v>
      </c>
      <c r="H625" t="s">
        <v>2557</v>
      </c>
      <c r="I625" t="s">
        <v>2558</v>
      </c>
      <c r="J625" s="4">
        <v>46072.158427824077</v>
      </c>
    </row>
    <row r="626" spans="1:11" x14ac:dyDescent="0.55000000000000004">
      <c r="A626" t="s">
        <v>2559</v>
      </c>
      <c r="B626">
        <v>101408</v>
      </c>
      <c r="C626" t="s">
        <v>68</v>
      </c>
      <c r="D626" s="3">
        <v>45962</v>
      </c>
      <c r="E626" t="s">
        <v>115</v>
      </c>
      <c r="F626" t="s">
        <v>2560</v>
      </c>
      <c r="G626" t="s">
        <v>22</v>
      </c>
      <c r="H626" t="s">
        <v>2561</v>
      </c>
      <c r="I626" t="s">
        <v>2562</v>
      </c>
      <c r="J626" s="4">
        <v>46060.459122268519</v>
      </c>
    </row>
    <row r="627" spans="1:11" x14ac:dyDescent="0.55000000000000004">
      <c r="A627" t="s">
        <v>2563</v>
      </c>
      <c r="B627">
        <v>101194</v>
      </c>
      <c r="C627" t="s">
        <v>179</v>
      </c>
      <c r="D627" s="3">
        <v>45778</v>
      </c>
      <c r="E627" t="s">
        <v>356</v>
      </c>
      <c r="F627" t="s">
        <v>2564</v>
      </c>
      <c r="G627" t="s">
        <v>15</v>
      </c>
      <c r="H627" t="s">
        <v>2565</v>
      </c>
      <c r="I627" t="s">
        <v>2566</v>
      </c>
      <c r="J627" s="4">
        <v>46092.584122280095</v>
      </c>
    </row>
    <row r="628" spans="1:11" x14ac:dyDescent="0.55000000000000004">
      <c r="A628" t="s">
        <v>2567</v>
      </c>
      <c r="B628">
        <v>101279</v>
      </c>
      <c r="C628" t="s">
        <v>179</v>
      </c>
      <c r="D628" s="3">
        <v>46056</v>
      </c>
      <c r="E628" t="s">
        <v>170</v>
      </c>
      <c r="F628" t="s">
        <v>2568</v>
      </c>
      <c r="G628" t="s">
        <v>22</v>
      </c>
      <c r="H628" t="s">
        <v>2569</v>
      </c>
      <c r="I628" t="s">
        <v>2570</v>
      </c>
      <c r="J628" s="4">
        <v>46064.87578894676</v>
      </c>
    </row>
    <row r="629" spans="1:11" x14ac:dyDescent="0.55000000000000004">
      <c r="A629" t="s">
        <v>2571</v>
      </c>
      <c r="B629">
        <v>100309</v>
      </c>
      <c r="C629" t="s">
        <v>533</v>
      </c>
      <c r="D629" s="3">
        <v>45925</v>
      </c>
      <c r="E629" t="s">
        <v>121</v>
      </c>
      <c r="F629" t="s">
        <v>2572</v>
      </c>
      <c r="G629" t="s">
        <v>22</v>
      </c>
      <c r="H629" t="s">
        <v>2573</v>
      </c>
      <c r="I629" t="s">
        <v>2574</v>
      </c>
      <c r="J629" s="4">
        <v>46060.808427847223</v>
      </c>
    </row>
    <row r="630" spans="1:11" x14ac:dyDescent="0.55000000000000004">
      <c r="A630" t="s">
        <v>2575</v>
      </c>
      <c r="B630">
        <v>100183</v>
      </c>
      <c r="C630" t="s">
        <v>533</v>
      </c>
      <c r="D630" s="3">
        <v>45815</v>
      </c>
      <c r="E630" t="s">
        <v>115</v>
      </c>
      <c r="F630" t="s">
        <v>2576</v>
      </c>
      <c r="G630" t="s">
        <v>15</v>
      </c>
      <c r="H630" t="s">
        <v>2577</v>
      </c>
      <c r="I630" t="s">
        <v>2578</v>
      </c>
      <c r="J630" s="4">
        <v>46071.308427847223</v>
      </c>
    </row>
    <row r="631" spans="1:11" x14ac:dyDescent="0.55000000000000004">
      <c r="A631" t="s">
        <v>2579</v>
      </c>
      <c r="B631">
        <v>100369</v>
      </c>
      <c r="C631" t="s">
        <v>68</v>
      </c>
      <c r="D631" s="3">
        <v>46105</v>
      </c>
      <c r="E631" t="s">
        <v>356</v>
      </c>
      <c r="F631" t="s">
        <v>2580</v>
      </c>
      <c r="G631" t="s">
        <v>15</v>
      </c>
      <c r="H631" t="s">
        <v>2581</v>
      </c>
      <c r="I631" t="s">
        <v>2582</v>
      </c>
      <c r="J631" s="4">
        <v>46089.457733414354</v>
      </c>
    </row>
    <row r="632" spans="1:11" x14ac:dyDescent="0.55000000000000004">
      <c r="A632" t="s">
        <v>2583</v>
      </c>
      <c r="B632">
        <v>101215</v>
      </c>
      <c r="C632" t="s">
        <v>37</v>
      </c>
      <c r="D632" s="3">
        <v>46050</v>
      </c>
      <c r="E632" t="s">
        <v>334</v>
      </c>
      <c r="F632" t="s">
        <v>2584</v>
      </c>
      <c r="G632" t="s">
        <v>22</v>
      </c>
      <c r="H632" t="s">
        <v>2585</v>
      </c>
      <c r="I632" t="s">
        <v>2586</v>
      </c>
      <c r="J632" s="4">
        <v>46065.973011192131</v>
      </c>
      <c r="K632" t="s">
        <v>139</v>
      </c>
    </row>
    <row r="633" spans="1:11" x14ac:dyDescent="0.55000000000000004">
      <c r="A633" t="s">
        <v>2587</v>
      </c>
      <c r="B633">
        <v>101106</v>
      </c>
      <c r="C633" t="s">
        <v>37</v>
      </c>
      <c r="D633" s="3">
        <v>46043</v>
      </c>
      <c r="E633" t="s">
        <v>189</v>
      </c>
      <c r="F633" t="s">
        <v>2588</v>
      </c>
      <c r="G633" t="s">
        <v>22</v>
      </c>
      <c r="H633" t="s">
        <v>2589</v>
      </c>
      <c r="I633" t="s">
        <v>2590</v>
      </c>
      <c r="J633" s="4">
        <v>46068.16328896991</v>
      </c>
    </row>
    <row r="634" spans="1:11" x14ac:dyDescent="0.55000000000000004">
      <c r="A634" t="s">
        <v>2591</v>
      </c>
      <c r="B634">
        <v>101256</v>
      </c>
      <c r="C634" t="s">
        <v>179</v>
      </c>
      <c r="D634" s="3">
        <v>45772</v>
      </c>
      <c r="E634" t="s">
        <v>528</v>
      </c>
      <c r="F634" t="s">
        <v>2592</v>
      </c>
      <c r="G634" t="s">
        <v>22</v>
      </c>
      <c r="H634" t="s">
        <v>2593</v>
      </c>
      <c r="I634" t="s">
        <v>2594</v>
      </c>
      <c r="J634" s="4">
        <v>46057.852177870373</v>
      </c>
    </row>
    <row r="635" spans="1:11" x14ac:dyDescent="0.55000000000000004">
      <c r="A635" t="s">
        <v>2595</v>
      </c>
      <c r="B635">
        <v>101378</v>
      </c>
      <c r="C635" t="s">
        <v>19</v>
      </c>
      <c r="D635" s="3">
        <v>46151</v>
      </c>
      <c r="E635" t="s">
        <v>155</v>
      </c>
      <c r="F635" t="s">
        <v>2596</v>
      </c>
      <c r="G635" t="s">
        <v>15</v>
      </c>
      <c r="H635" t="s">
        <v>2597</v>
      </c>
      <c r="I635" t="s">
        <v>2598</v>
      </c>
      <c r="J635" s="4">
        <v>46088.668150092592</v>
      </c>
    </row>
    <row r="636" spans="1:11" x14ac:dyDescent="0.55000000000000004">
      <c r="A636" t="s">
        <v>2599</v>
      </c>
      <c r="B636">
        <v>100289</v>
      </c>
      <c r="C636" t="s">
        <v>68</v>
      </c>
      <c r="D636" s="3">
        <v>45750</v>
      </c>
      <c r="E636" t="s">
        <v>155</v>
      </c>
      <c r="F636" t="s">
        <v>2600</v>
      </c>
      <c r="G636" t="s">
        <v>22</v>
      </c>
      <c r="H636" t="s">
        <v>2601</v>
      </c>
      <c r="I636" t="s">
        <v>2602</v>
      </c>
      <c r="J636" s="4">
        <v>46076.621622326391</v>
      </c>
    </row>
    <row r="637" spans="1:11" x14ac:dyDescent="0.55000000000000004">
      <c r="A637" t="s">
        <v>2603</v>
      </c>
      <c r="B637">
        <v>101335</v>
      </c>
      <c r="C637" t="s">
        <v>37</v>
      </c>
      <c r="D637" s="3">
        <v>45787</v>
      </c>
      <c r="E637" t="s">
        <v>189</v>
      </c>
      <c r="F637" t="s">
        <v>2604</v>
      </c>
      <c r="G637" t="s">
        <v>22</v>
      </c>
      <c r="H637" t="s">
        <v>2605</v>
      </c>
      <c r="I637" t="s">
        <v>2606</v>
      </c>
      <c r="J637" s="4">
        <v>46057.806344548611</v>
      </c>
    </row>
    <row r="638" spans="1:11" x14ac:dyDescent="0.55000000000000004">
      <c r="A638" t="s">
        <v>2607</v>
      </c>
      <c r="B638">
        <v>100537</v>
      </c>
      <c r="C638" t="s">
        <v>19</v>
      </c>
      <c r="D638" s="3">
        <v>46025</v>
      </c>
      <c r="E638" t="s">
        <v>208</v>
      </c>
      <c r="F638" t="s">
        <v>2608</v>
      </c>
      <c r="G638" t="s">
        <v>15</v>
      </c>
      <c r="H638" t="s">
        <v>2609</v>
      </c>
      <c r="I638" t="s">
        <v>2610</v>
      </c>
      <c r="J638" s="4">
        <v>46092.320927881941</v>
      </c>
    </row>
    <row r="639" spans="1:11" x14ac:dyDescent="0.55000000000000004">
      <c r="A639" t="s">
        <v>6034</v>
      </c>
      <c r="B639">
        <v>100603</v>
      </c>
      <c r="C639" t="s">
        <v>68</v>
      </c>
      <c r="D639" s="3">
        <v>45920</v>
      </c>
      <c r="E639" t="s">
        <v>334</v>
      </c>
      <c r="F639" t="s">
        <v>1128</v>
      </c>
      <c r="G639" t="s">
        <v>15</v>
      </c>
      <c r="H639" t="s">
        <v>2612</v>
      </c>
      <c r="I639" t="s">
        <v>2613</v>
      </c>
      <c r="J639" s="4">
        <v>46079.076483449076</v>
      </c>
      <c r="K639" t="s">
        <v>119</v>
      </c>
    </row>
    <row r="640" spans="1:11" x14ac:dyDescent="0.55000000000000004">
      <c r="A640" t="s">
        <v>2614</v>
      </c>
      <c r="B640">
        <v>100900</v>
      </c>
      <c r="C640" t="s">
        <v>533</v>
      </c>
      <c r="D640" s="3">
        <v>45794</v>
      </c>
      <c r="E640" t="s">
        <v>300</v>
      </c>
      <c r="F640" t="s">
        <v>2615</v>
      </c>
      <c r="G640" t="s">
        <v>15</v>
      </c>
      <c r="H640" t="s">
        <v>2616</v>
      </c>
      <c r="I640" t="s">
        <v>2617</v>
      </c>
      <c r="J640" s="4">
        <v>46053.448705671297</v>
      </c>
    </row>
    <row r="641" spans="1:11" x14ac:dyDescent="0.55000000000000004">
      <c r="A641" t="s">
        <v>2618</v>
      </c>
      <c r="B641">
        <v>100902</v>
      </c>
      <c r="C641" t="s">
        <v>19</v>
      </c>
      <c r="D641" s="3">
        <v>45761</v>
      </c>
      <c r="E641" t="s">
        <v>38</v>
      </c>
      <c r="F641" t="s">
        <v>2619</v>
      </c>
      <c r="G641" t="s">
        <v>15</v>
      </c>
      <c r="H641" t="s">
        <v>2620</v>
      </c>
      <c r="I641" t="s">
        <v>2621</v>
      </c>
      <c r="J641" s="4">
        <v>46066.766761226849</v>
      </c>
    </row>
    <row r="642" spans="1:11" x14ac:dyDescent="0.55000000000000004">
      <c r="A642" t="s">
        <v>2622</v>
      </c>
      <c r="B642">
        <v>101081</v>
      </c>
      <c r="C642" t="s">
        <v>19</v>
      </c>
      <c r="D642" s="3">
        <v>46135</v>
      </c>
      <c r="E642" t="s">
        <v>300</v>
      </c>
      <c r="F642" t="s">
        <v>2623</v>
      </c>
      <c r="G642" t="s">
        <v>22</v>
      </c>
      <c r="H642" t="s">
        <v>2624</v>
      </c>
      <c r="I642" t="s">
        <v>2625</v>
      </c>
      <c r="J642" s="4">
        <v>46063.928566793984</v>
      </c>
    </row>
    <row r="643" spans="1:11" x14ac:dyDescent="0.55000000000000004">
      <c r="A643" t="s">
        <v>2626</v>
      </c>
      <c r="B643">
        <v>100196</v>
      </c>
      <c r="C643" t="s">
        <v>19</v>
      </c>
      <c r="D643" s="3">
        <v>45913</v>
      </c>
      <c r="E643" t="s">
        <v>38</v>
      </c>
      <c r="F643" t="s">
        <v>2627</v>
      </c>
      <c r="G643" t="s">
        <v>22</v>
      </c>
      <c r="H643" t="s">
        <v>2628</v>
      </c>
      <c r="I643" t="s">
        <v>2629</v>
      </c>
      <c r="J643" s="4">
        <v>46063.847316793981</v>
      </c>
    </row>
    <row r="644" spans="1:11" x14ac:dyDescent="0.55000000000000004">
      <c r="A644" t="s">
        <v>2630</v>
      </c>
      <c r="B644">
        <v>101123</v>
      </c>
      <c r="C644" t="s">
        <v>19</v>
      </c>
      <c r="D644" s="3">
        <v>45984</v>
      </c>
      <c r="E644" t="s">
        <v>38</v>
      </c>
      <c r="F644" t="s">
        <v>2631</v>
      </c>
      <c r="G644" t="s">
        <v>15</v>
      </c>
      <c r="H644" t="s">
        <v>2632</v>
      </c>
      <c r="I644" t="s">
        <v>2633</v>
      </c>
      <c r="J644" s="4">
        <v>46052.333427916667</v>
      </c>
    </row>
    <row r="645" spans="1:11" x14ac:dyDescent="0.55000000000000004">
      <c r="A645" t="s">
        <v>2634</v>
      </c>
      <c r="B645">
        <v>101396</v>
      </c>
      <c r="C645" t="s">
        <v>248</v>
      </c>
      <c r="D645" s="3">
        <v>45732</v>
      </c>
      <c r="E645" t="s">
        <v>155</v>
      </c>
      <c r="F645" t="s">
        <v>2635</v>
      </c>
      <c r="G645" t="s">
        <v>22</v>
      </c>
      <c r="H645" t="s">
        <v>2636</v>
      </c>
      <c r="I645" t="s">
        <v>2637</v>
      </c>
      <c r="J645" s="4">
        <v>46057.578566805554</v>
      </c>
    </row>
    <row r="646" spans="1:11" x14ac:dyDescent="0.55000000000000004">
      <c r="A646" t="s">
        <v>2638</v>
      </c>
      <c r="B646">
        <v>100122</v>
      </c>
      <c r="C646" t="s">
        <v>248</v>
      </c>
      <c r="D646" s="3">
        <v>46141</v>
      </c>
      <c r="E646" t="s">
        <v>243</v>
      </c>
      <c r="F646" t="s">
        <v>2639</v>
      </c>
      <c r="G646" t="s">
        <v>22</v>
      </c>
      <c r="H646" t="s">
        <v>2640</v>
      </c>
      <c r="I646" t="s">
        <v>2641</v>
      </c>
      <c r="J646" s="4">
        <v>46074.949400138888</v>
      </c>
    </row>
    <row r="647" spans="1:11" x14ac:dyDescent="0.55000000000000004">
      <c r="A647" t="s">
        <v>2642</v>
      </c>
      <c r="B647">
        <v>101148</v>
      </c>
      <c r="C647" t="s">
        <v>248</v>
      </c>
      <c r="D647" s="3">
        <v>45737</v>
      </c>
      <c r="E647" t="s">
        <v>160</v>
      </c>
      <c r="F647" t="s">
        <v>2643</v>
      </c>
      <c r="G647" t="s">
        <v>15</v>
      </c>
      <c r="H647" t="s">
        <v>2644</v>
      </c>
      <c r="I647" t="s">
        <v>2645</v>
      </c>
      <c r="J647" s="4">
        <v>46078.319539039352</v>
      </c>
    </row>
    <row r="648" spans="1:11" x14ac:dyDescent="0.55000000000000004">
      <c r="A648" t="s">
        <v>2646</v>
      </c>
      <c r="B648">
        <v>100197</v>
      </c>
      <c r="C648" t="s">
        <v>19</v>
      </c>
      <c r="D648" s="3">
        <v>46013</v>
      </c>
      <c r="E648" t="s">
        <v>141</v>
      </c>
      <c r="F648" t="s">
        <v>2647</v>
      </c>
      <c r="G648" t="s">
        <v>22</v>
      </c>
      <c r="H648" t="s">
        <v>2648</v>
      </c>
      <c r="I648" t="s">
        <v>2649</v>
      </c>
      <c r="J648" s="4">
        <v>46076.182733483794</v>
      </c>
    </row>
    <row r="649" spans="1:11" x14ac:dyDescent="0.55000000000000004">
      <c r="A649" t="s">
        <v>2650</v>
      </c>
      <c r="B649">
        <v>100573</v>
      </c>
      <c r="C649" t="s">
        <v>19</v>
      </c>
      <c r="D649" s="3">
        <v>46047</v>
      </c>
      <c r="E649" t="s">
        <v>115</v>
      </c>
      <c r="F649" t="s">
        <v>2651</v>
      </c>
      <c r="G649" t="s">
        <v>15</v>
      </c>
      <c r="H649" t="s">
        <v>2652</v>
      </c>
      <c r="I649" t="s">
        <v>2653</v>
      </c>
      <c r="J649" s="4">
        <v>46076.26537238426</v>
      </c>
      <c r="K649" t="s">
        <v>139</v>
      </c>
    </row>
    <row r="650" spans="1:11" x14ac:dyDescent="0.55000000000000004">
      <c r="A650" t="s">
        <v>2654</v>
      </c>
      <c r="B650">
        <v>101105</v>
      </c>
      <c r="C650" t="s">
        <v>19</v>
      </c>
      <c r="D650" s="3">
        <v>45974</v>
      </c>
      <c r="E650" t="s">
        <v>317</v>
      </c>
      <c r="F650" t="s">
        <v>2655</v>
      </c>
      <c r="G650" t="s">
        <v>15</v>
      </c>
      <c r="H650" t="s">
        <v>2656</v>
      </c>
      <c r="I650" t="s">
        <v>2657</v>
      </c>
      <c r="J650" s="4">
        <v>46067.525094606484</v>
      </c>
    </row>
    <row r="651" spans="1:11" x14ac:dyDescent="0.55000000000000004">
      <c r="A651" t="s">
        <v>2658</v>
      </c>
      <c r="B651">
        <v>101334</v>
      </c>
      <c r="C651" t="s">
        <v>179</v>
      </c>
      <c r="D651" s="3">
        <v>46006</v>
      </c>
      <c r="E651" t="s">
        <v>757</v>
      </c>
      <c r="F651" t="s">
        <v>2659</v>
      </c>
      <c r="G651" t="s">
        <v>15</v>
      </c>
      <c r="H651" t="s">
        <v>2660</v>
      </c>
      <c r="I651" t="s">
        <v>2661</v>
      </c>
      <c r="J651" s="4">
        <v>46064.320233495368</v>
      </c>
    </row>
    <row r="652" spans="1:11" x14ac:dyDescent="0.55000000000000004">
      <c r="A652" t="s">
        <v>2662</v>
      </c>
      <c r="B652">
        <v>101345</v>
      </c>
      <c r="C652" t="s">
        <v>19</v>
      </c>
      <c r="D652" s="3">
        <v>46103</v>
      </c>
      <c r="E652" t="s">
        <v>343</v>
      </c>
      <c r="F652" t="s">
        <v>2663</v>
      </c>
      <c r="G652" t="s">
        <v>15</v>
      </c>
      <c r="H652" t="s">
        <v>2664</v>
      </c>
      <c r="I652" t="s">
        <v>2665</v>
      </c>
      <c r="J652" s="4">
        <v>46060.771622395834</v>
      </c>
    </row>
    <row r="653" spans="1:11" x14ac:dyDescent="0.55000000000000004">
      <c r="A653" t="s">
        <v>2666</v>
      </c>
      <c r="B653">
        <v>100277</v>
      </c>
      <c r="C653" t="s">
        <v>68</v>
      </c>
      <c r="D653" s="3">
        <v>46141</v>
      </c>
      <c r="E653" t="s">
        <v>265</v>
      </c>
      <c r="F653" t="s">
        <v>2667</v>
      </c>
      <c r="G653" t="s">
        <v>22</v>
      </c>
      <c r="H653" t="s">
        <v>2668</v>
      </c>
      <c r="I653" t="s">
        <v>2669</v>
      </c>
      <c r="J653" s="4">
        <v>46096.263983506942</v>
      </c>
    </row>
    <row r="654" spans="1:11" x14ac:dyDescent="0.55000000000000004">
      <c r="A654" t="s">
        <v>2670</v>
      </c>
      <c r="B654">
        <v>100464</v>
      </c>
      <c r="C654" t="s">
        <v>179</v>
      </c>
      <c r="D654" s="3">
        <v>46052</v>
      </c>
      <c r="E654" t="s">
        <v>43</v>
      </c>
      <c r="F654" t="s">
        <v>2671</v>
      </c>
      <c r="G654" t="s">
        <v>15</v>
      </c>
      <c r="H654" t="s">
        <v>2672</v>
      </c>
      <c r="I654" t="s">
        <v>2673</v>
      </c>
      <c r="J654" s="4">
        <v>46059.579955729168</v>
      </c>
    </row>
    <row r="655" spans="1:11" x14ac:dyDescent="0.55000000000000004">
      <c r="A655" t="s">
        <v>2674</v>
      </c>
      <c r="B655">
        <v>101017</v>
      </c>
      <c r="C655" t="s">
        <v>68</v>
      </c>
      <c r="D655" s="3">
        <v>46093</v>
      </c>
      <c r="E655" t="s">
        <v>141</v>
      </c>
      <c r="F655" t="s">
        <v>2675</v>
      </c>
      <c r="G655" t="s">
        <v>22</v>
      </c>
      <c r="H655" t="s">
        <v>2676</v>
      </c>
      <c r="I655" t="s">
        <v>2677</v>
      </c>
      <c r="J655" s="4">
        <v>46071.623011296295</v>
      </c>
    </row>
    <row r="656" spans="1:11" x14ac:dyDescent="0.55000000000000004">
      <c r="A656" t="s">
        <v>2678</v>
      </c>
      <c r="B656">
        <v>100871</v>
      </c>
      <c r="C656" t="s">
        <v>19</v>
      </c>
      <c r="D656" s="3">
        <v>45853</v>
      </c>
      <c r="E656" t="s">
        <v>58</v>
      </c>
      <c r="F656" t="s">
        <v>2679</v>
      </c>
      <c r="G656" t="s">
        <v>15</v>
      </c>
      <c r="H656" t="s">
        <v>2680</v>
      </c>
      <c r="I656" t="s">
        <v>2681</v>
      </c>
      <c r="J656" s="4">
        <v>46064.316066851854</v>
      </c>
    </row>
    <row r="657" spans="1:10" x14ac:dyDescent="0.55000000000000004">
      <c r="A657" t="s">
        <v>2682</v>
      </c>
      <c r="B657">
        <v>101496</v>
      </c>
      <c r="C657" t="s">
        <v>533</v>
      </c>
      <c r="D657" s="3">
        <v>45789</v>
      </c>
      <c r="E657" t="s">
        <v>265</v>
      </c>
      <c r="F657" t="s">
        <v>2683</v>
      </c>
      <c r="G657" t="s">
        <v>15</v>
      </c>
      <c r="H657" t="s">
        <v>2684</v>
      </c>
      <c r="I657" t="s">
        <v>2685</v>
      </c>
      <c r="J657" s="4">
        <v>46069.026483530091</v>
      </c>
    </row>
    <row r="658" spans="1:10" x14ac:dyDescent="0.55000000000000004">
      <c r="A658" t="s">
        <v>2686</v>
      </c>
      <c r="B658">
        <v>100943</v>
      </c>
      <c r="C658" t="s">
        <v>37</v>
      </c>
      <c r="D658" s="3">
        <v>46141</v>
      </c>
      <c r="E658" t="s">
        <v>409</v>
      </c>
      <c r="F658" t="s">
        <v>2687</v>
      </c>
      <c r="G658" t="s">
        <v>15</v>
      </c>
      <c r="H658" t="s">
        <v>2688</v>
      </c>
      <c r="I658" t="s">
        <v>2689</v>
      </c>
      <c r="J658" s="4">
        <v>46076.058427974538</v>
      </c>
    </row>
    <row r="659" spans="1:10" x14ac:dyDescent="0.55000000000000004">
      <c r="A659" t="s">
        <v>2690</v>
      </c>
      <c r="B659">
        <v>100352</v>
      </c>
      <c r="C659" t="s">
        <v>19</v>
      </c>
      <c r="D659" s="3">
        <v>45890</v>
      </c>
      <c r="E659" t="s">
        <v>265</v>
      </c>
      <c r="F659" t="s">
        <v>2691</v>
      </c>
      <c r="G659" t="s">
        <v>15</v>
      </c>
      <c r="H659" t="s">
        <v>2692</v>
      </c>
      <c r="I659" t="s">
        <v>2693</v>
      </c>
      <c r="J659" s="4">
        <v>46084.694539097225</v>
      </c>
    </row>
    <row r="660" spans="1:10" x14ac:dyDescent="0.55000000000000004">
      <c r="A660" t="s">
        <v>2694</v>
      </c>
      <c r="B660">
        <v>100926</v>
      </c>
      <c r="C660" t="s">
        <v>179</v>
      </c>
      <c r="D660" s="3">
        <v>45930</v>
      </c>
      <c r="E660" t="s">
        <v>184</v>
      </c>
      <c r="F660" t="s">
        <v>2695</v>
      </c>
      <c r="G660" t="s">
        <v>22</v>
      </c>
      <c r="H660" t="s">
        <v>2696</v>
      </c>
      <c r="I660" t="s">
        <v>2697</v>
      </c>
      <c r="J660" s="4">
        <v>46094.768844652775</v>
      </c>
    </row>
    <row r="661" spans="1:10" x14ac:dyDescent="0.55000000000000004">
      <c r="A661" t="s">
        <v>2698</v>
      </c>
      <c r="B661">
        <v>101121</v>
      </c>
      <c r="C661" t="s">
        <v>19</v>
      </c>
      <c r="D661" s="3">
        <v>45776</v>
      </c>
      <c r="E661" t="s">
        <v>334</v>
      </c>
      <c r="F661" t="s">
        <v>2699</v>
      </c>
      <c r="G661" t="s">
        <v>15</v>
      </c>
      <c r="H661" t="s">
        <v>2700</v>
      </c>
      <c r="I661" t="s">
        <v>2701</v>
      </c>
      <c r="J661" s="4">
        <v>46063.80912244213</v>
      </c>
    </row>
    <row r="662" spans="1:10" x14ac:dyDescent="0.55000000000000004">
      <c r="A662" t="s">
        <v>2702</v>
      </c>
      <c r="B662">
        <v>101024</v>
      </c>
      <c r="C662" t="s">
        <v>68</v>
      </c>
      <c r="D662" s="3">
        <v>45743</v>
      </c>
      <c r="E662" t="s">
        <v>562</v>
      </c>
      <c r="F662" t="s">
        <v>2703</v>
      </c>
      <c r="G662" t="s">
        <v>15</v>
      </c>
      <c r="H662" t="s">
        <v>2704</v>
      </c>
      <c r="I662" t="s">
        <v>2705</v>
      </c>
      <c r="J662" s="4">
        <v>46085.338983553243</v>
      </c>
    </row>
    <row r="663" spans="1:10" x14ac:dyDescent="0.55000000000000004">
      <c r="A663" t="s">
        <v>2706</v>
      </c>
      <c r="B663">
        <v>100949</v>
      </c>
      <c r="C663" t="s">
        <v>248</v>
      </c>
      <c r="D663" s="3">
        <v>46004</v>
      </c>
      <c r="E663" t="s">
        <v>334</v>
      </c>
      <c r="F663" t="s">
        <v>2707</v>
      </c>
      <c r="G663" t="s">
        <v>22</v>
      </c>
      <c r="H663" t="s">
        <v>2708</v>
      </c>
      <c r="I663" t="s">
        <v>2709</v>
      </c>
      <c r="J663" s="4">
        <v>46088.522316898147</v>
      </c>
    </row>
    <row r="664" spans="1:10" x14ac:dyDescent="0.55000000000000004">
      <c r="A664" t="s">
        <v>2710</v>
      </c>
      <c r="B664">
        <v>100595</v>
      </c>
      <c r="C664" t="s">
        <v>248</v>
      </c>
      <c r="D664" s="3">
        <v>45790</v>
      </c>
      <c r="E664" t="s">
        <v>38</v>
      </c>
      <c r="F664" t="s">
        <v>2711</v>
      </c>
      <c r="G664" t="s">
        <v>15</v>
      </c>
      <c r="H664" t="s">
        <v>2712</v>
      </c>
      <c r="I664" t="s">
        <v>2713</v>
      </c>
      <c r="J664" s="4">
        <v>46083.974400231484</v>
      </c>
    </row>
    <row r="665" spans="1:10" x14ac:dyDescent="0.55000000000000004">
      <c r="A665" t="s">
        <v>287</v>
      </c>
      <c r="B665">
        <v>101475</v>
      </c>
      <c r="C665" t="s">
        <v>68</v>
      </c>
      <c r="D665" s="3">
        <v>46013</v>
      </c>
      <c r="E665" t="s">
        <v>356</v>
      </c>
      <c r="F665" t="s">
        <v>2714</v>
      </c>
      <c r="G665" t="s">
        <v>22</v>
      </c>
      <c r="H665" t="s">
        <v>2715</v>
      </c>
      <c r="I665" t="s">
        <v>2716</v>
      </c>
      <c r="J665" s="4">
        <v>46061.398011354169</v>
      </c>
    </row>
    <row r="666" spans="1:10" x14ac:dyDescent="0.55000000000000004">
      <c r="A666" t="s">
        <v>2717</v>
      </c>
      <c r="B666">
        <v>101444</v>
      </c>
      <c r="C666" t="s">
        <v>533</v>
      </c>
      <c r="D666" s="3">
        <v>45768</v>
      </c>
      <c r="E666" t="s">
        <v>467</v>
      </c>
      <c r="F666" t="s">
        <v>2718</v>
      </c>
      <c r="G666" t="s">
        <v>22</v>
      </c>
      <c r="H666" t="s">
        <v>2719</v>
      </c>
      <c r="I666" t="s">
        <v>2720</v>
      </c>
      <c r="J666" s="4">
        <v>46094.561205798615</v>
      </c>
    </row>
    <row r="667" spans="1:10" x14ac:dyDescent="0.55000000000000004">
      <c r="A667" t="s">
        <v>2721</v>
      </c>
      <c r="B667">
        <v>100830</v>
      </c>
      <c r="C667" t="s">
        <v>37</v>
      </c>
      <c r="D667" s="3">
        <v>45973</v>
      </c>
      <c r="E667" t="s">
        <v>243</v>
      </c>
      <c r="F667" t="s">
        <v>2722</v>
      </c>
      <c r="G667" t="s">
        <v>15</v>
      </c>
      <c r="H667" t="s">
        <v>2723</v>
      </c>
      <c r="I667" t="s">
        <v>2724</v>
      </c>
      <c r="J667" s="4">
        <v>46092.139678032407</v>
      </c>
    </row>
    <row r="668" spans="1:10" x14ac:dyDescent="0.55000000000000004">
      <c r="A668" t="s">
        <v>2725</v>
      </c>
      <c r="B668">
        <v>100226</v>
      </c>
      <c r="C668" t="s">
        <v>179</v>
      </c>
      <c r="D668" s="3">
        <v>45823</v>
      </c>
      <c r="E668" t="s">
        <v>213</v>
      </c>
      <c r="F668" t="s">
        <v>2726</v>
      </c>
      <c r="G668" t="s">
        <v>22</v>
      </c>
      <c r="H668" t="s">
        <v>2727</v>
      </c>
      <c r="I668" t="s">
        <v>2728</v>
      </c>
      <c r="J668" s="4">
        <v>46078.273705810185</v>
      </c>
    </row>
    <row r="669" spans="1:10" x14ac:dyDescent="0.55000000000000004">
      <c r="A669" t="s">
        <v>2729</v>
      </c>
      <c r="B669">
        <v>100301</v>
      </c>
      <c r="C669" t="s">
        <v>248</v>
      </c>
      <c r="D669" s="3">
        <v>46097</v>
      </c>
      <c r="E669" t="s">
        <v>270</v>
      </c>
      <c r="F669" t="s">
        <v>2730</v>
      </c>
      <c r="G669" t="s">
        <v>15</v>
      </c>
      <c r="H669" t="s">
        <v>2731</v>
      </c>
      <c r="I669" t="s">
        <v>2732</v>
      </c>
      <c r="J669" s="4">
        <v>46091.752872476849</v>
      </c>
    </row>
    <row r="670" spans="1:10" x14ac:dyDescent="0.55000000000000004">
      <c r="A670" t="s">
        <v>2733</v>
      </c>
      <c r="B670">
        <v>101362</v>
      </c>
      <c r="C670" t="s">
        <v>179</v>
      </c>
      <c r="D670" s="3">
        <v>45781</v>
      </c>
      <c r="E670" t="s">
        <v>58</v>
      </c>
      <c r="F670" t="s">
        <v>2734</v>
      </c>
      <c r="G670" t="s">
        <v>22</v>
      </c>
      <c r="H670" t="s">
        <v>2735</v>
      </c>
      <c r="I670" t="s">
        <v>2736</v>
      </c>
      <c r="J670" s="4">
        <v>46083.427872488428</v>
      </c>
    </row>
    <row r="671" spans="1:10" x14ac:dyDescent="0.55000000000000004">
      <c r="A671" t="s">
        <v>2737</v>
      </c>
      <c r="B671">
        <v>100017</v>
      </c>
      <c r="C671" t="s">
        <v>533</v>
      </c>
      <c r="D671" s="3">
        <v>46047</v>
      </c>
      <c r="E671" t="s">
        <v>58</v>
      </c>
      <c r="F671" t="s">
        <v>2738</v>
      </c>
      <c r="G671" t="s">
        <v>15</v>
      </c>
      <c r="H671" t="s">
        <v>2739</v>
      </c>
      <c r="I671" t="s">
        <v>2740</v>
      </c>
      <c r="J671" s="4">
        <v>46052.800094710648</v>
      </c>
    </row>
    <row r="672" spans="1:10" x14ac:dyDescent="0.55000000000000004">
      <c r="A672" t="s">
        <v>2741</v>
      </c>
      <c r="B672">
        <v>100458</v>
      </c>
      <c r="C672" t="s">
        <v>68</v>
      </c>
      <c r="D672" s="3">
        <v>46135</v>
      </c>
      <c r="E672" t="s">
        <v>757</v>
      </c>
      <c r="F672" t="s">
        <v>2742</v>
      </c>
      <c r="G672" t="s">
        <v>15</v>
      </c>
      <c r="H672" t="s">
        <v>2743</v>
      </c>
      <c r="I672" t="s">
        <v>2744</v>
      </c>
      <c r="J672" s="4">
        <v>46093.070233611114</v>
      </c>
    </row>
    <row r="673" spans="1:11" x14ac:dyDescent="0.55000000000000004">
      <c r="A673" t="s">
        <v>2745</v>
      </c>
      <c r="B673">
        <v>100502</v>
      </c>
      <c r="C673" t="s">
        <v>533</v>
      </c>
      <c r="D673" s="3">
        <v>45911</v>
      </c>
      <c r="E673" t="s">
        <v>418</v>
      </c>
      <c r="F673" t="s">
        <v>2746</v>
      </c>
      <c r="G673" t="s">
        <v>22</v>
      </c>
      <c r="H673" t="s">
        <v>2747</v>
      </c>
      <c r="I673" t="s">
        <v>2748</v>
      </c>
      <c r="J673" s="4">
        <v>46074.886900277779</v>
      </c>
    </row>
    <row r="674" spans="1:11" x14ac:dyDescent="0.55000000000000004">
      <c r="A674" t="s">
        <v>2749</v>
      </c>
      <c r="B674">
        <v>100661</v>
      </c>
      <c r="C674" t="s">
        <v>19</v>
      </c>
      <c r="D674" s="3">
        <v>45797</v>
      </c>
      <c r="E674" t="s">
        <v>243</v>
      </c>
      <c r="F674" t="s">
        <v>2750</v>
      </c>
      <c r="G674" t="s">
        <v>22</v>
      </c>
      <c r="H674" t="s">
        <v>2751</v>
      </c>
      <c r="I674" t="s">
        <v>2752</v>
      </c>
      <c r="J674" s="4">
        <v>46061.822316956015</v>
      </c>
    </row>
    <row r="675" spans="1:11" x14ac:dyDescent="0.55000000000000004">
      <c r="A675" t="s">
        <v>2753</v>
      </c>
      <c r="B675">
        <v>101270</v>
      </c>
      <c r="C675" t="s">
        <v>37</v>
      </c>
      <c r="D675" s="3">
        <v>46137</v>
      </c>
      <c r="E675" t="s">
        <v>89</v>
      </c>
      <c r="F675" t="s">
        <v>2754</v>
      </c>
      <c r="G675" t="s">
        <v>22</v>
      </c>
      <c r="H675" t="s">
        <v>2755</v>
      </c>
      <c r="I675" t="s">
        <v>2756</v>
      </c>
      <c r="J675" s="4">
        <v>46060.15842806713</v>
      </c>
    </row>
    <row r="676" spans="1:11" x14ac:dyDescent="0.55000000000000004">
      <c r="A676" t="s">
        <v>2757</v>
      </c>
      <c r="B676">
        <v>100246</v>
      </c>
      <c r="C676" t="s">
        <v>248</v>
      </c>
      <c r="D676" s="3">
        <v>46049</v>
      </c>
      <c r="E676" t="s">
        <v>38</v>
      </c>
      <c r="F676" t="s">
        <v>2758</v>
      </c>
      <c r="G676" t="s">
        <v>15</v>
      </c>
      <c r="H676" t="s">
        <v>2759</v>
      </c>
      <c r="I676" t="s">
        <v>2760</v>
      </c>
      <c r="J676" s="4">
        <v>46067.200094733795</v>
      </c>
    </row>
    <row r="677" spans="1:11" x14ac:dyDescent="0.55000000000000004">
      <c r="A677" t="s">
        <v>2761</v>
      </c>
      <c r="B677">
        <v>100568</v>
      </c>
      <c r="C677" t="s">
        <v>37</v>
      </c>
      <c r="D677" s="3">
        <v>45906</v>
      </c>
      <c r="E677" t="s">
        <v>317</v>
      </c>
      <c r="F677" t="s">
        <v>2762</v>
      </c>
      <c r="G677" t="s">
        <v>22</v>
      </c>
      <c r="H677" t="s">
        <v>2763</v>
      </c>
      <c r="I677" t="s">
        <v>2764</v>
      </c>
      <c r="J677" s="4">
        <v>46069.939678078706</v>
      </c>
    </row>
    <row r="678" spans="1:11" x14ac:dyDescent="0.55000000000000004">
      <c r="A678" t="s">
        <v>2765</v>
      </c>
      <c r="B678">
        <v>101151</v>
      </c>
      <c r="C678" t="s">
        <v>68</v>
      </c>
      <c r="D678" s="3">
        <v>46010</v>
      </c>
      <c r="E678" t="s">
        <v>108</v>
      </c>
      <c r="F678" t="s">
        <v>2766</v>
      </c>
      <c r="G678" t="s">
        <v>22</v>
      </c>
      <c r="H678" t="s">
        <v>2767</v>
      </c>
      <c r="I678" t="s">
        <v>2768</v>
      </c>
      <c r="J678" s="4">
        <v>46089.904261412034</v>
      </c>
    </row>
    <row r="679" spans="1:11" x14ac:dyDescent="0.55000000000000004">
      <c r="A679" t="s">
        <v>2769</v>
      </c>
      <c r="B679">
        <v>101129</v>
      </c>
      <c r="C679" t="s">
        <v>19</v>
      </c>
      <c r="D679" s="3">
        <v>45969</v>
      </c>
      <c r="E679" t="s">
        <v>170</v>
      </c>
      <c r="F679" t="s">
        <v>2770</v>
      </c>
      <c r="G679" t="s">
        <v>22</v>
      </c>
      <c r="H679" t="s">
        <v>2771</v>
      </c>
      <c r="I679" t="s">
        <v>2772</v>
      </c>
      <c r="J679" s="4">
        <v>46086.308428078701</v>
      </c>
    </row>
    <row r="680" spans="1:11" x14ac:dyDescent="0.55000000000000004">
      <c r="A680" t="s">
        <v>2773</v>
      </c>
      <c r="B680">
        <v>101290</v>
      </c>
      <c r="C680" t="s">
        <v>179</v>
      </c>
      <c r="D680" s="3">
        <v>45767</v>
      </c>
      <c r="E680" t="s">
        <v>270</v>
      </c>
      <c r="F680" t="s">
        <v>2774</v>
      </c>
      <c r="G680" t="s">
        <v>22</v>
      </c>
      <c r="H680" t="s">
        <v>2775</v>
      </c>
      <c r="I680" t="s">
        <v>2776</v>
      </c>
      <c r="J680" s="4">
        <v>46065.829261423612</v>
      </c>
    </row>
    <row r="681" spans="1:11" x14ac:dyDescent="0.55000000000000004">
      <c r="A681" t="s">
        <v>2777</v>
      </c>
      <c r="B681">
        <v>100087</v>
      </c>
      <c r="C681" t="s">
        <v>37</v>
      </c>
      <c r="D681" s="3">
        <v>45778</v>
      </c>
      <c r="E681" t="s">
        <v>115</v>
      </c>
      <c r="F681" t="s">
        <v>2778</v>
      </c>
      <c r="G681" t="s">
        <v>15</v>
      </c>
      <c r="H681" t="s">
        <v>2779</v>
      </c>
      <c r="I681" t="s">
        <v>2780</v>
      </c>
      <c r="J681" s="4">
        <v>46087.806344756944</v>
      </c>
    </row>
    <row r="682" spans="1:11" x14ac:dyDescent="0.55000000000000004">
      <c r="A682" t="s">
        <v>2781</v>
      </c>
      <c r="B682">
        <v>100195</v>
      </c>
      <c r="C682" t="s">
        <v>533</v>
      </c>
      <c r="D682" s="3">
        <v>45963</v>
      </c>
      <c r="E682" t="s">
        <v>495</v>
      </c>
      <c r="F682" t="s">
        <v>2782</v>
      </c>
      <c r="G682" t="s">
        <v>15</v>
      </c>
      <c r="H682" t="s">
        <v>2783</v>
      </c>
      <c r="I682" t="s">
        <v>2784</v>
      </c>
      <c r="J682" s="4">
        <v>46083.777178090277</v>
      </c>
    </row>
    <row r="683" spans="1:11" x14ac:dyDescent="0.55000000000000004">
      <c r="A683" t="s">
        <v>2785</v>
      </c>
      <c r="B683">
        <v>100529</v>
      </c>
      <c r="C683" t="s">
        <v>68</v>
      </c>
      <c r="D683" s="3">
        <v>45885</v>
      </c>
      <c r="E683" t="s">
        <v>300</v>
      </c>
      <c r="F683" t="s">
        <v>2786</v>
      </c>
      <c r="G683" t="s">
        <v>22</v>
      </c>
      <c r="H683" t="s">
        <v>2787</v>
      </c>
      <c r="I683" t="s">
        <v>2788</v>
      </c>
      <c r="J683" s="4">
        <v>46091.917455879629</v>
      </c>
    </row>
    <row r="684" spans="1:11" x14ac:dyDescent="0.55000000000000004">
      <c r="A684" t="s">
        <v>2789</v>
      </c>
      <c r="B684">
        <v>100010</v>
      </c>
      <c r="C684" t="s">
        <v>37</v>
      </c>
      <c r="D684" s="3">
        <v>46045</v>
      </c>
      <c r="E684" t="s">
        <v>208</v>
      </c>
      <c r="F684" t="s">
        <v>2790</v>
      </c>
      <c r="G684" t="s">
        <v>15</v>
      </c>
      <c r="H684" t="s">
        <v>2791</v>
      </c>
      <c r="I684" t="s">
        <v>2792</v>
      </c>
      <c r="J684" s="4">
        <v>46073.965372546299</v>
      </c>
    </row>
    <row r="685" spans="1:11" x14ac:dyDescent="0.55000000000000004">
      <c r="A685" t="s">
        <v>2793</v>
      </c>
      <c r="B685">
        <v>101428</v>
      </c>
      <c r="C685" t="s">
        <v>37</v>
      </c>
      <c r="D685" s="3">
        <v>45732</v>
      </c>
      <c r="E685" t="s">
        <v>343</v>
      </c>
      <c r="F685" t="s">
        <v>2794</v>
      </c>
      <c r="G685" t="s">
        <v>22</v>
      </c>
      <c r="H685" t="s">
        <v>2795</v>
      </c>
      <c r="I685" t="s">
        <v>2796</v>
      </c>
      <c r="J685" s="4">
        <v>46096.411900335646</v>
      </c>
    </row>
    <row r="686" spans="1:11" x14ac:dyDescent="0.55000000000000004">
      <c r="A686" t="s">
        <v>6035</v>
      </c>
      <c r="B686">
        <v>100282</v>
      </c>
      <c r="C686" t="s">
        <v>179</v>
      </c>
      <c r="D686" s="3">
        <v>46091</v>
      </c>
      <c r="E686" t="s">
        <v>300</v>
      </c>
      <c r="F686" t="s">
        <v>2798</v>
      </c>
      <c r="G686" t="s">
        <v>22</v>
      </c>
      <c r="H686" t="s">
        <v>2799</v>
      </c>
      <c r="I686" t="s">
        <v>2800</v>
      </c>
      <c r="J686" s="4">
        <v>46073.127178113427</v>
      </c>
      <c r="K686" t="s">
        <v>119</v>
      </c>
    </row>
    <row r="687" spans="1:11" x14ac:dyDescent="0.55000000000000004">
      <c r="A687" t="s">
        <v>2801</v>
      </c>
      <c r="B687">
        <v>100610</v>
      </c>
      <c r="C687" t="s">
        <v>19</v>
      </c>
      <c r="D687" s="3">
        <v>45840</v>
      </c>
      <c r="E687" t="s">
        <v>680</v>
      </c>
      <c r="F687" t="s">
        <v>2802</v>
      </c>
      <c r="G687" t="s">
        <v>15</v>
      </c>
      <c r="H687" t="s">
        <v>2803</v>
      </c>
      <c r="I687" t="s">
        <v>2804</v>
      </c>
      <c r="J687" s="4">
        <v>46062.199400335645</v>
      </c>
    </row>
    <row r="688" spans="1:11" x14ac:dyDescent="0.55000000000000004">
      <c r="A688" t="s">
        <v>2805</v>
      </c>
      <c r="B688">
        <v>100286</v>
      </c>
      <c r="C688" t="s">
        <v>68</v>
      </c>
      <c r="D688" s="3">
        <v>45945</v>
      </c>
      <c r="E688" t="s">
        <v>20</v>
      </c>
      <c r="F688" t="s">
        <v>2806</v>
      </c>
      <c r="G688" t="s">
        <v>15</v>
      </c>
      <c r="H688" t="s">
        <v>2807</v>
      </c>
      <c r="I688" t="s">
        <v>2808</v>
      </c>
      <c r="J688" s="4">
        <v>46089.729955902774</v>
      </c>
    </row>
    <row r="689" spans="1:10" x14ac:dyDescent="0.55000000000000004">
      <c r="A689" t="s">
        <v>2809</v>
      </c>
      <c r="B689">
        <v>100348</v>
      </c>
      <c r="C689" t="s">
        <v>37</v>
      </c>
      <c r="D689" s="3">
        <v>46063</v>
      </c>
      <c r="E689" t="s">
        <v>115</v>
      </c>
      <c r="F689" t="s">
        <v>2810</v>
      </c>
      <c r="G689" t="s">
        <v>22</v>
      </c>
      <c r="H689" t="s">
        <v>2811</v>
      </c>
      <c r="I689" t="s">
        <v>2812</v>
      </c>
      <c r="J689" s="4">
        <v>46055.125094791663</v>
      </c>
    </row>
    <row r="690" spans="1:10" x14ac:dyDescent="0.55000000000000004">
      <c r="A690" t="s">
        <v>2813</v>
      </c>
      <c r="B690">
        <v>100264</v>
      </c>
      <c r="C690" t="s">
        <v>533</v>
      </c>
      <c r="D690" s="3">
        <v>45775</v>
      </c>
      <c r="E690" t="s">
        <v>317</v>
      </c>
      <c r="F690" t="s">
        <v>2814</v>
      </c>
      <c r="G690" t="s">
        <v>22</v>
      </c>
      <c r="H690" t="s">
        <v>2815</v>
      </c>
      <c r="I690" t="s">
        <v>2816</v>
      </c>
      <c r="J690" s="4">
        <v>46067.757039247685</v>
      </c>
    </row>
    <row r="691" spans="1:10" x14ac:dyDescent="0.55000000000000004">
      <c r="A691" t="s">
        <v>2817</v>
      </c>
      <c r="B691">
        <v>100363</v>
      </c>
      <c r="C691" t="s">
        <v>19</v>
      </c>
      <c r="D691" s="3">
        <v>45949</v>
      </c>
      <c r="E691" t="s">
        <v>43</v>
      </c>
      <c r="F691" t="s">
        <v>2818</v>
      </c>
      <c r="G691" t="s">
        <v>22</v>
      </c>
      <c r="H691" t="s">
        <v>2819</v>
      </c>
      <c r="I691" t="s">
        <v>2820</v>
      </c>
      <c r="J691" s="4">
        <v>46073.241067025461</v>
      </c>
    </row>
    <row r="692" spans="1:10" x14ac:dyDescent="0.55000000000000004">
      <c r="A692" t="s">
        <v>2821</v>
      </c>
      <c r="B692">
        <v>101337</v>
      </c>
      <c r="C692" t="s">
        <v>248</v>
      </c>
      <c r="D692" s="3">
        <v>45827</v>
      </c>
      <c r="E692" t="s">
        <v>170</v>
      </c>
      <c r="F692" t="s">
        <v>2822</v>
      </c>
      <c r="G692" t="s">
        <v>22</v>
      </c>
      <c r="H692" t="s">
        <v>2823</v>
      </c>
      <c r="I692" t="s">
        <v>2824</v>
      </c>
      <c r="J692" s="4">
        <v>46082.032733703702</v>
      </c>
    </row>
    <row r="693" spans="1:10" x14ac:dyDescent="0.55000000000000004">
      <c r="A693" t="s">
        <v>2825</v>
      </c>
      <c r="B693">
        <v>101252</v>
      </c>
      <c r="C693" t="s">
        <v>248</v>
      </c>
      <c r="D693" s="3">
        <v>45942</v>
      </c>
      <c r="E693" t="s">
        <v>343</v>
      </c>
      <c r="F693" t="s">
        <v>2826</v>
      </c>
      <c r="G693" t="s">
        <v>15</v>
      </c>
      <c r="H693" t="s">
        <v>2827</v>
      </c>
      <c r="I693" t="s">
        <v>2828</v>
      </c>
      <c r="J693" s="4">
        <v>46061.059122592589</v>
      </c>
    </row>
    <row r="694" spans="1:10" x14ac:dyDescent="0.55000000000000004">
      <c r="A694" t="s">
        <v>2829</v>
      </c>
      <c r="B694">
        <v>100999</v>
      </c>
      <c r="C694" t="s">
        <v>68</v>
      </c>
      <c r="D694" s="3">
        <v>45789</v>
      </c>
      <c r="E694" t="s">
        <v>121</v>
      </c>
      <c r="F694" t="s">
        <v>2830</v>
      </c>
      <c r="G694" t="s">
        <v>22</v>
      </c>
      <c r="H694" t="s">
        <v>2831</v>
      </c>
      <c r="I694" t="s">
        <v>2832</v>
      </c>
      <c r="J694" s="4">
        <v>46068.011205925926</v>
      </c>
    </row>
    <row r="695" spans="1:10" x14ac:dyDescent="0.55000000000000004">
      <c r="A695" t="s">
        <v>2833</v>
      </c>
      <c r="B695">
        <v>101091</v>
      </c>
      <c r="C695" t="s">
        <v>37</v>
      </c>
      <c r="D695" s="3">
        <v>45999</v>
      </c>
      <c r="E695" t="s">
        <v>121</v>
      </c>
      <c r="F695" t="s">
        <v>2834</v>
      </c>
      <c r="G695" t="s">
        <v>15</v>
      </c>
      <c r="H695" t="s">
        <v>2835</v>
      </c>
      <c r="I695" t="s">
        <v>2836</v>
      </c>
      <c r="J695" s="4">
        <v>46053.845233715278</v>
      </c>
    </row>
    <row r="696" spans="1:10" x14ac:dyDescent="0.55000000000000004">
      <c r="A696" t="s">
        <v>2837</v>
      </c>
      <c r="B696">
        <v>100957</v>
      </c>
      <c r="C696" t="s">
        <v>19</v>
      </c>
      <c r="D696" s="3">
        <v>46140</v>
      </c>
      <c r="E696" t="s">
        <v>343</v>
      </c>
      <c r="F696" t="s">
        <v>2838</v>
      </c>
      <c r="G696" t="s">
        <v>22</v>
      </c>
      <c r="H696" t="s">
        <v>2839</v>
      </c>
      <c r="I696" t="s">
        <v>2840</v>
      </c>
      <c r="J696" s="4">
        <v>46063.730650381942</v>
      </c>
    </row>
    <row r="697" spans="1:10" x14ac:dyDescent="0.55000000000000004">
      <c r="A697" t="s">
        <v>2841</v>
      </c>
      <c r="B697">
        <v>101031</v>
      </c>
      <c r="C697" t="s">
        <v>19</v>
      </c>
      <c r="D697" s="3">
        <v>45964</v>
      </c>
      <c r="E697" t="s">
        <v>495</v>
      </c>
      <c r="F697" t="s">
        <v>2842</v>
      </c>
      <c r="G697" t="s">
        <v>22</v>
      </c>
      <c r="H697" t="s">
        <v>2843</v>
      </c>
      <c r="I697" t="s">
        <v>2844</v>
      </c>
      <c r="J697" s="4">
        <v>46075.327178171297</v>
      </c>
    </row>
    <row r="698" spans="1:10" x14ac:dyDescent="0.55000000000000004">
      <c r="A698" t="s">
        <v>2845</v>
      </c>
      <c r="B698">
        <v>101240</v>
      </c>
      <c r="C698" t="s">
        <v>68</v>
      </c>
      <c r="D698" s="3">
        <v>45817</v>
      </c>
      <c r="E698" t="s">
        <v>317</v>
      </c>
      <c r="F698" t="s">
        <v>2846</v>
      </c>
      <c r="G698" t="s">
        <v>22</v>
      </c>
      <c r="H698" t="s">
        <v>2847</v>
      </c>
      <c r="I698" t="s">
        <v>2848</v>
      </c>
      <c r="J698" s="4">
        <v>46061.375789282407</v>
      </c>
    </row>
    <row r="699" spans="1:10" x14ac:dyDescent="0.55000000000000004">
      <c r="A699" t="s">
        <v>2849</v>
      </c>
      <c r="B699">
        <v>100802</v>
      </c>
      <c r="C699" t="s">
        <v>37</v>
      </c>
      <c r="D699" s="3">
        <v>46054</v>
      </c>
      <c r="E699" t="s">
        <v>409</v>
      </c>
      <c r="F699" t="s">
        <v>2850</v>
      </c>
      <c r="G699" t="s">
        <v>15</v>
      </c>
      <c r="H699" t="s">
        <v>2851</v>
      </c>
      <c r="I699" t="s">
        <v>2852</v>
      </c>
      <c r="J699" s="4">
        <v>46055.331344837963</v>
      </c>
    </row>
    <row r="700" spans="1:10" x14ac:dyDescent="0.55000000000000004">
      <c r="A700" t="s">
        <v>2853</v>
      </c>
      <c r="B700">
        <v>101259</v>
      </c>
      <c r="C700" t="s">
        <v>19</v>
      </c>
      <c r="D700" s="3">
        <v>45745</v>
      </c>
      <c r="E700" t="s">
        <v>334</v>
      </c>
      <c r="F700" t="s">
        <v>2854</v>
      </c>
      <c r="G700" t="s">
        <v>15</v>
      </c>
      <c r="H700" t="s">
        <v>2855</v>
      </c>
      <c r="I700" t="s">
        <v>2856</v>
      </c>
      <c r="J700" s="4">
        <v>46065.636900405094</v>
      </c>
    </row>
    <row r="701" spans="1:10" x14ac:dyDescent="0.55000000000000004">
      <c r="A701" t="s">
        <v>2857</v>
      </c>
      <c r="B701">
        <v>100624</v>
      </c>
      <c r="C701" t="s">
        <v>248</v>
      </c>
      <c r="D701" s="3">
        <v>45861</v>
      </c>
      <c r="E701" t="s">
        <v>38</v>
      </c>
      <c r="F701" t="s">
        <v>2858</v>
      </c>
      <c r="G701" t="s">
        <v>22</v>
      </c>
      <c r="H701" t="s">
        <v>2859</v>
      </c>
      <c r="I701" t="s">
        <v>2860</v>
      </c>
      <c r="J701" s="4">
        <v>46080.380650405095</v>
      </c>
    </row>
    <row r="702" spans="1:10" x14ac:dyDescent="0.55000000000000004">
      <c r="A702" t="s">
        <v>2861</v>
      </c>
      <c r="B702">
        <v>101381</v>
      </c>
      <c r="C702" t="s">
        <v>37</v>
      </c>
      <c r="D702" s="3">
        <v>46111</v>
      </c>
      <c r="E702" t="s">
        <v>38</v>
      </c>
      <c r="F702" t="s">
        <v>2862</v>
      </c>
      <c r="G702" t="s">
        <v>15</v>
      </c>
      <c r="H702" t="s">
        <v>2863</v>
      </c>
      <c r="I702" t="s">
        <v>2864</v>
      </c>
      <c r="J702" s="4">
        <v>46060.531344861112</v>
      </c>
    </row>
    <row r="703" spans="1:10" x14ac:dyDescent="0.55000000000000004">
      <c r="A703" t="s">
        <v>2865</v>
      </c>
      <c r="B703">
        <v>101427</v>
      </c>
      <c r="C703" t="s">
        <v>179</v>
      </c>
      <c r="D703" s="3">
        <v>45921</v>
      </c>
      <c r="E703" t="s">
        <v>20</v>
      </c>
      <c r="F703" t="s">
        <v>2866</v>
      </c>
      <c r="G703" t="s">
        <v>15</v>
      </c>
      <c r="H703" t="s">
        <v>2867</v>
      </c>
      <c r="I703" t="s">
        <v>2868</v>
      </c>
      <c r="J703" s="4">
        <v>46066.488983750001</v>
      </c>
    </row>
    <row r="704" spans="1:10" x14ac:dyDescent="0.55000000000000004">
      <c r="A704" t="s">
        <v>2869</v>
      </c>
      <c r="B704">
        <v>100955</v>
      </c>
      <c r="C704" t="s">
        <v>19</v>
      </c>
      <c r="D704" s="3">
        <v>45748</v>
      </c>
      <c r="E704" t="s">
        <v>265</v>
      </c>
      <c r="F704" t="s">
        <v>2870</v>
      </c>
      <c r="G704" t="s">
        <v>15</v>
      </c>
      <c r="H704" t="s">
        <v>2871</v>
      </c>
      <c r="I704" t="s">
        <v>2872</v>
      </c>
      <c r="J704" s="4">
        <v>46066.159122638892</v>
      </c>
    </row>
    <row r="705" spans="1:11" x14ac:dyDescent="0.55000000000000004">
      <c r="A705" t="s">
        <v>2873</v>
      </c>
      <c r="B705">
        <v>100778</v>
      </c>
      <c r="C705" t="s">
        <v>179</v>
      </c>
      <c r="D705" s="3">
        <v>45853</v>
      </c>
      <c r="E705" t="s">
        <v>43</v>
      </c>
      <c r="F705" t="s">
        <v>2874</v>
      </c>
      <c r="G705" t="s">
        <v>22</v>
      </c>
      <c r="H705" t="s">
        <v>2875</v>
      </c>
      <c r="I705" t="s">
        <v>2876</v>
      </c>
      <c r="J705" s="4">
        <v>46093.832733761577</v>
      </c>
      <c r="K705" t="s">
        <v>139</v>
      </c>
    </row>
    <row r="706" spans="1:11" x14ac:dyDescent="0.55000000000000004">
      <c r="A706" t="s">
        <v>2877</v>
      </c>
      <c r="B706">
        <v>101383</v>
      </c>
      <c r="C706" t="s">
        <v>248</v>
      </c>
      <c r="D706" s="3">
        <v>46118</v>
      </c>
      <c r="E706" t="s">
        <v>155</v>
      </c>
      <c r="F706" t="s">
        <v>2878</v>
      </c>
      <c r="G706" t="s">
        <v>15</v>
      </c>
      <c r="H706" t="s">
        <v>2879</v>
      </c>
      <c r="I706" t="s">
        <v>2880</v>
      </c>
      <c r="J706" s="4">
        <v>46068.17926153935</v>
      </c>
    </row>
    <row r="707" spans="1:11" x14ac:dyDescent="0.55000000000000004">
      <c r="A707" t="s">
        <v>2881</v>
      </c>
      <c r="B707">
        <v>101450</v>
      </c>
      <c r="C707" t="s">
        <v>19</v>
      </c>
      <c r="D707" s="3">
        <v>45886</v>
      </c>
      <c r="E707" t="s">
        <v>27</v>
      </c>
      <c r="F707" t="s">
        <v>2882</v>
      </c>
      <c r="G707" t="s">
        <v>15</v>
      </c>
      <c r="H707" t="s">
        <v>2883</v>
      </c>
      <c r="I707" t="s">
        <v>2884</v>
      </c>
      <c r="J707" s="4">
        <v>46072.774400439812</v>
      </c>
    </row>
    <row r="708" spans="1:11" x14ac:dyDescent="0.55000000000000004">
      <c r="A708" t="s">
        <v>2885</v>
      </c>
      <c r="B708">
        <v>100251</v>
      </c>
      <c r="C708" t="s">
        <v>179</v>
      </c>
      <c r="D708" s="3">
        <v>45974</v>
      </c>
      <c r="E708" t="s">
        <v>409</v>
      </c>
      <c r="F708" t="s">
        <v>2886</v>
      </c>
      <c r="G708" t="s">
        <v>22</v>
      </c>
      <c r="H708" t="s">
        <v>2887</v>
      </c>
      <c r="I708" t="s">
        <v>2888</v>
      </c>
      <c r="J708" s="4">
        <v>46097.335511550926</v>
      </c>
    </row>
    <row r="709" spans="1:11" x14ac:dyDescent="0.55000000000000004">
      <c r="A709" t="s">
        <v>2889</v>
      </c>
      <c r="B709">
        <v>101115</v>
      </c>
      <c r="C709" t="s">
        <v>179</v>
      </c>
      <c r="D709" s="3">
        <v>45927</v>
      </c>
      <c r="E709" t="s">
        <v>343</v>
      </c>
      <c r="F709" t="s">
        <v>2890</v>
      </c>
      <c r="G709" t="s">
        <v>15</v>
      </c>
      <c r="H709" t="s">
        <v>2891</v>
      </c>
      <c r="I709" t="s">
        <v>2892</v>
      </c>
      <c r="J709" s="4">
        <v>46062.839678217591</v>
      </c>
    </row>
    <row r="710" spans="1:11" x14ac:dyDescent="0.55000000000000004">
      <c r="A710" t="s">
        <v>2893</v>
      </c>
      <c r="B710">
        <v>100274</v>
      </c>
      <c r="C710" t="s">
        <v>68</v>
      </c>
      <c r="D710" s="3">
        <v>45953</v>
      </c>
      <c r="E710" t="s">
        <v>126</v>
      </c>
      <c r="F710" t="s">
        <v>2894</v>
      </c>
      <c r="G710" t="s">
        <v>22</v>
      </c>
      <c r="H710" t="s">
        <v>2895</v>
      </c>
      <c r="I710" t="s">
        <v>2896</v>
      </c>
      <c r="J710" s="4">
        <v>46080.60634489583</v>
      </c>
    </row>
    <row r="711" spans="1:11" x14ac:dyDescent="0.55000000000000004">
      <c r="A711" t="s">
        <v>2897</v>
      </c>
      <c r="B711">
        <v>100749</v>
      </c>
      <c r="C711" t="s">
        <v>248</v>
      </c>
      <c r="D711" s="3">
        <v>46067</v>
      </c>
      <c r="E711" t="s">
        <v>680</v>
      </c>
      <c r="F711" t="s">
        <v>2898</v>
      </c>
      <c r="G711" t="s">
        <v>15</v>
      </c>
      <c r="H711" t="s">
        <v>2899</v>
      </c>
      <c r="I711" t="s">
        <v>2900</v>
      </c>
      <c r="J711" s="4">
        <v>46064.266067129633</v>
      </c>
    </row>
    <row r="712" spans="1:11" x14ac:dyDescent="0.55000000000000004">
      <c r="A712" t="s">
        <v>2901</v>
      </c>
      <c r="B712">
        <v>100984</v>
      </c>
      <c r="C712" t="s">
        <v>533</v>
      </c>
      <c r="D712" s="3">
        <v>45892</v>
      </c>
      <c r="E712" t="s">
        <v>184</v>
      </c>
      <c r="F712" t="s">
        <v>2902</v>
      </c>
      <c r="G712" t="s">
        <v>15</v>
      </c>
      <c r="H712" t="s">
        <v>2903</v>
      </c>
      <c r="I712" t="s">
        <v>2904</v>
      </c>
      <c r="J712" s="4">
        <v>46071.607039351853</v>
      </c>
    </row>
    <row r="713" spans="1:11" x14ac:dyDescent="0.55000000000000004">
      <c r="A713" t="s">
        <v>2905</v>
      </c>
      <c r="B713">
        <v>100851</v>
      </c>
      <c r="C713" t="s">
        <v>19</v>
      </c>
      <c r="D713" s="3">
        <v>45785</v>
      </c>
      <c r="E713" t="s">
        <v>208</v>
      </c>
      <c r="F713" t="s">
        <v>2906</v>
      </c>
      <c r="G713" t="s">
        <v>22</v>
      </c>
      <c r="H713" t="s">
        <v>2907</v>
      </c>
      <c r="I713" t="s">
        <v>2908</v>
      </c>
      <c r="J713" s="4">
        <v>46081.471622696758</v>
      </c>
    </row>
    <row r="714" spans="1:11" x14ac:dyDescent="0.55000000000000004">
      <c r="A714" t="s">
        <v>2909</v>
      </c>
      <c r="B714">
        <v>100495</v>
      </c>
      <c r="C714" t="s">
        <v>37</v>
      </c>
      <c r="D714" s="3">
        <v>45744</v>
      </c>
      <c r="E714" t="s">
        <v>108</v>
      </c>
      <c r="F714" t="s">
        <v>2910</v>
      </c>
      <c r="G714" t="s">
        <v>15</v>
      </c>
      <c r="H714" t="s">
        <v>2911</v>
      </c>
      <c r="I714" t="s">
        <v>2912</v>
      </c>
      <c r="J714" s="4">
        <v>46052.575789363429</v>
      </c>
    </row>
    <row r="715" spans="1:11" x14ac:dyDescent="0.55000000000000004">
      <c r="A715" t="s">
        <v>2913</v>
      </c>
      <c r="B715">
        <v>100848</v>
      </c>
      <c r="C715" t="s">
        <v>37</v>
      </c>
      <c r="D715" s="3">
        <v>46041</v>
      </c>
      <c r="E715" t="s">
        <v>69</v>
      </c>
      <c r="F715" t="s">
        <v>2914</v>
      </c>
      <c r="G715" t="s">
        <v>15</v>
      </c>
      <c r="H715" t="s">
        <v>2915</v>
      </c>
      <c r="I715" t="s">
        <v>2916</v>
      </c>
      <c r="J715" s="4">
        <v>46089.757039374999</v>
      </c>
    </row>
    <row r="716" spans="1:11" x14ac:dyDescent="0.55000000000000004">
      <c r="A716" t="s">
        <v>2917</v>
      </c>
      <c r="B716">
        <v>101389</v>
      </c>
      <c r="C716" t="s">
        <v>533</v>
      </c>
      <c r="D716" s="3">
        <v>45861</v>
      </c>
      <c r="E716" t="s">
        <v>334</v>
      </c>
      <c r="F716" t="s">
        <v>2918</v>
      </c>
      <c r="G716" t="s">
        <v>22</v>
      </c>
      <c r="H716" t="s">
        <v>2919</v>
      </c>
      <c r="I716" t="s">
        <v>2920</v>
      </c>
      <c r="J716" s="4">
        <v>46080.138983819445</v>
      </c>
    </row>
    <row r="717" spans="1:11" x14ac:dyDescent="0.55000000000000004">
      <c r="A717" t="s">
        <v>499</v>
      </c>
      <c r="B717">
        <v>100276</v>
      </c>
      <c r="C717" t="s">
        <v>68</v>
      </c>
      <c r="D717" s="3">
        <v>45863</v>
      </c>
      <c r="E717" t="s">
        <v>155</v>
      </c>
      <c r="F717" t="s">
        <v>2921</v>
      </c>
      <c r="G717" t="s">
        <v>22</v>
      </c>
      <c r="H717" t="s">
        <v>2922</v>
      </c>
      <c r="I717" t="s">
        <v>2923</v>
      </c>
      <c r="J717" s="4">
        <v>46094.20217827546</v>
      </c>
    </row>
    <row r="718" spans="1:11" x14ac:dyDescent="0.55000000000000004">
      <c r="A718" t="s">
        <v>2924</v>
      </c>
      <c r="B718">
        <v>100666</v>
      </c>
      <c r="C718" t="s">
        <v>179</v>
      </c>
      <c r="D718" s="3">
        <v>45902</v>
      </c>
      <c r="E718" t="s">
        <v>20</v>
      </c>
      <c r="F718" t="s">
        <v>2925</v>
      </c>
      <c r="G718" t="s">
        <v>22</v>
      </c>
      <c r="H718" t="s">
        <v>2926</v>
      </c>
      <c r="I718" t="s">
        <v>2927</v>
      </c>
      <c r="J718" s="4">
        <v>46086.119539386571</v>
      </c>
    </row>
    <row r="719" spans="1:11" x14ac:dyDescent="0.55000000000000004">
      <c r="A719" t="s">
        <v>2928</v>
      </c>
      <c r="B719">
        <v>101057</v>
      </c>
      <c r="C719" t="s">
        <v>37</v>
      </c>
      <c r="D719" s="3">
        <v>45983</v>
      </c>
      <c r="E719" t="s">
        <v>38</v>
      </c>
      <c r="F719" t="s">
        <v>2929</v>
      </c>
      <c r="G719" t="s">
        <v>22</v>
      </c>
      <c r="H719" t="s">
        <v>2930</v>
      </c>
      <c r="I719" t="s">
        <v>2931</v>
      </c>
      <c r="J719" s="4">
        <v>46085.828567164353</v>
      </c>
    </row>
    <row r="720" spans="1:11" x14ac:dyDescent="0.55000000000000004">
      <c r="A720" t="s">
        <v>2932</v>
      </c>
      <c r="B720">
        <v>100941</v>
      </c>
      <c r="C720" t="s">
        <v>19</v>
      </c>
      <c r="D720" s="3">
        <v>45787</v>
      </c>
      <c r="E720" t="s">
        <v>38</v>
      </c>
      <c r="F720" t="s">
        <v>2933</v>
      </c>
      <c r="G720" t="s">
        <v>22</v>
      </c>
      <c r="H720" t="s">
        <v>2934</v>
      </c>
      <c r="I720" t="s">
        <v>2935</v>
      </c>
      <c r="J720" s="4">
        <v>46083.873011620373</v>
      </c>
    </row>
    <row r="721" spans="1:10" x14ac:dyDescent="0.55000000000000004">
      <c r="A721" t="s">
        <v>2936</v>
      </c>
      <c r="B721">
        <v>101284</v>
      </c>
      <c r="C721" t="s">
        <v>533</v>
      </c>
      <c r="D721" s="3">
        <v>45958</v>
      </c>
      <c r="E721" t="s">
        <v>343</v>
      </c>
      <c r="F721" t="s">
        <v>2937</v>
      </c>
      <c r="G721" t="s">
        <v>15</v>
      </c>
      <c r="H721" t="s">
        <v>452</v>
      </c>
      <c r="I721" t="s">
        <v>2938</v>
      </c>
      <c r="J721" s="4">
        <v>46092.93342828704</v>
      </c>
    </row>
    <row r="722" spans="1:10" x14ac:dyDescent="0.55000000000000004">
      <c r="A722" t="s">
        <v>2939</v>
      </c>
      <c r="B722">
        <v>100803</v>
      </c>
      <c r="C722" t="s">
        <v>248</v>
      </c>
      <c r="D722" s="3">
        <v>46129</v>
      </c>
      <c r="E722" t="s">
        <v>334</v>
      </c>
      <c r="F722" t="s">
        <v>2940</v>
      </c>
      <c r="G722" t="s">
        <v>15</v>
      </c>
      <c r="H722" t="s">
        <v>2941</v>
      </c>
      <c r="I722" t="s">
        <v>2942</v>
      </c>
      <c r="J722" s="4">
        <v>46055.835511631944</v>
      </c>
    </row>
    <row r="723" spans="1:10" x14ac:dyDescent="0.55000000000000004">
      <c r="A723" t="s">
        <v>2943</v>
      </c>
      <c r="B723">
        <v>100470</v>
      </c>
      <c r="C723" t="s">
        <v>37</v>
      </c>
      <c r="D723" s="3">
        <v>45751</v>
      </c>
      <c r="E723" t="s">
        <v>208</v>
      </c>
      <c r="F723" t="s">
        <v>2944</v>
      </c>
      <c r="G723" t="s">
        <v>22</v>
      </c>
      <c r="H723" t="s">
        <v>2945</v>
      </c>
      <c r="I723" t="s">
        <v>2946</v>
      </c>
      <c r="J723" s="4">
        <v>46071.929261631944</v>
      </c>
    </row>
    <row r="724" spans="1:10" x14ac:dyDescent="0.55000000000000004">
      <c r="A724" t="s">
        <v>2947</v>
      </c>
      <c r="B724">
        <v>100650</v>
      </c>
      <c r="C724" t="s">
        <v>37</v>
      </c>
      <c r="D724" s="3">
        <v>45995</v>
      </c>
      <c r="E724" t="s">
        <v>213</v>
      </c>
      <c r="F724" t="s">
        <v>2948</v>
      </c>
      <c r="G724" t="s">
        <v>22</v>
      </c>
      <c r="H724" t="s">
        <v>2949</v>
      </c>
      <c r="I724" t="s">
        <v>2950</v>
      </c>
      <c r="J724" s="4">
        <v>46092.977872754629</v>
      </c>
    </row>
    <row r="725" spans="1:10" x14ac:dyDescent="0.55000000000000004">
      <c r="A725" t="s">
        <v>2951</v>
      </c>
      <c r="B725">
        <v>100370</v>
      </c>
      <c r="C725" t="s">
        <v>248</v>
      </c>
      <c r="D725" s="3">
        <v>45733</v>
      </c>
      <c r="E725" t="s">
        <v>757</v>
      </c>
      <c r="F725" t="s">
        <v>2952</v>
      </c>
      <c r="G725" t="s">
        <v>15</v>
      </c>
      <c r="H725" t="s">
        <v>2953</v>
      </c>
      <c r="I725" t="s">
        <v>2954</v>
      </c>
      <c r="J725" s="4">
        <v>46060.984817199074</v>
      </c>
    </row>
    <row r="726" spans="1:10" x14ac:dyDescent="0.55000000000000004">
      <c r="A726" t="s">
        <v>2955</v>
      </c>
      <c r="B726">
        <v>100443</v>
      </c>
      <c r="C726" t="s">
        <v>68</v>
      </c>
      <c r="D726" s="3">
        <v>45902</v>
      </c>
      <c r="E726" t="s">
        <v>83</v>
      </c>
      <c r="F726" t="s">
        <v>2956</v>
      </c>
      <c r="G726" t="s">
        <v>15</v>
      </c>
      <c r="H726" t="s">
        <v>2957</v>
      </c>
      <c r="I726" t="s">
        <v>2958</v>
      </c>
      <c r="J726" s="4">
        <v>46073.986206099537</v>
      </c>
    </row>
    <row r="727" spans="1:10" x14ac:dyDescent="0.55000000000000004">
      <c r="A727" t="s">
        <v>2959</v>
      </c>
      <c r="B727">
        <v>100108</v>
      </c>
      <c r="C727" t="s">
        <v>68</v>
      </c>
      <c r="D727" s="3">
        <v>45773</v>
      </c>
      <c r="E727" t="s">
        <v>356</v>
      </c>
      <c r="F727" t="s">
        <v>2960</v>
      </c>
      <c r="G727" t="s">
        <v>15</v>
      </c>
      <c r="H727" t="s">
        <v>2961</v>
      </c>
      <c r="I727" t="s">
        <v>2962</v>
      </c>
      <c r="J727" s="4">
        <v>46062.690372766207</v>
      </c>
    </row>
    <row r="728" spans="1:10" x14ac:dyDescent="0.55000000000000004">
      <c r="A728" t="s">
        <v>2963</v>
      </c>
      <c r="B728">
        <v>101411</v>
      </c>
      <c r="C728" t="s">
        <v>179</v>
      </c>
      <c r="D728" s="3">
        <v>46070</v>
      </c>
      <c r="E728" t="s">
        <v>20</v>
      </c>
      <c r="F728" t="s">
        <v>2964</v>
      </c>
      <c r="G728" t="s">
        <v>22</v>
      </c>
      <c r="H728" t="s">
        <v>2965</v>
      </c>
      <c r="I728" t="s">
        <v>2966</v>
      </c>
      <c r="J728" s="4">
        <v>46090.849400555555</v>
      </c>
    </row>
    <row r="729" spans="1:10" x14ac:dyDescent="0.55000000000000004">
      <c r="A729" t="s">
        <v>2967</v>
      </c>
      <c r="B729">
        <v>101238</v>
      </c>
      <c r="C729" t="s">
        <v>68</v>
      </c>
      <c r="D729" s="3">
        <v>45981</v>
      </c>
      <c r="E729" t="s">
        <v>317</v>
      </c>
      <c r="F729" t="s">
        <v>2968</v>
      </c>
      <c r="G729" t="s">
        <v>22</v>
      </c>
      <c r="H729" t="s">
        <v>2969</v>
      </c>
      <c r="I729" t="s">
        <v>2970</v>
      </c>
      <c r="J729" s="4">
        <v>46085.547317222219</v>
      </c>
    </row>
    <row r="730" spans="1:10" x14ac:dyDescent="0.55000000000000004">
      <c r="A730" t="s">
        <v>2971</v>
      </c>
      <c r="B730">
        <v>100012</v>
      </c>
      <c r="C730" t="s">
        <v>37</v>
      </c>
      <c r="D730" s="3">
        <v>45830</v>
      </c>
      <c r="E730" t="s">
        <v>317</v>
      </c>
      <c r="F730" t="s">
        <v>2972</v>
      </c>
      <c r="G730" t="s">
        <v>15</v>
      </c>
      <c r="H730" t="s">
        <v>2973</v>
      </c>
      <c r="I730" t="s">
        <v>2974</v>
      </c>
      <c r="J730" s="4">
        <v>46066.193150567131</v>
      </c>
    </row>
    <row r="731" spans="1:10" x14ac:dyDescent="0.55000000000000004">
      <c r="A731" t="s">
        <v>2975</v>
      </c>
      <c r="B731">
        <v>100349</v>
      </c>
      <c r="C731" t="s">
        <v>37</v>
      </c>
      <c r="D731" s="3">
        <v>46137</v>
      </c>
      <c r="E731" t="s">
        <v>300</v>
      </c>
      <c r="F731" t="s">
        <v>2976</v>
      </c>
      <c r="G731" t="s">
        <v>22</v>
      </c>
      <c r="H731" t="s">
        <v>2977</v>
      </c>
      <c r="I731" t="s">
        <v>2978</v>
      </c>
      <c r="J731" s="4">
        <v>46096.693845011578</v>
      </c>
    </row>
    <row r="732" spans="1:10" x14ac:dyDescent="0.55000000000000004">
      <c r="A732" t="s">
        <v>2979</v>
      </c>
      <c r="B732">
        <v>101323</v>
      </c>
      <c r="C732" t="s">
        <v>68</v>
      </c>
      <c r="D732" s="3">
        <v>45760</v>
      </c>
      <c r="E732" t="s">
        <v>141</v>
      </c>
      <c r="F732" t="s">
        <v>2980</v>
      </c>
      <c r="G732" t="s">
        <v>22</v>
      </c>
      <c r="H732" t="s">
        <v>2981</v>
      </c>
      <c r="I732" t="s">
        <v>2982</v>
      </c>
      <c r="J732" s="4">
        <v>46090.445233900464</v>
      </c>
    </row>
    <row r="733" spans="1:10" x14ac:dyDescent="0.55000000000000004">
      <c r="A733" t="s">
        <v>2983</v>
      </c>
      <c r="B733">
        <v>100518</v>
      </c>
      <c r="C733" t="s">
        <v>19</v>
      </c>
      <c r="D733" s="3">
        <v>45966</v>
      </c>
      <c r="E733" t="s">
        <v>587</v>
      </c>
      <c r="F733" t="s">
        <v>2984</v>
      </c>
      <c r="G733" t="s">
        <v>15</v>
      </c>
      <c r="H733" t="s">
        <v>2985</v>
      </c>
      <c r="I733" t="s">
        <v>2986</v>
      </c>
      <c r="J733" s="4">
        <v>46095.545233912038</v>
      </c>
    </row>
    <row r="734" spans="1:10" x14ac:dyDescent="0.55000000000000004">
      <c r="A734" t="s">
        <v>2987</v>
      </c>
      <c r="B734">
        <v>100862</v>
      </c>
      <c r="C734" t="s">
        <v>19</v>
      </c>
      <c r="D734" s="3">
        <v>46066</v>
      </c>
      <c r="E734" t="s">
        <v>69</v>
      </c>
      <c r="F734" t="s">
        <v>2988</v>
      </c>
      <c r="G734" t="s">
        <v>15</v>
      </c>
      <c r="H734" t="s">
        <v>2989</v>
      </c>
      <c r="I734" t="s">
        <v>2990</v>
      </c>
      <c r="J734" s="4">
        <v>46081.748706134262</v>
      </c>
    </row>
    <row r="735" spans="1:10" x14ac:dyDescent="0.55000000000000004">
      <c r="A735" t="s">
        <v>2991</v>
      </c>
      <c r="B735">
        <v>100379</v>
      </c>
      <c r="C735" t="s">
        <v>533</v>
      </c>
      <c r="D735" s="3">
        <v>45739</v>
      </c>
      <c r="E735" t="s">
        <v>317</v>
      </c>
      <c r="F735" t="s">
        <v>2992</v>
      </c>
      <c r="G735" t="s">
        <v>15</v>
      </c>
      <c r="H735" t="s">
        <v>2993</v>
      </c>
      <c r="I735" t="s">
        <v>2994</v>
      </c>
      <c r="J735" s="4">
        <v>46078.607733923614</v>
      </c>
    </row>
    <row r="736" spans="1:10" x14ac:dyDescent="0.55000000000000004">
      <c r="A736" t="s">
        <v>2995</v>
      </c>
      <c r="B736">
        <v>100677</v>
      </c>
      <c r="C736" t="s">
        <v>179</v>
      </c>
      <c r="D736" s="3">
        <v>46044</v>
      </c>
      <c r="E736" t="s">
        <v>38</v>
      </c>
      <c r="F736" t="s">
        <v>2996</v>
      </c>
      <c r="G736" t="s">
        <v>15</v>
      </c>
      <c r="H736" t="s">
        <v>2997</v>
      </c>
      <c r="I736" t="s">
        <v>2998</v>
      </c>
      <c r="J736" s="4">
        <v>46091.584122812499</v>
      </c>
    </row>
    <row r="737" spans="1:10" x14ac:dyDescent="0.55000000000000004">
      <c r="A737" t="s">
        <v>2999</v>
      </c>
      <c r="B737">
        <v>101208</v>
      </c>
      <c r="C737" t="s">
        <v>19</v>
      </c>
      <c r="D737" s="3">
        <v>46036</v>
      </c>
      <c r="E737" t="s">
        <v>108</v>
      </c>
      <c r="F737" t="s">
        <v>3000</v>
      </c>
      <c r="G737" t="s">
        <v>22</v>
      </c>
      <c r="H737" t="s">
        <v>3001</v>
      </c>
      <c r="I737" t="s">
        <v>3002</v>
      </c>
      <c r="J737" s="4">
        <v>46075.781345034724</v>
      </c>
    </row>
    <row r="738" spans="1:10" x14ac:dyDescent="0.55000000000000004">
      <c r="A738" t="s">
        <v>3003</v>
      </c>
      <c r="B738">
        <v>100545</v>
      </c>
      <c r="C738" t="s">
        <v>179</v>
      </c>
      <c r="D738" s="3">
        <v>45898</v>
      </c>
      <c r="E738" t="s">
        <v>317</v>
      </c>
      <c r="F738" t="s">
        <v>3004</v>
      </c>
      <c r="G738" t="s">
        <v>15</v>
      </c>
      <c r="H738" t="s">
        <v>3005</v>
      </c>
      <c r="I738" t="s">
        <v>3006</v>
      </c>
      <c r="J738" s="4">
        <v>46077.443150601852</v>
      </c>
    </row>
    <row r="739" spans="1:10" x14ac:dyDescent="0.55000000000000004">
      <c r="A739" t="s">
        <v>3007</v>
      </c>
      <c r="B739">
        <v>100355</v>
      </c>
      <c r="C739" t="s">
        <v>37</v>
      </c>
      <c r="D739" s="3">
        <v>46035</v>
      </c>
      <c r="E739" t="s">
        <v>20</v>
      </c>
      <c r="F739" t="s">
        <v>3008</v>
      </c>
      <c r="G739" t="s">
        <v>15</v>
      </c>
      <c r="H739" t="s">
        <v>3009</v>
      </c>
      <c r="I739" t="s">
        <v>3010</v>
      </c>
      <c r="J739" s="4">
        <v>46090.357039490744</v>
      </c>
    </row>
    <row r="740" spans="1:10" x14ac:dyDescent="0.55000000000000004">
      <c r="A740" t="s">
        <v>3011</v>
      </c>
      <c r="B740">
        <v>100042</v>
      </c>
      <c r="C740" t="s">
        <v>533</v>
      </c>
      <c r="D740" s="3">
        <v>46119</v>
      </c>
      <c r="E740" t="s">
        <v>356</v>
      </c>
      <c r="F740" t="s">
        <v>3012</v>
      </c>
      <c r="G740" t="s">
        <v>15</v>
      </c>
      <c r="H740" t="s">
        <v>3013</v>
      </c>
      <c r="I740" t="s">
        <v>3014</v>
      </c>
      <c r="J740" s="4">
        <v>46069.40009505787</v>
      </c>
    </row>
    <row r="741" spans="1:10" x14ac:dyDescent="0.55000000000000004">
      <c r="A741" t="s">
        <v>3015</v>
      </c>
      <c r="B741">
        <v>100579</v>
      </c>
      <c r="C741" t="s">
        <v>19</v>
      </c>
      <c r="D741" s="3">
        <v>45752</v>
      </c>
      <c r="E741" t="s">
        <v>155</v>
      </c>
      <c r="F741" t="s">
        <v>3016</v>
      </c>
      <c r="G741" t="s">
        <v>22</v>
      </c>
      <c r="H741" t="s">
        <v>3017</v>
      </c>
      <c r="I741" t="s">
        <v>3018</v>
      </c>
      <c r="J741" s="4">
        <v>46087.723706168981</v>
      </c>
    </row>
    <row r="742" spans="1:10" x14ac:dyDescent="0.55000000000000004">
      <c r="A742" t="s">
        <v>3019</v>
      </c>
      <c r="B742">
        <v>100123</v>
      </c>
      <c r="C742" t="s">
        <v>19</v>
      </c>
      <c r="D742" s="3">
        <v>45773</v>
      </c>
      <c r="E742" t="s">
        <v>155</v>
      </c>
      <c r="F742" t="s">
        <v>3020</v>
      </c>
      <c r="G742" t="s">
        <v>15</v>
      </c>
      <c r="H742" t="s">
        <v>3021</v>
      </c>
      <c r="I742" t="s">
        <v>3022</v>
      </c>
      <c r="J742" s="4">
        <v>46091.81953951389</v>
      </c>
    </row>
    <row r="743" spans="1:10" x14ac:dyDescent="0.55000000000000004">
      <c r="A743" t="s">
        <v>3023</v>
      </c>
      <c r="B743">
        <v>101167</v>
      </c>
      <c r="C743" t="s">
        <v>19</v>
      </c>
      <c r="D743" s="3">
        <v>45877</v>
      </c>
      <c r="E743" t="s">
        <v>757</v>
      </c>
      <c r="F743" t="s">
        <v>3024</v>
      </c>
      <c r="G743" t="s">
        <v>15</v>
      </c>
      <c r="H743" t="s">
        <v>3025</v>
      </c>
      <c r="I743" t="s">
        <v>3026</v>
      </c>
      <c r="J743" s="4">
        <v>46084.542456180556</v>
      </c>
    </row>
    <row r="744" spans="1:10" x14ac:dyDescent="0.55000000000000004">
      <c r="A744" t="s">
        <v>3027</v>
      </c>
      <c r="B744">
        <v>100700</v>
      </c>
      <c r="C744" t="s">
        <v>248</v>
      </c>
      <c r="D744" s="3">
        <v>45999</v>
      </c>
      <c r="E744" t="s">
        <v>418</v>
      </c>
      <c r="F744" t="s">
        <v>3028</v>
      </c>
      <c r="G744" t="s">
        <v>15</v>
      </c>
      <c r="H744" t="s">
        <v>3029</v>
      </c>
      <c r="I744" t="s">
        <v>3030</v>
      </c>
      <c r="J744" s="4">
        <v>46057.762595069442</v>
      </c>
    </row>
    <row r="745" spans="1:10" x14ac:dyDescent="0.55000000000000004">
      <c r="A745" t="s">
        <v>3031</v>
      </c>
      <c r="B745">
        <v>101020</v>
      </c>
      <c r="C745" t="s">
        <v>37</v>
      </c>
      <c r="D745" s="3">
        <v>46037</v>
      </c>
      <c r="E745" t="s">
        <v>317</v>
      </c>
      <c r="F745" t="s">
        <v>3032</v>
      </c>
      <c r="G745" t="s">
        <v>22</v>
      </c>
      <c r="H745" t="s">
        <v>3033</v>
      </c>
      <c r="I745" t="s">
        <v>3034</v>
      </c>
      <c r="J745" s="4">
        <v>46058.620928414355</v>
      </c>
    </row>
    <row r="746" spans="1:10" x14ac:dyDescent="0.55000000000000004">
      <c r="A746" t="s">
        <v>3035</v>
      </c>
      <c r="B746">
        <v>100959</v>
      </c>
      <c r="C746" t="s">
        <v>68</v>
      </c>
      <c r="D746" s="3">
        <v>45910</v>
      </c>
      <c r="E746" t="s">
        <v>170</v>
      </c>
      <c r="F746" t="s">
        <v>3036</v>
      </c>
      <c r="G746" t="s">
        <v>15</v>
      </c>
      <c r="H746" t="s">
        <v>3037</v>
      </c>
      <c r="I746" t="s">
        <v>3038</v>
      </c>
      <c r="J746" s="4">
        <v>46085.579261747684</v>
      </c>
    </row>
    <row r="747" spans="1:10" x14ac:dyDescent="0.55000000000000004">
      <c r="A747" t="s">
        <v>3039</v>
      </c>
      <c r="B747">
        <v>101124</v>
      </c>
      <c r="C747" t="s">
        <v>19</v>
      </c>
      <c r="D747" s="3">
        <v>45780</v>
      </c>
      <c r="E747" t="s">
        <v>160</v>
      </c>
      <c r="F747" t="s">
        <v>3040</v>
      </c>
      <c r="G747" t="s">
        <v>22</v>
      </c>
      <c r="H747" t="s">
        <v>3041</v>
      </c>
      <c r="I747" t="s">
        <v>3042</v>
      </c>
      <c r="J747" s="4">
        <v>46056.808428425924</v>
      </c>
    </row>
    <row r="748" spans="1:10" x14ac:dyDescent="0.55000000000000004">
      <c r="A748" t="s">
        <v>3043</v>
      </c>
      <c r="B748">
        <v>100248</v>
      </c>
      <c r="C748" t="s">
        <v>248</v>
      </c>
      <c r="D748" s="3">
        <v>45873</v>
      </c>
      <c r="E748" t="s">
        <v>115</v>
      </c>
      <c r="F748" t="s">
        <v>3044</v>
      </c>
      <c r="G748" t="s">
        <v>15</v>
      </c>
      <c r="H748" t="s">
        <v>3045</v>
      </c>
      <c r="I748" t="s">
        <v>3046</v>
      </c>
      <c r="J748" s="4">
        <v>46087.771622870372</v>
      </c>
    </row>
    <row r="749" spans="1:10" x14ac:dyDescent="0.55000000000000004">
      <c r="A749" t="s">
        <v>3047</v>
      </c>
      <c r="B749">
        <v>101231</v>
      </c>
      <c r="C749" t="s">
        <v>19</v>
      </c>
      <c r="D749" s="3">
        <v>45986</v>
      </c>
      <c r="E749" t="s">
        <v>115</v>
      </c>
      <c r="F749" t="s">
        <v>3048</v>
      </c>
      <c r="G749" t="s">
        <v>15</v>
      </c>
      <c r="H749" t="s">
        <v>3049</v>
      </c>
      <c r="I749" t="s">
        <v>3050</v>
      </c>
      <c r="J749" s="4">
        <v>46093.82926175926</v>
      </c>
    </row>
    <row r="750" spans="1:10" x14ac:dyDescent="0.55000000000000004">
      <c r="A750" t="s">
        <v>3051</v>
      </c>
      <c r="B750">
        <v>101051</v>
      </c>
      <c r="C750" t="s">
        <v>68</v>
      </c>
      <c r="D750" s="3">
        <v>45877</v>
      </c>
      <c r="E750" t="s">
        <v>69</v>
      </c>
      <c r="F750" t="s">
        <v>3052</v>
      </c>
      <c r="G750" t="s">
        <v>22</v>
      </c>
      <c r="H750" t="s">
        <v>3053</v>
      </c>
      <c r="I750" t="s">
        <v>3054</v>
      </c>
      <c r="J750" s="4">
        <v>46075.868845104167</v>
      </c>
    </row>
    <row r="751" spans="1:10" x14ac:dyDescent="0.55000000000000004">
      <c r="A751" t="s">
        <v>3055</v>
      </c>
      <c r="B751">
        <v>101219</v>
      </c>
      <c r="C751" t="s">
        <v>179</v>
      </c>
      <c r="D751" s="3">
        <v>45754</v>
      </c>
      <c r="E751" t="s">
        <v>317</v>
      </c>
      <c r="F751" t="s">
        <v>3056</v>
      </c>
      <c r="G751" t="s">
        <v>15</v>
      </c>
      <c r="H751" t="s">
        <v>3057</v>
      </c>
      <c r="I751" t="s">
        <v>3058</v>
      </c>
      <c r="J751" s="4">
        <v>46063.4959284375</v>
      </c>
    </row>
    <row r="752" spans="1:10" x14ac:dyDescent="0.55000000000000004">
      <c r="A752" t="s">
        <v>3059</v>
      </c>
      <c r="B752">
        <v>100077</v>
      </c>
      <c r="C752" t="s">
        <v>533</v>
      </c>
      <c r="D752" s="3">
        <v>46134</v>
      </c>
      <c r="E752" t="s">
        <v>69</v>
      </c>
      <c r="F752" t="s">
        <v>3060</v>
      </c>
      <c r="G752" t="s">
        <v>15</v>
      </c>
      <c r="H752" t="s">
        <v>3061</v>
      </c>
      <c r="I752" t="s">
        <v>3062</v>
      </c>
      <c r="J752" s="4">
        <v>46093.411900671294</v>
      </c>
    </row>
    <row r="753" spans="1:11" x14ac:dyDescent="0.55000000000000004">
      <c r="A753" t="s">
        <v>3063</v>
      </c>
      <c r="B753">
        <v>101376</v>
      </c>
      <c r="C753" t="s">
        <v>179</v>
      </c>
      <c r="D753" s="3">
        <v>46035</v>
      </c>
      <c r="E753" t="s">
        <v>208</v>
      </c>
      <c r="F753" t="s">
        <v>3064</v>
      </c>
      <c r="G753" t="s">
        <v>22</v>
      </c>
      <c r="H753" t="s">
        <v>3065</v>
      </c>
      <c r="I753" t="s">
        <v>3066</v>
      </c>
      <c r="J753" s="4">
        <v>46083.589678449076</v>
      </c>
    </row>
    <row r="754" spans="1:11" x14ac:dyDescent="0.55000000000000004">
      <c r="A754" t="s">
        <v>3067</v>
      </c>
      <c r="B754">
        <v>101351</v>
      </c>
      <c r="C754" t="s">
        <v>68</v>
      </c>
      <c r="D754" s="3">
        <v>45848</v>
      </c>
      <c r="E754" t="s">
        <v>115</v>
      </c>
      <c r="F754" t="s">
        <v>2563</v>
      </c>
      <c r="G754" t="s">
        <v>22</v>
      </c>
      <c r="H754" t="s">
        <v>3068</v>
      </c>
      <c r="I754" t="s">
        <v>3069</v>
      </c>
      <c r="J754" s="4">
        <v>46085.211900682873</v>
      </c>
    </row>
    <row r="755" spans="1:11" x14ac:dyDescent="0.55000000000000004">
      <c r="A755" t="s">
        <v>3070</v>
      </c>
      <c r="B755">
        <v>100406</v>
      </c>
      <c r="C755" t="s">
        <v>248</v>
      </c>
      <c r="D755" s="3">
        <v>45769</v>
      </c>
      <c r="E755" t="s">
        <v>89</v>
      </c>
      <c r="F755" t="s">
        <v>3071</v>
      </c>
      <c r="G755" t="s">
        <v>15</v>
      </c>
      <c r="H755" t="s">
        <v>3072</v>
      </c>
      <c r="I755" t="s">
        <v>3073</v>
      </c>
      <c r="J755" s="4">
        <v>46070.540372905096</v>
      </c>
    </row>
    <row r="756" spans="1:11" x14ac:dyDescent="0.55000000000000004">
      <c r="A756" t="s">
        <v>3074</v>
      </c>
      <c r="B756">
        <v>100384</v>
      </c>
      <c r="C756" t="s">
        <v>248</v>
      </c>
      <c r="D756" s="3">
        <v>46044</v>
      </c>
      <c r="E756" t="s">
        <v>418</v>
      </c>
      <c r="F756" t="s">
        <v>3075</v>
      </c>
      <c r="G756" t="s">
        <v>22</v>
      </c>
      <c r="H756" t="s">
        <v>3076</v>
      </c>
      <c r="I756" t="s">
        <v>3077</v>
      </c>
      <c r="J756" s="4">
        <v>46089.095234016204</v>
      </c>
    </row>
    <row r="757" spans="1:11" x14ac:dyDescent="0.55000000000000004">
      <c r="A757" t="s">
        <v>3078</v>
      </c>
      <c r="B757">
        <v>100693</v>
      </c>
      <c r="C757" t="s">
        <v>248</v>
      </c>
      <c r="D757" s="3">
        <v>46055</v>
      </c>
      <c r="E757" t="s">
        <v>356</v>
      </c>
      <c r="F757" t="s">
        <v>3079</v>
      </c>
      <c r="G757" t="s">
        <v>22</v>
      </c>
      <c r="H757" t="s">
        <v>3080</v>
      </c>
      <c r="I757" t="s">
        <v>3081</v>
      </c>
      <c r="J757" s="4">
        <v>46089.70078958333</v>
      </c>
    </row>
    <row r="758" spans="1:11" x14ac:dyDescent="0.55000000000000004">
      <c r="A758" t="s">
        <v>3082</v>
      </c>
      <c r="B758">
        <v>100857</v>
      </c>
      <c r="C758" t="s">
        <v>19</v>
      </c>
      <c r="D758" s="3">
        <v>45762</v>
      </c>
      <c r="E758" t="s">
        <v>265</v>
      </c>
      <c r="F758" t="s">
        <v>3083</v>
      </c>
      <c r="G758" t="s">
        <v>22</v>
      </c>
      <c r="H758" t="s">
        <v>3084</v>
      </c>
      <c r="I758" t="s">
        <v>3085</v>
      </c>
      <c r="J758" s="4">
        <v>46068.151484027781</v>
      </c>
    </row>
    <row r="759" spans="1:11" x14ac:dyDescent="0.55000000000000004">
      <c r="A759" t="s">
        <v>3086</v>
      </c>
      <c r="B759">
        <v>100319</v>
      </c>
      <c r="D759" s="3">
        <v>46121</v>
      </c>
      <c r="E759" t="s">
        <v>356</v>
      </c>
      <c r="F759" t="s">
        <v>3087</v>
      </c>
      <c r="G759" t="s">
        <v>15</v>
      </c>
      <c r="H759" t="s">
        <v>3088</v>
      </c>
      <c r="I759" t="s">
        <v>3089</v>
      </c>
      <c r="J759" s="4">
        <v>46056.876484039349</v>
      </c>
      <c r="K759" t="s">
        <v>217</v>
      </c>
    </row>
    <row r="760" spans="1:11" x14ac:dyDescent="0.55000000000000004">
      <c r="A760" t="s">
        <v>3090</v>
      </c>
      <c r="B760">
        <v>100026</v>
      </c>
      <c r="C760" t="s">
        <v>533</v>
      </c>
      <c r="D760" s="3">
        <v>46027</v>
      </c>
      <c r="E760" t="s">
        <v>121</v>
      </c>
      <c r="F760" t="s">
        <v>3091</v>
      </c>
      <c r="G760" t="s">
        <v>22</v>
      </c>
      <c r="H760" t="s">
        <v>3092</v>
      </c>
      <c r="I760" t="s">
        <v>3093</v>
      </c>
      <c r="J760" s="4">
        <v>46083.904956261576</v>
      </c>
    </row>
    <row r="761" spans="1:11" x14ac:dyDescent="0.55000000000000004">
      <c r="A761" t="s">
        <v>3094</v>
      </c>
      <c r="B761">
        <v>101433</v>
      </c>
      <c r="C761" t="s">
        <v>19</v>
      </c>
      <c r="D761" s="3">
        <v>45968</v>
      </c>
      <c r="E761" t="s">
        <v>334</v>
      </c>
      <c r="F761" t="s">
        <v>3095</v>
      </c>
      <c r="G761" t="s">
        <v>15</v>
      </c>
      <c r="H761" t="s">
        <v>3096</v>
      </c>
      <c r="I761" t="s">
        <v>3097</v>
      </c>
      <c r="J761" s="4">
        <v>46082.280650706016</v>
      </c>
    </row>
    <row r="762" spans="1:11" x14ac:dyDescent="0.55000000000000004">
      <c r="A762" t="s">
        <v>3098</v>
      </c>
      <c r="B762">
        <v>101250</v>
      </c>
      <c r="C762" t="s">
        <v>179</v>
      </c>
      <c r="D762" s="3">
        <v>46028</v>
      </c>
      <c r="E762" t="s">
        <v>38</v>
      </c>
      <c r="F762" t="s">
        <v>3099</v>
      </c>
      <c r="G762" t="s">
        <v>15</v>
      </c>
      <c r="H762" t="s">
        <v>3100</v>
      </c>
      <c r="I762" t="s">
        <v>3101</v>
      </c>
      <c r="J762" s="4">
        <v>46061.738984050928</v>
      </c>
    </row>
    <row r="763" spans="1:11" x14ac:dyDescent="0.55000000000000004">
      <c r="A763" t="s">
        <v>3102</v>
      </c>
      <c r="B763">
        <v>101283</v>
      </c>
      <c r="C763" t="s">
        <v>179</v>
      </c>
      <c r="D763" s="3">
        <v>45754</v>
      </c>
      <c r="E763" t="s">
        <v>69</v>
      </c>
      <c r="F763" t="s">
        <v>3103</v>
      </c>
      <c r="G763" t="s">
        <v>15</v>
      </c>
      <c r="H763" t="s">
        <v>3104</v>
      </c>
      <c r="I763" t="s">
        <v>3105</v>
      </c>
      <c r="J763" s="4">
        <v>46069.991067384261</v>
      </c>
    </row>
    <row r="764" spans="1:11" x14ac:dyDescent="0.55000000000000004">
      <c r="A764" t="s">
        <v>2113</v>
      </c>
      <c r="B764">
        <v>101179</v>
      </c>
      <c r="D764" s="3">
        <v>45977</v>
      </c>
      <c r="E764" t="s">
        <v>270</v>
      </c>
      <c r="F764" t="s">
        <v>3106</v>
      </c>
      <c r="G764" t="s">
        <v>15</v>
      </c>
      <c r="H764" t="s">
        <v>3107</v>
      </c>
      <c r="I764" t="s">
        <v>3108</v>
      </c>
      <c r="J764" s="4">
        <v>46091.952178506945</v>
      </c>
      <c r="K764" t="s">
        <v>217</v>
      </c>
    </row>
    <row r="765" spans="1:11" x14ac:dyDescent="0.55000000000000004">
      <c r="A765" t="s">
        <v>3109</v>
      </c>
      <c r="B765">
        <v>100774</v>
      </c>
      <c r="C765" t="s">
        <v>37</v>
      </c>
      <c r="D765" s="3">
        <v>46086</v>
      </c>
      <c r="E765" t="s">
        <v>43</v>
      </c>
      <c r="F765" t="s">
        <v>3110</v>
      </c>
      <c r="G765" t="s">
        <v>22</v>
      </c>
      <c r="H765" t="s">
        <v>3111</v>
      </c>
      <c r="I765" t="s">
        <v>3112</v>
      </c>
      <c r="J765" s="4">
        <v>46079.406345173615</v>
      </c>
    </row>
    <row r="766" spans="1:11" x14ac:dyDescent="0.55000000000000004">
      <c r="A766" t="s">
        <v>3113</v>
      </c>
      <c r="B766">
        <v>100960</v>
      </c>
      <c r="C766" t="s">
        <v>37</v>
      </c>
      <c r="D766" s="3">
        <v>45740</v>
      </c>
      <c r="E766" t="s">
        <v>49</v>
      </c>
      <c r="F766" t="s">
        <v>3114</v>
      </c>
      <c r="G766" t="s">
        <v>15</v>
      </c>
      <c r="H766" t="s">
        <v>3115</v>
      </c>
      <c r="I766" t="s">
        <v>3116</v>
      </c>
      <c r="J766" s="4">
        <v>46052.093150729168</v>
      </c>
    </row>
    <row r="767" spans="1:11" x14ac:dyDescent="0.55000000000000004">
      <c r="A767" t="s">
        <v>3117</v>
      </c>
      <c r="B767">
        <v>101009</v>
      </c>
      <c r="C767" t="s">
        <v>19</v>
      </c>
      <c r="D767" s="3">
        <v>46114</v>
      </c>
      <c r="E767" t="s">
        <v>270</v>
      </c>
      <c r="F767" t="s">
        <v>3118</v>
      </c>
      <c r="G767" t="s">
        <v>15</v>
      </c>
      <c r="H767" t="s">
        <v>3119</v>
      </c>
      <c r="I767" t="s">
        <v>3120</v>
      </c>
      <c r="J767" s="4">
        <v>46052.169539629627</v>
      </c>
    </row>
    <row r="768" spans="1:11" x14ac:dyDescent="0.55000000000000004">
      <c r="A768" t="s">
        <v>3121</v>
      </c>
      <c r="B768">
        <v>100620</v>
      </c>
      <c r="C768" t="s">
        <v>533</v>
      </c>
      <c r="D768" s="3">
        <v>46136</v>
      </c>
      <c r="E768" t="s">
        <v>757</v>
      </c>
      <c r="F768" t="s">
        <v>3122</v>
      </c>
      <c r="G768" t="s">
        <v>15</v>
      </c>
      <c r="H768" t="s">
        <v>3123</v>
      </c>
      <c r="I768" t="s">
        <v>3124</v>
      </c>
      <c r="J768" s="4">
        <v>46057.645928518519</v>
      </c>
    </row>
    <row r="769" spans="1:11" x14ac:dyDescent="0.55000000000000004">
      <c r="A769" t="s">
        <v>3125</v>
      </c>
      <c r="B769">
        <v>100171</v>
      </c>
      <c r="C769" t="s">
        <v>179</v>
      </c>
      <c r="D769" s="3">
        <v>46085</v>
      </c>
      <c r="E769" t="s">
        <v>170</v>
      </c>
      <c r="F769" t="s">
        <v>3126</v>
      </c>
      <c r="G769" t="s">
        <v>22</v>
      </c>
      <c r="H769" t="s">
        <v>3127</v>
      </c>
      <c r="I769" t="s">
        <v>3128</v>
      </c>
      <c r="J769" s="4">
        <v>46070.362595196762</v>
      </c>
    </row>
    <row r="770" spans="1:11" x14ac:dyDescent="0.55000000000000004">
      <c r="A770" t="s">
        <v>3129</v>
      </c>
      <c r="B770">
        <v>100377</v>
      </c>
      <c r="C770" t="s">
        <v>19</v>
      </c>
      <c r="D770" s="3">
        <v>46009</v>
      </c>
      <c r="E770" t="s">
        <v>199</v>
      </c>
      <c r="F770" t="s">
        <v>3130</v>
      </c>
      <c r="G770" t="s">
        <v>15</v>
      </c>
      <c r="H770" t="s">
        <v>3131</v>
      </c>
      <c r="I770" t="s">
        <v>3132</v>
      </c>
      <c r="J770" s="4">
        <v>46064.786900752311</v>
      </c>
    </row>
    <row r="771" spans="1:11" x14ac:dyDescent="0.55000000000000004">
      <c r="A771" t="s">
        <v>3133</v>
      </c>
      <c r="B771">
        <v>101307</v>
      </c>
      <c r="C771" t="s">
        <v>68</v>
      </c>
      <c r="D771" s="3">
        <v>45758</v>
      </c>
      <c r="E771" t="s">
        <v>69</v>
      </c>
      <c r="F771" t="s">
        <v>3134</v>
      </c>
      <c r="G771" t="s">
        <v>22</v>
      </c>
      <c r="H771" t="s">
        <v>3135</v>
      </c>
      <c r="I771" t="s">
        <v>3136</v>
      </c>
      <c r="J771" s="4">
        <v>46067.866067430557</v>
      </c>
    </row>
    <row r="772" spans="1:11" x14ac:dyDescent="0.55000000000000004">
      <c r="A772" t="s">
        <v>3137</v>
      </c>
      <c r="B772">
        <v>101074</v>
      </c>
      <c r="C772" t="s">
        <v>37</v>
      </c>
      <c r="D772" s="3">
        <v>45919</v>
      </c>
      <c r="E772" t="s">
        <v>409</v>
      </c>
      <c r="F772" t="s">
        <v>3138</v>
      </c>
      <c r="G772" t="s">
        <v>15</v>
      </c>
      <c r="H772" t="s">
        <v>3139</v>
      </c>
      <c r="I772" t="s">
        <v>3140</v>
      </c>
      <c r="J772" s="4">
        <v>46062.454956319445</v>
      </c>
    </row>
    <row r="773" spans="1:11" x14ac:dyDescent="0.55000000000000004">
      <c r="A773" t="s">
        <v>3141</v>
      </c>
      <c r="B773">
        <v>101006</v>
      </c>
      <c r="C773" t="s">
        <v>533</v>
      </c>
      <c r="D773" s="3">
        <v>45903</v>
      </c>
      <c r="E773" t="s">
        <v>38</v>
      </c>
      <c r="F773" t="s">
        <v>3142</v>
      </c>
      <c r="G773" t="s">
        <v>15</v>
      </c>
      <c r="H773" t="s">
        <v>3143</v>
      </c>
      <c r="I773" t="s">
        <v>3144</v>
      </c>
      <c r="J773" s="4">
        <v>46056.066067430555</v>
      </c>
    </row>
    <row r="774" spans="1:11" x14ac:dyDescent="0.55000000000000004">
      <c r="A774" t="s">
        <v>3145</v>
      </c>
      <c r="B774">
        <v>101245</v>
      </c>
      <c r="C774" t="s">
        <v>19</v>
      </c>
      <c r="D774" s="3">
        <v>46091</v>
      </c>
      <c r="E774" t="s">
        <v>317</v>
      </c>
      <c r="F774" t="s">
        <v>3146</v>
      </c>
      <c r="G774" t="s">
        <v>15</v>
      </c>
      <c r="H774" t="s">
        <v>3147</v>
      </c>
      <c r="I774" t="s">
        <v>3148</v>
      </c>
      <c r="J774" s="4">
        <v>46077.244539664352</v>
      </c>
    </row>
    <row r="775" spans="1:11" x14ac:dyDescent="0.55000000000000004">
      <c r="A775" t="s">
        <v>3149</v>
      </c>
      <c r="B775">
        <v>101343</v>
      </c>
      <c r="C775" t="s">
        <v>248</v>
      </c>
      <c r="D775" s="3">
        <v>45989</v>
      </c>
      <c r="E775" t="s">
        <v>83</v>
      </c>
      <c r="F775" t="s">
        <v>3150</v>
      </c>
      <c r="G775" t="s">
        <v>15</v>
      </c>
      <c r="H775" t="s">
        <v>3151</v>
      </c>
      <c r="I775" t="s">
        <v>3152</v>
      </c>
      <c r="J775" s="4">
        <v>46074.254956331017</v>
      </c>
    </row>
    <row r="776" spans="1:11" x14ac:dyDescent="0.55000000000000004">
      <c r="A776" t="s">
        <v>3153</v>
      </c>
      <c r="B776">
        <v>101198</v>
      </c>
      <c r="C776" t="s">
        <v>179</v>
      </c>
      <c r="D776" s="3">
        <v>45980</v>
      </c>
      <c r="E776" t="s">
        <v>270</v>
      </c>
      <c r="F776" t="s">
        <v>3154</v>
      </c>
      <c r="G776" t="s">
        <v>22</v>
      </c>
      <c r="H776" t="s">
        <v>3155</v>
      </c>
      <c r="I776" t="s">
        <v>3156</v>
      </c>
      <c r="J776" s="4">
        <v>46068.863289675923</v>
      </c>
    </row>
    <row r="777" spans="1:11" x14ac:dyDescent="0.55000000000000004">
      <c r="A777" t="s">
        <v>3157</v>
      </c>
      <c r="C777" t="s">
        <v>68</v>
      </c>
      <c r="D777" s="3">
        <v>46141</v>
      </c>
      <c r="E777" t="s">
        <v>108</v>
      </c>
      <c r="F777" t="s">
        <v>3158</v>
      </c>
      <c r="G777" t="s">
        <v>22</v>
      </c>
      <c r="H777" t="s">
        <v>3159</v>
      </c>
      <c r="I777" t="s">
        <v>3160</v>
      </c>
      <c r="J777" s="4">
        <v>46092.632039675926</v>
      </c>
      <c r="K777" t="s">
        <v>112</v>
      </c>
    </row>
    <row r="778" spans="1:11" x14ac:dyDescent="0.55000000000000004">
      <c r="A778" t="s">
        <v>3161</v>
      </c>
      <c r="B778">
        <v>101126</v>
      </c>
      <c r="C778" t="s">
        <v>179</v>
      </c>
      <c r="D778" s="3">
        <v>45823</v>
      </c>
      <c r="E778" t="s">
        <v>141</v>
      </c>
      <c r="F778" t="s">
        <v>3162</v>
      </c>
      <c r="G778" t="s">
        <v>15</v>
      </c>
      <c r="H778" t="s">
        <v>3163</v>
      </c>
      <c r="I778" t="s">
        <v>3164</v>
      </c>
      <c r="J778" s="4">
        <v>46080.586900798611</v>
      </c>
    </row>
    <row r="779" spans="1:11" x14ac:dyDescent="0.55000000000000004">
      <c r="A779" t="s">
        <v>3165</v>
      </c>
      <c r="C779" t="s">
        <v>533</v>
      </c>
      <c r="D779" s="3">
        <v>45986</v>
      </c>
      <c r="E779" t="s">
        <v>115</v>
      </c>
      <c r="F779" t="s">
        <v>3166</v>
      </c>
      <c r="G779" t="s">
        <v>15</v>
      </c>
      <c r="H779" t="s">
        <v>3167</v>
      </c>
      <c r="I779" t="s">
        <v>3168</v>
      </c>
      <c r="J779" s="4">
        <v>46079.153567465277</v>
      </c>
      <c r="K779" t="s">
        <v>112</v>
      </c>
    </row>
    <row r="780" spans="1:11" x14ac:dyDescent="0.55000000000000004">
      <c r="A780" t="s">
        <v>3169</v>
      </c>
      <c r="B780">
        <v>100894</v>
      </c>
      <c r="C780" t="s">
        <v>19</v>
      </c>
      <c r="D780" s="3">
        <v>45799</v>
      </c>
      <c r="E780" t="s">
        <v>58</v>
      </c>
      <c r="F780" t="s">
        <v>3170</v>
      </c>
      <c r="G780" t="s">
        <v>22</v>
      </c>
      <c r="H780" t="s">
        <v>3171</v>
      </c>
      <c r="I780" t="s">
        <v>3172</v>
      </c>
      <c r="J780" s="4">
        <v>46056.716067465277</v>
      </c>
    </row>
    <row r="781" spans="1:11" x14ac:dyDescent="0.55000000000000004">
      <c r="A781" t="s">
        <v>3173</v>
      </c>
      <c r="B781">
        <v>101377</v>
      </c>
      <c r="C781" t="s">
        <v>68</v>
      </c>
      <c r="D781" s="3">
        <v>45828</v>
      </c>
      <c r="E781" t="s">
        <v>155</v>
      </c>
      <c r="F781" t="s">
        <v>3174</v>
      </c>
      <c r="G781" t="s">
        <v>15</v>
      </c>
      <c r="H781" t="s">
        <v>3175</v>
      </c>
      <c r="I781" t="s">
        <v>3176</v>
      </c>
      <c r="J781" s="4">
        <v>46063.829261921295</v>
      </c>
    </row>
    <row r="782" spans="1:11" x14ac:dyDescent="0.55000000000000004">
      <c r="A782" t="s">
        <v>3177</v>
      </c>
      <c r="B782">
        <v>100636</v>
      </c>
      <c r="C782" t="s">
        <v>68</v>
      </c>
      <c r="D782" s="3">
        <v>45942</v>
      </c>
      <c r="E782" t="s">
        <v>300</v>
      </c>
      <c r="F782" t="s">
        <v>3178</v>
      </c>
      <c r="G782" t="s">
        <v>22</v>
      </c>
      <c r="H782" t="s">
        <v>3179</v>
      </c>
      <c r="I782" t="s">
        <v>3180</v>
      </c>
      <c r="J782" s="4">
        <v>46068.313984143519</v>
      </c>
    </row>
    <row r="783" spans="1:11" x14ac:dyDescent="0.55000000000000004">
      <c r="A783" t="s">
        <v>3181</v>
      </c>
      <c r="B783">
        <v>101472</v>
      </c>
      <c r="C783" t="s">
        <v>19</v>
      </c>
      <c r="D783" s="3">
        <v>45799</v>
      </c>
      <c r="E783" t="s">
        <v>356</v>
      </c>
      <c r="F783" t="s">
        <v>3182</v>
      </c>
      <c r="G783" t="s">
        <v>15</v>
      </c>
      <c r="H783" t="s">
        <v>3183</v>
      </c>
      <c r="I783" t="s">
        <v>3184</v>
      </c>
      <c r="J783" s="4">
        <v>46067.217456377315</v>
      </c>
    </row>
    <row r="784" spans="1:11" x14ac:dyDescent="0.55000000000000004">
      <c r="A784" t="s">
        <v>3185</v>
      </c>
      <c r="B784">
        <v>101160</v>
      </c>
      <c r="C784" t="s">
        <v>68</v>
      </c>
      <c r="D784" s="3">
        <v>46126</v>
      </c>
      <c r="E784" t="s">
        <v>115</v>
      </c>
      <c r="F784" t="s">
        <v>3186</v>
      </c>
      <c r="G784" t="s">
        <v>22</v>
      </c>
      <c r="H784" t="s">
        <v>3187</v>
      </c>
      <c r="I784" t="s">
        <v>3188</v>
      </c>
      <c r="J784" s="4">
        <v>46079.098011932867</v>
      </c>
    </row>
    <row r="785" spans="1:10" x14ac:dyDescent="0.55000000000000004">
      <c r="A785" t="s">
        <v>3189</v>
      </c>
      <c r="B785">
        <v>100903</v>
      </c>
      <c r="C785" t="s">
        <v>533</v>
      </c>
      <c r="D785" s="3">
        <v>46048</v>
      </c>
      <c r="E785" t="s">
        <v>317</v>
      </c>
      <c r="F785" t="s">
        <v>3190</v>
      </c>
      <c r="G785" t="s">
        <v>22</v>
      </c>
      <c r="H785" t="s">
        <v>3191</v>
      </c>
      <c r="I785" t="s">
        <v>3192</v>
      </c>
      <c r="J785" s="4">
        <v>46086.496623043982</v>
      </c>
    </row>
    <row r="786" spans="1:10" x14ac:dyDescent="0.55000000000000004">
      <c r="A786" t="s">
        <v>3193</v>
      </c>
      <c r="B786">
        <v>100031</v>
      </c>
      <c r="C786" t="s">
        <v>533</v>
      </c>
      <c r="D786" s="3">
        <v>45814</v>
      </c>
      <c r="E786" t="s">
        <v>155</v>
      </c>
      <c r="F786" t="s">
        <v>3194</v>
      </c>
      <c r="G786" t="s">
        <v>15</v>
      </c>
      <c r="H786" t="s">
        <v>3195</v>
      </c>
      <c r="I786" t="s">
        <v>3196</v>
      </c>
      <c r="J786" s="4">
        <v>46076.929261944446</v>
      </c>
    </row>
    <row r="787" spans="1:10" x14ac:dyDescent="0.55000000000000004">
      <c r="A787" t="s">
        <v>3197</v>
      </c>
      <c r="B787">
        <v>100772</v>
      </c>
      <c r="C787" t="s">
        <v>533</v>
      </c>
      <c r="D787" s="3">
        <v>45957</v>
      </c>
      <c r="E787" t="s">
        <v>356</v>
      </c>
      <c r="F787" t="s">
        <v>3198</v>
      </c>
      <c r="G787" t="s">
        <v>15</v>
      </c>
      <c r="H787" t="s">
        <v>3199</v>
      </c>
      <c r="I787" t="s">
        <v>3200</v>
      </c>
      <c r="J787" s="4">
        <v>46062.696623055555</v>
      </c>
    </row>
    <row r="788" spans="1:10" x14ac:dyDescent="0.55000000000000004">
      <c r="A788" t="s">
        <v>3201</v>
      </c>
      <c r="B788">
        <v>100041</v>
      </c>
      <c r="C788" t="s">
        <v>68</v>
      </c>
      <c r="D788" s="3">
        <v>45908</v>
      </c>
      <c r="E788" t="s">
        <v>20</v>
      </c>
      <c r="F788" t="s">
        <v>3202</v>
      </c>
      <c r="G788" t="s">
        <v>22</v>
      </c>
      <c r="H788" t="s">
        <v>3203</v>
      </c>
      <c r="I788" t="s">
        <v>3204</v>
      </c>
      <c r="J788" s="4">
        <v>46063.51537306713</v>
      </c>
    </row>
    <row r="789" spans="1:10" x14ac:dyDescent="0.55000000000000004">
      <c r="A789" t="s">
        <v>3205</v>
      </c>
      <c r="B789">
        <v>100667</v>
      </c>
      <c r="C789" t="s">
        <v>19</v>
      </c>
      <c r="D789" s="3">
        <v>45886</v>
      </c>
      <c r="E789" t="s">
        <v>155</v>
      </c>
      <c r="F789" t="s">
        <v>3206</v>
      </c>
      <c r="G789" t="s">
        <v>22</v>
      </c>
      <c r="H789" t="s">
        <v>3207</v>
      </c>
      <c r="I789" t="s">
        <v>3208</v>
      </c>
      <c r="J789" s="4">
        <v>46066.539678622685</v>
      </c>
    </row>
    <row r="790" spans="1:10" x14ac:dyDescent="0.55000000000000004">
      <c r="A790" t="s">
        <v>3209</v>
      </c>
      <c r="B790">
        <v>100070</v>
      </c>
      <c r="C790" t="s">
        <v>179</v>
      </c>
      <c r="D790" s="3">
        <v>45895</v>
      </c>
      <c r="E790" t="s">
        <v>155</v>
      </c>
      <c r="F790" t="s">
        <v>3210</v>
      </c>
      <c r="G790" t="s">
        <v>22</v>
      </c>
      <c r="H790" t="s">
        <v>3211</v>
      </c>
      <c r="I790" t="s">
        <v>3212</v>
      </c>
      <c r="J790" s="4">
        <v>46056.325789733797</v>
      </c>
    </row>
    <row r="791" spans="1:10" x14ac:dyDescent="0.55000000000000004">
      <c r="A791" t="s">
        <v>3213</v>
      </c>
      <c r="B791">
        <v>100665</v>
      </c>
      <c r="C791" t="s">
        <v>19</v>
      </c>
      <c r="D791" s="3">
        <v>45880</v>
      </c>
      <c r="E791" t="s">
        <v>680</v>
      </c>
      <c r="F791" t="s">
        <v>3214</v>
      </c>
      <c r="G791" t="s">
        <v>22</v>
      </c>
      <c r="H791" t="s">
        <v>3215</v>
      </c>
      <c r="I791" t="s">
        <v>3216</v>
      </c>
      <c r="J791" s="4">
        <v>46053.586206412037</v>
      </c>
    </row>
    <row r="792" spans="1:10" x14ac:dyDescent="0.55000000000000004">
      <c r="A792" t="s">
        <v>3217</v>
      </c>
      <c r="B792">
        <v>101111</v>
      </c>
      <c r="C792" t="s">
        <v>19</v>
      </c>
      <c r="D792" s="3">
        <v>45752</v>
      </c>
      <c r="E792" t="s">
        <v>317</v>
      </c>
      <c r="F792" t="s">
        <v>3218</v>
      </c>
      <c r="G792" t="s">
        <v>15</v>
      </c>
      <c r="H792" t="s">
        <v>3219</v>
      </c>
      <c r="I792" t="s">
        <v>3220</v>
      </c>
      <c r="J792" s="4">
        <v>46078.711206412037</v>
      </c>
    </row>
    <row r="793" spans="1:10" x14ac:dyDescent="0.55000000000000004">
      <c r="A793" t="s">
        <v>3221</v>
      </c>
      <c r="B793">
        <v>100358</v>
      </c>
      <c r="C793" t="s">
        <v>179</v>
      </c>
      <c r="D793" s="3">
        <v>46048</v>
      </c>
      <c r="E793" t="s">
        <v>69</v>
      </c>
      <c r="F793" t="s">
        <v>3222</v>
      </c>
      <c r="G793" t="s">
        <v>22</v>
      </c>
      <c r="H793" t="s">
        <v>3223</v>
      </c>
      <c r="I793" t="s">
        <v>3224</v>
      </c>
      <c r="J793" s="4">
        <v>46092.282039756945</v>
      </c>
    </row>
    <row r="794" spans="1:10" x14ac:dyDescent="0.55000000000000004">
      <c r="A794" t="s">
        <v>3225</v>
      </c>
      <c r="B794">
        <v>100053</v>
      </c>
      <c r="C794" t="s">
        <v>37</v>
      </c>
      <c r="D794" s="3">
        <v>46043</v>
      </c>
      <c r="E794" t="s">
        <v>587</v>
      </c>
      <c r="F794" t="s">
        <v>3226</v>
      </c>
      <c r="G794" t="s">
        <v>22</v>
      </c>
      <c r="H794" t="s">
        <v>3227</v>
      </c>
      <c r="I794" t="s">
        <v>3228</v>
      </c>
      <c r="J794" s="4">
        <v>46085.713984201386</v>
      </c>
    </row>
    <row r="795" spans="1:10" x14ac:dyDescent="0.55000000000000004">
      <c r="A795" t="s">
        <v>3229</v>
      </c>
      <c r="B795">
        <v>101407</v>
      </c>
      <c r="C795" t="s">
        <v>37</v>
      </c>
      <c r="D795" s="3">
        <v>46007</v>
      </c>
      <c r="E795" t="s">
        <v>141</v>
      </c>
      <c r="F795" t="s">
        <v>3230</v>
      </c>
      <c r="G795" t="s">
        <v>22</v>
      </c>
      <c r="H795" t="s">
        <v>3231</v>
      </c>
      <c r="I795" t="s">
        <v>3232</v>
      </c>
      <c r="J795" s="4">
        <v>46085.048706423608</v>
      </c>
    </row>
    <row r="796" spans="1:10" x14ac:dyDescent="0.55000000000000004">
      <c r="A796" t="s">
        <v>3233</v>
      </c>
      <c r="B796">
        <v>100767</v>
      </c>
      <c r="C796" t="s">
        <v>68</v>
      </c>
      <c r="D796" s="3">
        <v>46040</v>
      </c>
      <c r="E796" t="s">
        <v>343</v>
      </c>
      <c r="F796" t="s">
        <v>3234</v>
      </c>
      <c r="G796" t="s">
        <v>22</v>
      </c>
      <c r="H796" t="s">
        <v>3235</v>
      </c>
      <c r="I796" t="s">
        <v>3236</v>
      </c>
      <c r="J796" s="4">
        <v>46088.138289768518</v>
      </c>
    </row>
    <row r="797" spans="1:10" x14ac:dyDescent="0.55000000000000004">
      <c r="A797" t="s">
        <v>3237</v>
      </c>
      <c r="B797">
        <v>101146</v>
      </c>
      <c r="C797" t="s">
        <v>68</v>
      </c>
      <c r="D797" s="3">
        <v>45929</v>
      </c>
      <c r="E797" t="s">
        <v>295</v>
      </c>
      <c r="F797" t="s">
        <v>3238</v>
      </c>
      <c r="G797" t="s">
        <v>22</v>
      </c>
      <c r="H797" t="s">
        <v>3239</v>
      </c>
      <c r="I797" t="s">
        <v>3240</v>
      </c>
      <c r="J797" s="4">
        <v>46075.308428657409</v>
      </c>
    </row>
    <row r="798" spans="1:10" x14ac:dyDescent="0.55000000000000004">
      <c r="A798" t="s">
        <v>3241</v>
      </c>
      <c r="B798">
        <v>101185</v>
      </c>
      <c r="C798" t="s">
        <v>179</v>
      </c>
      <c r="D798" s="3">
        <v>46019</v>
      </c>
      <c r="E798" t="s">
        <v>115</v>
      </c>
      <c r="F798" t="s">
        <v>3242</v>
      </c>
      <c r="G798" t="s">
        <v>22</v>
      </c>
      <c r="H798" t="s">
        <v>3243</v>
      </c>
      <c r="I798" t="s">
        <v>3244</v>
      </c>
      <c r="J798" s="4">
        <v>46071.116762002312</v>
      </c>
    </row>
    <row r="799" spans="1:10" x14ac:dyDescent="0.55000000000000004">
      <c r="A799" t="s">
        <v>3245</v>
      </c>
      <c r="B799">
        <v>100083</v>
      </c>
      <c r="C799" t="s">
        <v>68</v>
      </c>
      <c r="D799" s="3">
        <v>45815</v>
      </c>
      <c r="E799" t="s">
        <v>680</v>
      </c>
      <c r="F799" t="s">
        <v>3246</v>
      </c>
      <c r="G799" t="s">
        <v>15</v>
      </c>
      <c r="H799" t="s">
        <v>3247</v>
      </c>
      <c r="I799" t="s">
        <v>3248</v>
      </c>
      <c r="J799" s="4">
        <v>46088.450789780094</v>
      </c>
    </row>
    <row r="800" spans="1:10" x14ac:dyDescent="0.55000000000000004">
      <c r="A800" t="s">
        <v>3249</v>
      </c>
      <c r="B800">
        <v>100258</v>
      </c>
      <c r="C800" t="s">
        <v>68</v>
      </c>
      <c r="D800" s="3">
        <v>45975</v>
      </c>
      <c r="E800" t="s">
        <v>83</v>
      </c>
      <c r="F800" t="s">
        <v>3250</v>
      </c>
      <c r="G800" t="s">
        <v>15</v>
      </c>
      <c r="H800" t="s">
        <v>3251</v>
      </c>
      <c r="I800" t="s">
        <v>3252</v>
      </c>
      <c r="J800" s="4">
        <v>46097.163984236111</v>
      </c>
    </row>
    <row r="801" spans="1:11" x14ac:dyDescent="0.55000000000000004">
      <c r="A801" t="s">
        <v>3253</v>
      </c>
      <c r="B801">
        <v>101131</v>
      </c>
      <c r="C801" t="s">
        <v>248</v>
      </c>
      <c r="D801" s="3">
        <v>45944</v>
      </c>
      <c r="E801" t="s">
        <v>38</v>
      </c>
      <c r="F801" t="s">
        <v>3254</v>
      </c>
      <c r="G801" t="s">
        <v>22</v>
      </c>
      <c r="H801" t="s">
        <v>3255</v>
      </c>
      <c r="I801" t="s">
        <v>3256</v>
      </c>
      <c r="J801" s="4">
        <v>46051.938289791666</v>
      </c>
    </row>
    <row r="802" spans="1:11" x14ac:dyDescent="0.55000000000000004">
      <c r="A802" t="s">
        <v>3257</v>
      </c>
      <c r="B802">
        <v>100770</v>
      </c>
      <c r="C802" t="s">
        <v>533</v>
      </c>
      <c r="D802" s="3">
        <v>45834</v>
      </c>
      <c r="E802" t="s">
        <v>69</v>
      </c>
      <c r="F802" t="s">
        <v>3258</v>
      </c>
      <c r="G802" t="s">
        <v>22</v>
      </c>
      <c r="H802" t="s">
        <v>3259</v>
      </c>
      <c r="I802" t="s">
        <v>3260</v>
      </c>
      <c r="J802" s="4">
        <v>46062.048706458336</v>
      </c>
    </row>
    <row r="803" spans="1:11" x14ac:dyDescent="0.55000000000000004">
      <c r="A803" t="s">
        <v>3261</v>
      </c>
      <c r="B803">
        <v>100284</v>
      </c>
      <c r="C803" t="s">
        <v>37</v>
      </c>
      <c r="D803" s="3">
        <v>46153</v>
      </c>
      <c r="E803" t="s">
        <v>467</v>
      </c>
      <c r="F803" t="s">
        <v>3262</v>
      </c>
      <c r="G803" t="s">
        <v>22</v>
      </c>
      <c r="H803" t="s">
        <v>3263</v>
      </c>
      <c r="I803" t="s">
        <v>3264</v>
      </c>
      <c r="J803" s="4">
        <v>46062.08690091435</v>
      </c>
    </row>
    <row r="804" spans="1:11" x14ac:dyDescent="0.55000000000000004">
      <c r="A804" t="s">
        <v>3265</v>
      </c>
      <c r="B804">
        <v>100809</v>
      </c>
      <c r="C804" t="s">
        <v>248</v>
      </c>
      <c r="D804" s="3">
        <v>45745</v>
      </c>
      <c r="E804" t="s">
        <v>115</v>
      </c>
      <c r="F804" t="s">
        <v>3266</v>
      </c>
      <c r="G804" t="s">
        <v>22</v>
      </c>
      <c r="H804" t="s">
        <v>3267</v>
      </c>
      <c r="I804" t="s">
        <v>3268</v>
      </c>
      <c r="J804" s="4">
        <v>46077.83551203704</v>
      </c>
    </row>
    <row r="805" spans="1:11" x14ac:dyDescent="0.55000000000000004">
      <c r="A805" t="s">
        <v>3269</v>
      </c>
      <c r="B805">
        <v>100779</v>
      </c>
      <c r="C805" t="s">
        <v>19</v>
      </c>
      <c r="D805" s="3">
        <v>45795</v>
      </c>
      <c r="E805" t="s">
        <v>300</v>
      </c>
      <c r="F805" t="s">
        <v>3270</v>
      </c>
      <c r="G805" t="s">
        <v>15</v>
      </c>
      <c r="H805" t="s">
        <v>3271</v>
      </c>
      <c r="I805" t="s">
        <v>3272</v>
      </c>
      <c r="J805" s="4">
        <v>46065.768150925927</v>
      </c>
    </row>
    <row r="806" spans="1:11" x14ac:dyDescent="0.55000000000000004">
      <c r="A806" t="s">
        <v>3273</v>
      </c>
      <c r="B806">
        <v>100345</v>
      </c>
      <c r="C806" t="s">
        <v>248</v>
      </c>
      <c r="D806" s="3">
        <v>45746</v>
      </c>
      <c r="E806" t="s">
        <v>20</v>
      </c>
      <c r="F806" t="s">
        <v>3274</v>
      </c>
      <c r="G806" t="s">
        <v>22</v>
      </c>
      <c r="H806" t="s">
        <v>3275</v>
      </c>
      <c r="I806" t="s">
        <v>3276</v>
      </c>
      <c r="J806" s="4">
        <v>46092.894539814813</v>
      </c>
    </row>
    <row r="807" spans="1:11" x14ac:dyDescent="0.55000000000000004">
      <c r="A807" t="s">
        <v>3277</v>
      </c>
      <c r="B807">
        <v>101410</v>
      </c>
      <c r="C807" t="s">
        <v>68</v>
      </c>
      <c r="D807" s="3">
        <v>46029</v>
      </c>
      <c r="E807" t="s">
        <v>89</v>
      </c>
      <c r="F807" t="s">
        <v>3278</v>
      </c>
      <c r="G807" t="s">
        <v>22</v>
      </c>
      <c r="H807" t="s">
        <v>3279</v>
      </c>
      <c r="I807" t="s">
        <v>3280</v>
      </c>
      <c r="J807" s="4">
        <v>46056.770928715276</v>
      </c>
    </row>
    <row r="808" spans="1:11" x14ac:dyDescent="0.55000000000000004">
      <c r="A808" t="s">
        <v>3281</v>
      </c>
      <c r="B808">
        <v>100465</v>
      </c>
      <c r="D808" s="3">
        <v>46087</v>
      </c>
      <c r="E808" t="s">
        <v>20</v>
      </c>
      <c r="F808" t="s">
        <v>3282</v>
      </c>
      <c r="G808" t="s">
        <v>15</v>
      </c>
      <c r="H808" t="s">
        <v>3283</v>
      </c>
      <c r="I808" t="s">
        <v>3284</v>
      </c>
      <c r="J808" s="4">
        <v>46081.514678715277</v>
      </c>
      <c r="K808" t="s">
        <v>217</v>
      </c>
    </row>
    <row r="809" spans="1:11" x14ac:dyDescent="0.55000000000000004">
      <c r="A809" t="s">
        <v>3285</v>
      </c>
      <c r="B809">
        <v>100216</v>
      </c>
      <c r="C809" t="s">
        <v>19</v>
      </c>
      <c r="D809" s="3">
        <v>45761</v>
      </c>
      <c r="E809" t="s">
        <v>20</v>
      </c>
      <c r="F809" t="s">
        <v>3286</v>
      </c>
      <c r="G809" t="s">
        <v>22</v>
      </c>
      <c r="H809" t="s">
        <v>3287</v>
      </c>
      <c r="I809" t="s">
        <v>3288</v>
      </c>
      <c r="J809" s="4">
        <v>46053.553567615738</v>
      </c>
    </row>
    <row r="810" spans="1:11" x14ac:dyDescent="0.55000000000000004">
      <c r="A810" t="s">
        <v>3289</v>
      </c>
      <c r="B810">
        <v>100335</v>
      </c>
      <c r="C810" t="s">
        <v>68</v>
      </c>
      <c r="D810" s="3">
        <v>45815</v>
      </c>
      <c r="E810" t="s">
        <v>20</v>
      </c>
      <c r="F810" t="s">
        <v>3290</v>
      </c>
      <c r="G810" t="s">
        <v>22</v>
      </c>
      <c r="H810" t="s">
        <v>1680</v>
      </c>
      <c r="I810" t="s">
        <v>3291</v>
      </c>
      <c r="J810" s="4">
        <v>46070.841067615744</v>
      </c>
    </row>
    <row r="811" spans="1:11" x14ac:dyDescent="0.55000000000000004">
      <c r="A811" t="s">
        <v>3292</v>
      </c>
      <c r="B811">
        <v>101469</v>
      </c>
      <c r="C811" t="s">
        <v>68</v>
      </c>
      <c r="D811" s="3">
        <v>45756</v>
      </c>
      <c r="E811" t="s">
        <v>467</v>
      </c>
      <c r="F811" t="s">
        <v>3293</v>
      </c>
      <c r="G811" t="s">
        <v>15</v>
      </c>
      <c r="H811" t="s">
        <v>3294</v>
      </c>
      <c r="I811" t="s">
        <v>3295</v>
      </c>
      <c r="J811" s="4">
        <v>46065.470928738425</v>
      </c>
    </row>
    <row r="812" spans="1:11" x14ac:dyDescent="0.55000000000000004">
      <c r="A812" t="s">
        <v>3296</v>
      </c>
      <c r="B812">
        <v>100266</v>
      </c>
      <c r="C812" t="s">
        <v>533</v>
      </c>
      <c r="D812" s="3">
        <v>46123</v>
      </c>
      <c r="E812" t="s">
        <v>38</v>
      </c>
      <c r="F812" t="s">
        <v>3297</v>
      </c>
      <c r="G812" t="s">
        <v>15</v>
      </c>
      <c r="H812" t="s">
        <v>3298</v>
      </c>
      <c r="I812" t="s">
        <v>3299</v>
      </c>
      <c r="J812" s="4">
        <v>46063.287595405091</v>
      </c>
    </row>
    <row r="813" spans="1:11" x14ac:dyDescent="0.55000000000000004">
      <c r="A813" t="s">
        <v>3300</v>
      </c>
      <c r="B813">
        <v>101439</v>
      </c>
      <c r="C813" t="s">
        <v>68</v>
      </c>
      <c r="D813" s="3">
        <v>46155</v>
      </c>
      <c r="E813" t="s">
        <v>126</v>
      </c>
      <c r="F813" t="s">
        <v>3301</v>
      </c>
      <c r="G813" t="s">
        <v>15</v>
      </c>
      <c r="H813" t="s">
        <v>3302</v>
      </c>
      <c r="I813" t="s">
        <v>3303</v>
      </c>
      <c r="J813" s="4">
        <v>46062.921623182869</v>
      </c>
    </row>
    <row r="814" spans="1:11" x14ac:dyDescent="0.55000000000000004">
      <c r="A814" t="s">
        <v>3304</v>
      </c>
      <c r="B814">
        <v>101369</v>
      </c>
      <c r="C814" t="s">
        <v>68</v>
      </c>
      <c r="D814" s="3">
        <v>46153</v>
      </c>
      <c r="E814" t="s">
        <v>155</v>
      </c>
      <c r="F814" t="s">
        <v>3305</v>
      </c>
      <c r="G814" t="s">
        <v>15</v>
      </c>
      <c r="H814" t="s">
        <v>3306</v>
      </c>
      <c r="I814" t="s">
        <v>3307</v>
      </c>
      <c r="J814" s="4">
        <v>46064.345928750001</v>
      </c>
    </row>
    <row r="815" spans="1:11" x14ac:dyDescent="0.55000000000000004">
      <c r="A815" t="s">
        <v>3308</v>
      </c>
      <c r="B815">
        <v>100472</v>
      </c>
      <c r="C815" t="s">
        <v>68</v>
      </c>
      <c r="D815" s="3">
        <v>46130</v>
      </c>
      <c r="E815" t="s">
        <v>58</v>
      </c>
      <c r="F815" t="s">
        <v>3309</v>
      </c>
      <c r="G815" t="s">
        <v>15</v>
      </c>
      <c r="H815" t="s">
        <v>3310</v>
      </c>
      <c r="I815" t="s">
        <v>3311</v>
      </c>
      <c r="J815" s="4">
        <v>46091.436206527775</v>
      </c>
    </row>
    <row r="816" spans="1:11" x14ac:dyDescent="0.55000000000000004">
      <c r="A816" t="s">
        <v>3312</v>
      </c>
      <c r="B816">
        <v>101275</v>
      </c>
      <c r="C816" t="s">
        <v>533</v>
      </c>
      <c r="D816" s="3">
        <v>45989</v>
      </c>
      <c r="E816" t="s">
        <v>115</v>
      </c>
      <c r="F816" t="s">
        <v>3313</v>
      </c>
      <c r="G816" t="s">
        <v>15</v>
      </c>
      <c r="H816" t="s">
        <v>3314</v>
      </c>
      <c r="I816" t="s">
        <v>3315</v>
      </c>
      <c r="J816" s="4">
        <v>46071.091067650465</v>
      </c>
    </row>
    <row r="817" spans="1:10" x14ac:dyDescent="0.55000000000000004">
      <c r="A817" t="s">
        <v>3316</v>
      </c>
      <c r="B817">
        <v>101267</v>
      </c>
      <c r="C817" t="s">
        <v>37</v>
      </c>
      <c r="D817" s="3">
        <v>45791</v>
      </c>
      <c r="E817" t="s">
        <v>155</v>
      </c>
      <c r="F817" t="s">
        <v>3317</v>
      </c>
      <c r="G817" t="s">
        <v>22</v>
      </c>
      <c r="H817" t="s">
        <v>3318</v>
      </c>
      <c r="I817" t="s">
        <v>3319</v>
      </c>
      <c r="J817" s="4">
        <v>46075.302873206019</v>
      </c>
    </row>
    <row r="818" spans="1:10" x14ac:dyDescent="0.55000000000000004">
      <c r="A818" t="s">
        <v>3320</v>
      </c>
      <c r="B818">
        <v>100658</v>
      </c>
      <c r="C818" t="s">
        <v>68</v>
      </c>
      <c r="D818" s="3">
        <v>45803</v>
      </c>
      <c r="E818" t="s">
        <v>27</v>
      </c>
      <c r="F818" t="s">
        <v>3321</v>
      </c>
      <c r="G818" t="s">
        <v>22</v>
      </c>
      <c r="H818" t="s">
        <v>3322</v>
      </c>
      <c r="I818" t="s">
        <v>3323</v>
      </c>
      <c r="J818" s="4">
        <v>46086.31328988426</v>
      </c>
    </row>
    <row r="819" spans="1:10" x14ac:dyDescent="0.55000000000000004">
      <c r="A819" t="s">
        <v>3324</v>
      </c>
      <c r="B819">
        <v>101380</v>
      </c>
      <c r="C819" t="s">
        <v>37</v>
      </c>
      <c r="D819" s="3">
        <v>46113</v>
      </c>
      <c r="E819" t="s">
        <v>115</v>
      </c>
      <c r="F819" t="s">
        <v>3325</v>
      </c>
      <c r="G819" t="s">
        <v>15</v>
      </c>
      <c r="H819" t="s">
        <v>3326</v>
      </c>
      <c r="I819" t="s">
        <v>3327</v>
      </c>
      <c r="J819" s="4">
        <v>46053.543845439817</v>
      </c>
    </row>
    <row r="820" spans="1:10" x14ac:dyDescent="0.55000000000000004">
      <c r="A820" t="s">
        <v>3328</v>
      </c>
      <c r="B820">
        <v>101449</v>
      </c>
      <c r="C820" t="s">
        <v>248</v>
      </c>
      <c r="D820" s="3">
        <v>45889</v>
      </c>
      <c r="E820" t="s">
        <v>115</v>
      </c>
      <c r="F820" t="s">
        <v>3329</v>
      </c>
      <c r="G820" t="s">
        <v>15</v>
      </c>
      <c r="H820" t="s">
        <v>3330</v>
      </c>
      <c r="I820" t="s">
        <v>3331</v>
      </c>
      <c r="J820" s="4">
        <v>46092.141762118059</v>
      </c>
    </row>
    <row r="821" spans="1:10" x14ac:dyDescent="0.55000000000000004">
      <c r="A821" t="s">
        <v>3332</v>
      </c>
      <c r="B821">
        <v>101060</v>
      </c>
      <c r="C821" t="s">
        <v>533</v>
      </c>
      <c r="D821" s="3">
        <v>45771</v>
      </c>
      <c r="E821" t="s">
        <v>69</v>
      </c>
      <c r="F821" t="s">
        <v>3333</v>
      </c>
      <c r="G821" t="s">
        <v>22</v>
      </c>
      <c r="H821" t="s">
        <v>3334</v>
      </c>
      <c r="I821" t="s">
        <v>3335</v>
      </c>
      <c r="J821" s="4">
        <v>46095.466762118056</v>
      </c>
    </row>
    <row r="822" spans="1:10" x14ac:dyDescent="0.55000000000000004">
      <c r="A822" t="s">
        <v>3336</v>
      </c>
      <c r="B822">
        <v>101132</v>
      </c>
      <c r="C822" t="s">
        <v>533</v>
      </c>
      <c r="D822" s="3">
        <v>45748</v>
      </c>
      <c r="E822" t="s">
        <v>184</v>
      </c>
      <c r="F822" t="s">
        <v>3337</v>
      </c>
      <c r="G822" t="s">
        <v>22</v>
      </c>
      <c r="H822" t="s">
        <v>3338</v>
      </c>
      <c r="I822" t="s">
        <v>3339</v>
      </c>
      <c r="J822" s="4">
        <v>46090.386206574076</v>
      </c>
    </row>
    <row r="823" spans="1:10" x14ac:dyDescent="0.55000000000000004">
      <c r="A823" t="s">
        <v>3340</v>
      </c>
      <c r="B823">
        <v>100606</v>
      </c>
      <c r="C823" t="s">
        <v>37</v>
      </c>
      <c r="D823" s="3">
        <v>45765</v>
      </c>
      <c r="E823" t="s">
        <v>141</v>
      </c>
      <c r="F823" t="s">
        <v>3341</v>
      </c>
      <c r="G823" t="s">
        <v>15</v>
      </c>
      <c r="H823" t="s">
        <v>3342</v>
      </c>
      <c r="I823" t="s">
        <v>3343</v>
      </c>
      <c r="J823" s="4">
        <v>46089.890373240742</v>
      </c>
    </row>
    <row r="824" spans="1:10" x14ac:dyDescent="0.55000000000000004">
      <c r="A824" t="s">
        <v>3344</v>
      </c>
      <c r="B824">
        <v>101190</v>
      </c>
      <c r="C824" t="s">
        <v>248</v>
      </c>
      <c r="D824" s="3">
        <v>46032</v>
      </c>
      <c r="E824" t="s">
        <v>115</v>
      </c>
      <c r="F824" t="s">
        <v>3345</v>
      </c>
      <c r="G824" t="s">
        <v>22</v>
      </c>
      <c r="H824" t="s">
        <v>3346</v>
      </c>
      <c r="I824" t="s">
        <v>3347</v>
      </c>
      <c r="J824" s="4">
        <v>46096.617456585649</v>
      </c>
    </row>
    <row r="825" spans="1:10" x14ac:dyDescent="0.55000000000000004">
      <c r="A825" t="s">
        <v>3348</v>
      </c>
      <c r="B825">
        <v>100027</v>
      </c>
      <c r="C825" t="s">
        <v>533</v>
      </c>
      <c r="D825" s="3">
        <v>46114</v>
      </c>
      <c r="E825" t="s">
        <v>467</v>
      </c>
      <c r="F825" t="s">
        <v>3349</v>
      </c>
      <c r="G825" t="s">
        <v>22</v>
      </c>
      <c r="H825" t="s">
        <v>3350</v>
      </c>
      <c r="I825" t="s">
        <v>3351</v>
      </c>
      <c r="J825" s="4">
        <v>46087.034123252313</v>
      </c>
    </row>
    <row r="826" spans="1:10" x14ac:dyDescent="0.55000000000000004">
      <c r="A826" t="s">
        <v>3352</v>
      </c>
      <c r="B826">
        <v>101144</v>
      </c>
      <c r="C826" t="s">
        <v>19</v>
      </c>
      <c r="D826" s="3">
        <v>45855</v>
      </c>
      <c r="E826" t="s">
        <v>184</v>
      </c>
      <c r="F826" t="s">
        <v>3353</v>
      </c>
      <c r="G826" t="s">
        <v>15</v>
      </c>
      <c r="H826" t="s">
        <v>3354</v>
      </c>
      <c r="I826" t="s">
        <v>3355</v>
      </c>
      <c r="J826" s="4">
        <v>46064.43759548611</v>
      </c>
    </row>
    <row r="827" spans="1:10" x14ac:dyDescent="0.55000000000000004">
      <c r="A827" t="s">
        <v>3356</v>
      </c>
      <c r="B827">
        <v>100637</v>
      </c>
      <c r="C827" t="s">
        <v>248</v>
      </c>
      <c r="D827" s="3">
        <v>45876</v>
      </c>
      <c r="E827" t="s">
        <v>38</v>
      </c>
      <c r="F827" t="s">
        <v>3357</v>
      </c>
      <c r="G827" t="s">
        <v>15</v>
      </c>
      <c r="H827" t="s">
        <v>3358</v>
      </c>
      <c r="I827" t="s">
        <v>3359</v>
      </c>
      <c r="J827" s="4">
        <v>46091.441762152775</v>
      </c>
    </row>
    <row r="828" spans="1:10" x14ac:dyDescent="0.55000000000000004">
      <c r="A828" t="s">
        <v>3360</v>
      </c>
      <c r="B828">
        <v>101361</v>
      </c>
      <c r="C828" t="s">
        <v>19</v>
      </c>
      <c r="D828" s="3">
        <v>46094</v>
      </c>
      <c r="E828" t="s">
        <v>467</v>
      </c>
      <c r="F828" t="s">
        <v>3361</v>
      </c>
      <c r="G828" t="s">
        <v>15</v>
      </c>
      <c r="H828" t="s">
        <v>3362</v>
      </c>
      <c r="I828" t="s">
        <v>3363</v>
      </c>
      <c r="J828" s="4">
        <v>46068.788289942131</v>
      </c>
    </row>
    <row r="829" spans="1:10" x14ac:dyDescent="0.55000000000000004">
      <c r="A829" t="s">
        <v>3364</v>
      </c>
      <c r="B829">
        <v>100478</v>
      </c>
      <c r="C829" t="s">
        <v>533</v>
      </c>
      <c r="D829" s="3">
        <v>45824</v>
      </c>
      <c r="E829" t="s">
        <v>757</v>
      </c>
      <c r="F829" t="s">
        <v>3365</v>
      </c>
      <c r="G829" t="s">
        <v>15</v>
      </c>
      <c r="H829" t="s">
        <v>3366</v>
      </c>
      <c r="I829" t="s">
        <v>3367</v>
      </c>
      <c r="J829" s="4">
        <v>46065.422317719909</v>
      </c>
    </row>
    <row r="830" spans="1:10" x14ac:dyDescent="0.55000000000000004">
      <c r="A830" t="s">
        <v>3368</v>
      </c>
      <c r="B830">
        <v>100169</v>
      </c>
      <c r="C830" t="s">
        <v>179</v>
      </c>
      <c r="D830" s="3">
        <v>45789</v>
      </c>
      <c r="E830" t="s">
        <v>334</v>
      </c>
      <c r="F830" t="s">
        <v>3369</v>
      </c>
      <c r="G830" t="s">
        <v>15</v>
      </c>
      <c r="H830" t="s">
        <v>3370</v>
      </c>
      <c r="I830" t="s">
        <v>3371</v>
      </c>
      <c r="J830" s="4">
        <v>46064.552873287037</v>
      </c>
    </row>
    <row r="831" spans="1:10" x14ac:dyDescent="0.55000000000000004">
      <c r="A831" t="s">
        <v>3372</v>
      </c>
      <c r="B831">
        <v>101374</v>
      </c>
      <c r="C831" t="s">
        <v>19</v>
      </c>
      <c r="D831" s="3">
        <v>46122</v>
      </c>
      <c r="E831" t="s">
        <v>49</v>
      </c>
      <c r="F831" t="s">
        <v>3373</v>
      </c>
      <c r="G831" t="s">
        <v>15</v>
      </c>
      <c r="H831" t="s">
        <v>3374</v>
      </c>
      <c r="I831" t="s">
        <v>3375</v>
      </c>
      <c r="J831" s="4">
        <v>46092.279956620368</v>
      </c>
    </row>
    <row r="832" spans="1:10" x14ac:dyDescent="0.55000000000000004">
      <c r="A832" t="s">
        <v>3376</v>
      </c>
      <c r="B832">
        <v>100414</v>
      </c>
      <c r="C832" t="s">
        <v>19</v>
      </c>
      <c r="D832" s="3">
        <v>45791</v>
      </c>
      <c r="E832" t="s">
        <v>58</v>
      </c>
      <c r="F832" t="s">
        <v>3377</v>
      </c>
      <c r="G832" t="s">
        <v>22</v>
      </c>
      <c r="H832" t="s">
        <v>3378</v>
      </c>
      <c r="I832" t="s">
        <v>3379</v>
      </c>
      <c r="J832" s="4">
        <v>46054.11467884259</v>
      </c>
    </row>
    <row r="833" spans="1:11" x14ac:dyDescent="0.55000000000000004">
      <c r="A833" t="s">
        <v>3380</v>
      </c>
      <c r="B833">
        <v>101295</v>
      </c>
      <c r="C833" t="s">
        <v>248</v>
      </c>
      <c r="D833" s="3">
        <v>46015</v>
      </c>
      <c r="E833" t="s">
        <v>58</v>
      </c>
      <c r="F833" t="s">
        <v>3381</v>
      </c>
      <c r="G833" t="s">
        <v>15</v>
      </c>
      <c r="H833" t="s">
        <v>3382</v>
      </c>
      <c r="I833" t="s">
        <v>3383</v>
      </c>
      <c r="J833" s="4">
        <v>46093.069539965276</v>
      </c>
    </row>
    <row r="834" spans="1:11" x14ac:dyDescent="0.55000000000000004">
      <c r="A834" t="s">
        <v>3384</v>
      </c>
      <c r="B834">
        <v>100695</v>
      </c>
      <c r="C834" t="s">
        <v>68</v>
      </c>
      <c r="D834" s="3">
        <v>45823</v>
      </c>
      <c r="E834" t="s">
        <v>317</v>
      </c>
      <c r="F834" t="s">
        <v>3385</v>
      </c>
      <c r="G834" t="s">
        <v>22</v>
      </c>
      <c r="H834" t="s">
        <v>3386</v>
      </c>
      <c r="I834" t="s">
        <v>3387</v>
      </c>
      <c r="J834" s="4">
        <v>46054.59662329861</v>
      </c>
    </row>
    <row r="835" spans="1:11" x14ac:dyDescent="0.55000000000000004">
      <c r="A835" t="s">
        <v>3388</v>
      </c>
      <c r="B835">
        <v>100684</v>
      </c>
      <c r="C835" t="s">
        <v>179</v>
      </c>
      <c r="D835" s="3">
        <v>45956</v>
      </c>
      <c r="E835" t="s">
        <v>184</v>
      </c>
      <c r="F835" t="s">
        <v>3389</v>
      </c>
      <c r="G835" t="s">
        <v>15</v>
      </c>
      <c r="H835" t="s">
        <v>3390</v>
      </c>
      <c r="I835" t="s">
        <v>3391</v>
      </c>
      <c r="J835" s="4">
        <v>46072.176484421296</v>
      </c>
    </row>
    <row r="836" spans="1:11" x14ac:dyDescent="0.55000000000000004">
      <c r="A836" t="s">
        <v>3392</v>
      </c>
      <c r="B836">
        <v>100344</v>
      </c>
      <c r="C836" t="s">
        <v>19</v>
      </c>
      <c r="D836" s="3">
        <v>45784</v>
      </c>
      <c r="E836" t="s">
        <v>199</v>
      </c>
      <c r="F836" t="s">
        <v>3393</v>
      </c>
      <c r="G836" t="s">
        <v>15</v>
      </c>
      <c r="H836" t="s">
        <v>3394</v>
      </c>
      <c r="I836" t="s">
        <v>3395</v>
      </c>
      <c r="J836" s="4">
        <v>46076.461206643522</v>
      </c>
    </row>
    <row r="837" spans="1:11" x14ac:dyDescent="0.55000000000000004">
      <c r="A837" t="s">
        <v>3396</v>
      </c>
      <c r="B837">
        <v>100863</v>
      </c>
      <c r="C837" t="s">
        <v>19</v>
      </c>
      <c r="D837" s="3">
        <v>45938</v>
      </c>
      <c r="E837" t="s">
        <v>115</v>
      </c>
      <c r="F837" t="s">
        <v>3397</v>
      </c>
      <c r="G837" t="s">
        <v>22</v>
      </c>
      <c r="H837" t="s">
        <v>3398</v>
      </c>
      <c r="I837" t="s">
        <v>3399</v>
      </c>
      <c r="J837" s="4">
        <v>46066.350095543981</v>
      </c>
    </row>
    <row r="838" spans="1:11" x14ac:dyDescent="0.55000000000000004">
      <c r="A838" t="s">
        <v>3400</v>
      </c>
      <c r="C838" t="s">
        <v>19</v>
      </c>
      <c r="D838" s="3">
        <v>46035</v>
      </c>
      <c r="E838" t="s">
        <v>757</v>
      </c>
      <c r="F838" t="s">
        <v>3401</v>
      </c>
      <c r="G838" t="s">
        <v>22</v>
      </c>
      <c r="H838" t="s">
        <v>3402</v>
      </c>
      <c r="I838" t="s">
        <v>3403</v>
      </c>
      <c r="J838" s="4">
        <v>46066.798012222222</v>
      </c>
      <c r="K838" t="s">
        <v>112</v>
      </c>
    </row>
    <row r="839" spans="1:11" x14ac:dyDescent="0.55000000000000004">
      <c r="A839" t="s">
        <v>3404</v>
      </c>
      <c r="B839">
        <v>101261</v>
      </c>
      <c r="C839" t="s">
        <v>19</v>
      </c>
      <c r="D839" s="3">
        <v>45939</v>
      </c>
      <c r="E839" t="s">
        <v>467</v>
      </c>
      <c r="F839" t="s">
        <v>3405</v>
      </c>
      <c r="G839" t="s">
        <v>15</v>
      </c>
      <c r="H839" t="s">
        <v>3406</v>
      </c>
      <c r="I839" t="s">
        <v>3407</v>
      </c>
      <c r="J839" s="4">
        <v>46068.592456666665</v>
      </c>
    </row>
    <row r="840" spans="1:11" x14ac:dyDescent="0.55000000000000004">
      <c r="A840" t="s">
        <v>3408</v>
      </c>
      <c r="B840">
        <v>100446</v>
      </c>
      <c r="C840" t="s">
        <v>533</v>
      </c>
      <c r="D840" s="3">
        <v>45860</v>
      </c>
      <c r="E840" t="s">
        <v>418</v>
      </c>
      <c r="F840" t="s">
        <v>3409</v>
      </c>
      <c r="G840" t="s">
        <v>15</v>
      </c>
      <c r="H840" t="s">
        <v>3410</v>
      </c>
      <c r="I840" t="s">
        <v>3411</v>
      </c>
      <c r="J840" s="4">
        <v>46096.604956678239</v>
      </c>
    </row>
    <row r="841" spans="1:11" x14ac:dyDescent="0.55000000000000004">
      <c r="A841" t="s">
        <v>3412</v>
      </c>
      <c r="B841">
        <v>100279</v>
      </c>
      <c r="C841" t="s">
        <v>37</v>
      </c>
      <c r="D841" s="3">
        <v>46157</v>
      </c>
      <c r="E841" t="s">
        <v>69</v>
      </c>
      <c r="F841" t="s">
        <v>3413</v>
      </c>
      <c r="G841" t="s">
        <v>15</v>
      </c>
      <c r="H841" t="s">
        <v>3414</v>
      </c>
      <c r="I841" t="s">
        <v>3415</v>
      </c>
      <c r="J841" s="4">
        <v>46086.202178900465</v>
      </c>
    </row>
    <row r="842" spans="1:11" x14ac:dyDescent="0.55000000000000004">
      <c r="A842" t="s">
        <v>3416</v>
      </c>
      <c r="B842">
        <v>101075</v>
      </c>
      <c r="C842" t="s">
        <v>19</v>
      </c>
      <c r="D842" s="3">
        <v>46079</v>
      </c>
      <c r="E842" t="s">
        <v>356</v>
      </c>
      <c r="F842" t="s">
        <v>3417</v>
      </c>
      <c r="G842" t="s">
        <v>15</v>
      </c>
      <c r="H842" t="s">
        <v>3418</v>
      </c>
      <c r="I842" t="s">
        <v>3419</v>
      </c>
      <c r="J842" s="4">
        <v>46092.806345578705</v>
      </c>
    </row>
    <row r="843" spans="1:11" x14ac:dyDescent="0.55000000000000004">
      <c r="A843" t="s">
        <v>3420</v>
      </c>
      <c r="B843">
        <v>100499</v>
      </c>
      <c r="C843" t="s">
        <v>19</v>
      </c>
      <c r="D843" s="3">
        <v>46124</v>
      </c>
      <c r="E843" t="s">
        <v>418</v>
      </c>
      <c r="F843" t="s">
        <v>3421</v>
      </c>
      <c r="G843" t="s">
        <v>22</v>
      </c>
      <c r="H843" t="s">
        <v>3422</v>
      </c>
      <c r="I843" t="s">
        <v>3423</v>
      </c>
      <c r="J843" s="4">
        <v>46055.038290023149</v>
      </c>
    </row>
    <row r="844" spans="1:11" x14ac:dyDescent="0.55000000000000004">
      <c r="A844" t="s">
        <v>3424</v>
      </c>
      <c r="B844">
        <v>100225</v>
      </c>
      <c r="C844" t="s">
        <v>19</v>
      </c>
      <c r="D844" s="3">
        <v>45990</v>
      </c>
      <c r="E844" t="s">
        <v>467</v>
      </c>
      <c r="F844" t="s">
        <v>3425</v>
      </c>
      <c r="G844" t="s">
        <v>15</v>
      </c>
      <c r="H844" t="s">
        <v>3426</v>
      </c>
      <c r="I844" t="s">
        <v>3427</v>
      </c>
      <c r="J844" s="4">
        <v>46095.134123356482</v>
      </c>
    </row>
    <row r="845" spans="1:11" x14ac:dyDescent="0.55000000000000004">
      <c r="A845" t="s">
        <v>3428</v>
      </c>
      <c r="B845">
        <v>100617</v>
      </c>
      <c r="C845" t="s">
        <v>533</v>
      </c>
      <c r="D845" s="3">
        <v>45928</v>
      </c>
      <c r="E845" t="s">
        <v>58</v>
      </c>
      <c r="F845" t="s">
        <v>3429</v>
      </c>
      <c r="G845" t="s">
        <v>22</v>
      </c>
      <c r="H845" t="s">
        <v>3430</v>
      </c>
      <c r="I845" t="s">
        <v>3431</v>
      </c>
      <c r="J845" s="4">
        <v>46068.695234479164</v>
      </c>
    </row>
    <row r="846" spans="1:11" x14ac:dyDescent="0.55000000000000004">
      <c r="A846" t="s">
        <v>3432</v>
      </c>
      <c r="B846">
        <v>100819</v>
      </c>
      <c r="C846" t="s">
        <v>37</v>
      </c>
      <c r="D846" s="3">
        <v>45822</v>
      </c>
      <c r="E846" t="s">
        <v>562</v>
      </c>
      <c r="F846" t="s">
        <v>3433</v>
      </c>
      <c r="G846" t="s">
        <v>22</v>
      </c>
      <c r="H846" t="s">
        <v>3434</v>
      </c>
      <c r="I846" t="s">
        <v>3435</v>
      </c>
      <c r="J846" s="4">
        <v>46070.554956701388</v>
      </c>
    </row>
    <row r="847" spans="1:11" x14ac:dyDescent="0.55000000000000004">
      <c r="A847" t="s">
        <v>3436</v>
      </c>
      <c r="B847">
        <v>100559</v>
      </c>
      <c r="C847" t="s">
        <v>68</v>
      </c>
      <c r="D847" s="3">
        <v>46098</v>
      </c>
      <c r="E847" t="s">
        <v>334</v>
      </c>
      <c r="F847" t="s">
        <v>3437</v>
      </c>
      <c r="G847" t="s">
        <v>22</v>
      </c>
      <c r="H847" t="s">
        <v>3438</v>
      </c>
      <c r="I847" t="s">
        <v>3439</v>
      </c>
      <c r="J847" s="4">
        <v>46054.958428935184</v>
      </c>
    </row>
    <row r="848" spans="1:11" x14ac:dyDescent="0.55000000000000004">
      <c r="A848" t="s">
        <v>3440</v>
      </c>
      <c r="B848">
        <v>100752</v>
      </c>
      <c r="C848" t="s">
        <v>19</v>
      </c>
      <c r="D848" s="3">
        <v>46024</v>
      </c>
      <c r="E848" t="s">
        <v>89</v>
      </c>
      <c r="F848" t="s">
        <v>3441</v>
      </c>
      <c r="G848" t="s">
        <v>15</v>
      </c>
      <c r="H848" t="s">
        <v>3442</v>
      </c>
      <c r="I848" t="s">
        <v>3443</v>
      </c>
      <c r="J848" s="4">
        <v>46065.66676226852</v>
      </c>
    </row>
    <row r="849" spans="1:10" x14ac:dyDescent="0.55000000000000004">
      <c r="A849" t="s">
        <v>3444</v>
      </c>
      <c r="B849">
        <v>101329</v>
      </c>
      <c r="C849" t="s">
        <v>179</v>
      </c>
      <c r="D849" s="3">
        <v>45866</v>
      </c>
      <c r="E849" t="s">
        <v>89</v>
      </c>
      <c r="F849" t="s">
        <v>3445</v>
      </c>
      <c r="G849" t="s">
        <v>22</v>
      </c>
      <c r="H849" t="s">
        <v>3446</v>
      </c>
      <c r="I849" t="s">
        <v>3447</v>
      </c>
      <c r="J849" s="4">
        <v>46079.290373379627</v>
      </c>
    </row>
    <row r="850" spans="1:10" x14ac:dyDescent="0.55000000000000004">
      <c r="A850" t="s">
        <v>3448</v>
      </c>
      <c r="B850">
        <v>100551</v>
      </c>
      <c r="C850" t="s">
        <v>37</v>
      </c>
      <c r="D850" s="3">
        <v>45746</v>
      </c>
      <c r="E850" t="s">
        <v>199</v>
      </c>
      <c r="F850" t="s">
        <v>3449</v>
      </c>
      <c r="G850" t="s">
        <v>22</v>
      </c>
      <c r="H850" t="s">
        <v>3450</v>
      </c>
      <c r="I850" t="s">
        <v>3451</v>
      </c>
      <c r="J850" s="4">
        <v>46060.707734502314</v>
      </c>
    </row>
    <row r="851" spans="1:10" x14ac:dyDescent="0.55000000000000004">
      <c r="A851" t="s">
        <v>3452</v>
      </c>
      <c r="B851">
        <v>101421</v>
      </c>
      <c r="C851" t="s">
        <v>68</v>
      </c>
      <c r="D851" s="3">
        <v>45926</v>
      </c>
      <c r="E851" t="s">
        <v>69</v>
      </c>
      <c r="F851" t="s">
        <v>3453</v>
      </c>
      <c r="G851" t="s">
        <v>22</v>
      </c>
      <c r="H851" t="s">
        <v>3454</v>
      </c>
      <c r="I851" t="s">
        <v>3455</v>
      </c>
      <c r="J851" s="4">
        <v>46075.160512291666</v>
      </c>
    </row>
    <row r="852" spans="1:10" x14ac:dyDescent="0.55000000000000004">
      <c r="A852" t="s">
        <v>3456</v>
      </c>
      <c r="B852">
        <v>100399</v>
      </c>
      <c r="C852" t="s">
        <v>68</v>
      </c>
      <c r="D852" s="3">
        <v>45760</v>
      </c>
      <c r="E852" t="s">
        <v>587</v>
      </c>
      <c r="F852" t="s">
        <v>3457</v>
      </c>
      <c r="G852" t="s">
        <v>22</v>
      </c>
      <c r="H852" t="s">
        <v>3458</v>
      </c>
      <c r="I852" t="s">
        <v>3459</v>
      </c>
      <c r="J852" s="4">
        <v>46060.625790069447</v>
      </c>
    </row>
    <row r="853" spans="1:10" x14ac:dyDescent="0.55000000000000004">
      <c r="A853" t="s">
        <v>3460</v>
      </c>
      <c r="B853">
        <v>100771</v>
      </c>
      <c r="C853" t="s">
        <v>37</v>
      </c>
      <c r="D853" s="3">
        <v>45888</v>
      </c>
      <c r="E853" t="s">
        <v>20</v>
      </c>
      <c r="F853" t="s">
        <v>3461</v>
      </c>
      <c r="G853" t="s">
        <v>15</v>
      </c>
      <c r="H853" t="s">
        <v>3462</v>
      </c>
      <c r="I853" t="s">
        <v>3463</v>
      </c>
      <c r="J853" s="4">
        <v>46095.980651180558</v>
      </c>
    </row>
    <row r="854" spans="1:10" x14ac:dyDescent="0.55000000000000004">
      <c r="A854" t="s">
        <v>3464</v>
      </c>
      <c r="B854">
        <v>101109</v>
      </c>
      <c r="C854" t="s">
        <v>68</v>
      </c>
      <c r="D854" s="3">
        <v>45751</v>
      </c>
      <c r="E854" t="s">
        <v>757</v>
      </c>
      <c r="F854" t="s">
        <v>3465</v>
      </c>
      <c r="G854" t="s">
        <v>22</v>
      </c>
      <c r="H854" t="s">
        <v>3466</v>
      </c>
      <c r="I854" t="s">
        <v>3467</v>
      </c>
      <c r="J854" s="4">
        <v>46080.717456747683</v>
      </c>
    </row>
    <row r="855" spans="1:10" x14ac:dyDescent="0.55000000000000004">
      <c r="A855" t="s">
        <v>3468</v>
      </c>
      <c r="B855">
        <v>100360</v>
      </c>
      <c r="C855" t="s">
        <v>19</v>
      </c>
      <c r="D855" s="3">
        <v>46033</v>
      </c>
      <c r="E855" t="s">
        <v>20</v>
      </c>
      <c r="F855" t="s">
        <v>3469</v>
      </c>
      <c r="G855" t="s">
        <v>22</v>
      </c>
      <c r="H855" t="s">
        <v>3470</v>
      </c>
      <c r="I855" t="s">
        <v>3471</v>
      </c>
      <c r="J855" s="4">
        <v>46061.191067858796</v>
      </c>
    </row>
    <row r="856" spans="1:10" x14ac:dyDescent="0.55000000000000004">
      <c r="A856" t="s">
        <v>3472</v>
      </c>
      <c r="B856">
        <v>101390</v>
      </c>
      <c r="C856" t="s">
        <v>68</v>
      </c>
      <c r="D856" s="3">
        <v>46025</v>
      </c>
      <c r="E856" t="s">
        <v>69</v>
      </c>
      <c r="F856" t="s">
        <v>3473</v>
      </c>
      <c r="G856" t="s">
        <v>15</v>
      </c>
      <c r="H856" t="s">
        <v>3474</v>
      </c>
      <c r="I856" t="s">
        <v>3475</v>
      </c>
      <c r="J856" s="4">
        <v>46052.786206759258</v>
      </c>
    </row>
    <row r="857" spans="1:10" x14ac:dyDescent="0.55000000000000004">
      <c r="A857" t="s">
        <v>3476</v>
      </c>
      <c r="B857">
        <v>101171</v>
      </c>
      <c r="C857" t="s">
        <v>248</v>
      </c>
      <c r="D857" s="3">
        <v>45904</v>
      </c>
      <c r="E857" t="s">
        <v>467</v>
      </c>
      <c r="F857" t="s">
        <v>3477</v>
      </c>
      <c r="G857" t="s">
        <v>15</v>
      </c>
      <c r="H857" t="s">
        <v>3478</v>
      </c>
      <c r="I857" t="s">
        <v>3479</v>
      </c>
      <c r="J857" s="4">
        <v>46058.320234537037</v>
      </c>
    </row>
    <row r="858" spans="1:10" x14ac:dyDescent="0.55000000000000004">
      <c r="A858" t="s">
        <v>3480</v>
      </c>
      <c r="B858">
        <v>101045</v>
      </c>
      <c r="C858" t="s">
        <v>68</v>
      </c>
      <c r="D858" s="3">
        <v>45955</v>
      </c>
      <c r="E858" t="s">
        <v>69</v>
      </c>
      <c r="F858" t="s">
        <v>3481</v>
      </c>
      <c r="G858" t="s">
        <v>15</v>
      </c>
      <c r="H858" t="s">
        <v>3482</v>
      </c>
      <c r="I858" t="s">
        <v>3483</v>
      </c>
      <c r="J858" s="4">
        <v>46063.441762326387</v>
      </c>
    </row>
    <row r="859" spans="1:10" x14ac:dyDescent="0.55000000000000004">
      <c r="A859" t="s">
        <v>2841</v>
      </c>
      <c r="B859">
        <v>100962</v>
      </c>
      <c r="C859" t="s">
        <v>68</v>
      </c>
      <c r="D859" s="3">
        <v>45867</v>
      </c>
      <c r="E859" t="s">
        <v>20</v>
      </c>
      <c r="F859" t="s">
        <v>3484</v>
      </c>
      <c r="G859" t="s">
        <v>22</v>
      </c>
      <c r="H859" t="s">
        <v>3485</v>
      </c>
      <c r="I859" t="s">
        <v>3486</v>
      </c>
      <c r="J859" s="4">
        <v>46082.857734548612</v>
      </c>
    </row>
    <row r="860" spans="1:10" x14ac:dyDescent="0.55000000000000004">
      <c r="A860" t="s">
        <v>3487</v>
      </c>
      <c r="B860">
        <v>101302</v>
      </c>
      <c r="C860" t="s">
        <v>37</v>
      </c>
      <c r="D860" s="3">
        <v>46099</v>
      </c>
      <c r="E860" t="s">
        <v>343</v>
      </c>
      <c r="F860" t="s">
        <v>3488</v>
      </c>
      <c r="G860" t="s">
        <v>22</v>
      </c>
      <c r="H860" t="s">
        <v>3489</v>
      </c>
      <c r="I860" t="s">
        <v>3490</v>
      </c>
      <c r="J860" s="4">
        <v>46092.940373437501</v>
      </c>
    </row>
    <row r="861" spans="1:10" x14ac:dyDescent="0.55000000000000004">
      <c r="A861" t="s">
        <v>3491</v>
      </c>
      <c r="B861">
        <v>100020</v>
      </c>
      <c r="C861" t="s">
        <v>19</v>
      </c>
      <c r="D861" s="3">
        <v>45975</v>
      </c>
      <c r="E861" t="s">
        <v>356</v>
      </c>
      <c r="F861" t="s">
        <v>3492</v>
      </c>
      <c r="G861" t="s">
        <v>15</v>
      </c>
      <c r="H861" t="s">
        <v>3493</v>
      </c>
      <c r="I861" t="s">
        <v>3494</v>
      </c>
      <c r="J861" s="4">
        <v>46056.316762337963</v>
      </c>
    </row>
    <row r="862" spans="1:10" x14ac:dyDescent="0.55000000000000004">
      <c r="A862" t="s">
        <v>3495</v>
      </c>
      <c r="B862">
        <v>101386</v>
      </c>
      <c r="C862" t="s">
        <v>19</v>
      </c>
      <c r="D862" s="3">
        <v>46143</v>
      </c>
      <c r="E862" t="s">
        <v>89</v>
      </c>
      <c r="F862" t="s">
        <v>3496</v>
      </c>
      <c r="G862" t="s">
        <v>22</v>
      </c>
      <c r="H862" t="s">
        <v>3497</v>
      </c>
      <c r="I862" t="s">
        <v>3498</v>
      </c>
      <c r="J862" s="4">
        <v>46085.157040115744</v>
      </c>
    </row>
    <row r="863" spans="1:10" x14ac:dyDescent="0.55000000000000004">
      <c r="A863" t="s">
        <v>3499</v>
      </c>
      <c r="B863">
        <v>100598</v>
      </c>
      <c r="C863" t="s">
        <v>179</v>
      </c>
      <c r="D863" s="3">
        <v>45860</v>
      </c>
      <c r="E863" t="s">
        <v>43</v>
      </c>
      <c r="F863" t="s">
        <v>3500</v>
      </c>
      <c r="G863" t="s">
        <v>15</v>
      </c>
      <c r="H863" t="s">
        <v>3501</v>
      </c>
      <c r="I863" t="s">
        <v>3502</v>
      </c>
      <c r="J863" s="4">
        <v>46056.745929016201</v>
      </c>
    </row>
    <row r="864" spans="1:10" x14ac:dyDescent="0.55000000000000004">
      <c r="A864" t="s">
        <v>3503</v>
      </c>
      <c r="B864">
        <v>101235</v>
      </c>
      <c r="C864" t="s">
        <v>19</v>
      </c>
      <c r="D864" s="3">
        <v>45827</v>
      </c>
      <c r="E864" t="s">
        <v>680</v>
      </c>
      <c r="F864" t="s">
        <v>3504</v>
      </c>
      <c r="G864" t="s">
        <v>22</v>
      </c>
      <c r="H864" t="s">
        <v>3505</v>
      </c>
      <c r="I864" t="s">
        <v>3506</v>
      </c>
      <c r="J864" s="4">
        <v>46056.988290127316</v>
      </c>
    </row>
    <row r="865" spans="1:11" x14ac:dyDescent="0.55000000000000004">
      <c r="A865" t="s">
        <v>3507</v>
      </c>
      <c r="B865">
        <v>100398</v>
      </c>
      <c r="C865" t="s">
        <v>19</v>
      </c>
      <c r="D865" s="3">
        <v>46125</v>
      </c>
      <c r="E865" t="s">
        <v>170</v>
      </c>
      <c r="F865" t="s">
        <v>3508</v>
      </c>
      <c r="G865" t="s">
        <v>15</v>
      </c>
      <c r="H865" t="s">
        <v>3509</v>
      </c>
      <c r="I865" t="s">
        <v>3510</v>
      </c>
      <c r="J865" s="4">
        <v>46074.088290127314</v>
      </c>
    </row>
    <row r="866" spans="1:11" x14ac:dyDescent="0.55000000000000004">
      <c r="A866" t="s">
        <v>3511</v>
      </c>
      <c r="B866">
        <v>101241</v>
      </c>
      <c r="C866" t="s">
        <v>533</v>
      </c>
      <c r="D866" s="3">
        <v>45855</v>
      </c>
      <c r="E866" t="s">
        <v>317</v>
      </c>
      <c r="F866" t="s">
        <v>3512</v>
      </c>
      <c r="G866" t="s">
        <v>22</v>
      </c>
      <c r="H866" t="s">
        <v>3513</v>
      </c>
      <c r="I866" t="s">
        <v>3514</v>
      </c>
      <c r="J866" s="4">
        <v>46070.162595694441</v>
      </c>
    </row>
    <row r="867" spans="1:11" x14ac:dyDescent="0.55000000000000004">
      <c r="A867" t="s">
        <v>3515</v>
      </c>
      <c r="B867">
        <v>100852</v>
      </c>
      <c r="C867" t="s">
        <v>68</v>
      </c>
      <c r="D867" s="3">
        <v>46157</v>
      </c>
      <c r="E867" t="s">
        <v>317</v>
      </c>
      <c r="F867" t="s">
        <v>3516</v>
      </c>
      <c r="G867" t="s">
        <v>15</v>
      </c>
      <c r="H867" t="s">
        <v>3517</v>
      </c>
      <c r="I867" t="s">
        <v>3518</v>
      </c>
      <c r="J867" s="4">
        <v>46071.366762361111</v>
      </c>
    </row>
    <row r="868" spans="1:11" x14ac:dyDescent="0.55000000000000004">
      <c r="A868" t="s">
        <v>3519</v>
      </c>
      <c r="B868">
        <v>100211</v>
      </c>
      <c r="C868" t="s">
        <v>68</v>
      </c>
      <c r="D868" s="3">
        <v>46062</v>
      </c>
      <c r="E868" t="s">
        <v>20</v>
      </c>
      <c r="F868" t="s">
        <v>3520</v>
      </c>
      <c r="G868" t="s">
        <v>15</v>
      </c>
      <c r="H868" t="s">
        <v>3521</v>
      </c>
      <c r="I868" t="s">
        <v>3522</v>
      </c>
      <c r="J868" s="4">
        <v>46072.407040150465</v>
      </c>
    </row>
    <row r="869" spans="1:11" x14ac:dyDescent="0.55000000000000004">
      <c r="A869" t="s">
        <v>3523</v>
      </c>
      <c r="B869">
        <v>100063</v>
      </c>
      <c r="C869" t="s">
        <v>533</v>
      </c>
      <c r="D869" s="3">
        <v>45808</v>
      </c>
      <c r="E869" t="s">
        <v>155</v>
      </c>
      <c r="F869" t="s">
        <v>3524</v>
      </c>
      <c r="G869" t="s">
        <v>15</v>
      </c>
      <c r="H869" t="s">
        <v>3525</v>
      </c>
      <c r="I869" t="s">
        <v>3526</v>
      </c>
      <c r="J869" s="4">
        <v>46078.086206817126</v>
      </c>
    </row>
    <row r="870" spans="1:11" x14ac:dyDescent="0.55000000000000004">
      <c r="A870" t="s">
        <v>3527</v>
      </c>
      <c r="B870">
        <v>100730</v>
      </c>
      <c r="C870" t="s">
        <v>19</v>
      </c>
      <c r="D870" s="3">
        <v>46018</v>
      </c>
      <c r="E870" t="s">
        <v>334</v>
      </c>
      <c r="F870" t="s">
        <v>3528</v>
      </c>
      <c r="G870" t="s">
        <v>15</v>
      </c>
      <c r="H870" t="s">
        <v>3529</v>
      </c>
      <c r="I870" t="s">
        <v>3530</v>
      </c>
      <c r="J870" s="4">
        <v>46087.358429039348</v>
      </c>
      <c r="K870" t="s">
        <v>139</v>
      </c>
    </row>
    <row r="871" spans="1:11" x14ac:dyDescent="0.55000000000000004">
      <c r="A871" t="s">
        <v>3531</v>
      </c>
      <c r="B871">
        <v>100477</v>
      </c>
      <c r="C871" t="s">
        <v>533</v>
      </c>
      <c r="D871" s="3">
        <v>45746</v>
      </c>
      <c r="E871" t="s">
        <v>467</v>
      </c>
      <c r="F871" t="s">
        <v>3532</v>
      </c>
      <c r="G871" t="s">
        <v>15</v>
      </c>
      <c r="H871" t="s">
        <v>3533</v>
      </c>
      <c r="I871" t="s">
        <v>3534</v>
      </c>
      <c r="J871" s="4">
        <v>46056.686206828701</v>
      </c>
    </row>
    <row r="872" spans="1:11" x14ac:dyDescent="0.55000000000000004">
      <c r="A872" t="s">
        <v>3535</v>
      </c>
      <c r="B872">
        <v>100555</v>
      </c>
      <c r="C872" t="s">
        <v>19</v>
      </c>
      <c r="D872" s="3">
        <v>46132</v>
      </c>
      <c r="E872" t="s">
        <v>155</v>
      </c>
      <c r="F872" t="s">
        <v>3536</v>
      </c>
      <c r="G872" t="s">
        <v>15</v>
      </c>
      <c r="H872" t="s">
        <v>3537</v>
      </c>
      <c r="I872" t="s">
        <v>3538</v>
      </c>
      <c r="J872" s="4">
        <v>46076.890373495371</v>
      </c>
    </row>
    <row r="873" spans="1:11" x14ac:dyDescent="0.55000000000000004">
      <c r="A873" t="s">
        <v>3539</v>
      </c>
      <c r="B873">
        <v>101304</v>
      </c>
      <c r="C873" t="s">
        <v>68</v>
      </c>
      <c r="D873" s="3">
        <v>45764</v>
      </c>
      <c r="E873" t="s">
        <v>295</v>
      </c>
      <c r="F873" t="s">
        <v>3540</v>
      </c>
      <c r="G873" t="s">
        <v>22</v>
      </c>
      <c r="H873" t="s">
        <v>3541</v>
      </c>
      <c r="I873" t="s">
        <v>3542</v>
      </c>
      <c r="J873" s="4">
        <v>46089.41051238426</v>
      </c>
    </row>
    <row r="874" spans="1:11" x14ac:dyDescent="0.55000000000000004">
      <c r="A874" t="s">
        <v>3543</v>
      </c>
      <c r="B874">
        <v>100417</v>
      </c>
      <c r="C874" t="s">
        <v>533</v>
      </c>
      <c r="D874" s="3">
        <v>46024</v>
      </c>
      <c r="E874" t="s">
        <v>343</v>
      </c>
      <c r="F874" t="s">
        <v>3544</v>
      </c>
      <c r="G874" t="s">
        <v>22</v>
      </c>
      <c r="H874" t="s">
        <v>3545</v>
      </c>
      <c r="I874" t="s">
        <v>3546</v>
      </c>
      <c r="J874" s="4">
        <v>46092.407734618057</v>
      </c>
    </row>
    <row r="875" spans="1:11" x14ac:dyDescent="0.55000000000000004">
      <c r="A875" t="s">
        <v>3547</v>
      </c>
      <c r="B875">
        <v>100965</v>
      </c>
      <c r="C875" t="s">
        <v>19</v>
      </c>
      <c r="D875" s="3">
        <v>45794</v>
      </c>
      <c r="E875" t="s">
        <v>467</v>
      </c>
      <c r="F875" t="s">
        <v>3548</v>
      </c>
      <c r="G875" t="s">
        <v>22</v>
      </c>
      <c r="H875" t="s">
        <v>3549</v>
      </c>
      <c r="I875" t="s">
        <v>3550</v>
      </c>
      <c r="J875" s="4">
        <v>46082.144540173613</v>
      </c>
    </row>
    <row r="876" spans="1:11" x14ac:dyDescent="0.55000000000000004">
      <c r="A876" t="s">
        <v>3551</v>
      </c>
      <c r="B876">
        <v>101418</v>
      </c>
      <c r="C876" t="s">
        <v>248</v>
      </c>
      <c r="D876" s="3">
        <v>45805</v>
      </c>
      <c r="E876" t="s">
        <v>115</v>
      </c>
      <c r="F876" t="s">
        <v>3552</v>
      </c>
      <c r="G876" t="s">
        <v>15</v>
      </c>
      <c r="H876" t="s">
        <v>3553</v>
      </c>
      <c r="I876" t="s">
        <v>3554</v>
      </c>
      <c r="J876" s="4">
        <v>46080.120929074074</v>
      </c>
    </row>
    <row r="877" spans="1:11" x14ac:dyDescent="0.55000000000000004">
      <c r="A877" t="s">
        <v>3555</v>
      </c>
      <c r="B877">
        <v>101136</v>
      </c>
      <c r="C877" t="s">
        <v>179</v>
      </c>
      <c r="D877" s="3">
        <v>45862</v>
      </c>
      <c r="E877" t="s">
        <v>83</v>
      </c>
      <c r="F877" t="s">
        <v>3556</v>
      </c>
      <c r="G877" t="s">
        <v>15</v>
      </c>
      <c r="H877" t="s">
        <v>3557</v>
      </c>
      <c r="I877" t="s">
        <v>3558</v>
      </c>
      <c r="J877" s="4">
        <v>46076.970234629633</v>
      </c>
    </row>
    <row r="878" spans="1:11" x14ac:dyDescent="0.55000000000000004">
      <c r="A878" t="s">
        <v>3559</v>
      </c>
      <c r="B878">
        <v>100723</v>
      </c>
      <c r="C878" t="s">
        <v>179</v>
      </c>
      <c r="D878" s="3">
        <v>45975</v>
      </c>
      <c r="E878" t="s">
        <v>562</v>
      </c>
      <c r="F878" t="s">
        <v>3560</v>
      </c>
      <c r="G878" t="s">
        <v>22</v>
      </c>
      <c r="H878" t="s">
        <v>3561</v>
      </c>
      <c r="I878" t="s">
        <v>3562</v>
      </c>
      <c r="J878" s="4">
        <v>46067.223012407405</v>
      </c>
    </row>
    <row r="879" spans="1:11" x14ac:dyDescent="0.55000000000000004">
      <c r="A879" t="s">
        <v>3563</v>
      </c>
      <c r="B879">
        <v>100156</v>
      </c>
      <c r="C879" t="s">
        <v>68</v>
      </c>
      <c r="D879" s="3">
        <v>45742</v>
      </c>
      <c r="E879" t="s">
        <v>184</v>
      </c>
      <c r="F879" t="s">
        <v>3564</v>
      </c>
      <c r="G879" t="s">
        <v>15</v>
      </c>
      <c r="H879" t="s">
        <v>3565</v>
      </c>
      <c r="I879" t="s">
        <v>3566</v>
      </c>
      <c r="J879" s="4">
        <v>46080.960512418984</v>
      </c>
    </row>
    <row r="880" spans="1:11" x14ac:dyDescent="0.55000000000000004">
      <c r="A880" t="s">
        <v>3567</v>
      </c>
      <c r="B880">
        <v>100710</v>
      </c>
      <c r="C880" t="s">
        <v>179</v>
      </c>
      <c r="D880" s="3">
        <v>45890</v>
      </c>
      <c r="E880" t="s">
        <v>13</v>
      </c>
      <c r="F880" t="s">
        <v>3568</v>
      </c>
      <c r="G880" t="s">
        <v>15</v>
      </c>
      <c r="H880" t="s">
        <v>3569</v>
      </c>
      <c r="I880" t="s">
        <v>3570</v>
      </c>
      <c r="J880" s="4">
        <v>46069.193845752314</v>
      </c>
    </row>
    <row r="881" spans="1:11" x14ac:dyDescent="0.55000000000000004">
      <c r="A881" t="s">
        <v>3571</v>
      </c>
      <c r="B881">
        <v>101026</v>
      </c>
      <c r="C881" t="s">
        <v>37</v>
      </c>
      <c r="D881" s="3">
        <v>45933</v>
      </c>
      <c r="E881" t="s">
        <v>295</v>
      </c>
      <c r="F881" t="s">
        <v>3572</v>
      </c>
      <c r="G881" t="s">
        <v>15</v>
      </c>
      <c r="H881" t="s">
        <v>3573</v>
      </c>
      <c r="I881" t="s">
        <v>3574</v>
      </c>
      <c r="J881" s="4">
        <v>46078.447317986109</v>
      </c>
    </row>
    <row r="882" spans="1:11" x14ac:dyDescent="0.55000000000000004">
      <c r="A882" t="s">
        <v>3575</v>
      </c>
      <c r="B882">
        <v>101048</v>
      </c>
      <c r="C882" t="s">
        <v>533</v>
      </c>
      <c r="D882" s="3">
        <v>45956</v>
      </c>
      <c r="E882" t="s">
        <v>83</v>
      </c>
      <c r="F882" t="s">
        <v>3576</v>
      </c>
      <c r="G882" t="s">
        <v>22</v>
      </c>
      <c r="H882" t="s">
        <v>3577</v>
      </c>
      <c r="I882" t="s">
        <v>3578</v>
      </c>
      <c r="J882" s="4">
        <v>46092.047317986115</v>
      </c>
    </row>
    <row r="883" spans="1:11" x14ac:dyDescent="0.55000000000000004">
      <c r="A883" t="s">
        <v>3579</v>
      </c>
      <c r="B883">
        <v>101201</v>
      </c>
      <c r="C883" t="s">
        <v>19</v>
      </c>
      <c r="D883" s="3">
        <v>46109</v>
      </c>
      <c r="E883" t="s">
        <v>58</v>
      </c>
      <c r="F883" t="s">
        <v>3580</v>
      </c>
      <c r="G883" t="s">
        <v>15</v>
      </c>
      <c r="H883" t="s">
        <v>3581</v>
      </c>
      <c r="I883" t="s">
        <v>3582</v>
      </c>
      <c r="J883" s="4">
        <v>46086.752873541664</v>
      </c>
    </row>
    <row r="884" spans="1:11" x14ac:dyDescent="0.55000000000000004">
      <c r="A884" t="s">
        <v>6036</v>
      </c>
      <c r="B884">
        <v>101406</v>
      </c>
      <c r="C884" t="s">
        <v>248</v>
      </c>
      <c r="D884" s="3">
        <v>45991</v>
      </c>
      <c r="E884" t="s">
        <v>20</v>
      </c>
      <c r="F884" t="s">
        <v>3584</v>
      </c>
      <c r="G884" t="s">
        <v>22</v>
      </c>
      <c r="H884" t="s">
        <v>3585</v>
      </c>
      <c r="I884" t="s">
        <v>3586</v>
      </c>
      <c r="J884" s="4">
        <v>46058.967456886574</v>
      </c>
      <c r="K884" t="s">
        <v>119</v>
      </c>
    </row>
    <row r="885" spans="1:11" x14ac:dyDescent="0.55000000000000004">
      <c r="A885" t="s">
        <v>3587</v>
      </c>
      <c r="B885">
        <v>100082</v>
      </c>
      <c r="C885" t="s">
        <v>68</v>
      </c>
      <c r="D885" s="3">
        <v>45964</v>
      </c>
      <c r="E885" t="s">
        <v>108</v>
      </c>
      <c r="F885" t="s">
        <v>3588</v>
      </c>
      <c r="G885" t="s">
        <v>22</v>
      </c>
      <c r="H885" t="s">
        <v>3589</v>
      </c>
      <c r="I885" t="s">
        <v>3590</v>
      </c>
      <c r="J885" s="4">
        <v>46056.552873553243</v>
      </c>
    </row>
    <row r="886" spans="1:11" x14ac:dyDescent="0.55000000000000004">
      <c r="A886" t="s">
        <v>3591</v>
      </c>
      <c r="B886">
        <v>100553</v>
      </c>
      <c r="C886" t="s">
        <v>37</v>
      </c>
      <c r="D886" s="3">
        <v>45937</v>
      </c>
      <c r="E886" t="s">
        <v>317</v>
      </c>
      <c r="F886" t="s">
        <v>3592</v>
      </c>
      <c r="G886" t="s">
        <v>22</v>
      </c>
      <c r="H886" t="s">
        <v>3593</v>
      </c>
      <c r="I886" t="s">
        <v>3594</v>
      </c>
      <c r="J886" s="4">
        <v>46076.927179120372</v>
      </c>
    </row>
    <row r="887" spans="1:11" x14ac:dyDescent="0.55000000000000004">
      <c r="A887" t="s">
        <v>3595</v>
      </c>
      <c r="B887">
        <v>101364</v>
      </c>
      <c r="D887" s="3">
        <v>45788</v>
      </c>
      <c r="E887" t="s">
        <v>115</v>
      </c>
      <c r="F887" t="s">
        <v>3596</v>
      </c>
      <c r="G887" t="s">
        <v>15</v>
      </c>
      <c r="H887" t="s">
        <v>3597</v>
      </c>
      <c r="I887" t="s">
        <v>3598</v>
      </c>
      <c r="J887" s="4">
        <v>46058.770929120372</v>
      </c>
      <c r="K887" t="s">
        <v>217</v>
      </c>
    </row>
    <row r="888" spans="1:11" x14ac:dyDescent="0.55000000000000004">
      <c r="A888" t="s">
        <v>3599</v>
      </c>
      <c r="B888">
        <v>100986</v>
      </c>
      <c r="C888" t="s">
        <v>179</v>
      </c>
      <c r="D888" s="3">
        <v>46137</v>
      </c>
      <c r="E888" t="s">
        <v>757</v>
      </c>
      <c r="F888" t="s">
        <v>3600</v>
      </c>
      <c r="G888" t="s">
        <v>15</v>
      </c>
      <c r="H888" t="s">
        <v>3601</v>
      </c>
      <c r="I888" t="s">
        <v>3602</v>
      </c>
      <c r="J888" s="4">
        <v>46081.499401342589</v>
      </c>
    </row>
    <row r="889" spans="1:11" x14ac:dyDescent="0.55000000000000004">
      <c r="A889" t="s">
        <v>3603</v>
      </c>
      <c r="B889">
        <v>100278</v>
      </c>
      <c r="C889" t="s">
        <v>19</v>
      </c>
      <c r="D889" s="3">
        <v>46155</v>
      </c>
      <c r="E889" t="s">
        <v>356</v>
      </c>
      <c r="F889" t="s">
        <v>3604</v>
      </c>
      <c r="G889" t="s">
        <v>15</v>
      </c>
      <c r="H889" t="s">
        <v>3605</v>
      </c>
      <c r="I889" t="s">
        <v>3606</v>
      </c>
      <c r="J889" s="4">
        <v>46071.223706909725</v>
      </c>
    </row>
    <row r="890" spans="1:11" x14ac:dyDescent="0.55000000000000004">
      <c r="A890" t="s">
        <v>3607</v>
      </c>
      <c r="B890">
        <v>100981</v>
      </c>
      <c r="D890" s="3">
        <v>45933</v>
      </c>
      <c r="E890" t="s">
        <v>409</v>
      </c>
      <c r="F890" t="s">
        <v>3608</v>
      </c>
      <c r="G890" t="s">
        <v>15</v>
      </c>
      <c r="H890" t="s">
        <v>3609</v>
      </c>
      <c r="I890" t="s">
        <v>3610</v>
      </c>
      <c r="J890" s="4">
        <v>46095.952179131942</v>
      </c>
      <c r="K890" t="s">
        <v>217</v>
      </c>
    </row>
    <row r="891" spans="1:11" x14ac:dyDescent="0.55000000000000004">
      <c r="A891" t="s">
        <v>3611</v>
      </c>
      <c r="B891">
        <v>101491</v>
      </c>
      <c r="C891" t="s">
        <v>19</v>
      </c>
      <c r="D891" s="3">
        <v>46052</v>
      </c>
      <c r="E891" t="s">
        <v>155</v>
      </c>
      <c r="F891" t="s">
        <v>3612</v>
      </c>
      <c r="G891" t="s">
        <v>22</v>
      </c>
      <c r="H891" t="s">
        <v>3613</v>
      </c>
      <c r="I891" t="s">
        <v>3614</v>
      </c>
      <c r="J891" s="4">
        <v>46085.373706921295</v>
      </c>
    </row>
    <row r="892" spans="1:11" x14ac:dyDescent="0.55000000000000004">
      <c r="A892" t="s">
        <v>3615</v>
      </c>
      <c r="B892">
        <v>100730</v>
      </c>
      <c r="C892" t="s">
        <v>533</v>
      </c>
      <c r="D892" s="3">
        <v>45757</v>
      </c>
      <c r="E892" t="s">
        <v>89</v>
      </c>
      <c r="F892" t="s">
        <v>3616</v>
      </c>
      <c r="G892" t="s">
        <v>22</v>
      </c>
      <c r="H892" t="s">
        <v>3617</v>
      </c>
      <c r="I892" t="s">
        <v>3618</v>
      </c>
      <c r="J892" s="4">
        <v>46088.619540254629</v>
      </c>
    </row>
    <row r="893" spans="1:11" x14ac:dyDescent="0.55000000000000004">
      <c r="A893" t="s">
        <v>3619</v>
      </c>
      <c r="B893">
        <v>101079</v>
      </c>
      <c r="C893" t="s">
        <v>68</v>
      </c>
      <c r="D893" s="3">
        <v>45819</v>
      </c>
      <c r="E893" t="s">
        <v>243</v>
      </c>
      <c r="F893" t="s">
        <v>3620</v>
      </c>
      <c r="G893" t="s">
        <v>22</v>
      </c>
      <c r="H893" t="s">
        <v>3621</v>
      </c>
      <c r="I893" t="s">
        <v>3622</v>
      </c>
      <c r="J893" s="4">
        <v>46054.043151377315</v>
      </c>
    </row>
    <row r="894" spans="1:11" x14ac:dyDescent="0.55000000000000004">
      <c r="A894" t="s">
        <v>3623</v>
      </c>
      <c r="B894">
        <v>100450</v>
      </c>
      <c r="C894" t="s">
        <v>533</v>
      </c>
      <c r="D894" s="3">
        <v>45846</v>
      </c>
      <c r="E894" t="s">
        <v>562</v>
      </c>
      <c r="F894" t="s">
        <v>3624</v>
      </c>
      <c r="G894" t="s">
        <v>22</v>
      </c>
      <c r="H894" t="s">
        <v>3625</v>
      </c>
      <c r="I894" t="s">
        <v>3626</v>
      </c>
      <c r="J894" s="4">
        <v>46066.202873599534</v>
      </c>
    </row>
    <row r="895" spans="1:11" x14ac:dyDescent="0.55000000000000004">
      <c r="A895" t="s">
        <v>3627</v>
      </c>
      <c r="B895">
        <v>100281</v>
      </c>
      <c r="C895" t="s">
        <v>533</v>
      </c>
      <c r="D895" s="3">
        <v>45952</v>
      </c>
      <c r="E895" t="s">
        <v>38</v>
      </c>
      <c r="F895" t="s">
        <v>3628</v>
      </c>
      <c r="G895" t="s">
        <v>15</v>
      </c>
      <c r="H895" t="s">
        <v>3629</v>
      </c>
      <c r="I895" t="s">
        <v>3630</v>
      </c>
      <c r="J895" s="4">
        <v>46078.783429166666</v>
      </c>
    </row>
    <row r="896" spans="1:11" x14ac:dyDescent="0.55000000000000004">
      <c r="A896" t="s">
        <v>3631</v>
      </c>
      <c r="B896">
        <v>100244</v>
      </c>
      <c r="C896" t="s">
        <v>248</v>
      </c>
      <c r="D896" s="3">
        <v>45946</v>
      </c>
      <c r="E896" t="s">
        <v>69</v>
      </c>
      <c r="F896" t="s">
        <v>3632</v>
      </c>
      <c r="G896" t="s">
        <v>15</v>
      </c>
      <c r="H896" t="s">
        <v>3633</v>
      </c>
      <c r="I896" t="s">
        <v>3634</v>
      </c>
      <c r="J896" s="4">
        <v>46096.333429166669</v>
      </c>
    </row>
    <row r="897" spans="1:10" x14ac:dyDescent="0.55000000000000004">
      <c r="A897" t="s">
        <v>3635</v>
      </c>
      <c r="B897">
        <v>100641</v>
      </c>
      <c r="C897" t="s">
        <v>248</v>
      </c>
      <c r="D897" s="3">
        <v>45852</v>
      </c>
      <c r="E897" t="s">
        <v>208</v>
      </c>
      <c r="F897" t="s">
        <v>3636</v>
      </c>
      <c r="G897" t="s">
        <v>22</v>
      </c>
      <c r="H897" t="s">
        <v>3637</v>
      </c>
      <c r="I897" t="s">
        <v>3638</v>
      </c>
      <c r="J897" s="4">
        <v>46092.731345844906</v>
      </c>
    </row>
    <row r="898" spans="1:10" x14ac:dyDescent="0.55000000000000004">
      <c r="A898" t="s">
        <v>3639</v>
      </c>
      <c r="B898">
        <v>100496</v>
      </c>
      <c r="C898" t="s">
        <v>19</v>
      </c>
      <c r="D898" s="3">
        <v>45800</v>
      </c>
      <c r="E898" t="s">
        <v>757</v>
      </c>
      <c r="F898" t="s">
        <v>3640</v>
      </c>
      <c r="G898" t="s">
        <v>15</v>
      </c>
      <c r="H898" t="s">
        <v>3641</v>
      </c>
      <c r="I898" t="s">
        <v>3642</v>
      </c>
      <c r="J898" s="4">
        <v>46052.200790300929</v>
      </c>
    </row>
    <row r="899" spans="1:10" x14ac:dyDescent="0.55000000000000004">
      <c r="A899" t="s">
        <v>3643</v>
      </c>
      <c r="B899">
        <v>100533</v>
      </c>
      <c r="C899" t="s">
        <v>179</v>
      </c>
      <c r="D899" s="3">
        <v>46108</v>
      </c>
      <c r="E899" t="s">
        <v>343</v>
      </c>
      <c r="F899" t="s">
        <v>3644</v>
      </c>
      <c r="G899" t="s">
        <v>15</v>
      </c>
      <c r="H899" t="s">
        <v>3645</v>
      </c>
      <c r="I899" t="s">
        <v>3646</v>
      </c>
      <c r="J899" s="4">
        <v>46094.273012523146</v>
      </c>
    </row>
    <row r="900" spans="1:10" x14ac:dyDescent="0.55000000000000004">
      <c r="A900" t="s">
        <v>3647</v>
      </c>
      <c r="B900">
        <v>100796</v>
      </c>
      <c r="C900" t="s">
        <v>248</v>
      </c>
      <c r="D900" s="3">
        <v>45973</v>
      </c>
      <c r="E900" t="s">
        <v>27</v>
      </c>
      <c r="F900" t="s">
        <v>3648</v>
      </c>
      <c r="G900" t="s">
        <v>15</v>
      </c>
      <c r="H900" t="s">
        <v>3649</v>
      </c>
      <c r="I900" t="s">
        <v>3650</v>
      </c>
      <c r="J900" s="4">
        <v>46097.385512523149</v>
      </c>
    </row>
    <row r="901" spans="1:10" x14ac:dyDescent="0.55000000000000004">
      <c r="A901" t="s">
        <v>3651</v>
      </c>
      <c r="B901">
        <v>100784</v>
      </c>
      <c r="C901" t="s">
        <v>19</v>
      </c>
      <c r="D901" s="3">
        <v>46049</v>
      </c>
      <c r="E901" t="s">
        <v>58</v>
      </c>
      <c r="F901" t="s">
        <v>3652</v>
      </c>
      <c r="G901" t="s">
        <v>22</v>
      </c>
      <c r="H901" t="s">
        <v>3653</v>
      </c>
      <c r="I901" t="s">
        <v>3654</v>
      </c>
      <c r="J901" s="4">
        <v>46088.950790312498</v>
      </c>
    </row>
    <row r="902" spans="1:10" x14ac:dyDescent="0.55000000000000004">
      <c r="A902" t="s">
        <v>3655</v>
      </c>
      <c r="B902">
        <v>101420</v>
      </c>
      <c r="C902" t="s">
        <v>37</v>
      </c>
      <c r="D902" s="3">
        <v>46029</v>
      </c>
      <c r="E902" t="s">
        <v>20</v>
      </c>
      <c r="F902" t="s">
        <v>3656</v>
      </c>
      <c r="G902" t="s">
        <v>15</v>
      </c>
      <c r="H902" t="s">
        <v>3657</v>
      </c>
      <c r="I902" t="s">
        <v>3658</v>
      </c>
      <c r="J902" s="4">
        <v>46065.045234756944</v>
      </c>
    </row>
    <row r="903" spans="1:10" x14ac:dyDescent="0.55000000000000004">
      <c r="A903" t="s">
        <v>3659</v>
      </c>
      <c r="B903">
        <v>100652</v>
      </c>
      <c r="C903" t="s">
        <v>68</v>
      </c>
      <c r="D903" s="3">
        <v>45971</v>
      </c>
      <c r="E903" t="s">
        <v>155</v>
      </c>
      <c r="F903" t="s">
        <v>3660</v>
      </c>
      <c r="G903" t="s">
        <v>22</v>
      </c>
      <c r="H903" t="s">
        <v>3661</v>
      </c>
      <c r="I903" t="s">
        <v>3662</v>
      </c>
      <c r="J903" s="4">
        <v>46051.991762534723</v>
      </c>
    </row>
    <row r="904" spans="1:10" x14ac:dyDescent="0.55000000000000004">
      <c r="A904" t="s">
        <v>3663</v>
      </c>
      <c r="B904">
        <v>100860</v>
      </c>
      <c r="C904" t="s">
        <v>179</v>
      </c>
      <c r="D904" s="3">
        <v>45804</v>
      </c>
      <c r="E904" t="s">
        <v>295</v>
      </c>
      <c r="F904" t="s">
        <v>3664</v>
      </c>
      <c r="G904" t="s">
        <v>15</v>
      </c>
      <c r="H904" t="s">
        <v>3665</v>
      </c>
      <c r="I904" t="s">
        <v>3666</v>
      </c>
      <c r="J904" s="4">
        <v>46089.036206990742</v>
      </c>
    </row>
    <row r="905" spans="1:10" x14ac:dyDescent="0.55000000000000004">
      <c r="A905" t="s">
        <v>3667</v>
      </c>
      <c r="B905">
        <v>100253</v>
      </c>
      <c r="C905" t="s">
        <v>248</v>
      </c>
      <c r="D905" s="3">
        <v>46114</v>
      </c>
      <c r="E905" t="s">
        <v>58</v>
      </c>
      <c r="F905" t="s">
        <v>3668</v>
      </c>
      <c r="G905" t="s">
        <v>22</v>
      </c>
      <c r="H905" t="s">
        <v>3669</v>
      </c>
      <c r="I905" t="s">
        <v>3670</v>
      </c>
      <c r="J905" s="4">
        <v>46058.370929212964</v>
      </c>
    </row>
    <row r="906" spans="1:10" x14ac:dyDescent="0.55000000000000004">
      <c r="A906" t="s">
        <v>3671</v>
      </c>
      <c r="B906">
        <v>100997</v>
      </c>
      <c r="C906" t="s">
        <v>19</v>
      </c>
      <c r="D906" s="3">
        <v>45892</v>
      </c>
      <c r="E906" t="s">
        <v>356</v>
      </c>
      <c r="F906" t="s">
        <v>3672</v>
      </c>
      <c r="G906" t="s">
        <v>22</v>
      </c>
      <c r="H906" t="s">
        <v>3673</v>
      </c>
      <c r="I906" t="s">
        <v>3674</v>
      </c>
      <c r="J906" s="4">
        <v>46087.955651446762</v>
      </c>
    </row>
    <row r="907" spans="1:10" x14ac:dyDescent="0.55000000000000004">
      <c r="A907" t="s">
        <v>3607</v>
      </c>
      <c r="B907">
        <v>100265</v>
      </c>
      <c r="C907" t="s">
        <v>179</v>
      </c>
      <c r="D907" s="3">
        <v>45759</v>
      </c>
      <c r="E907" t="s">
        <v>115</v>
      </c>
      <c r="F907" t="s">
        <v>3675</v>
      </c>
      <c r="G907" t="s">
        <v>15</v>
      </c>
      <c r="H907" t="s">
        <v>3676</v>
      </c>
      <c r="I907" t="s">
        <v>3677</v>
      </c>
      <c r="J907" s="4">
        <v>46083.485512557869</v>
      </c>
    </row>
    <row r="908" spans="1:10" x14ac:dyDescent="0.55000000000000004">
      <c r="A908" t="s">
        <v>3678</v>
      </c>
      <c r="B908">
        <v>101288</v>
      </c>
      <c r="C908" t="s">
        <v>37</v>
      </c>
      <c r="D908" s="3">
        <v>45972</v>
      </c>
      <c r="E908" t="s">
        <v>418</v>
      </c>
      <c r="F908" t="s">
        <v>3679</v>
      </c>
      <c r="G908" t="s">
        <v>22</v>
      </c>
      <c r="H908" t="s">
        <v>3680</v>
      </c>
      <c r="I908" t="s">
        <v>3681</v>
      </c>
      <c r="J908" s="4">
        <v>46090.042457002317</v>
      </c>
    </row>
    <row r="909" spans="1:10" x14ac:dyDescent="0.55000000000000004">
      <c r="A909" t="s">
        <v>3682</v>
      </c>
      <c r="B909">
        <v>100971</v>
      </c>
      <c r="C909" t="s">
        <v>37</v>
      </c>
      <c r="D909" s="3">
        <v>45958</v>
      </c>
      <c r="E909" t="s">
        <v>27</v>
      </c>
      <c r="F909" t="s">
        <v>3683</v>
      </c>
      <c r="G909" t="s">
        <v>22</v>
      </c>
      <c r="H909" t="s">
        <v>3684</v>
      </c>
      <c r="I909" t="s">
        <v>3685</v>
      </c>
      <c r="J909" s="4">
        <v>46068.045234791665</v>
      </c>
    </row>
    <row r="910" spans="1:10" x14ac:dyDescent="0.55000000000000004">
      <c r="A910" t="s">
        <v>3686</v>
      </c>
      <c r="B910">
        <v>101255</v>
      </c>
      <c r="C910" t="s">
        <v>533</v>
      </c>
      <c r="D910" s="3">
        <v>46100</v>
      </c>
      <c r="E910" t="s">
        <v>155</v>
      </c>
      <c r="F910" t="s">
        <v>3687</v>
      </c>
      <c r="G910" t="s">
        <v>22</v>
      </c>
      <c r="H910" t="s">
        <v>3688</v>
      </c>
      <c r="I910" t="s">
        <v>3689</v>
      </c>
      <c r="J910" s="4">
        <v>46092.456345902778</v>
      </c>
    </row>
    <row r="911" spans="1:10" x14ac:dyDescent="0.55000000000000004">
      <c r="A911" t="s">
        <v>3690</v>
      </c>
      <c r="B911">
        <v>100761</v>
      </c>
      <c r="C911" t="s">
        <v>68</v>
      </c>
      <c r="D911" s="3">
        <v>45824</v>
      </c>
      <c r="E911" t="s">
        <v>317</v>
      </c>
      <c r="F911" t="s">
        <v>3691</v>
      </c>
      <c r="G911" t="s">
        <v>22</v>
      </c>
      <c r="H911" t="s">
        <v>3692</v>
      </c>
      <c r="I911" t="s">
        <v>3693</v>
      </c>
      <c r="J911" s="4">
        <v>46060.802873692126</v>
      </c>
    </row>
    <row r="912" spans="1:10" x14ac:dyDescent="0.55000000000000004">
      <c r="A912" t="s">
        <v>3694</v>
      </c>
      <c r="B912">
        <v>100162</v>
      </c>
      <c r="C912" t="s">
        <v>19</v>
      </c>
      <c r="D912" s="3">
        <v>45840</v>
      </c>
      <c r="E912" t="s">
        <v>528</v>
      </c>
      <c r="F912" t="s">
        <v>3695</v>
      </c>
      <c r="G912" t="s">
        <v>22</v>
      </c>
      <c r="H912" t="s">
        <v>3696</v>
      </c>
      <c r="I912" t="s">
        <v>3697</v>
      </c>
      <c r="J912" s="4">
        <v>46093.395929247687</v>
      </c>
    </row>
    <row r="913" spans="1:10" x14ac:dyDescent="0.55000000000000004">
      <c r="A913" t="s">
        <v>3698</v>
      </c>
      <c r="B913">
        <v>101071</v>
      </c>
      <c r="C913" t="s">
        <v>19</v>
      </c>
      <c r="D913" s="3">
        <v>46078</v>
      </c>
      <c r="E913" t="s">
        <v>20</v>
      </c>
      <c r="F913" t="s">
        <v>3699</v>
      </c>
      <c r="G913" t="s">
        <v>15</v>
      </c>
      <c r="H913" t="s">
        <v>3700</v>
      </c>
      <c r="I913" t="s">
        <v>3701</v>
      </c>
      <c r="J913" s="4">
        <v>46078.777179247685</v>
      </c>
    </row>
    <row r="914" spans="1:10" x14ac:dyDescent="0.55000000000000004">
      <c r="A914" t="s">
        <v>3702</v>
      </c>
      <c r="B914">
        <v>101018</v>
      </c>
      <c r="C914" t="s">
        <v>533</v>
      </c>
      <c r="D914" s="3">
        <v>45933</v>
      </c>
      <c r="E914" t="s">
        <v>170</v>
      </c>
      <c r="F914" t="s">
        <v>3703</v>
      </c>
      <c r="G914" t="s">
        <v>22</v>
      </c>
      <c r="H914" t="s">
        <v>3704</v>
      </c>
      <c r="I914" t="s">
        <v>3705</v>
      </c>
      <c r="J914" s="4">
        <v>46088.704957037036</v>
      </c>
    </row>
    <row r="915" spans="1:10" x14ac:dyDescent="0.55000000000000004">
      <c r="A915" t="s">
        <v>3706</v>
      </c>
      <c r="B915">
        <v>100850</v>
      </c>
      <c r="C915" t="s">
        <v>37</v>
      </c>
      <c r="D915" s="3">
        <v>45967</v>
      </c>
      <c r="E915" t="s">
        <v>213</v>
      </c>
      <c r="F915" t="s">
        <v>3707</v>
      </c>
      <c r="G915" t="s">
        <v>22</v>
      </c>
      <c r="H915" t="s">
        <v>3708</v>
      </c>
      <c r="I915" t="s">
        <v>3709</v>
      </c>
      <c r="J915" s="4">
        <v>46058.810512592594</v>
      </c>
    </row>
    <row r="916" spans="1:10" x14ac:dyDescent="0.55000000000000004">
      <c r="A916" t="s">
        <v>3710</v>
      </c>
      <c r="B916">
        <v>101177</v>
      </c>
      <c r="C916" t="s">
        <v>37</v>
      </c>
      <c r="D916" s="3">
        <v>45900</v>
      </c>
      <c r="E916" t="s">
        <v>317</v>
      </c>
      <c r="F916" t="s">
        <v>3711</v>
      </c>
      <c r="G916" t="s">
        <v>22</v>
      </c>
      <c r="H916" t="s">
        <v>3712</v>
      </c>
      <c r="I916" t="s">
        <v>3713</v>
      </c>
      <c r="J916" s="4">
        <v>46076.936901493056</v>
      </c>
    </row>
    <row r="917" spans="1:10" x14ac:dyDescent="0.55000000000000004">
      <c r="A917" t="s">
        <v>3714</v>
      </c>
      <c r="B917">
        <v>100516</v>
      </c>
      <c r="C917" t="s">
        <v>533</v>
      </c>
      <c r="D917" s="3">
        <v>45840</v>
      </c>
      <c r="E917" t="s">
        <v>317</v>
      </c>
      <c r="F917" t="s">
        <v>3715</v>
      </c>
      <c r="G917" t="s">
        <v>22</v>
      </c>
      <c r="H917" t="s">
        <v>3716</v>
      </c>
      <c r="I917" t="s">
        <v>3717</v>
      </c>
      <c r="J917" s="4">
        <v>46077.667457048614</v>
      </c>
    </row>
    <row r="918" spans="1:10" x14ac:dyDescent="0.55000000000000004">
      <c r="A918" t="s">
        <v>3718</v>
      </c>
      <c r="B918">
        <v>100913</v>
      </c>
      <c r="C918" t="s">
        <v>37</v>
      </c>
      <c r="D918" s="3">
        <v>46012</v>
      </c>
      <c r="E918" t="s">
        <v>243</v>
      </c>
      <c r="F918" t="s">
        <v>3719</v>
      </c>
      <c r="G918" t="s">
        <v>22</v>
      </c>
      <c r="H918" t="s">
        <v>3720</v>
      </c>
      <c r="I918" t="s">
        <v>3721</v>
      </c>
      <c r="J918" s="4">
        <v>46086.40495704861</v>
      </c>
    </row>
    <row r="919" spans="1:10" x14ac:dyDescent="0.55000000000000004">
      <c r="A919" t="s">
        <v>3722</v>
      </c>
      <c r="B919">
        <v>100736</v>
      </c>
      <c r="C919" t="s">
        <v>179</v>
      </c>
      <c r="D919" s="3">
        <v>45777</v>
      </c>
      <c r="E919" t="s">
        <v>115</v>
      </c>
      <c r="F919" t="s">
        <v>3723</v>
      </c>
      <c r="G919" t="s">
        <v>15</v>
      </c>
      <c r="H919" t="s">
        <v>3724</v>
      </c>
      <c r="I919" t="s">
        <v>3725</v>
      </c>
      <c r="J919" s="4">
        <v>46073.173707060188</v>
      </c>
    </row>
    <row r="920" spans="1:10" x14ac:dyDescent="0.55000000000000004">
      <c r="A920" t="s">
        <v>3726</v>
      </c>
      <c r="B920">
        <v>100834</v>
      </c>
      <c r="C920" t="s">
        <v>68</v>
      </c>
      <c r="D920" s="3">
        <v>46063</v>
      </c>
      <c r="E920" t="s">
        <v>199</v>
      </c>
      <c r="F920" t="s">
        <v>3727</v>
      </c>
      <c r="G920" t="s">
        <v>22</v>
      </c>
      <c r="H920" t="s">
        <v>3728</v>
      </c>
      <c r="I920" t="s">
        <v>3729</v>
      </c>
      <c r="J920" s="4">
        <v>46070.304957060187</v>
      </c>
    </row>
    <row r="921" spans="1:10" x14ac:dyDescent="0.55000000000000004">
      <c r="A921" t="s">
        <v>3730</v>
      </c>
      <c r="B921">
        <v>100627</v>
      </c>
      <c r="C921" t="s">
        <v>19</v>
      </c>
      <c r="D921" s="3">
        <v>45799</v>
      </c>
      <c r="E921" t="s">
        <v>141</v>
      </c>
      <c r="F921" t="s">
        <v>3731</v>
      </c>
      <c r="G921" t="s">
        <v>22</v>
      </c>
      <c r="H921" t="s">
        <v>3732</v>
      </c>
      <c r="I921" t="s">
        <v>3733</v>
      </c>
      <c r="J921" s="4">
        <v>46065.461901504626</v>
      </c>
    </row>
    <row r="922" spans="1:10" x14ac:dyDescent="0.55000000000000004">
      <c r="A922" t="s">
        <v>3734</v>
      </c>
      <c r="B922">
        <v>100453</v>
      </c>
      <c r="C922" t="s">
        <v>19</v>
      </c>
      <c r="D922" s="3">
        <v>45960</v>
      </c>
      <c r="E922" t="s">
        <v>58</v>
      </c>
      <c r="F922" t="s">
        <v>3735</v>
      </c>
      <c r="G922" t="s">
        <v>22</v>
      </c>
      <c r="H922" t="s">
        <v>3736</v>
      </c>
      <c r="I922" t="s">
        <v>3737</v>
      </c>
      <c r="J922" s="4">
        <v>46092.145234849537</v>
      </c>
    </row>
    <row r="923" spans="1:10" x14ac:dyDescent="0.55000000000000004">
      <c r="A923" t="s">
        <v>3738</v>
      </c>
      <c r="B923">
        <v>100912</v>
      </c>
      <c r="C923" t="s">
        <v>68</v>
      </c>
      <c r="D923" s="3">
        <v>46046</v>
      </c>
      <c r="E923" t="s">
        <v>69</v>
      </c>
      <c r="F923" t="s">
        <v>3739</v>
      </c>
      <c r="G923" t="s">
        <v>22</v>
      </c>
      <c r="H923" t="s">
        <v>3740</v>
      </c>
      <c r="I923" t="s">
        <v>3741</v>
      </c>
      <c r="J923" s="4">
        <v>46092.688984849534</v>
      </c>
    </row>
    <row r="924" spans="1:10" x14ac:dyDescent="0.55000000000000004">
      <c r="A924" t="s">
        <v>3742</v>
      </c>
      <c r="B924">
        <v>100773</v>
      </c>
      <c r="C924" t="s">
        <v>19</v>
      </c>
      <c r="D924" s="3">
        <v>45906</v>
      </c>
      <c r="E924" t="s">
        <v>189</v>
      </c>
      <c r="F924" t="s">
        <v>3743</v>
      </c>
      <c r="G924" t="s">
        <v>15</v>
      </c>
      <c r="H924" t="s">
        <v>3744</v>
      </c>
      <c r="I924" t="s">
        <v>3745</v>
      </c>
      <c r="J924" s="4">
        <v>46065.996623749998</v>
      </c>
    </row>
    <row r="925" spans="1:10" x14ac:dyDescent="0.55000000000000004">
      <c r="A925" t="s">
        <v>3746</v>
      </c>
      <c r="B925">
        <v>100324</v>
      </c>
      <c r="C925" t="s">
        <v>19</v>
      </c>
      <c r="D925" s="3">
        <v>45774</v>
      </c>
      <c r="E925" t="s">
        <v>757</v>
      </c>
      <c r="F925" t="s">
        <v>3747</v>
      </c>
      <c r="G925" t="s">
        <v>15</v>
      </c>
      <c r="H925" t="s">
        <v>3748</v>
      </c>
      <c r="I925" t="s">
        <v>3749</v>
      </c>
      <c r="J925" s="4">
        <v>46067.318845972222</v>
      </c>
    </row>
    <row r="926" spans="1:10" x14ac:dyDescent="0.55000000000000004">
      <c r="A926" t="s">
        <v>3750</v>
      </c>
      <c r="B926">
        <v>100609</v>
      </c>
      <c r="C926" t="s">
        <v>533</v>
      </c>
      <c r="D926" s="3">
        <v>45797</v>
      </c>
      <c r="E926" t="s">
        <v>208</v>
      </c>
      <c r="F926" t="s">
        <v>3751</v>
      </c>
      <c r="G926" t="s">
        <v>22</v>
      </c>
      <c r="H926" t="s">
        <v>3752</v>
      </c>
      <c r="I926" t="s">
        <v>3753</v>
      </c>
      <c r="J926" s="4">
        <v>46061.678568206022</v>
      </c>
    </row>
    <row r="927" spans="1:10" x14ac:dyDescent="0.55000000000000004">
      <c r="A927" t="s">
        <v>3754</v>
      </c>
      <c r="B927">
        <v>100572</v>
      </c>
      <c r="C927" t="s">
        <v>19</v>
      </c>
      <c r="D927" s="3">
        <v>45771</v>
      </c>
      <c r="E927" t="s">
        <v>38</v>
      </c>
      <c r="F927" t="s">
        <v>3755</v>
      </c>
      <c r="G927" t="s">
        <v>15</v>
      </c>
      <c r="H927" t="s">
        <v>3756</v>
      </c>
      <c r="I927" t="s">
        <v>3757</v>
      </c>
      <c r="J927" s="4">
        <v>46065.141762650463</v>
      </c>
    </row>
    <row r="928" spans="1:10" x14ac:dyDescent="0.55000000000000004">
      <c r="A928" t="s">
        <v>3758</v>
      </c>
      <c r="B928">
        <v>101055</v>
      </c>
      <c r="C928" t="s">
        <v>179</v>
      </c>
      <c r="D928" s="3">
        <v>45780</v>
      </c>
      <c r="E928" t="s">
        <v>27</v>
      </c>
      <c r="F928" t="s">
        <v>3759</v>
      </c>
      <c r="G928" t="s">
        <v>22</v>
      </c>
      <c r="H928" t="s">
        <v>3760</v>
      </c>
      <c r="I928" t="s">
        <v>3761</v>
      </c>
      <c r="J928" s="4">
        <v>46075.384123761571</v>
      </c>
    </row>
    <row r="929" spans="1:11" x14ac:dyDescent="0.55000000000000004">
      <c r="A929" t="s">
        <v>3762</v>
      </c>
      <c r="B929">
        <v>101118</v>
      </c>
      <c r="C929" t="s">
        <v>19</v>
      </c>
      <c r="D929" s="3">
        <v>45773</v>
      </c>
      <c r="E929" t="s">
        <v>243</v>
      </c>
      <c r="F929" t="s">
        <v>3763</v>
      </c>
      <c r="G929" t="s">
        <v>15</v>
      </c>
      <c r="H929" t="s">
        <v>3764</v>
      </c>
      <c r="I929" t="s">
        <v>3765</v>
      </c>
      <c r="J929" s="4">
        <v>46086.187595995369</v>
      </c>
    </row>
    <row r="930" spans="1:11" x14ac:dyDescent="0.55000000000000004">
      <c r="A930" t="s">
        <v>3766</v>
      </c>
      <c r="B930">
        <v>100937</v>
      </c>
      <c r="D930" s="3">
        <v>45774</v>
      </c>
      <c r="E930" t="s">
        <v>49</v>
      </c>
      <c r="F930" t="s">
        <v>3767</v>
      </c>
      <c r="G930" t="s">
        <v>22</v>
      </c>
      <c r="H930" t="s">
        <v>3768</v>
      </c>
      <c r="I930" t="s">
        <v>3769</v>
      </c>
      <c r="J930" s="4">
        <v>46060.099401550928</v>
      </c>
      <c r="K930" t="s">
        <v>217</v>
      </c>
    </row>
    <row r="931" spans="1:11" x14ac:dyDescent="0.55000000000000004">
      <c r="A931" t="s">
        <v>3770</v>
      </c>
      <c r="B931">
        <v>100820</v>
      </c>
      <c r="C931" t="s">
        <v>179</v>
      </c>
      <c r="D931" s="3">
        <v>46051</v>
      </c>
      <c r="E931" t="s">
        <v>356</v>
      </c>
      <c r="F931" t="s">
        <v>3771</v>
      </c>
      <c r="G931" t="s">
        <v>15</v>
      </c>
      <c r="H931" t="s">
        <v>3772</v>
      </c>
      <c r="I931" t="s">
        <v>3773</v>
      </c>
      <c r="J931" s="4">
        <v>46086.634818229169</v>
      </c>
    </row>
    <row r="932" spans="1:11" x14ac:dyDescent="0.55000000000000004">
      <c r="A932" t="s">
        <v>3774</v>
      </c>
      <c r="B932">
        <v>100136</v>
      </c>
      <c r="C932" t="s">
        <v>19</v>
      </c>
      <c r="D932" s="3">
        <v>45864</v>
      </c>
      <c r="E932" t="s">
        <v>243</v>
      </c>
      <c r="F932" t="s">
        <v>3775</v>
      </c>
      <c r="G932" t="s">
        <v>15</v>
      </c>
      <c r="H932" t="s">
        <v>3776</v>
      </c>
      <c r="I932" t="s">
        <v>3777</v>
      </c>
      <c r="J932" s="4">
        <v>46072.580651562501</v>
      </c>
    </row>
    <row r="933" spans="1:11" x14ac:dyDescent="0.55000000000000004">
      <c r="A933" t="s">
        <v>3778</v>
      </c>
      <c r="B933">
        <v>100467</v>
      </c>
      <c r="C933" t="s">
        <v>37</v>
      </c>
      <c r="D933" s="3">
        <v>45819</v>
      </c>
      <c r="E933" t="s">
        <v>213</v>
      </c>
      <c r="F933" t="s">
        <v>3779</v>
      </c>
      <c r="G933" t="s">
        <v>22</v>
      </c>
      <c r="H933" t="s">
        <v>3780</v>
      </c>
      <c r="I933" t="s">
        <v>3781</v>
      </c>
      <c r="J933" s="4">
        <v>46077.866762673613</v>
      </c>
    </row>
    <row r="934" spans="1:11" x14ac:dyDescent="0.55000000000000004">
      <c r="A934" t="s">
        <v>3782</v>
      </c>
      <c r="B934">
        <v>101200</v>
      </c>
      <c r="C934" t="s">
        <v>19</v>
      </c>
      <c r="D934" s="3">
        <v>45916</v>
      </c>
      <c r="E934" t="s">
        <v>300</v>
      </c>
      <c r="F934" t="s">
        <v>3783</v>
      </c>
      <c r="G934" t="s">
        <v>15</v>
      </c>
      <c r="H934" t="s">
        <v>3784</v>
      </c>
      <c r="I934" t="s">
        <v>3785</v>
      </c>
      <c r="J934" s="4">
        <v>46089.554262685182</v>
      </c>
    </row>
    <row r="935" spans="1:11" x14ac:dyDescent="0.55000000000000004">
      <c r="A935" t="s">
        <v>3786</v>
      </c>
      <c r="B935">
        <v>100868</v>
      </c>
      <c r="C935" t="s">
        <v>37</v>
      </c>
      <c r="D935" s="3">
        <v>45829</v>
      </c>
      <c r="E935" t="s">
        <v>155</v>
      </c>
      <c r="F935" t="s">
        <v>3787</v>
      </c>
      <c r="G935" t="s">
        <v>15</v>
      </c>
      <c r="H935" t="s">
        <v>3788</v>
      </c>
      <c r="I935" t="s">
        <v>3789</v>
      </c>
      <c r="J935" s="4">
        <v>46096.448707129632</v>
      </c>
    </row>
    <row r="936" spans="1:11" x14ac:dyDescent="0.55000000000000004">
      <c r="A936" t="s">
        <v>3790</v>
      </c>
      <c r="B936">
        <v>101481</v>
      </c>
      <c r="C936" t="s">
        <v>19</v>
      </c>
      <c r="D936" s="3">
        <v>46064</v>
      </c>
      <c r="E936" t="s">
        <v>317</v>
      </c>
      <c r="F936" t="s">
        <v>3791</v>
      </c>
      <c r="G936" t="s">
        <v>15</v>
      </c>
      <c r="H936" t="s">
        <v>3792</v>
      </c>
      <c r="I936" t="s">
        <v>3793</v>
      </c>
      <c r="J936" s="4">
        <v>46069.855651574071</v>
      </c>
    </row>
    <row r="937" spans="1:11" x14ac:dyDescent="0.55000000000000004">
      <c r="A937" t="s">
        <v>3794</v>
      </c>
      <c r="B937">
        <v>101066</v>
      </c>
      <c r="C937" t="s">
        <v>19</v>
      </c>
      <c r="D937" s="3">
        <v>45829</v>
      </c>
      <c r="E937" t="s">
        <v>20</v>
      </c>
      <c r="F937" t="s">
        <v>3795</v>
      </c>
      <c r="G937" t="s">
        <v>22</v>
      </c>
      <c r="H937" t="s">
        <v>3796</v>
      </c>
      <c r="I937" t="s">
        <v>3797</v>
      </c>
      <c r="J937" s="4">
        <v>46088.072318252314</v>
      </c>
    </row>
    <row r="938" spans="1:11" x14ac:dyDescent="0.55000000000000004">
      <c r="A938" t="s">
        <v>3798</v>
      </c>
      <c r="B938">
        <v>101497</v>
      </c>
      <c r="C938" t="s">
        <v>179</v>
      </c>
      <c r="D938" s="3">
        <v>45743</v>
      </c>
      <c r="E938" t="s">
        <v>115</v>
      </c>
      <c r="F938" t="s">
        <v>2846</v>
      </c>
      <c r="G938" t="s">
        <v>15</v>
      </c>
      <c r="H938" t="s">
        <v>3799</v>
      </c>
      <c r="I938" t="s">
        <v>3800</v>
      </c>
      <c r="J938" s="4">
        <v>46053.113290474539</v>
      </c>
    </row>
    <row r="939" spans="1:11" x14ac:dyDescent="0.55000000000000004">
      <c r="A939" t="s">
        <v>3801</v>
      </c>
      <c r="B939">
        <v>100475</v>
      </c>
      <c r="C939" t="s">
        <v>19</v>
      </c>
      <c r="D939" s="3">
        <v>45973</v>
      </c>
      <c r="E939" t="s">
        <v>69</v>
      </c>
      <c r="F939" t="s">
        <v>3802</v>
      </c>
      <c r="G939" t="s">
        <v>15</v>
      </c>
      <c r="H939" t="s">
        <v>3803</v>
      </c>
      <c r="I939" t="s">
        <v>3804</v>
      </c>
      <c r="J939" s="4">
        <v>46085.327179363427</v>
      </c>
    </row>
    <row r="940" spans="1:11" x14ac:dyDescent="0.55000000000000004">
      <c r="A940" t="s">
        <v>3805</v>
      </c>
      <c r="B940">
        <v>100530</v>
      </c>
      <c r="C940" t="s">
        <v>19</v>
      </c>
      <c r="D940" s="3">
        <v>46156</v>
      </c>
      <c r="E940" t="s">
        <v>295</v>
      </c>
      <c r="F940" t="s">
        <v>3806</v>
      </c>
      <c r="G940" t="s">
        <v>15</v>
      </c>
      <c r="H940" t="s">
        <v>3807</v>
      </c>
      <c r="I940" t="s">
        <v>3808</v>
      </c>
      <c r="J940" s="4">
        <v>46090.849401597225</v>
      </c>
    </row>
    <row r="941" spans="1:11" x14ac:dyDescent="0.55000000000000004">
      <c r="A941" t="s">
        <v>3809</v>
      </c>
      <c r="B941">
        <v>100712</v>
      </c>
      <c r="C941" t="s">
        <v>179</v>
      </c>
      <c r="D941" s="3">
        <v>45944</v>
      </c>
      <c r="E941" t="s">
        <v>27</v>
      </c>
      <c r="F941" t="s">
        <v>3810</v>
      </c>
      <c r="G941" t="s">
        <v>22</v>
      </c>
      <c r="H941" t="s">
        <v>3811</v>
      </c>
      <c r="I941" t="s">
        <v>3812</v>
      </c>
      <c r="J941" s="4">
        <v>46095.052873819448</v>
      </c>
    </row>
    <row r="942" spans="1:11" x14ac:dyDescent="0.55000000000000004">
      <c r="A942" t="s">
        <v>3813</v>
      </c>
      <c r="B942">
        <v>100823</v>
      </c>
      <c r="C942" t="s">
        <v>179</v>
      </c>
      <c r="D942" s="3">
        <v>45980</v>
      </c>
      <c r="E942" t="s">
        <v>213</v>
      </c>
      <c r="F942" t="s">
        <v>3814</v>
      </c>
      <c r="G942" t="s">
        <v>15</v>
      </c>
      <c r="H942" t="s">
        <v>3815</v>
      </c>
      <c r="I942" t="s">
        <v>3816</v>
      </c>
      <c r="J942" s="4">
        <v>46052.659818275461</v>
      </c>
    </row>
    <row r="943" spans="1:11" x14ac:dyDescent="0.55000000000000004">
      <c r="A943" t="s">
        <v>3817</v>
      </c>
      <c r="B943">
        <v>100180</v>
      </c>
      <c r="C943" t="s">
        <v>19</v>
      </c>
      <c r="D943" s="3">
        <v>45741</v>
      </c>
      <c r="E943" t="s">
        <v>467</v>
      </c>
      <c r="F943" t="s">
        <v>3818</v>
      </c>
      <c r="G943" t="s">
        <v>15</v>
      </c>
      <c r="H943" t="s">
        <v>3819</v>
      </c>
      <c r="I943" t="s">
        <v>3820</v>
      </c>
      <c r="J943" s="4">
        <v>46079.824401608799</v>
      </c>
    </row>
    <row r="944" spans="1:11" x14ac:dyDescent="0.55000000000000004">
      <c r="A944" t="s">
        <v>3821</v>
      </c>
      <c r="B944">
        <v>101367</v>
      </c>
      <c r="C944" t="s">
        <v>179</v>
      </c>
      <c r="D944" s="3">
        <v>45974</v>
      </c>
      <c r="E944" t="s">
        <v>69</v>
      </c>
      <c r="F944" t="s">
        <v>3822</v>
      </c>
      <c r="G944" t="s">
        <v>22</v>
      </c>
      <c r="H944" t="s">
        <v>3823</v>
      </c>
      <c r="I944" t="s">
        <v>3824</v>
      </c>
      <c r="J944" s="4">
        <v>46068.754262719907</v>
      </c>
    </row>
    <row r="945" spans="1:11" x14ac:dyDescent="0.55000000000000004">
      <c r="A945" t="s">
        <v>3825</v>
      </c>
      <c r="B945">
        <v>101391</v>
      </c>
      <c r="C945" t="s">
        <v>179</v>
      </c>
      <c r="D945" s="3">
        <v>45742</v>
      </c>
      <c r="E945" t="s">
        <v>20</v>
      </c>
      <c r="F945" t="s">
        <v>3826</v>
      </c>
      <c r="G945" t="s">
        <v>15</v>
      </c>
      <c r="H945" t="s">
        <v>3827</v>
      </c>
      <c r="I945" t="s">
        <v>3828</v>
      </c>
      <c r="J945" s="4">
        <v>46067.257040509263</v>
      </c>
    </row>
    <row r="946" spans="1:11" x14ac:dyDescent="0.55000000000000004">
      <c r="A946" t="s">
        <v>3829</v>
      </c>
      <c r="B946">
        <v>100797</v>
      </c>
      <c r="C946" t="s">
        <v>179</v>
      </c>
      <c r="D946" s="3">
        <v>45850</v>
      </c>
      <c r="E946" t="s">
        <v>160</v>
      </c>
      <c r="F946" t="s">
        <v>3830</v>
      </c>
      <c r="G946" t="s">
        <v>22</v>
      </c>
      <c r="H946" t="s">
        <v>3831</v>
      </c>
      <c r="I946" t="s">
        <v>3832</v>
      </c>
      <c r="J946" s="4">
        <v>46089.32926273148</v>
      </c>
    </row>
    <row r="947" spans="1:11" x14ac:dyDescent="0.55000000000000004">
      <c r="A947" t="s">
        <v>3833</v>
      </c>
      <c r="B947">
        <v>100109</v>
      </c>
      <c r="C947" t="s">
        <v>179</v>
      </c>
      <c r="D947" s="3">
        <v>45945</v>
      </c>
      <c r="E947" t="s">
        <v>300</v>
      </c>
      <c r="F947" t="s">
        <v>3834</v>
      </c>
      <c r="G947" t="s">
        <v>15</v>
      </c>
      <c r="H947" t="s">
        <v>3835</v>
      </c>
      <c r="I947" t="s">
        <v>3836</v>
      </c>
      <c r="J947" s="4">
        <v>46058.451484953701</v>
      </c>
    </row>
    <row r="948" spans="1:11" x14ac:dyDescent="0.55000000000000004">
      <c r="A948" t="s">
        <v>3837</v>
      </c>
      <c r="B948">
        <v>100906</v>
      </c>
      <c r="C948" t="s">
        <v>68</v>
      </c>
      <c r="D948" s="3">
        <v>46085</v>
      </c>
      <c r="E948" t="s">
        <v>121</v>
      </c>
      <c r="F948" t="s">
        <v>3838</v>
      </c>
      <c r="G948" t="s">
        <v>15</v>
      </c>
      <c r="H948" t="s">
        <v>3839</v>
      </c>
      <c r="I948" t="s">
        <v>3840</v>
      </c>
      <c r="J948" s="4">
        <v>46085.523707187502</v>
      </c>
    </row>
    <row r="949" spans="1:11" x14ac:dyDescent="0.55000000000000004">
      <c r="A949" t="s">
        <v>3841</v>
      </c>
      <c r="B949">
        <v>101046</v>
      </c>
      <c r="D949" s="3">
        <v>45983</v>
      </c>
      <c r="E949" t="s">
        <v>69</v>
      </c>
      <c r="F949" t="s">
        <v>3842</v>
      </c>
      <c r="G949" t="s">
        <v>22</v>
      </c>
      <c r="H949" t="s">
        <v>3843</v>
      </c>
      <c r="I949" t="s">
        <v>3844</v>
      </c>
      <c r="J949" s="4">
        <v>46078.412596076392</v>
      </c>
      <c r="K949" t="s">
        <v>217</v>
      </c>
    </row>
    <row r="950" spans="1:11" x14ac:dyDescent="0.55000000000000004">
      <c r="A950" t="s">
        <v>3845</v>
      </c>
      <c r="B950">
        <v>100881</v>
      </c>
      <c r="C950" t="s">
        <v>248</v>
      </c>
      <c r="D950" s="3">
        <v>46017</v>
      </c>
      <c r="E950" t="s">
        <v>155</v>
      </c>
      <c r="F950" t="s">
        <v>3846</v>
      </c>
      <c r="G950" t="s">
        <v>22</v>
      </c>
      <c r="H950" t="s">
        <v>3847</v>
      </c>
      <c r="I950" t="s">
        <v>3848</v>
      </c>
      <c r="J950" s="4">
        <v>46081.238290532405</v>
      </c>
    </row>
    <row r="951" spans="1:11" x14ac:dyDescent="0.55000000000000004">
      <c r="A951" t="s">
        <v>3849</v>
      </c>
      <c r="B951">
        <v>100768</v>
      </c>
      <c r="C951" t="s">
        <v>533</v>
      </c>
      <c r="D951" s="3">
        <v>45821</v>
      </c>
      <c r="E951" t="s">
        <v>13</v>
      </c>
      <c r="F951" t="s">
        <v>3850</v>
      </c>
      <c r="G951" t="s">
        <v>22</v>
      </c>
      <c r="H951" t="s">
        <v>3851</v>
      </c>
      <c r="I951" t="s">
        <v>3852</v>
      </c>
      <c r="J951" s="4">
        <v>46089.868151643517</v>
      </c>
    </row>
    <row r="952" spans="1:11" x14ac:dyDescent="0.55000000000000004">
      <c r="A952" t="s">
        <v>3853</v>
      </c>
      <c r="B952">
        <v>100914</v>
      </c>
      <c r="C952" t="s">
        <v>248</v>
      </c>
      <c r="D952" s="3">
        <v>45793</v>
      </c>
      <c r="E952" t="s">
        <v>208</v>
      </c>
      <c r="F952" t="s">
        <v>3854</v>
      </c>
      <c r="G952" t="s">
        <v>22</v>
      </c>
      <c r="H952" t="s">
        <v>3855</v>
      </c>
      <c r="I952" t="s">
        <v>3856</v>
      </c>
      <c r="J952" s="4">
        <v>46075.679957210647</v>
      </c>
    </row>
    <row r="953" spans="1:11" x14ac:dyDescent="0.55000000000000004">
      <c r="A953" t="s">
        <v>3857</v>
      </c>
      <c r="B953">
        <v>100005</v>
      </c>
      <c r="C953" t="s">
        <v>19</v>
      </c>
      <c r="D953" s="3">
        <v>45868</v>
      </c>
      <c r="E953" t="s">
        <v>317</v>
      </c>
      <c r="F953" t="s">
        <v>3858</v>
      </c>
      <c r="G953" t="s">
        <v>15</v>
      </c>
      <c r="H953" t="s">
        <v>3859</v>
      </c>
      <c r="I953" t="s">
        <v>3860</v>
      </c>
      <c r="J953" s="4">
        <v>46052.674401655095</v>
      </c>
    </row>
    <row r="954" spans="1:11" x14ac:dyDescent="0.55000000000000004">
      <c r="A954" t="s">
        <v>3861</v>
      </c>
      <c r="B954">
        <v>101453</v>
      </c>
      <c r="C954" t="s">
        <v>179</v>
      </c>
      <c r="D954" s="3">
        <v>46141</v>
      </c>
      <c r="E954" t="s">
        <v>141</v>
      </c>
      <c r="F954" t="s">
        <v>3862</v>
      </c>
      <c r="G954" t="s">
        <v>15</v>
      </c>
      <c r="H954" t="s">
        <v>3863</v>
      </c>
      <c r="I954" t="s">
        <v>3864</v>
      </c>
      <c r="J954" s="4">
        <v>46062.686901666668</v>
      </c>
    </row>
    <row r="955" spans="1:11" x14ac:dyDescent="0.55000000000000004">
      <c r="A955" t="s">
        <v>3865</v>
      </c>
      <c r="B955">
        <v>100671</v>
      </c>
      <c r="C955" t="s">
        <v>19</v>
      </c>
      <c r="D955" s="3">
        <v>45785</v>
      </c>
      <c r="E955" t="s">
        <v>317</v>
      </c>
      <c r="F955" t="s">
        <v>3866</v>
      </c>
      <c r="G955" t="s">
        <v>15</v>
      </c>
      <c r="H955" t="s">
        <v>3867</v>
      </c>
      <c r="I955" t="s">
        <v>3868</v>
      </c>
      <c r="J955" s="4">
        <v>46084.232040555558</v>
      </c>
    </row>
    <row r="956" spans="1:11" x14ac:dyDescent="0.55000000000000004">
      <c r="A956" t="s">
        <v>3869</v>
      </c>
      <c r="B956">
        <v>100151</v>
      </c>
      <c r="C956" t="s">
        <v>533</v>
      </c>
      <c r="D956" s="3">
        <v>46104</v>
      </c>
      <c r="E956" t="s">
        <v>757</v>
      </c>
      <c r="F956" t="s">
        <v>3870</v>
      </c>
      <c r="G956" t="s">
        <v>22</v>
      </c>
      <c r="H956" t="s">
        <v>3871</v>
      </c>
      <c r="I956" t="s">
        <v>3872</v>
      </c>
      <c r="J956" s="4">
        <v>46091.527179456018</v>
      </c>
    </row>
    <row r="957" spans="1:11" x14ac:dyDescent="0.55000000000000004">
      <c r="A957" t="s">
        <v>3873</v>
      </c>
      <c r="B957">
        <v>100249</v>
      </c>
      <c r="C957" t="s">
        <v>68</v>
      </c>
      <c r="D957" s="3">
        <v>45903</v>
      </c>
      <c r="E957" t="s">
        <v>155</v>
      </c>
      <c r="F957" t="s">
        <v>3874</v>
      </c>
      <c r="G957" t="s">
        <v>15</v>
      </c>
      <c r="H957" t="s">
        <v>3875</v>
      </c>
      <c r="I957" t="s">
        <v>3876</v>
      </c>
      <c r="J957" s="4">
        <v>46069.154957233797</v>
      </c>
    </row>
    <row r="958" spans="1:11" x14ac:dyDescent="0.55000000000000004">
      <c r="A958" t="s">
        <v>6037</v>
      </c>
      <c r="B958">
        <v>100409</v>
      </c>
      <c r="C958" t="s">
        <v>37</v>
      </c>
      <c r="D958" s="3">
        <v>45857</v>
      </c>
      <c r="E958" t="s">
        <v>49</v>
      </c>
      <c r="F958" t="s">
        <v>3878</v>
      </c>
      <c r="G958" t="s">
        <v>15</v>
      </c>
      <c r="H958" t="s">
        <v>3879</v>
      </c>
      <c r="I958" t="s">
        <v>3880</v>
      </c>
      <c r="J958" s="4">
        <v>46092.368151689814</v>
      </c>
      <c r="K958" t="s">
        <v>119</v>
      </c>
    </row>
    <row r="959" spans="1:11" x14ac:dyDescent="0.55000000000000004">
      <c r="A959" t="s">
        <v>3881</v>
      </c>
      <c r="B959">
        <v>100506</v>
      </c>
      <c r="C959" t="s">
        <v>68</v>
      </c>
      <c r="D959" s="3">
        <v>46098</v>
      </c>
      <c r="E959" t="s">
        <v>356</v>
      </c>
      <c r="F959" t="s">
        <v>3882</v>
      </c>
      <c r="G959" t="s">
        <v>15</v>
      </c>
      <c r="H959" t="s">
        <v>3883</v>
      </c>
      <c r="I959" t="s">
        <v>3884</v>
      </c>
      <c r="J959" s="4">
        <v>46064.146623912035</v>
      </c>
    </row>
    <row r="960" spans="1:11" x14ac:dyDescent="0.55000000000000004">
      <c r="A960" t="s">
        <v>3885</v>
      </c>
      <c r="B960">
        <v>101438</v>
      </c>
      <c r="C960" t="s">
        <v>248</v>
      </c>
      <c r="D960" s="3">
        <v>45802</v>
      </c>
      <c r="E960" t="s">
        <v>757</v>
      </c>
      <c r="F960" t="s">
        <v>3886</v>
      </c>
      <c r="G960" t="s">
        <v>22</v>
      </c>
      <c r="H960" t="s">
        <v>3887</v>
      </c>
      <c r="I960" t="s">
        <v>3888</v>
      </c>
      <c r="J960" s="4">
        <v>46063.7757905787</v>
      </c>
    </row>
    <row r="961" spans="1:10" x14ac:dyDescent="0.55000000000000004">
      <c r="A961" t="s">
        <v>3889</v>
      </c>
      <c r="B961">
        <v>100713</v>
      </c>
      <c r="C961" t="s">
        <v>68</v>
      </c>
      <c r="D961" s="3">
        <v>45747</v>
      </c>
      <c r="E961" t="s">
        <v>265</v>
      </c>
      <c r="F961" t="s">
        <v>3890</v>
      </c>
      <c r="G961" t="s">
        <v>15</v>
      </c>
      <c r="H961" t="s">
        <v>3891</v>
      </c>
      <c r="I961" t="s">
        <v>3892</v>
      </c>
      <c r="J961" s="4">
        <v>46092.265373923612</v>
      </c>
    </row>
    <row r="962" spans="1:10" x14ac:dyDescent="0.55000000000000004">
      <c r="A962" t="s">
        <v>3893</v>
      </c>
      <c r="B962">
        <v>101454</v>
      </c>
      <c r="C962" t="s">
        <v>68</v>
      </c>
      <c r="D962" s="3">
        <v>45937</v>
      </c>
      <c r="E962" t="s">
        <v>69</v>
      </c>
      <c r="F962" t="s">
        <v>3894</v>
      </c>
      <c r="G962" t="s">
        <v>15</v>
      </c>
      <c r="H962" t="s">
        <v>3895</v>
      </c>
      <c r="I962" t="s">
        <v>3896</v>
      </c>
      <c r="J962" s="4">
        <v>46072.693846145834</v>
      </c>
    </row>
    <row r="963" spans="1:10" x14ac:dyDescent="0.55000000000000004">
      <c r="A963" t="s">
        <v>3897</v>
      </c>
      <c r="B963">
        <v>100199</v>
      </c>
      <c r="C963" t="s">
        <v>533</v>
      </c>
      <c r="D963" s="3">
        <v>46026</v>
      </c>
      <c r="E963" t="s">
        <v>317</v>
      </c>
      <c r="F963" t="s">
        <v>3898</v>
      </c>
      <c r="G963" t="s">
        <v>22</v>
      </c>
      <c r="H963" t="s">
        <v>3899</v>
      </c>
      <c r="I963" t="s">
        <v>3900</v>
      </c>
      <c r="J963" s="4">
        <v>46071.174401701392</v>
      </c>
    </row>
    <row r="964" spans="1:10" x14ac:dyDescent="0.55000000000000004">
      <c r="A964" t="s">
        <v>3901</v>
      </c>
      <c r="B964">
        <v>100589</v>
      </c>
      <c r="C964" t="s">
        <v>19</v>
      </c>
      <c r="D964" s="3">
        <v>45887</v>
      </c>
      <c r="E964" t="s">
        <v>126</v>
      </c>
      <c r="F964" t="s">
        <v>3902</v>
      </c>
      <c r="G964" t="s">
        <v>15</v>
      </c>
      <c r="H964" t="s">
        <v>3903</v>
      </c>
      <c r="I964" t="s">
        <v>3904</v>
      </c>
      <c r="J964" s="4">
        <v>46079.995929490738</v>
      </c>
    </row>
    <row r="965" spans="1:10" x14ac:dyDescent="0.55000000000000004">
      <c r="A965" t="s">
        <v>3905</v>
      </c>
      <c r="B965">
        <v>101392</v>
      </c>
      <c r="C965" t="s">
        <v>19</v>
      </c>
      <c r="D965" s="3">
        <v>45807</v>
      </c>
      <c r="E965" t="s">
        <v>680</v>
      </c>
      <c r="F965" t="s">
        <v>3906</v>
      </c>
      <c r="G965" t="s">
        <v>22</v>
      </c>
      <c r="H965" t="s">
        <v>3907</v>
      </c>
      <c r="I965" t="s">
        <v>3908</v>
      </c>
      <c r="J965" s="4">
        <v>46053.254957268517</v>
      </c>
    </row>
    <row r="966" spans="1:10" x14ac:dyDescent="0.55000000000000004">
      <c r="A966" t="s">
        <v>3909</v>
      </c>
      <c r="B966">
        <v>101480</v>
      </c>
      <c r="C966" t="s">
        <v>179</v>
      </c>
      <c r="D966" s="3">
        <v>46129</v>
      </c>
      <c r="E966" t="s">
        <v>20</v>
      </c>
      <c r="F966" t="s">
        <v>3910</v>
      </c>
      <c r="G966" t="s">
        <v>15</v>
      </c>
      <c r="H966" t="s">
        <v>3911</v>
      </c>
      <c r="I966" t="s">
        <v>3912</v>
      </c>
      <c r="J966" s="4">
        <v>46094.982040613424</v>
      </c>
    </row>
    <row r="967" spans="1:10" x14ac:dyDescent="0.55000000000000004">
      <c r="A967" t="s">
        <v>3913</v>
      </c>
      <c r="B967">
        <v>100424</v>
      </c>
      <c r="C967" t="s">
        <v>68</v>
      </c>
      <c r="D967" s="3">
        <v>45931</v>
      </c>
      <c r="E967" t="s">
        <v>562</v>
      </c>
      <c r="F967" t="s">
        <v>3914</v>
      </c>
      <c r="G967" t="s">
        <v>15</v>
      </c>
      <c r="H967" t="s">
        <v>3915</v>
      </c>
      <c r="I967" t="s">
        <v>3916</v>
      </c>
      <c r="J967" s="4">
        <v>46092.018846168983</v>
      </c>
    </row>
    <row r="968" spans="1:10" x14ac:dyDescent="0.55000000000000004">
      <c r="A968" t="s">
        <v>3917</v>
      </c>
      <c r="B968">
        <v>101072</v>
      </c>
      <c r="C968" t="s">
        <v>19</v>
      </c>
      <c r="D968" s="3">
        <v>45891</v>
      </c>
      <c r="E968" t="s">
        <v>199</v>
      </c>
      <c r="F968" t="s">
        <v>3918</v>
      </c>
      <c r="G968" t="s">
        <v>15</v>
      </c>
      <c r="H968" t="s">
        <v>3919</v>
      </c>
      <c r="I968" t="s">
        <v>3920</v>
      </c>
      <c r="J968" s="4">
        <v>46062.903568402777</v>
      </c>
    </row>
    <row r="969" spans="1:10" x14ac:dyDescent="0.55000000000000004">
      <c r="A969" t="s">
        <v>3369</v>
      </c>
      <c r="B969">
        <v>100074</v>
      </c>
      <c r="C969" t="s">
        <v>248</v>
      </c>
      <c r="D969" s="3">
        <v>45855</v>
      </c>
      <c r="E969" t="s">
        <v>757</v>
      </c>
      <c r="F969" t="s">
        <v>3921</v>
      </c>
      <c r="G969" t="s">
        <v>15</v>
      </c>
      <c r="H969" t="s">
        <v>3922</v>
      </c>
      <c r="I969" t="s">
        <v>3923</v>
      </c>
      <c r="J969" s="4">
        <v>46094.216068402777</v>
      </c>
    </row>
    <row r="970" spans="1:10" x14ac:dyDescent="0.55000000000000004">
      <c r="A970" t="s">
        <v>3924</v>
      </c>
      <c r="B970">
        <v>100786</v>
      </c>
      <c r="C970" t="s">
        <v>248</v>
      </c>
      <c r="D970" s="3">
        <v>46053</v>
      </c>
      <c r="E970" t="s">
        <v>343</v>
      </c>
      <c r="F970" t="s">
        <v>3925</v>
      </c>
      <c r="G970" t="s">
        <v>15</v>
      </c>
      <c r="H970" t="s">
        <v>3926</v>
      </c>
      <c r="I970" t="s">
        <v>3927</v>
      </c>
      <c r="J970" s="4">
        <v>46069.32231841435</v>
      </c>
    </row>
    <row r="971" spans="1:10" x14ac:dyDescent="0.55000000000000004">
      <c r="A971" t="s">
        <v>3928</v>
      </c>
      <c r="B971">
        <v>100870</v>
      </c>
      <c r="C971" t="s">
        <v>19</v>
      </c>
      <c r="D971" s="3">
        <v>46109</v>
      </c>
      <c r="E971" t="s">
        <v>69</v>
      </c>
      <c r="F971" t="s">
        <v>3929</v>
      </c>
      <c r="G971" t="s">
        <v>22</v>
      </c>
      <c r="H971" t="s">
        <v>3930</v>
      </c>
      <c r="I971" t="s">
        <v>3931</v>
      </c>
      <c r="J971" s="4">
        <v>46081.918846192129</v>
      </c>
    </row>
    <row r="972" spans="1:10" x14ac:dyDescent="0.55000000000000004">
      <c r="A972" t="s">
        <v>3932</v>
      </c>
      <c r="B972">
        <v>101073</v>
      </c>
      <c r="C972" t="s">
        <v>19</v>
      </c>
      <c r="D972" s="3">
        <v>46097</v>
      </c>
      <c r="E972" t="s">
        <v>587</v>
      </c>
      <c r="F972" t="s">
        <v>3933</v>
      </c>
      <c r="G972" t="s">
        <v>22</v>
      </c>
      <c r="H972" t="s">
        <v>3934</v>
      </c>
      <c r="I972" t="s">
        <v>3935</v>
      </c>
      <c r="J972" s="4">
        <v>46078.341762870368</v>
      </c>
    </row>
    <row r="973" spans="1:10" x14ac:dyDescent="0.55000000000000004">
      <c r="A973" t="s">
        <v>3936</v>
      </c>
      <c r="B973">
        <v>100486</v>
      </c>
      <c r="C973" t="s">
        <v>19</v>
      </c>
      <c r="D973" s="3">
        <v>46076</v>
      </c>
      <c r="E973" t="s">
        <v>317</v>
      </c>
      <c r="F973" t="s">
        <v>3937</v>
      </c>
      <c r="G973" t="s">
        <v>22</v>
      </c>
      <c r="H973" t="s">
        <v>3938</v>
      </c>
      <c r="I973" t="s">
        <v>3939</v>
      </c>
      <c r="J973" s="4">
        <v>46064.393846203704</v>
      </c>
    </row>
    <row r="974" spans="1:10" x14ac:dyDescent="0.55000000000000004">
      <c r="A974" t="s">
        <v>3940</v>
      </c>
      <c r="B974">
        <v>100250</v>
      </c>
      <c r="C974" t="s">
        <v>533</v>
      </c>
      <c r="D974" s="3">
        <v>45899</v>
      </c>
      <c r="E974" t="s">
        <v>160</v>
      </c>
      <c r="F974" t="s">
        <v>3941</v>
      </c>
      <c r="G974" t="s">
        <v>22</v>
      </c>
      <c r="H974" t="s">
        <v>3942</v>
      </c>
      <c r="I974" t="s">
        <v>3943</v>
      </c>
      <c r="J974" s="4">
        <v>46091.537596203707</v>
      </c>
    </row>
    <row r="975" spans="1:10" x14ac:dyDescent="0.55000000000000004">
      <c r="A975" t="s">
        <v>3944</v>
      </c>
      <c r="B975">
        <v>100047</v>
      </c>
      <c r="C975" t="s">
        <v>179</v>
      </c>
      <c r="D975" s="3">
        <v>46156</v>
      </c>
      <c r="E975" t="s">
        <v>141</v>
      </c>
      <c r="F975" t="s">
        <v>3945</v>
      </c>
      <c r="G975" t="s">
        <v>15</v>
      </c>
      <c r="H975" t="s">
        <v>3946</v>
      </c>
      <c r="I975" t="s">
        <v>3947</v>
      </c>
      <c r="J975" s="4">
        <v>46070.561207326391</v>
      </c>
    </row>
    <row r="976" spans="1:10" x14ac:dyDescent="0.55000000000000004">
      <c r="A976" t="s">
        <v>3948</v>
      </c>
      <c r="B976">
        <v>100025</v>
      </c>
      <c r="C976" t="s">
        <v>19</v>
      </c>
      <c r="D976" s="3">
        <v>45841</v>
      </c>
      <c r="E976" t="s">
        <v>295</v>
      </c>
      <c r="F976" t="s">
        <v>3949</v>
      </c>
      <c r="G976" t="s">
        <v>22</v>
      </c>
      <c r="H976" t="s">
        <v>3950</v>
      </c>
      <c r="I976" t="s">
        <v>3951</v>
      </c>
      <c r="J976" s="4">
        <v>46059.951485104168</v>
      </c>
    </row>
    <row r="977" spans="1:10" x14ac:dyDescent="0.55000000000000004">
      <c r="A977" t="s">
        <v>3952</v>
      </c>
      <c r="B977">
        <v>101159</v>
      </c>
      <c r="C977" t="s">
        <v>19</v>
      </c>
      <c r="D977" s="3">
        <v>46130</v>
      </c>
      <c r="E977" t="s">
        <v>467</v>
      </c>
      <c r="F977" t="s">
        <v>3953</v>
      </c>
      <c r="G977" t="s">
        <v>22</v>
      </c>
      <c r="H977" t="s">
        <v>3954</v>
      </c>
      <c r="I977" t="s">
        <v>3955</v>
      </c>
      <c r="J977" s="4">
        <v>46057.143846226849</v>
      </c>
    </row>
    <row r="978" spans="1:10" x14ac:dyDescent="0.55000000000000004">
      <c r="A978" t="s">
        <v>3956</v>
      </c>
      <c r="B978">
        <v>100203</v>
      </c>
      <c r="C978" t="s">
        <v>179</v>
      </c>
      <c r="D978" s="3">
        <v>46084</v>
      </c>
      <c r="E978" t="s">
        <v>757</v>
      </c>
      <c r="F978" t="s">
        <v>3957</v>
      </c>
      <c r="G978" t="s">
        <v>15</v>
      </c>
      <c r="H978" t="s">
        <v>3958</v>
      </c>
      <c r="I978" t="s">
        <v>3959</v>
      </c>
      <c r="J978" s="4">
        <v>46088.027179560188</v>
      </c>
    </row>
    <row r="979" spans="1:10" x14ac:dyDescent="0.55000000000000004">
      <c r="A979" t="s">
        <v>3960</v>
      </c>
      <c r="B979">
        <v>100825</v>
      </c>
      <c r="C979" t="s">
        <v>533</v>
      </c>
      <c r="D979" s="3">
        <v>45980</v>
      </c>
      <c r="E979" t="s">
        <v>121</v>
      </c>
      <c r="F979" t="s">
        <v>3961</v>
      </c>
      <c r="G979" t="s">
        <v>15</v>
      </c>
      <c r="H979" t="s">
        <v>3962</v>
      </c>
      <c r="I979" t="s">
        <v>3963</v>
      </c>
      <c r="J979" s="4">
        <v>46068.073012905093</v>
      </c>
    </row>
    <row r="980" spans="1:10" x14ac:dyDescent="0.55000000000000004">
      <c r="A980" t="s">
        <v>3964</v>
      </c>
      <c r="B980">
        <v>100230</v>
      </c>
      <c r="C980" t="s">
        <v>37</v>
      </c>
      <c r="D980" s="3">
        <v>46114</v>
      </c>
      <c r="E980" t="s">
        <v>38</v>
      </c>
      <c r="F980" t="s">
        <v>3965</v>
      </c>
      <c r="G980" t="s">
        <v>22</v>
      </c>
      <c r="H980" t="s">
        <v>3966</v>
      </c>
      <c r="I980" t="s">
        <v>3967</v>
      </c>
      <c r="J980" s="4">
        <v>46089.890374016206</v>
      </c>
    </row>
    <row r="981" spans="1:10" x14ac:dyDescent="0.55000000000000004">
      <c r="A981" t="s">
        <v>3968</v>
      </c>
      <c r="B981">
        <v>101207</v>
      </c>
      <c r="C981" t="s">
        <v>179</v>
      </c>
      <c r="D981" s="3">
        <v>45788</v>
      </c>
      <c r="E981" t="s">
        <v>20</v>
      </c>
      <c r="F981" t="s">
        <v>3969</v>
      </c>
      <c r="G981" t="s">
        <v>22</v>
      </c>
      <c r="H981" t="s">
        <v>3970</v>
      </c>
      <c r="I981" t="s">
        <v>3971</v>
      </c>
      <c r="J981" s="4">
        <v>46095.002874016202</v>
      </c>
    </row>
    <row r="982" spans="1:10" x14ac:dyDescent="0.55000000000000004">
      <c r="A982" t="s">
        <v>3972</v>
      </c>
      <c r="B982">
        <v>100688</v>
      </c>
      <c r="C982" t="s">
        <v>533</v>
      </c>
      <c r="D982" s="3">
        <v>45792</v>
      </c>
      <c r="E982" t="s">
        <v>49</v>
      </c>
      <c r="F982" t="s">
        <v>3973</v>
      </c>
      <c r="G982" t="s">
        <v>22</v>
      </c>
      <c r="H982" t="s">
        <v>3974</v>
      </c>
      <c r="I982" t="s">
        <v>3975</v>
      </c>
      <c r="J982" s="4">
        <v>46079.054957361113</v>
      </c>
    </row>
    <row r="983" spans="1:10" x14ac:dyDescent="0.55000000000000004">
      <c r="A983" t="s">
        <v>3976</v>
      </c>
      <c r="B983">
        <v>100240</v>
      </c>
      <c r="C983" t="s">
        <v>37</v>
      </c>
      <c r="D983" s="3">
        <v>46137</v>
      </c>
      <c r="E983" t="s">
        <v>115</v>
      </c>
      <c r="F983" t="s">
        <v>3977</v>
      </c>
      <c r="G983" t="s">
        <v>22</v>
      </c>
      <c r="H983" t="s">
        <v>3978</v>
      </c>
      <c r="I983" t="s">
        <v>3979</v>
      </c>
      <c r="J983" s="4">
        <v>46094.312596249998</v>
      </c>
    </row>
    <row r="984" spans="1:10" x14ac:dyDescent="0.55000000000000004">
      <c r="A984" t="s">
        <v>3980</v>
      </c>
      <c r="B984">
        <v>100769</v>
      </c>
      <c r="C984" t="s">
        <v>68</v>
      </c>
      <c r="D984" s="3">
        <v>45842</v>
      </c>
      <c r="E984" t="s">
        <v>317</v>
      </c>
      <c r="F984" t="s">
        <v>3981</v>
      </c>
      <c r="G984" t="s">
        <v>22</v>
      </c>
      <c r="H984" t="s">
        <v>3982</v>
      </c>
      <c r="I984" t="s">
        <v>3983</v>
      </c>
      <c r="J984" s="4">
        <v>46097.572318483799</v>
      </c>
    </row>
    <row r="985" spans="1:10" x14ac:dyDescent="0.55000000000000004">
      <c r="A985" t="s">
        <v>3984</v>
      </c>
      <c r="B985">
        <v>100974</v>
      </c>
      <c r="C985" t="s">
        <v>19</v>
      </c>
      <c r="D985" s="3">
        <v>45910</v>
      </c>
      <c r="E985" t="s">
        <v>155</v>
      </c>
      <c r="F985" t="s">
        <v>3985</v>
      </c>
      <c r="G985" t="s">
        <v>22</v>
      </c>
      <c r="H985" t="s">
        <v>3986</v>
      </c>
      <c r="I985" t="s">
        <v>3987</v>
      </c>
      <c r="J985" s="4">
        <v>46066.931346261576</v>
      </c>
    </row>
    <row r="986" spans="1:10" x14ac:dyDescent="0.55000000000000004">
      <c r="A986" t="s">
        <v>3988</v>
      </c>
      <c r="B986">
        <v>100838</v>
      </c>
      <c r="C986" t="s">
        <v>68</v>
      </c>
      <c r="D986" s="3">
        <v>46021</v>
      </c>
      <c r="E986" t="s">
        <v>58</v>
      </c>
      <c r="F986" t="s">
        <v>3989</v>
      </c>
      <c r="G986" t="s">
        <v>22</v>
      </c>
      <c r="H986" t="s">
        <v>3990</v>
      </c>
      <c r="I986" t="s">
        <v>3991</v>
      </c>
      <c r="J986" s="4">
        <v>46059.557735162038</v>
      </c>
    </row>
    <row r="987" spans="1:10" x14ac:dyDescent="0.55000000000000004">
      <c r="A987" t="s">
        <v>3992</v>
      </c>
      <c r="B987">
        <v>100095</v>
      </c>
      <c r="C987" t="s">
        <v>533</v>
      </c>
      <c r="D987" s="3">
        <v>45990</v>
      </c>
      <c r="E987" t="s">
        <v>213</v>
      </c>
      <c r="F987" t="s">
        <v>3993</v>
      </c>
      <c r="G987" t="s">
        <v>15</v>
      </c>
      <c r="H987" t="s">
        <v>3994</v>
      </c>
      <c r="I987" t="s">
        <v>3995</v>
      </c>
      <c r="J987" s="4">
        <v>46077.619540717591</v>
      </c>
    </row>
    <row r="988" spans="1:10" x14ac:dyDescent="0.55000000000000004">
      <c r="A988" t="s">
        <v>3996</v>
      </c>
      <c r="B988">
        <v>100343</v>
      </c>
      <c r="C988" t="s">
        <v>19</v>
      </c>
      <c r="D988" s="3">
        <v>46072</v>
      </c>
      <c r="E988" t="s">
        <v>680</v>
      </c>
      <c r="F988" t="s">
        <v>3997</v>
      </c>
      <c r="G988" t="s">
        <v>22</v>
      </c>
      <c r="H988" t="s">
        <v>3998</v>
      </c>
      <c r="I988" t="s">
        <v>3999</v>
      </c>
      <c r="J988" s="4">
        <v>46075.977179618058</v>
      </c>
    </row>
    <row r="989" spans="1:10" x14ac:dyDescent="0.55000000000000004">
      <c r="A989" t="s">
        <v>4000</v>
      </c>
      <c r="B989">
        <v>100634</v>
      </c>
      <c r="C989" t="s">
        <v>37</v>
      </c>
      <c r="D989" s="3">
        <v>46075</v>
      </c>
      <c r="E989" t="s">
        <v>49</v>
      </c>
      <c r="F989" t="s">
        <v>4001</v>
      </c>
      <c r="G989" t="s">
        <v>15</v>
      </c>
      <c r="H989" t="s">
        <v>4002</v>
      </c>
      <c r="I989" t="s">
        <v>4003</v>
      </c>
      <c r="J989" s="4">
        <v>46087.711207395834</v>
      </c>
    </row>
    <row r="990" spans="1:10" x14ac:dyDescent="0.55000000000000004">
      <c r="A990" t="s">
        <v>4004</v>
      </c>
      <c r="B990">
        <v>100648</v>
      </c>
      <c r="C990" t="s">
        <v>19</v>
      </c>
      <c r="D990" s="3">
        <v>46054</v>
      </c>
      <c r="E990" t="s">
        <v>343</v>
      </c>
      <c r="F990" t="s">
        <v>4005</v>
      </c>
      <c r="G990" t="s">
        <v>15</v>
      </c>
      <c r="H990" t="s">
        <v>4006</v>
      </c>
      <c r="I990" t="s">
        <v>4007</v>
      </c>
      <c r="J990" s="4">
        <v>46084.866068506948</v>
      </c>
    </row>
    <row r="991" spans="1:10" x14ac:dyDescent="0.55000000000000004">
      <c r="A991" t="s">
        <v>4008</v>
      </c>
      <c r="B991">
        <v>100679</v>
      </c>
      <c r="C991" t="s">
        <v>19</v>
      </c>
      <c r="D991" s="3">
        <v>46027</v>
      </c>
      <c r="E991" t="s">
        <v>38</v>
      </c>
      <c r="F991" t="s">
        <v>4009</v>
      </c>
      <c r="G991" t="s">
        <v>15</v>
      </c>
      <c r="H991" t="s">
        <v>4010</v>
      </c>
      <c r="I991" t="s">
        <v>4011</v>
      </c>
      <c r="J991" s="4">
        <v>46067.031346296295</v>
      </c>
    </row>
    <row r="992" spans="1:10" x14ac:dyDescent="0.55000000000000004">
      <c r="A992" t="s">
        <v>4012</v>
      </c>
      <c r="B992">
        <v>100527</v>
      </c>
      <c r="C992" t="s">
        <v>37</v>
      </c>
      <c r="D992" s="3">
        <v>45793</v>
      </c>
      <c r="E992" t="s">
        <v>528</v>
      </c>
      <c r="F992" t="s">
        <v>4013</v>
      </c>
      <c r="G992" t="s">
        <v>22</v>
      </c>
      <c r="H992" t="s">
        <v>4014</v>
      </c>
      <c r="I992" t="s">
        <v>4015</v>
      </c>
      <c r="J992" s="4">
        <v>46084.397318518517</v>
      </c>
    </row>
    <row r="993" spans="1:11" x14ac:dyDescent="0.55000000000000004">
      <c r="A993" t="s">
        <v>4016</v>
      </c>
      <c r="B993">
        <v>100290</v>
      </c>
      <c r="C993" t="s">
        <v>19</v>
      </c>
      <c r="D993" s="3">
        <v>45959</v>
      </c>
      <c r="E993" t="s">
        <v>38</v>
      </c>
      <c r="F993" t="s">
        <v>4017</v>
      </c>
      <c r="G993" t="s">
        <v>22</v>
      </c>
      <c r="H993" t="s">
        <v>4018</v>
      </c>
      <c r="I993" t="s">
        <v>4019</v>
      </c>
      <c r="J993" s="4">
        <v>46071.908429641204</v>
      </c>
    </row>
    <row r="994" spans="1:11" x14ac:dyDescent="0.55000000000000004">
      <c r="A994" t="s">
        <v>4020</v>
      </c>
      <c r="B994">
        <v>100086</v>
      </c>
      <c r="C994" t="s">
        <v>37</v>
      </c>
      <c r="D994" s="3">
        <v>45983</v>
      </c>
      <c r="E994" t="s">
        <v>20</v>
      </c>
      <c r="F994" t="s">
        <v>4021</v>
      </c>
      <c r="G994" t="s">
        <v>22</v>
      </c>
      <c r="H994" t="s">
        <v>4022</v>
      </c>
      <c r="I994" t="s">
        <v>4023</v>
      </c>
      <c r="J994" s="4">
        <v>46086.156346307871</v>
      </c>
    </row>
    <row r="995" spans="1:11" x14ac:dyDescent="0.55000000000000004">
      <c r="A995" t="s">
        <v>4024</v>
      </c>
      <c r="B995">
        <v>100674</v>
      </c>
      <c r="C995" t="s">
        <v>37</v>
      </c>
      <c r="D995" s="3">
        <v>46002</v>
      </c>
      <c r="E995" t="s">
        <v>58</v>
      </c>
      <c r="F995" t="s">
        <v>4025</v>
      </c>
      <c r="G995" t="s">
        <v>15</v>
      </c>
      <c r="H995" t="s">
        <v>4026</v>
      </c>
      <c r="I995" t="s">
        <v>4027</v>
      </c>
      <c r="J995" s="4">
        <v>46090.604957430558</v>
      </c>
    </row>
    <row r="996" spans="1:11" x14ac:dyDescent="0.55000000000000004">
      <c r="A996" t="s">
        <v>4028</v>
      </c>
      <c r="B996">
        <v>100173</v>
      </c>
      <c r="C996" t="s">
        <v>19</v>
      </c>
      <c r="D996" s="3">
        <v>45818</v>
      </c>
      <c r="E996" t="s">
        <v>189</v>
      </c>
      <c r="F996" t="s">
        <v>4029</v>
      </c>
      <c r="G996" t="s">
        <v>22</v>
      </c>
      <c r="H996" t="s">
        <v>4030</v>
      </c>
      <c r="I996" t="s">
        <v>4031</v>
      </c>
      <c r="J996" s="4">
        <v>46092.527179652781</v>
      </c>
    </row>
    <row r="997" spans="1:11" x14ac:dyDescent="0.55000000000000004">
      <c r="A997" t="s">
        <v>4032</v>
      </c>
      <c r="B997">
        <v>100753</v>
      </c>
      <c r="C997" t="s">
        <v>68</v>
      </c>
      <c r="D997" s="3">
        <v>45940</v>
      </c>
      <c r="E997" t="s">
        <v>199</v>
      </c>
      <c r="F997" t="s">
        <v>4033</v>
      </c>
      <c r="G997" t="s">
        <v>15</v>
      </c>
      <c r="H997" t="s">
        <v>4034</v>
      </c>
      <c r="I997" t="s">
        <v>4035</v>
      </c>
      <c r="J997" s="4">
        <v>46096.663290763892</v>
      </c>
    </row>
    <row r="998" spans="1:11" x14ac:dyDescent="0.55000000000000004">
      <c r="A998" t="s">
        <v>4036</v>
      </c>
      <c r="B998">
        <v>100815</v>
      </c>
      <c r="C998" t="s">
        <v>68</v>
      </c>
      <c r="D998" s="3">
        <v>45931</v>
      </c>
      <c r="E998" t="s">
        <v>20</v>
      </c>
      <c r="F998" t="s">
        <v>4037</v>
      </c>
      <c r="G998" t="s">
        <v>15</v>
      </c>
      <c r="H998" t="s">
        <v>4038</v>
      </c>
      <c r="I998" t="s">
        <v>4039</v>
      </c>
      <c r="J998" s="4">
        <v>46071.285512997689</v>
      </c>
    </row>
    <row r="999" spans="1:11" x14ac:dyDescent="0.55000000000000004">
      <c r="A999" t="s">
        <v>4040</v>
      </c>
      <c r="B999">
        <v>100982</v>
      </c>
      <c r="C999" t="s">
        <v>248</v>
      </c>
      <c r="D999" s="3">
        <v>45924</v>
      </c>
      <c r="E999" t="s">
        <v>155</v>
      </c>
      <c r="F999" t="s">
        <v>4041</v>
      </c>
      <c r="G999" t="s">
        <v>15</v>
      </c>
      <c r="H999" t="s">
        <v>4042</v>
      </c>
      <c r="I999" t="s">
        <v>4043</v>
      </c>
      <c r="J999" s="4">
        <v>46081.897318553238</v>
      </c>
    </row>
    <row r="1000" spans="1:11" x14ac:dyDescent="0.55000000000000004">
      <c r="A1000" t="s">
        <v>4044</v>
      </c>
      <c r="B1000">
        <v>100922</v>
      </c>
      <c r="C1000" t="s">
        <v>19</v>
      </c>
      <c r="D1000" s="3">
        <v>45853</v>
      </c>
      <c r="E1000" t="s">
        <v>27</v>
      </c>
      <c r="F1000" t="s">
        <v>4045</v>
      </c>
      <c r="G1000" t="s">
        <v>22</v>
      </c>
      <c r="H1000" t="s">
        <v>4046</v>
      </c>
      <c r="I1000" t="s">
        <v>4047</v>
      </c>
      <c r="J1000" s="4">
        <v>46090.363290787034</v>
      </c>
    </row>
    <row r="1001" spans="1:11" x14ac:dyDescent="0.55000000000000004">
      <c r="A1001" t="s">
        <v>4048</v>
      </c>
      <c r="B1001">
        <v>100812</v>
      </c>
      <c r="C1001" t="s">
        <v>37</v>
      </c>
      <c r="D1001" s="3">
        <v>45894</v>
      </c>
      <c r="E1001" t="s">
        <v>89</v>
      </c>
      <c r="F1001" t="s">
        <v>4049</v>
      </c>
      <c r="G1001" t="s">
        <v>15</v>
      </c>
      <c r="H1001" t="s">
        <v>4050</v>
      </c>
      <c r="I1001" t="s">
        <v>4051</v>
      </c>
      <c r="J1001" s="4">
        <v>46067.704957453701</v>
      </c>
    </row>
    <row r="1002" spans="1:11" x14ac:dyDescent="0.55000000000000004">
      <c r="A1002" t="s">
        <v>4052</v>
      </c>
      <c r="B1002">
        <v>101092</v>
      </c>
      <c r="C1002" t="s">
        <v>179</v>
      </c>
      <c r="D1002" s="3">
        <v>46056</v>
      </c>
      <c r="E1002" t="s">
        <v>155</v>
      </c>
      <c r="F1002" t="s">
        <v>4053</v>
      </c>
      <c r="G1002" t="s">
        <v>22</v>
      </c>
      <c r="H1002" t="s">
        <v>4054</v>
      </c>
      <c r="I1002" t="s">
        <v>4055</v>
      </c>
      <c r="J1002" s="4">
        <v>46061.91259634259</v>
      </c>
    </row>
    <row r="1003" spans="1:11" x14ac:dyDescent="0.55000000000000004">
      <c r="A1003" t="s">
        <v>4056</v>
      </c>
      <c r="B1003">
        <v>100523</v>
      </c>
      <c r="C1003" t="s">
        <v>533</v>
      </c>
      <c r="D1003" s="3">
        <v>45858</v>
      </c>
      <c r="E1003" t="s">
        <v>562</v>
      </c>
      <c r="F1003" t="s">
        <v>4057</v>
      </c>
      <c r="G1003" t="s">
        <v>22</v>
      </c>
      <c r="H1003" t="s">
        <v>4058</v>
      </c>
      <c r="I1003" t="s">
        <v>4059</v>
      </c>
      <c r="J1003" s="4">
        <v>46069.627179687501</v>
      </c>
    </row>
    <row r="1004" spans="1:11" x14ac:dyDescent="0.55000000000000004">
      <c r="A1004" t="s">
        <v>4060</v>
      </c>
      <c r="B1004">
        <v>100218</v>
      </c>
      <c r="C1004" t="s">
        <v>19</v>
      </c>
      <c r="D1004" s="3">
        <v>45836</v>
      </c>
      <c r="E1004" t="s">
        <v>20</v>
      </c>
      <c r="F1004" t="s">
        <v>4061</v>
      </c>
      <c r="G1004" t="s">
        <v>15</v>
      </c>
      <c r="H1004" t="s">
        <v>4062</v>
      </c>
      <c r="I1004" t="s">
        <v>4063</v>
      </c>
      <c r="J1004" s="4">
        <v>46081.982040798612</v>
      </c>
    </row>
    <row r="1005" spans="1:11" x14ac:dyDescent="0.55000000000000004">
      <c r="A1005" t="s">
        <v>4064</v>
      </c>
      <c r="B1005">
        <v>100691</v>
      </c>
      <c r="C1005" t="s">
        <v>179</v>
      </c>
      <c r="D1005" s="3">
        <v>46016</v>
      </c>
      <c r="E1005" t="s">
        <v>141</v>
      </c>
      <c r="F1005" t="s">
        <v>4065</v>
      </c>
      <c r="G1005" t="s">
        <v>22</v>
      </c>
      <c r="H1005" t="s">
        <v>4066</v>
      </c>
      <c r="I1005" t="s">
        <v>4067</v>
      </c>
      <c r="J1005" s="4">
        <v>46058.334818587966</v>
      </c>
    </row>
    <row r="1006" spans="1:11" x14ac:dyDescent="0.55000000000000004">
      <c r="A1006" t="s">
        <v>4068</v>
      </c>
      <c r="B1006">
        <v>101458</v>
      </c>
      <c r="C1006" t="s">
        <v>533</v>
      </c>
      <c r="D1006" s="3">
        <v>45732</v>
      </c>
      <c r="E1006" t="s">
        <v>69</v>
      </c>
      <c r="F1006" t="s">
        <v>4069</v>
      </c>
      <c r="G1006" t="s">
        <v>22</v>
      </c>
      <c r="H1006" t="s">
        <v>4070</v>
      </c>
      <c r="I1006" t="s">
        <v>4071</v>
      </c>
      <c r="J1006" s="4">
        <v>46059.389679699074</v>
      </c>
      <c r="K1006" t="s">
        <v>139</v>
      </c>
    </row>
    <row r="1007" spans="1:11" x14ac:dyDescent="0.55000000000000004">
      <c r="A1007" t="s">
        <v>4072</v>
      </c>
      <c r="B1007">
        <v>100452</v>
      </c>
      <c r="C1007" t="s">
        <v>179</v>
      </c>
      <c r="D1007" s="3">
        <v>45911</v>
      </c>
      <c r="E1007" t="s">
        <v>160</v>
      </c>
      <c r="F1007" t="s">
        <v>4073</v>
      </c>
      <c r="G1007" t="s">
        <v>15</v>
      </c>
      <c r="H1007" t="s">
        <v>4074</v>
      </c>
      <c r="I1007" t="s">
        <v>4075</v>
      </c>
      <c r="J1007" s="4">
        <v>46086.986901932869</v>
      </c>
    </row>
    <row r="1008" spans="1:11" x14ac:dyDescent="0.55000000000000004">
      <c r="A1008" t="s">
        <v>4076</v>
      </c>
      <c r="B1008">
        <v>101431</v>
      </c>
      <c r="C1008" t="s">
        <v>19</v>
      </c>
      <c r="D1008" s="3">
        <v>45767</v>
      </c>
      <c r="E1008" t="s">
        <v>334</v>
      </c>
      <c r="F1008" t="s">
        <v>4077</v>
      </c>
      <c r="G1008" t="s">
        <v>15</v>
      </c>
      <c r="H1008" t="s">
        <v>4078</v>
      </c>
      <c r="I1008" t="s">
        <v>4079</v>
      </c>
      <c r="J1008" s="4">
        <v>46088.954957488429</v>
      </c>
    </row>
    <row r="1009" spans="1:11" x14ac:dyDescent="0.55000000000000004">
      <c r="A1009" t="s">
        <v>4080</v>
      </c>
      <c r="B1009">
        <v>100329</v>
      </c>
      <c r="C1009" t="s">
        <v>248</v>
      </c>
      <c r="D1009" s="3">
        <v>45953</v>
      </c>
      <c r="E1009" t="s">
        <v>38</v>
      </c>
      <c r="F1009" t="s">
        <v>4081</v>
      </c>
      <c r="G1009" t="s">
        <v>22</v>
      </c>
      <c r="H1009" t="s">
        <v>4082</v>
      </c>
      <c r="I1009" t="s">
        <v>4083</v>
      </c>
      <c r="J1009" s="4">
        <v>46054.259124155091</v>
      </c>
    </row>
    <row r="1010" spans="1:11" x14ac:dyDescent="0.55000000000000004">
      <c r="A1010" t="s">
        <v>4084</v>
      </c>
      <c r="B1010">
        <v>100670</v>
      </c>
      <c r="C1010" t="s">
        <v>248</v>
      </c>
      <c r="D1010" s="3">
        <v>46117</v>
      </c>
      <c r="E1010" t="s">
        <v>208</v>
      </c>
      <c r="F1010" t="s">
        <v>4085</v>
      </c>
      <c r="G1010" t="s">
        <v>22</v>
      </c>
      <c r="H1010" t="s">
        <v>4086</v>
      </c>
      <c r="I1010" t="s">
        <v>4087</v>
      </c>
      <c r="J1010" s="4">
        <v>46076.446624166667</v>
      </c>
    </row>
    <row r="1011" spans="1:11" x14ac:dyDescent="0.55000000000000004">
      <c r="A1011" t="s">
        <v>4088</v>
      </c>
      <c r="B1011">
        <v>100621</v>
      </c>
      <c r="C1011" t="s">
        <v>179</v>
      </c>
      <c r="D1011" s="3">
        <v>46038</v>
      </c>
      <c r="E1011" t="s">
        <v>265</v>
      </c>
      <c r="F1011" t="s">
        <v>774</v>
      </c>
      <c r="G1011" t="s">
        <v>15</v>
      </c>
      <c r="H1011" t="s">
        <v>4089</v>
      </c>
      <c r="I1011" t="s">
        <v>4090</v>
      </c>
      <c r="J1011" s="4">
        <v>46059.068846388887</v>
      </c>
    </row>
    <row r="1012" spans="1:11" x14ac:dyDescent="0.55000000000000004">
      <c r="A1012" t="s">
        <v>4091</v>
      </c>
      <c r="B1012">
        <v>100593</v>
      </c>
      <c r="C1012" t="s">
        <v>37</v>
      </c>
      <c r="D1012" s="3">
        <v>45736</v>
      </c>
      <c r="E1012" t="s">
        <v>43</v>
      </c>
      <c r="F1012" t="s">
        <v>4092</v>
      </c>
      <c r="G1012" t="s">
        <v>22</v>
      </c>
      <c r="H1012" t="s">
        <v>4093</v>
      </c>
      <c r="I1012" t="s">
        <v>4094</v>
      </c>
      <c r="J1012" s="4">
        <v>46063.630651944448</v>
      </c>
    </row>
    <row r="1013" spans="1:11" x14ac:dyDescent="0.55000000000000004">
      <c r="A1013" t="s">
        <v>4095</v>
      </c>
      <c r="B1013">
        <v>100804</v>
      </c>
      <c r="C1013" t="s">
        <v>37</v>
      </c>
      <c r="D1013" s="3">
        <v>46007</v>
      </c>
      <c r="E1013" t="s">
        <v>317</v>
      </c>
      <c r="F1013" t="s">
        <v>4096</v>
      </c>
      <c r="G1013" t="s">
        <v>22</v>
      </c>
      <c r="H1013" t="s">
        <v>4097</v>
      </c>
      <c r="I1013" t="s">
        <v>4098</v>
      </c>
      <c r="J1013" s="4">
        <v>46054.570929733796</v>
      </c>
    </row>
    <row r="1014" spans="1:11" x14ac:dyDescent="0.55000000000000004">
      <c r="A1014" t="s">
        <v>4099</v>
      </c>
      <c r="B1014">
        <v>100071</v>
      </c>
      <c r="C1014" t="s">
        <v>68</v>
      </c>
      <c r="D1014" s="3">
        <v>46148</v>
      </c>
      <c r="E1014" t="s">
        <v>467</v>
      </c>
      <c r="F1014" t="s">
        <v>4100</v>
      </c>
      <c r="G1014" t="s">
        <v>22</v>
      </c>
      <c r="H1014" t="s">
        <v>4101</v>
      </c>
      <c r="I1014" t="s">
        <v>4102</v>
      </c>
      <c r="J1014" s="4">
        <v>46085.754957511577</v>
      </c>
      <c r="K1014" t="s">
        <v>139</v>
      </c>
    </row>
    <row r="1015" spans="1:11" x14ac:dyDescent="0.55000000000000004">
      <c r="A1015" t="s">
        <v>4103</v>
      </c>
      <c r="B1015">
        <v>100215</v>
      </c>
      <c r="C1015" t="s">
        <v>37</v>
      </c>
      <c r="D1015" s="3">
        <v>45795</v>
      </c>
      <c r="E1015" t="s">
        <v>356</v>
      </c>
      <c r="F1015" t="s">
        <v>4104</v>
      </c>
      <c r="G1015" t="s">
        <v>22</v>
      </c>
      <c r="H1015" t="s">
        <v>4105</v>
      </c>
      <c r="I1015" t="s">
        <v>4106</v>
      </c>
      <c r="J1015" s="4">
        <v>46097.431346412035</v>
      </c>
    </row>
    <row r="1016" spans="1:11" x14ac:dyDescent="0.55000000000000004">
      <c r="A1016" t="s">
        <v>4107</v>
      </c>
      <c r="B1016">
        <v>100293</v>
      </c>
      <c r="C1016" t="s">
        <v>37</v>
      </c>
      <c r="D1016" s="3">
        <v>46120</v>
      </c>
      <c r="E1016" t="s">
        <v>49</v>
      </c>
      <c r="F1016" t="s">
        <v>4108</v>
      </c>
      <c r="G1016" t="s">
        <v>15</v>
      </c>
      <c r="H1016" t="s">
        <v>4109</v>
      </c>
      <c r="I1016" t="s">
        <v>4110</v>
      </c>
      <c r="J1016" s="4">
        <v>46091.873707523147</v>
      </c>
    </row>
    <row r="1017" spans="1:11" x14ac:dyDescent="0.55000000000000004">
      <c r="A1017" t="s">
        <v>4111</v>
      </c>
      <c r="B1017">
        <v>100311</v>
      </c>
      <c r="C1017" t="s">
        <v>68</v>
      </c>
      <c r="D1017" s="3">
        <v>46145</v>
      </c>
      <c r="E1017" t="s">
        <v>680</v>
      </c>
      <c r="F1017" t="s">
        <v>4112</v>
      </c>
      <c r="G1017" t="s">
        <v>22</v>
      </c>
      <c r="H1017" t="s">
        <v>4113</v>
      </c>
      <c r="I1017" t="s">
        <v>4114</v>
      </c>
      <c r="J1017" s="4">
        <v>46095.34731863426</v>
      </c>
    </row>
    <row r="1018" spans="1:11" x14ac:dyDescent="0.55000000000000004">
      <c r="A1018" t="s">
        <v>4115</v>
      </c>
      <c r="B1018">
        <v>100000</v>
      </c>
      <c r="C1018" t="s">
        <v>19</v>
      </c>
      <c r="D1018" s="3">
        <v>46092</v>
      </c>
      <c r="E1018" t="s">
        <v>528</v>
      </c>
      <c r="F1018" t="s">
        <v>4116</v>
      </c>
      <c r="G1018" t="s">
        <v>15</v>
      </c>
      <c r="H1018" t="s">
        <v>4117</v>
      </c>
      <c r="I1018" t="s">
        <v>4118</v>
      </c>
      <c r="J1018" s="4">
        <v>46057.182735312497</v>
      </c>
    </row>
    <row r="1019" spans="1:11" x14ac:dyDescent="0.55000000000000004">
      <c r="A1019" t="s">
        <v>4119</v>
      </c>
      <c r="B1019">
        <v>100853</v>
      </c>
      <c r="C1019" t="s">
        <v>533</v>
      </c>
      <c r="D1019" s="3">
        <v>45874</v>
      </c>
      <c r="E1019" t="s">
        <v>43</v>
      </c>
      <c r="F1019" t="s">
        <v>4120</v>
      </c>
      <c r="G1019" t="s">
        <v>15</v>
      </c>
      <c r="H1019" t="s">
        <v>4121</v>
      </c>
      <c r="I1019" t="s">
        <v>4122</v>
      </c>
      <c r="J1019" s="4">
        <v>46054.941763090275</v>
      </c>
    </row>
    <row r="1020" spans="1:11" x14ac:dyDescent="0.55000000000000004">
      <c r="A1020" t="s">
        <v>4123</v>
      </c>
      <c r="B1020">
        <v>100561</v>
      </c>
      <c r="C1020" t="s">
        <v>19</v>
      </c>
      <c r="D1020" s="3">
        <v>46021</v>
      </c>
      <c r="E1020" t="s">
        <v>155</v>
      </c>
      <c r="F1020" t="s">
        <v>4124</v>
      </c>
      <c r="G1020" t="s">
        <v>15</v>
      </c>
      <c r="H1020" t="s">
        <v>4125</v>
      </c>
      <c r="I1020" t="s">
        <v>4126</v>
      </c>
      <c r="J1020" s="4">
        <v>46093.565374212965</v>
      </c>
    </row>
    <row r="1021" spans="1:11" x14ac:dyDescent="0.55000000000000004">
      <c r="A1021" t="s">
        <v>4127</v>
      </c>
      <c r="B1021">
        <v>100415</v>
      </c>
      <c r="C1021" t="s">
        <v>248</v>
      </c>
      <c r="D1021" s="3">
        <v>46023</v>
      </c>
      <c r="E1021" t="s">
        <v>38</v>
      </c>
      <c r="F1021" t="s">
        <v>2943</v>
      </c>
      <c r="G1021" t="s">
        <v>22</v>
      </c>
      <c r="H1021" t="s">
        <v>4128</v>
      </c>
      <c r="I1021" t="s">
        <v>4129</v>
      </c>
      <c r="J1021" s="4">
        <v>46084.782040879632</v>
      </c>
    </row>
    <row r="1022" spans="1:11" x14ac:dyDescent="0.55000000000000004">
      <c r="A1022" t="s">
        <v>4130</v>
      </c>
      <c r="B1022">
        <v>100308</v>
      </c>
      <c r="D1022" s="3">
        <v>46086</v>
      </c>
      <c r="E1022" t="s">
        <v>126</v>
      </c>
      <c r="F1022" t="s">
        <v>4131</v>
      </c>
      <c r="G1022" t="s">
        <v>22</v>
      </c>
      <c r="H1022" t="s">
        <v>4132</v>
      </c>
      <c r="I1022" t="s">
        <v>4133</v>
      </c>
      <c r="J1022" s="4">
        <v>46097.138985324076</v>
      </c>
      <c r="K1022" t="s">
        <v>217</v>
      </c>
    </row>
    <row r="1023" spans="1:11" x14ac:dyDescent="0.55000000000000004">
      <c r="A1023" t="s">
        <v>4134</v>
      </c>
      <c r="B1023">
        <v>100582</v>
      </c>
      <c r="C1023" t="s">
        <v>37</v>
      </c>
      <c r="D1023" s="3">
        <v>45897</v>
      </c>
      <c r="E1023" t="s">
        <v>58</v>
      </c>
      <c r="F1023" t="s">
        <v>4135</v>
      </c>
      <c r="G1023" t="s">
        <v>15</v>
      </c>
      <c r="H1023" t="s">
        <v>4136</v>
      </c>
      <c r="I1023" t="s">
        <v>4137</v>
      </c>
      <c r="J1023" s="4">
        <v>46054.00912422454</v>
      </c>
    </row>
    <row r="1024" spans="1:11" x14ac:dyDescent="0.55000000000000004">
      <c r="A1024" t="s">
        <v>4138</v>
      </c>
      <c r="B1024">
        <v>100630</v>
      </c>
      <c r="C1024" t="s">
        <v>179</v>
      </c>
      <c r="D1024" s="3">
        <v>45985</v>
      </c>
      <c r="E1024" t="s">
        <v>170</v>
      </c>
      <c r="F1024" t="s">
        <v>4139</v>
      </c>
      <c r="G1024" t="s">
        <v>15</v>
      </c>
      <c r="H1024" t="s">
        <v>4140</v>
      </c>
      <c r="I1024" t="s">
        <v>4141</v>
      </c>
      <c r="J1024" s="4">
        <v>46094.350790891207</v>
      </c>
    </row>
    <row r="1025" spans="1:11" x14ac:dyDescent="0.55000000000000004">
      <c r="A1025" t="s">
        <v>4142</v>
      </c>
      <c r="B1025">
        <v>100356</v>
      </c>
      <c r="C1025" t="s">
        <v>179</v>
      </c>
      <c r="D1025" s="3">
        <v>46004</v>
      </c>
      <c r="E1025" t="s">
        <v>295</v>
      </c>
      <c r="F1025" t="s">
        <v>4143</v>
      </c>
      <c r="G1025" t="s">
        <v>22</v>
      </c>
      <c r="H1025" t="s">
        <v>4144</v>
      </c>
      <c r="I1025" t="s">
        <v>4145</v>
      </c>
      <c r="J1025" s="4">
        <v>46085.270235335651</v>
      </c>
    </row>
    <row r="1026" spans="1:11" x14ac:dyDescent="0.55000000000000004">
      <c r="A1026" t="s">
        <v>4146</v>
      </c>
      <c r="B1026">
        <v>101216</v>
      </c>
      <c r="C1026" t="s">
        <v>37</v>
      </c>
      <c r="D1026" s="3">
        <v>46024</v>
      </c>
      <c r="E1026" t="s">
        <v>317</v>
      </c>
      <c r="F1026" t="s">
        <v>4147</v>
      </c>
      <c r="G1026" t="s">
        <v>15</v>
      </c>
      <c r="H1026" t="s">
        <v>4148</v>
      </c>
      <c r="I1026" t="s">
        <v>4149</v>
      </c>
      <c r="J1026" s="4">
        <v>46053.143846458333</v>
      </c>
    </row>
    <row r="1027" spans="1:11" x14ac:dyDescent="0.55000000000000004">
      <c r="A1027" t="s">
        <v>4150</v>
      </c>
      <c r="B1027">
        <v>100861</v>
      </c>
      <c r="C1027" t="s">
        <v>37</v>
      </c>
      <c r="D1027" s="3">
        <v>45859</v>
      </c>
      <c r="E1027" t="s">
        <v>115</v>
      </c>
      <c r="F1027" t="s">
        <v>4151</v>
      </c>
      <c r="G1027" t="s">
        <v>22</v>
      </c>
      <c r="H1027" t="s">
        <v>4152</v>
      </c>
      <c r="I1027" t="s">
        <v>4153</v>
      </c>
      <c r="J1027" s="4">
        <v>46078.657040902777</v>
      </c>
    </row>
    <row r="1028" spans="1:11" x14ac:dyDescent="0.55000000000000004">
      <c r="A1028" t="s">
        <v>1469</v>
      </c>
      <c r="B1028">
        <v>101243</v>
      </c>
      <c r="C1028" t="s">
        <v>533</v>
      </c>
      <c r="D1028" s="3">
        <v>45746</v>
      </c>
      <c r="E1028" t="s">
        <v>334</v>
      </c>
      <c r="F1028" t="s">
        <v>4155</v>
      </c>
      <c r="G1028" t="s">
        <v>22</v>
      </c>
      <c r="H1028" t="s">
        <v>4156</v>
      </c>
      <c r="I1028" t="s">
        <v>4157</v>
      </c>
      <c r="J1028" s="4">
        <v>46081.394540914349</v>
      </c>
      <c r="K1028" t="s">
        <v>119</v>
      </c>
    </row>
    <row r="1029" spans="1:11" x14ac:dyDescent="0.55000000000000004">
      <c r="A1029" t="s">
        <v>4158</v>
      </c>
      <c r="B1029">
        <v>100260</v>
      </c>
      <c r="C1029" t="s">
        <v>533</v>
      </c>
      <c r="D1029" s="3">
        <v>45974</v>
      </c>
      <c r="E1029" t="s">
        <v>20</v>
      </c>
      <c r="F1029" t="s">
        <v>4159</v>
      </c>
      <c r="G1029" t="s">
        <v>15</v>
      </c>
      <c r="H1029" t="s">
        <v>4160</v>
      </c>
      <c r="I1029" t="s">
        <v>4161</v>
      </c>
      <c r="J1029" s="4">
        <v>46076.007040914352</v>
      </c>
    </row>
    <row r="1030" spans="1:11" x14ac:dyDescent="0.55000000000000004">
      <c r="A1030" t="s">
        <v>4162</v>
      </c>
      <c r="B1030">
        <v>100605</v>
      </c>
      <c r="C1030" t="s">
        <v>248</v>
      </c>
      <c r="D1030" s="3">
        <v>45769</v>
      </c>
      <c r="E1030" t="s">
        <v>270</v>
      </c>
      <c r="F1030" t="s">
        <v>4163</v>
      </c>
      <c r="G1030" t="s">
        <v>22</v>
      </c>
      <c r="H1030" t="s">
        <v>4164</v>
      </c>
      <c r="I1030" t="s">
        <v>4165</v>
      </c>
      <c r="J1030" s="4">
        <v>46060.568846469905</v>
      </c>
    </row>
    <row r="1031" spans="1:11" x14ac:dyDescent="0.55000000000000004">
      <c r="A1031" t="s">
        <v>4166</v>
      </c>
      <c r="B1031">
        <v>101332</v>
      </c>
      <c r="C1031" t="s">
        <v>37</v>
      </c>
      <c r="D1031" s="3">
        <v>45763</v>
      </c>
      <c r="E1031" t="s">
        <v>69</v>
      </c>
      <c r="F1031" t="s">
        <v>4167</v>
      </c>
      <c r="G1031" t="s">
        <v>22</v>
      </c>
      <c r="H1031" t="s">
        <v>4168</v>
      </c>
      <c r="I1031" t="s">
        <v>4169</v>
      </c>
      <c r="J1031" s="4">
        <v>46053.653568703703</v>
      </c>
    </row>
    <row r="1032" spans="1:11" x14ac:dyDescent="0.55000000000000004">
      <c r="A1032" t="s">
        <v>4170</v>
      </c>
      <c r="B1032">
        <v>100668</v>
      </c>
      <c r="C1032" t="s">
        <v>533</v>
      </c>
      <c r="D1032" s="3">
        <v>45763</v>
      </c>
      <c r="E1032" t="s">
        <v>295</v>
      </c>
      <c r="F1032" t="s">
        <v>4171</v>
      </c>
      <c r="G1032" t="s">
        <v>22</v>
      </c>
      <c r="H1032" t="s">
        <v>4172</v>
      </c>
      <c r="I1032" t="s">
        <v>4173</v>
      </c>
      <c r="J1032" s="4">
        <v>46093.601485370367</v>
      </c>
    </row>
    <row r="1033" spans="1:11" x14ac:dyDescent="0.55000000000000004">
      <c r="A1033" t="s">
        <v>4174</v>
      </c>
      <c r="B1033">
        <v>100836</v>
      </c>
      <c r="C1033" t="s">
        <v>37</v>
      </c>
      <c r="D1033" s="3">
        <v>46018</v>
      </c>
      <c r="E1033" t="s">
        <v>20</v>
      </c>
      <c r="F1033" t="s">
        <v>4175</v>
      </c>
      <c r="G1033" t="s">
        <v>22</v>
      </c>
      <c r="H1033" t="s">
        <v>4176</v>
      </c>
      <c r="I1033" t="s">
        <v>4177</v>
      </c>
      <c r="J1033" s="4">
        <v>46072.609818715275</v>
      </c>
    </row>
    <row r="1034" spans="1:11" x14ac:dyDescent="0.55000000000000004">
      <c r="A1034" t="s">
        <v>4178</v>
      </c>
      <c r="B1034">
        <v>100633</v>
      </c>
      <c r="C1034" t="s">
        <v>19</v>
      </c>
      <c r="D1034" s="3">
        <v>46117</v>
      </c>
      <c r="E1034" t="s">
        <v>409</v>
      </c>
      <c r="F1034" t="s">
        <v>4179</v>
      </c>
      <c r="G1034" t="s">
        <v>15</v>
      </c>
      <c r="H1034" t="s">
        <v>4180</v>
      </c>
      <c r="I1034" t="s">
        <v>4181</v>
      </c>
      <c r="J1034" s="4">
        <v>46068.200096493056</v>
      </c>
    </row>
    <row r="1035" spans="1:11" x14ac:dyDescent="0.55000000000000004">
      <c r="A1035" t="s">
        <v>4182</v>
      </c>
      <c r="B1035">
        <v>100615</v>
      </c>
      <c r="C1035" t="s">
        <v>179</v>
      </c>
      <c r="D1035" s="3">
        <v>46139</v>
      </c>
      <c r="E1035" t="s">
        <v>27</v>
      </c>
      <c r="F1035" t="s">
        <v>4183</v>
      </c>
      <c r="G1035" t="s">
        <v>15</v>
      </c>
      <c r="H1035" t="s">
        <v>4184</v>
      </c>
      <c r="I1035" t="s">
        <v>4185</v>
      </c>
      <c r="J1035" s="4">
        <v>46075.820235381943</v>
      </c>
    </row>
    <row r="1036" spans="1:11" x14ac:dyDescent="0.55000000000000004">
      <c r="A1036" t="s">
        <v>515</v>
      </c>
      <c r="B1036">
        <v>101447</v>
      </c>
      <c r="C1036" t="s">
        <v>37</v>
      </c>
      <c r="D1036" s="3">
        <v>45964</v>
      </c>
      <c r="E1036" t="s">
        <v>160</v>
      </c>
      <c r="F1036" t="s">
        <v>4187</v>
      </c>
      <c r="G1036" t="s">
        <v>15</v>
      </c>
      <c r="H1036" t="s">
        <v>4188</v>
      </c>
      <c r="I1036" t="s">
        <v>4189</v>
      </c>
      <c r="J1036" s="4">
        <v>46091.728568726852</v>
      </c>
      <c r="K1036" t="s">
        <v>119</v>
      </c>
    </row>
    <row r="1037" spans="1:11" x14ac:dyDescent="0.55000000000000004">
      <c r="A1037" t="s">
        <v>4190</v>
      </c>
      <c r="B1037">
        <v>101050</v>
      </c>
      <c r="C1037" t="s">
        <v>19</v>
      </c>
      <c r="D1037" s="3">
        <v>46097</v>
      </c>
      <c r="E1037" t="s">
        <v>38</v>
      </c>
      <c r="F1037" t="s">
        <v>4191</v>
      </c>
      <c r="G1037" t="s">
        <v>15</v>
      </c>
      <c r="H1037" t="s">
        <v>4192</v>
      </c>
      <c r="I1037" t="s">
        <v>4193</v>
      </c>
      <c r="J1037" s="4">
        <v>46061.566763171293</v>
      </c>
    </row>
    <row r="1038" spans="1:11" x14ac:dyDescent="0.55000000000000004">
      <c r="A1038" t="s">
        <v>4194</v>
      </c>
      <c r="B1038">
        <v>101273</v>
      </c>
      <c r="C1038" t="s">
        <v>19</v>
      </c>
      <c r="D1038" s="3">
        <v>45863</v>
      </c>
      <c r="E1038" t="s">
        <v>757</v>
      </c>
      <c r="F1038" t="s">
        <v>4195</v>
      </c>
      <c r="G1038" t="s">
        <v>22</v>
      </c>
      <c r="H1038" t="s">
        <v>4196</v>
      </c>
      <c r="I1038" t="s">
        <v>4197</v>
      </c>
      <c r="J1038" s="4">
        <v>46086.400790960652</v>
      </c>
    </row>
    <row r="1039" spans="1:11" x14ac:dyDescent="0.55000000000000004">
      <c r="A1039" t="s">
        <v>4198</v>
      </c>
      <c r="B1039">
        <v>100143</v>
      </c>
      <c r="C1039" t="s">
        <v>533</v>
      </c>
      <c r="D1039" s="3">
        <v>46140</v>
      </c>
      <c r="E1039" t="s">
        <v>155</v>
      </c>
      <c r="F1039" t="s">
        <v>4199</v>
      </c>
      <c r="G1039" t="s">
        <v>15</v>
      </c>
      <c r="H1039" t="s">
        <v>4200</v>
      </c>
      <c r="I1039" t="s">
        <v>4201</v>
      </c>
      <c r="J1039" s="4">
        <v>46077.914679849535</v>
      </c>
    </row>
    <row r="1040" spans="1:11" x14ac:dyDescent="0.55000000000000004">
      <c r="A1040" t="s">
        <v>4202</v>
      </c>
      <c r="B1040">
        <v>100883</v>
      </c>
      <c r="C1040" t="s">
        <v>179</v>
      </c>
      <c r="D1040" s="3">
        <v>45994</v>
      </c>
      <c r="E1040" t="s">
        <v>562</v>
      </c>
      <c r="F1040" t="s">
        <v>4203</v>
      </c>
      <c r="G1040" t="s">
        <v>15</v>
      </c>
      <c r="H1040" t="s">
        <v>4204</v>
      </c>
      <c r="I1040" t="s">
        <v>4205</v>
      </c>
      <c r="J1040" s="4">
        <v>46067.30704097222</v>
      </c>
    </row>
    <row r="1041" spans="1:11" x14ac:dyDescent="0.55000000000000004">
      <c r="A1041" t="s">
        <v>4206</v>
      </c>
      <c r="B1041">
        <v>100745</v>
      </c>
      <c r="C1041" t="s">
        <v>19</v>
      </c>
      <c r="D1041" s="3">
        <v>45907</v>
      </c>
      <c r="E1041" t="s">
        <v>295</v>
      </c>
      <c r="F1041" t="s">
        <v>4207</v>
      </c>
      <c r="G1041" t="s">
        <v>15</v>
      </c>
      <c r="H1041" t="s">
        <v>4208</v>
      </c>
      <c r="I1041" t="s">
        <v>4209</v>
      </c>
      <c r="J1041" s="4">
        <v>46094.408429861112</v>
      </c>
    </row>
    <row r="1042" spans="1:11" x14ac:dyDescent="0.55000000000000004">
      <c r="A1042" t="s">
        <v>4210</v>
      </c>
      <c r="B1042">
        <v>100403</v>
      </c>
      <c r="C1042" t="s">
        <v>19</v>
      </c>
      <c r="D1042" s="3">
        <v>46151</v>
      </c>
      <c r="E1042" t="s">
        <v>83</v>
      </c>
      <c r="F1042" t="s">
        <v>4211</v>
      </c>
      <c r="G1042" t="s">
        <v>15</v>
      </c>
      <c r="H1042" t="s">
        <v>4212</v>
      </c>
      <c r="I1042" t="s">
        <v>4213</v>
      </c>
      <c r="J1042" s="4">
        <v>46084.835513194441</v>
      </c>
    </row>
    <row r="1043" spans="1:11" x14ac:dyDescent="0.55000000000000004">
      <c r="A1043" t="s">
        <v>4214</v>
      </c>
      <c r="B1043">
        <v>100003</v>
      </c>
      <c r="C1043" t="s">
        <v>248</v>
      </c>
      <c r="D1043" s="3">
        <v>46134</v>
      </c>
      <c r="E1043" t="s">
        <v>20</v>
      </c>
      <c r="F1043" t="s">
        <v>4215</v>
      </c>
      <c r="G1043" t="s">
        <v>15</v>
      </c>
      <c r="H1043" t="s">
        <v>4216</v>
      </c>
      <c r="I1043" t="s">
        <v>4217</v>
      </c>
      <c r="J1043" s="4">
        <v>46055.069540983794</v>
      </c>
    </row>
    <row r="1044" spans="1:11" x14ac:dyDescent="0.55000000000000004">
      <c r="A1044" t="s">
        <v>4218</v>
      </c>
      <c r="B1044">
        <v>101049</v>
      </c>
      <c r="C1044" t="s">
        <v>179</v>
      </c>
      <c r="D1044" s="3">
        <v>46039</v>
      </c>
      <c r="E1044" t="s">
        <v>126</v>
      </c>
      <c r="F1044" t="s">
        <v>4219</v>
      </c>
      <c r="G1044" t="s">
        <v>22</v>
      </c>
      <c r="H1044" t="s">
        <v>4220</v>
      </c>
      <c r="I1044" t="s">
        <v>4221</v>
      </c>
      <c r="J1044" s="4">
        <v>46071.278568761576</v>
      </c>
    </row>
    <row r="1045" spans="1:11" x14ac:dyDescent="0.55000000000000004">
      <c r="A1045" t="s">
        <v>4222</v>
      </c>
      <c r="B1045">
        <v>101120</v>
      </c>
      <c r="C1045" t="s">
        <v>533</v>
      </c>
      <c r="D1045" s="3">
        <v>45785</v>
      </c>
      <c r="E1045" t="s">
        <v>334</v>
      </c>
      <c r="F1045" t="s">
        <v>4223</v>
      </c>
      <c r="G1045" t="s">
        <v>15</v>
      </c>
      <c r="H1045" t="s">
        <v>4224</v>
      </c>
      <c r="I1045" t="s">
        <v>4225</v>
      </c>
      <c r="J1045" s="4">
        <v>46096.837596550926</v>
      </c>
    </row>
    <row r="1046" spans="1:11" x14ac:dyDescent="0.55000000000000004">
      <c r="A1046" t="s">
        <v>4226</v>
      </c>
      <c r="B1046">
        <v>100521</v>
      </c>
      <c r="C1046" t="s">
        <v>248</v>
      </c>
      <c r="D1046" s="3">
        <v>46086</v>
      </c>
      <c r="E1046" t="s">
        <v>69</v>
      </c>
      <c r="F1046" t="s">
        <v>4227</v>
      </c>
      <c r="G1046" t="s">
        <v>15</v>
      </c>
      <c r="H1046" t="s">
        <v>4228</v>
      </c>
      <c r="I1046" t="s">
        <v>4229</v>
      </c>
      <c r="J1046" s="4">
        <v>46082.062596550924</v>
      </c>
    </row>
    <row r="1047" spans="1:11" x14ac:dyDescent="0.55000000000000004">
      <c r="A1047" t="s">
        <v>413</v>
      </c>
      <c r="B1047">
        <v>101426</v>
      </c>
      <c r="C1047" t="s">
        <v>68</v>
      </c>
      <c r="D1047" s="3">
        <v>46145</v>
      </c>
      <c r="E1047" t="s">
        <v>680</v>
      </c>
      <c r="F1047" t="s">
        <v>4230</v>
      </c>
      <c r="G1047" t="s">
        <v>15</v>
      </c>
      <c r="H1047" t="s">
        <v>4231</v>
      </c>
      <c r="I1047" t="s">
        <v>4232</v>
      </c>
      <c r="J1047" s="4">
        <v>46097.229957685187</v>
      </c>
    </row>
    <row r="1048" spans="1:11" x14ac:dyDescent="0.55000000000000004">
      <c r="A1048" t="s">
        <v>4233</v>
      </c>
      <c r="B1048">
        <v>101360</v>
      </c>
      <c r="C1048" t="s">
        <v>37</v>
      </c>
      <c r="D1048" s="3">
        <v>45769</v>
      </c>
      <c r="E1048" t="s">
        <v>170</v>
      </c>
      <c r="F1048" t="s">
        <v>4234</v>
      </c>
      <c r="G1048" t="s">
        <v>15</v>
      </c>
      <c r="H1048" t="s">
        <v>4235</v>
      </c>
      <c r="I1048" t="s">
        <v>4236</v>
      </c>
      <c r="J1048" s="4">
        <v>46088.332735497686</v>
      </c>
    </row>
    <row r="1049" spans="1:11" x14ac:dyDescent="0.55000000000000004">
      <c r="A1049" t="s">
        <v>2101</v>
      </c>
      <c r="B1049">
        <v>101058</v>
      </c>
      <c r="C1049" t="s">
        <v>179</v>
      </c>
      <c r="D1049" s="3">
        <v>45831</v>
      </c>
      <c r="E1049" t="s">
        <v>343</v>
      </c>
      <c r="F1049" t="s">
        <v>4237</v>
      </c>
      <c r="G1049" t="s">
        <v>15</v>
      </c>
      <c r="H1049" t="s">
        <v>4238</v>
      </c>
      <c r="I1049" t="s">
        <v>4239</v>
      </c>
      <c r="J1049" s="4">
        <v>46085.464679965276</v>
      </c>
    </row>
    <row r="1050" spans="1:11" x14ac:dyDescent="0.55000000000000004">
      <c r="A1050" t="s">
        <v>4240</v>
      </c>
      <c r="B1050">
        <v>101047</v>
      </c>
      <c r="C1050" t="s">
        <v>68</v>
      </c>
      <c r="D1050" s="3">
        <v>45821</v>
      </c>
      <c r="E1050" t="s">
        <v>20</v>
      </c>
      <c r="F1050" t="s">
        <v>4241</v>
      </c>
      <c r="G1050" t="s">
        <v>15</v>
      </c>
      <c r="H1050" t="s">
        <v>4242</v>
      </c>
      <c r="I1050" t="s">
        <v>4243</v>
      </c>
      <c r="J1050" s="4">
        <v>46075.957731481481</v>
      </c>
    </row>
    <row r="1051" spans="1:11" x14ac:dyDescent="0.55000000000000004">
      <c r="A1051" t="s">
        <v>4244</v>
      </c>
      <c r="B1051">
        <v>100893</v>
      </c>
      <c r="C1051" t="s">
        <v>248</v>
      </c>
      <c r="D1051" s="3">
        <v>45823</v>
      </c>
      <c r="E1051" t="s">
        <v>155</v>
      </c>
      <c r="F1051" t="s">
        <v>4245</v>
      </c>
      <c r="G1051" t="s">
        <v>15</v>
      </c>
      <c r="H1051" t="s">
        <v>4246</v>
      </c>
      <c r="I1051" t="s">
        <v>4247</v>
      </c>
      <c r="J1051" s="4">
        <v>46081.602180000002</v>
      </c>
    </row>
    <row r="1052" spans="1:11" x14ac:dyDescent="0.55000000000000004">
      <c r="A1052" t="s">
        <v>4248</v>
      </c>
      <c r="B1052">
        <v>101199</v>
      </c>
      <c r="C1052" t="s">
        <v>37</v>
      </c>
      <c r="D1052" s="3">
        <v>46157</v>
      </c>
      <c r="E1052" t="s">
        <v>121</v>
      </c>
      <c r="F1052" t="s">
        <v>4249</v>
      </c>
      <c r="G1052" t="s">
        <v>22</v>
      </c>
      <c r="H1052" t="s">
        <v>4250</v>
      </c>
      <c r="I1052" t="s">
        <v>4251</v>
      </c>
      <c r="J1052" s="4">
        <v>46084.312596678239</v>
      </c>
    </row>
    <row r="1053" spans="1:11" x14ac:dyDescent="0.55000000000000004">
      <c r="A1053" t="s">
        <v>4252</v>
      </c>
      <c r="B1053">
        <v>100707</v>
      </c>
      <c r="C1053" t="s">
        <v>179</v>
      </c>
      <c r="D1053" s="3">
        <v>45854</v>
      </c>
      <c r="E1053" t="s">
        <v>356</v>
      </c>
      <c r="F1053" t="s">
        <v>4253</v>
      </c>
      <c r="G1053" t="s">
        <v>22</v>
      </c>
      <c r="H1053" t="s">
        <v>4254</v>
      </c>
      <c r="I1053" t="s">
        <v>4255</v>
      </c>
      <c r="J1053" s="4">
        <v>46052.65356890046</v>
      </c>
    </row>
    <row r="1054" spans="1:11" x14ac:dyDescent="0.55000000000000004">
      <c r="A1054" t="s">
        <v>4256</v>
      </c>
      <c r="D1054" s="3">
        <v>45805</v>
      </c>
      <c r="E1054" t="s">
        <v>115</v>
      </c>
      <c r="F1054" t="s">
        <v>4257</v>
      </c>
      <c r="G1054" t="s">
        <v>15</v>
      </c>
      <c r="H1054" t="s">
        <v>4258</v>
      </c>
      <c r="I1054" t="s">
        <v>4259</v>
      </c>
      <c r="J1054" s="4">
        <v>46063.208430023151</v>
      </c>
      <c r="K1054" t="s">
        <v>4260</v>
      </c>
    </row>
    <row r="1055" spans="1:11" x14ac:dyDescent="0.55000000000000004">
      <c r="A1055" t="s">
        <v>4261</v>
      </c>
      <c r="B1055">
        <v>100222</v>
      </c>
      <c r="C1055" t="s">
        <v>68</v>
      </c>
      <c r="D1055" s="3">
        <v>45894</v>
      </c>
      <c r="E1055" t="s">
        <v>121</v>
      </c>
      <c r="F1055" t="s">
        <v>4262</v>
      </c>
      <c r="G1055" t="s">
        <v>15</v>
      </c>
      <c r="H1055" t="s">
        <v>4263</v>
      </c>
      <c r="I1055" t="s">
        <v>4264</v>
      </c>
      <c r="J1055" s="4">
        <v>46063.327874479168</v>
      </c>
    </row>
    <row r="1056" spans="1:11" x14ac:dyDescent="0.55000000000000004">
      <c r="A1056" t="s">
        <v>4265</v>
      </c>
      <c r="B1056">
        <v>100078</v>
      </c>
      <c r="C1056" t="s">
        <v>533</v>
      </c>
      <c r="D1056" s="3">
        <v>45899</v>
      </c>
      <c r="E1056" t="s">
        <v>155</v>
      </c>
      <c r="F1056" t="s">
        <v>4266</v>
      </c>
      <c r="G1056" t="s">
        <v>22</v>
      </c>
      <c r="H1056" t="s">
        <v>4267</v>
      </c>
      <c r="I1056" t="s">
        <v>4268</v>
      </c>
      <c r="J1056" s="4">
        <v>46089.023707824075</v>
      </c>
    </row>
    <row r="1057" spans="1:11" x14ac:dyDescent="0.55000000000000004">
      <c r="A1057" t="s">
        <v>4269</v>
      </c>
      <c r="B1057">
        <v>101155</v>
      </c>
      <c r="C1057" t="s">
        <v>19</v>
      </c>
      <c r="D1057" s="3">
        <v>45982</v>
      </c>
      <c r="E1057" t="s">
        <v>317</v>
      </c>
      <c r="F1057" t="s">
        <v>4270</v>
      </c>
      <c r="G1057" t="s">
        <v>15</v>
      </c>
      <c r="H1057" t="s">
        <v>4271</v>
      </c>
      <c r="I1057" t="s">
        <v>4272</v>
      </c>
      <c r="J1057" s="4">
        <v>46066.802874490742</v>
      </c>
    </row>
    <row r="1058" spans="1:11" x14ac:dyDescent="0.55000000000000004">
      <c r="A1058" t="s">
        <v>4273</v>
      </c>
      <c r="B1058">
        <v>101339</v>
      </c>
      <c r="C1058" t="s">
        <v>19</v>
      </c>
      <c r="D1058" s="3">
        <v>45765</v>
      </c>
      <c r="E1058" t="s">
        <v>38</v>
      </c>
      <c r="F1058" t="s">
        <v>4274</v>
      </c>
      <c r="G1058" t="s">
        <v>22</v>
      </c>
      <c r="H1058" t="s">
        <v>4275</v>
      </c>
      <c r="I1058" t="s">
        <v>4276</v>
      </c>
      <c r="J1058" s="4">
        <v>46056.022318946758</v>
      </c>
    </row>
    <row r="1059" spans="1:11" x14ac:dyDescent="0.55000000000000004">
      <c r="A1059" t="s">
        <v>4277</v>
      </c>
      <c r="B1059">
        <v>101174</v>
      </c>
      <c r="C1059" t="s">
        <v>68</v>
      </c>
      <c r="D1059" s="3">
        <v>45987</v>
      </c>
      <c r="E1059" t="s">
        <v>208</v>
      </c>
      <c r="F1059" t="s">
        <v>4278</v>
      </c>
      <c r="G1059" t="s">
        <v>22</v>
      </c>
      <c r="H1059" t="s">
        <v>4279</v>
      </c>
      <c r="I1059" t="s">
        <v>4280</v>
      </c>
      <c r="J1059" s="4">
        <v>46063.758430057867</v>
      </c>
    </row>
    <row r="1060" spans="1:11" x14ac:dyDescent="0.55000000000000004">
      <c r="A1060" t="s">
        <v>4281</v>
      </c>
      <c r="B1060">
        <v>101137</v>
      </c>
      <c r="C1060" t="s">
        <v>19</v>
      </c>
      <c r="D1060" s="3">
        <v>46098</v>
      </c>
      <c r="E1060" t="s">
        <v>58</v>
      </c>
      <c r="F1060" t="s">
        <v>4282</v>
      </c>
      <c r="G1060" t="s">
        <v>22</v>
      </c>
      <c r="H1060" t="s">
        <v>4283</v>
      </c>
      <c r="I1060" t="s">
        <v>4284</v>
      </c>
      <c r="J1060" s="4">
        <v>46056.916068958337</v>
      </c>
    </row>
    <row r="1061" spans="1:11" x14ac:dyDescent="0.55000000000000004">
      <c r="A1061" t="s">
        <v>4285</v>
      </c>
      <c r="B1061">
        <v>100056</v>
      </c>
      <c r="C1061" t="s">
        <v>37</v>
      </c>
      <c r="D1061" s="3">
        <v>45838</v>
      </c>
      <c r="E1061" t="s">
        <v>115</v>
      </c>
      <c r="F1061" t="s">
        <v>4286</v>
      </c>
      <c r="G1061" t="s">
        <v>22</v>
      </c>
      <c r="H1061" t="s">
        <v>4287</v>
      </c>
      <c r="I1061" t="s">
        <v>4288</v>
      </c>
      <c r="J1061" s="4">
        <v>46082.183430081015</v>
      </c>
    </row>
    <row r="1062" spans="1:11" x14ac:dyDescent="0.55000000000000004">
      <c r="A1062" t="s">
        <v>4289</v>
      </c>
      <c r="B1062">
        <v>100678</v>
      </c>
      <c r="C1062" t="s">
        <v>248</v>
      </c>
      <c r="D1062" s="3">
        <v>45888</v>
      </c>
      <c r="E1062" t="s">
        <v>89</v>
      </c>
      <c r="F1062" t="s">
        <v>4290</v>
      </c>
      <c r="G1062" t="s">
        <v>15</v>
      </c>
      <c r="H1062" t="s">
        <v>4291</v>
      </c>
      <c r="I1062" t="s">
        <v>4292</v>
      </c>
      <c r="J1062" s="4">
        <v>46074.384124525466</v>
      </c>
    </row>
    <row r="1063" spans="1:11" x14ac:dyDescent="0.55000000000000004">
      <c r="A1063" t="s">
        <v>4293</v>
      </c>
      <c r="B1063">
        <v>100818</v>
      </c>
      <c r="C1063" t="s">
        <v>19</v>
      </c>
      <c r="D1063" s="3">
        <v>45775</v>
      </c>
      <c r="E1063" t="s">
        <v>155</v>
      </c>
      <c r="F1063" t="s">
        <v>4294</v>
      </c>
      <c r="G1063" t="s">
        <v>22</v>
      </c>
      <c r="H1063" t="s">
        <v>4295</v>
      </c>
      <c r="I1063" t="s">
        <v>4296</v>
      </c>
      <c r="J1063" s="4">
        <v>46069.008430081019</v>
      </c>
    </row>
    <row r="1064" spans="1:11" x14ac:dyDescent="0.55000000000000004">
      <c r="A1064" t="s">
        <v>4297</v>
      </c>
      <c r="B1064">
        <v>101371</v>
      </c>
      <c r="C1064" t="s">
        <v>68</v>
      </c>
      <c r="D1064" s="3">
        <v>45849</v>
      </c>
      <c r="E1064" t="s">
        <v>83</v>
      </c>
      <c r="F1064" t="s">
        <v>4298</v>
      </c>
      <c r="G1064" t="s">
        <v>22</v>
      </c>
      <c r="H1064" t="s">
        <v>4299</v>
      </c>
      <c r="I1064" t="s">
        <v>4300</v>
      </c>
      <c r="J1064" s="4">
        <v>46069.08134675926</v>
      </c>
    </row>
    <row r="1065" spans="1:11" x14ac:dyDescent="0.55000000000000004">
      <c r="A1065" t="s">
        <v>4301</v>
      </c>
      <c r="B1065">
        <v>100719</v>
      </c>
      <c r="C1065" t="s">
        <v>179</v>
      </c>
      <c r="D1065" s="3">
        <v>45941</v>
      </c>
      <c r="E1065" t="s">
        <v>58</v>
      </c>
      <c r="F1065" t="s">
        <v>4302</v>
      </c>
      <c r="G1065" t="s">
        <v>22</v>
      </c>
      <c r="H1065" t="s">
        <v>4303</v>
      </c>
      <c r="I1065" t="s">
        <v>4304</v>
      </c>
      <c r="J1065" s="4">
        <v>46073.711207870372</v>
      </c>
    </row>
    <row r="1066" spans="1:11" x14ac:dyDescent="0.55000000000000004">
      <c r="A1066" t="s">
        <v>4305</v>
      </c>
      <c r="B1066">
        <v>100571</v>
      </c>
      <c r="C1066" t="s">
        <v>533</v>
      </c>
      <c r="D1066" s="3">
        <v>45958</v>
      </c>
      <c r="E1066" t="s">
        <v>20</v>
      </c>
      <c r="F1066" t="s">
        <v>4306</v>
      </c>
      <c r="G1066" t="s">
        <v>15</v>
      </c>
      <c r="H1066" t="s">
        <v>4307</v>
      </c>
      <c r="I1066" t="s">
        <v>4308</v>
      </c>
      <c r="J1066" s="4">
        <v>46075.629263437499</v>
      </c>
    </row>
    <row r="1067" spans="1:11" x14ac:dyDescent="0.55000000000000004">
      <c r="A1067" t="s">
        <v>4309</v>
      </c>
      <c r="C1067" t="s">
        <v>68</v>
      </c>
      <c r="D1067" s="3">
        <v>45988</v>
      </c>
      <c r="E1067" t="s">
        <v>343</v>
      </c>
      <c r="F1067" t="s">
        <v>4310</v>
      </c>
      <c r="G1067" t="s">
        <v>15</v>
      </c>
      <c r="H1067" t="s">
        <v>4311</v>
      </c>
      <c r="I1067" t="s">
        <v>4312</v>
      </c>
      <c r="J1067" s="4">
        <v>46091.577874560186</v>
      </c>
      <c r="K1067" t="s">
        <v>112</v>
      </c>
    </row>
    <row r="1068" spans="1:11" x14ac:dyDescent="0.55000000000000004">
      <c r="A1068" t="s">
        <v>4313</v>
      </c>
      <c r="B1068">
        <v>101452</v>
      </c>
      <c r="C1068" t="s">
        <v>37</v>
      </c>
      <c r="D1068" s="3">
        <v>45916</v>
      </c>
      <c r="E1068" t="s">
        <v>38</v>
      </c>
      <c r="F1068" t="s">
        <v>4314</v>
      </c>
      <c r="G1068" t="s">
        <v>15</v>
      </c>
      <c r="H1068" t="s">
        <v>4315</v>
      </c>
      <c r="I1068" t="s">
        <v>4316</v>
      </c>
      <c r="J1068" s="4">
        <v>46076.466763449076</v>
      </c>
    </row>
    <row r="1069" spans="1:11" x14ac:dyDescent="0.55000000000000004">
      <c r="A1069" t="s">
        <v>4317</v>
      </c>
      <c r="B1069">
        <v>100672</v>
      </c>
      <c r="C1069" t="s">
        <v>68</v>
      </c>
      <c r="D1069" s="3">
        <v>45860</v>
      </c>
      <c r="E1069" t="s">
        <v>49</v>
      </c>
      <c r="F1069" t="s">
        <v>4318</v>
      </c>
      <c r="G1069" t="s">
        <v>15</v>
      </c>
      <c r="H1069" t="s">
        <v>4319</v>
      </c>
      <c r="I1069" t="s">
        <v>4320</v>
      </c>
      <c r="J1069" s="4">
        <v>46051.886902349535</v>
      </c>
    </row>
    <row r="1070" spans="1:11" x14ac:dyDescent="0.55000000000000004">
      <c r="A1070" t="s">
        <v>4321</v>
      </c>
      <c r="B1070">
        <v>100816</v>
      </c>
      <c r="C1070" t="s">
        <v>533</v>
      </c>
      <c r="D1070" s="3">
        <v>46117</v>
      </c>
      <c r="E1070" t="s">
        <v>126</v>
      </c>
      <c r="F1070" t="s">
        <v>4322</v>
      </c>
      <c r="G1070" t="s">
        <v>15</v>
      </c>
      <c r="H1070" t="s">
        <v>4323</v>
      </c>
      <c r="I1070" t="s">
        <v>4324</v>
      </c>
      <c r="J1070" s="4">
        <v>46078.345235682871</v>
      </c>
    </row>
    <row r="1071" spans="1:11" x14ac:dyDescent="0.55000000000000004">
      <c r="A1071" t="s">
        <v>4325</v>
      </c>
      <c r="B1071">
        <v>100395</v>
      </c>
      <c r="C1071" t="s">
        <v>68</v>
      </c>
      <c r="D1071" s="3">
        <v>46132</v>
      </c>
      <c r="E1071" t="s">
        <v>89</v>
      </c>
      <c r="F1071" t="s">
        <v>4326</v>
      </c>
      <c r="G1071" t="s">
        <v>15</v>
      </c>
      <c r="H1071" t="s">
        <v>4327</v>
      </c>
      <c r="I1071" t="s">
        <v>4328</v>
      </c>
      <c r="J1071" s="4">
        <v>46066.816069016204</v>
      </c>
    </row>
    <row r="1072" spans="1:11" x14ac:dyDescent="0.55000000000000004">
      <c r="A1072" t="s">
        <v>4329</v>
      </c>
      <c r="B1072">
        <v>100048</v>
      </c>
      <c r="C1072" t="s">
        <v>19</v>
      </c>
      <c r="D1072" s="3">
        <v>46121</v>
      </c>
      <c r="E1072" t="s">
        <v>69</v>
      </c>
      <c r="F1072" t="s">
        <v>4330</v>
      </c>
      <c r="G1072" t="s">
        <v>15</v>
      </c>
      <c r="H1072" t="s">
        <v>4331</v>
      </c>
      <c r="I1072" t="s">
        <v>4332</v>
      </c>
      <c r="J1072" s="4">
        <v>46083.448013472225</v>
      </c>
    </row>
    <row r="1073" spans="1:10" x14ac:dyDescent="0.55000000000000004">
      <c r="A1073" t="s">
        <v>4333</v>
      </c>
      <c r="B1073">
        <v>100456</v>
      </c>
      <c r="C1073" t="s">
        <v>19</v>
      </c>
      <c r="D1073" s="3">
        <v>45851</v>
      </c>
      <c r="E1073" t="s">
        <v>213</v>
      </c>
      <c r="F1073" t="s">
        <v>4334</v>
      </c>
      <c r="G1073" t="s">
        <v>22</v>
      </c>
      <c r="H1073" t="s">
        <v>4335</v>
      </c>
      <c r="I1073" t="s">
        <v>4336</v>
      </c>
      <c r="J1073" s="4">
        <v>46076.624402361114</v>
      </c>
    </row>
    <row r="1074" spans="1:10" x14ac:dyDescent="0.55000000000000004">
      <c r="A1074" t="s">
        <v>4337</v>
      </c>
      <c r="B1074">
        <v>101434</v>
      </c>
      <c r="C1074" t="s">
        <v>68</v>
      </c>
      <c r="D1074" s="3">
        <v>45828</v>
      </c>
      <c r="E1074" t="s">
        <v>757</v>
      </c>
      <c r="F1074" t="s">
        <v>4338</v>
      </c>
      <c r="G1074" t="s">
        <v>15</v>
      </c>
      <c r="H1074" t="s">
        <v>4339</v>
      </c>
      <c r="I1074" t="s">
        <v>4340</v>
      </c>
      <c r="J1074" s="4">
        <v>46069.106346817127</v>
      </c>
    </row>
    <row r="1075" spans="1:10" x14ac:dyDescent="0.55000000000000004">
      <c r="A1075" t="s">
        <v>4341</v>
      </c>
      <c r="B1075">
        <v>100625</v>
      </c>
      <c r="C1075" t="s">
        <v>19</v>
      </c>
      <c r="D1075" s="3">
        <v>45747</v>
      </c>
      <c r="E1075" t="s">
        <v>409</v>
      </c>
      <c r="F1075" t="s">
        <v>4342</v>
      </c>
      <c r="G1075" t="s">
        <v>15</v>
      </c>
      <c r="H1075" t="s">
        <v>4343</v>
      </c>
      <c r="I1075" t="s">
        <v>4344</v>
      </c>
      <c r="J1075" s="4">
        <v>46078.73273570602</v>
      </c>
    </row>
    <row r="1076" spans="1:10" x14ac:dyDescent="0.55000000000000004">
      <c r="A1076" t="s">
        <v>4345</v>
      </c>
      <c r="B1076">
        <v>100716</v>
      </c>
      <c r="C1076" t="s">
        <v>19</v>
      </c>
      <c r="D1076" s="3">
        <v>46146</v>
      </c>
      <c r="E1076" t="s">
        <v>562</v>
      </c>
      <c r="F1076" t="s">
        <v>1380</v>
      </c>
      <c r="G1076" t="s">
        <v>22</v>
      </c>
      <c r="H1076" t="s">
        <v>4346</v>
      </c>
      <c r="I1076" t="s">
        <v>4347</v>
      </c>
      <c r="J1076" s="4">
        <v>46069.770930162034</v>
      </c>
    </row>
    <row r="1077" spans="1:10" x14ac:dyDescent="0.55000000000000004">
      <c r="A1077" t="s">
        <v>4348</v>
      </c>
      <c r="B1077">
        <v>100942</v>
      </c>
      <c r="C1077" t="s">
        <v>179</v>
      </c>
      <c r="D1077" s="3">
        <v>46122</v>
      </c>
      <c r="E1077" t="s">
        <v>126</v>
      </c>
      <c r="F1077" t="s">
        <v>4349</v>
      </c>
      <c r="G1077" t="s">
        <v>15</v>
      </c>
      <c r="H1077" t="s">
        <v>4350</v>
      </c>
      <c r="I1077" t="s">
        <v>4351</v>
      </c>
      <c r="J1077" s="4">
        <v>46061.70079127315</v>
      </c>
    </row>
    <row r="1078" spans="1:10" x14ac:dyDescent="0.55000000000000004">
      <c r="A1078" t="s">
        <v>4352</v>
      </c>
      <c r="B1078">
        <v>100408</v>
      </c>
      <c r="C1078" t="s">
        <v>533</v>
      </c>
      <c r="D1078" s="3">
        <v>45810</v>
      </c>
      <c r="E1078" t="s">
        <v>27</v>
      </c>
      <c r="F1078" t="s">
        <v>4353</v>
      </c>
      <c r="G1078" t="s">
        <v>22</v>
      </c>
      <c r="H1078" t="s">
        <v>4354</v>
      </c>
      <c r="I1078" t="s">
        <v>4355</v>
      </c>
      <c r="J1078" s="4">
        <v>46073.455652395831</v>
      </c>
    </row>
    <row r="1079" spans="1:10" x14ac:dyDescent="0.55000000000000004">
      <c r="A1079" t="s">
        <v>4356</v>
      </c>
      <c r="B1079">
        <v>100455</v>
      </c>
      <c r="C1079" t="s">
        <v>179</v>
      </c>
      <c r="D1079" s="3">
        <v>45764</v>
      </c>
      <c r="E1079" t="s">
        <v>680</v>
      </c>
      <c r="F1079" t="s">
        <v>4357</v>
      </c>
      <c r="G1079" t="s">
        <v>15</v>
      </c>
      <c r="H1079" t="s">
        <v>4358</v>
      </c>
      <c r="I1079" t="s">
        <v>4359</v>
      </c>
      <c r="J1079" s="4">
        <v>46075.936207951388</v>
      </c>
    </row>
    <row r="1080" spans="1:10" x14ac:dyDescent="0.55000000000000004">
      <c r="A1080" t="s">
        <v>4360</v>
      </c>
      <c r="B1080">
        <v>100963</v>
      </c>
      <c r="C1080" t="s">
        <v>179</v>
      </c>
      <c r="D1080" s="3">
        <v>46059</v>
      </c>
      <c r="E1080" t="s">
        <v>265</v>
      </c>
      <c r="F1080" t="s">
        <v>4361</v>
      </c>
      <c r="G1080" t="s">
        <v>15</v>
      </c>
      <c r="H1080" t="s">
        <v>4362</v>
      </c>
      <c r="I1080" t="s">
        <v>4363</v>
      </c>
      <c r="J1080" s="4">
        <v>46053.959819074073</v>
      </c>
    </row>
    <row r="1081" spans="1:10" x14ac:dyDescent="0.55000000000000004">
      <c r="A1081" t="s">
        <v>4364</v>
      </c>
      <c r="B1081">
        <v>100079</v>
      </c>
      <c r="C1081" t="s">
        <v>533</v>
      </c>
      <c r="D1081" s="3">
        <v>45748</v>
      </c>
      <c r="E1081" t="s">
        <v>270</v>
      </c>
      <c r="F1081" t="s">
        <v>4365</v>
      </c>
      <c r="G1081" t="s">
        <v>15</v>
      </c>
      <c r="H1081" t="s">
        <v>4366</v>
      </c>
      <c r="I1081" t="s">
        <v>4367</v>
      </c>
      <c r="J1081" s="4">
        <v>46085.647319074073</v>
      </c>
    </row>
    <row r="1082" spans="1:10" x14ac:dyDescent="0.55000000000000004">
      <c r="A1082" t="s">
        <v>4368</v>
      </c>
      <c r="B1082">
        <v>100783</v>
      </c>
      <c r="C1082" t="s">
        <v>179</v>
      </c>
      <c r="D1082" s="3">
        <v>45877</v>
      </c>
      <c r="E1082" t="s">
        <v>115</v>
      </c>
      <c r="F1082" t="s">
        <v>4369</v>
      </c>
      <c r="G1082" t="s">
        <v>22</v>
      </c>
      <c r="H1082" t="s">
        <v>4370</v>
      </c>
      <c r="I1082" t="s">
        <v>4371</v>
      </c>
      <c r="J1082" s="4">
        <v>46055.000791307873</v>
      </c>
    </row>
    <row r="1083" spans="1:10" x14ac:dyDescent="0.55000000000000004">
      <c r="A1083" t="s">
        <v>4372</v>
      </c>
      <c r="B1083">
        <v>100221</v>
      </c>
      <c r="C1083" t="s">
        <v>37</v>
      </c>
      <c r="D1083" s="3">
        <v>45964</v>
      </c>
      <c r="E1083" t="s">
        <v>20</v>
      </c>
      <c r="F1083" t="s">
        <v>4373</v>
      </c>
      <c r="G1083" t="s">
        <v>15</v>
      </c>
      <c r="H1083" t="s">
        <v>4374</v>
      </c>
      <c r="I1083" t="s">
        <v>4375</v>
      </c>
      <c r="J1083" s="4">
        <v>46087.281346863427</v>
      </c>
    </row>
    <row r="1084" spans="1:10" x14ac:dyDescent="0.55000000000000004">
      <c r="A1084" t="s">
        <v>4376</v>
      </c>
      <c r="B1084">
        <v>101476</v>
      </c>
      <c r="C1084" t="s">
        <v>179</v>
      </c>
      <c r="D1084" s="3">
        <v>45932</v>
      </c>
      <c r="E1084" t="s">
        <v>155</v>
      </c>
      <c r="F1084" t="s">
        <v>4377</v>
      </c>
      <c r="G1084" t="s">
        <v>15</v>
      </c>
      <c r="H1084" t="s">
        <v>4378</v>
      </c>
      <c r="I1084" t="s">
        <v>4379</v>
      </c>
      <c r="J1084" s="4">
        <v>46063.15148576389</v>
      </c>
    </row>
    <row r="1085" spans="1:10" x14ac:dyDescent="0.55000000000000004">
      <c r="A1085" t="s">
        <v>4380</v>
      </c>
      <c r="B1085">
        <v>101350</v>
      </c>
      <c r="C1085" t="s">
        <v>19</v>
      </c>
      <c r="D1085" s="3">
        <v>46112</v>
      </c>
      <c r="E1085" t="s">
        <v>69</v>
      </c>
      <c r="F1085" t="s">
        <v>4381</v>
      </c>
      <c r="G1085" t="s">
        <v>15</v>
      </c>
      <c r="H1085" t="s">
        <v>4382</v>
      </c>
      <c r="I1085" t="s">
        <v>4383</v>
      </c>
      <c r="J1085" s="4">
        <v>46089.453569097219</v>
      </c>
    </row>
    <row r="1086" spans="1:10" x14ac:dyDescent="0.55000000000000004">
      <c r="A1086" t="s">
        <v>4384</v>
      </c>
      <c r="B1086">
        <v>100508</v>
      </c>
      <c r="C1086" t="s">
        <v>68</v>
      </c>
      <c r="D1086" s="3">
        <v>45953</v>
      </c>
      <c r="E1086" t="s">
        <v>680</v>
      </c>
      <c r="F1086" t="s">
        <v>4385</v>
      </c>
      <c r="G1086" t="s">
        <v>22</v>
      </c>
      <c r="H1086" t="s">
        <v>4386</v>
      </c>
      <c r="I1086" t="s">
        <v>4387</v>
      </c>
      <c r="J1086" s="4">
        <v>46060.457735775461</v>
      </c>
    </row>
    <row r="1087" spans="1:10" x14ac:dyDescent="0.55000000000000004">
      <c r="A1087" t="s">
        <v>4388</v>
      </c>
      <c r="B1087">
        <v>100843</v>
      </c>
      <c r="C1087" t="s">
        <v>19</v>
      </c>
      <c r="D1087" s="3">
        <v>46098</v>
      </c>
      <c r="E1087" t="s">
        <v>208</v>
      </c>
      <c r="F1087" t="s">
        <v>4389</v>
      </c>
      <c r="G1087" t="s">
        <v>15</v>
      </c>
      <c r="H1087" t="s">
        <v>210</v>
      </c>
      <c r="I1087" t="s">
        <v>4390</v>
      </c>
      <c r="J1087" s="4">
        <v>46088.112596886574</v>
      </c>
    </row>
    <row r="1088" spans="1:10" x14ac:dyDescent="0.55000000000000004">
      <c r="A1088" t="s">
        <v>4391</v>
      </c>
      <c r="B1088">
        <v>100680</v>
      </c>
      <c r="C1088" t="s">
        <v>37</v>
      </c>
      <c r="D1088" s="3">
        <v>46154</v>
      </c>
      <c r="E1088" t="s">
        <v>409</v>
      </c>
      <c r="F1088" t="s">
        <v>4392</v>
      </c>
      <c r="G1088" t="s">
        <v>22</v>
      </c>
      <c r="H1088" t="s">
        <v>4393</v>
      </c>
      <c r="I1088" t="s">
        <v>4394</v>
      </c>
      <c r="J1088" s="4">
        <v>46061.048013553242</v>
      </c>
    </row>
    <row r="1089" spans="1:10" x14ac:dyDescent="0.55000000000000004">
      <c r="A1089" t="s">
        <v>4395</v>
      </c>
      <c r="B1089">
        <v>100367</v>
      </c>
      <c r="C1089" t="s">
        <v>179</v>
      </c>
      <c r="D1089" s="3">
        <v>45968</v>
      </c>
      <c r="E1089" t="s">
        <v>13</v>
      </c>
      <c r="F1089" t="s">
        <v>4396</v>
      </c>
      <c r="G1089" t="s">
        <v>22</v>
      </c>
      <c r="H1089" t="s">
        <v>4397</v>
      </c>
      <c r="I1089" t="s">
        <v>4398</v>
      </c>
      <c r="J1089" s="4">
        <v>46074.750096898148</v>
      </c>
    </row>
    <row r="1090" spans="1:10" x14ac:dyDescent="0.55000000000000004">
      <c r="A1090" t="s">
        <v>4399</v>
      </c>
      <c r="B1090">
        <v>100050</v>
      </c>
      <c r="C1090" t="s">
        <v>68</v>
      </c>
      <c r="D1090" s="3">
        <v>45932</v>
      </c>
      <c r="E1090" t="s">
        <v>680</v>
      </c>
      <c r="F1090" t="s">
        <v>4400</v>
      </c>
      <c r="G1090" t="s">
        <v>15</v>
      </c>
      <c r="H1090" t="s">
        <v>4401</v>
      </c>
      <c r="I1090" t="s">
        <v>4402</v>
      </c>
      <c r="J1090" s="4">
        <v>46058.132041354169</v>
      </c>
    </row>
    <row r="1091" spans="1:10" x14ac:dyDescent="0.55000000000000004">
      <c r="A1091" t="s">
        <v>4403</v>
      </c>
      <c r="B1091">
        <v>100844</v>
      </c>
      <c r="C1091" t="s">
        <v>179</v>
      </c>
      <c r="D1091" s="3">
        <v>45928</v>
      </c>
      <c r="E1091" t="s">
        <v>528</v>
      </c>
      <c r="F1091" t="s">
        <v>4404</v>
      </c>
      <c r="G1091" t="s">
        <v>22</v>
      </c>
      <c r="H1091" t="s">
        <v>4405</v>
      </c>
      <c r="I1091" t="s">
        <v>4406</v>
      </c>
      <c r="J1091" s="4">
        <v>46053.684124687497</v>
      </c>
    </row>
    <row r="1092" spans="1:10" x14ac:dyDescent="0.55000000000000004">
      <c r="A1092" t="s">
        <v>4407</v>
      </c>
      <c r="B1092">
        <v>100362</v>
      </c>
      <c r="C1092" t="s">
        <v>248</v>
      </c>
      <c r="D1092" s="3">
        <v>45812</v>
      </c>
      <c r="E1092" t="s">
        <v>27</v>
      </c>
      <c r="F1092" t="s">
        <v>4408</v>
      </c>
      <c r="G1092" t="s">
        <v>22</v>
      </c>
      <c r="H1092" t="s">
        <v>4409</v>
      </c>
      <c r="I1092" t="s">
        <v>4410</v>
      </c>
      <c r="J1092" s="4">
        <v>46055.651485810187</v>
      </c>
    </row>
    <row r="1093" spans="1:10" x14ac:dyDescent="0.55000000000000004">
      <c r="A1093" t="s">
        <v>4411</v>
      </c>
      <c r="B1093">
        <v>100332</v>
      </c>
      <c r="C1093" t="s">
        <v>248</v>
      </c>
      <c r="D1093" s="3">
        <v>45984</v>
      </c>
      <c r="E1093" t="s">
        <v>170</v>
      </c>
      <c r="F1093" t="s">
        <v>4412</v>
      </c>
      <c r="G1093" t="s">
        <v>22</v>
      </c>
      <c r="H1093" t="s">
        <v>4413</v>
      </c>
      <c r="I1093" t="s">
        <v>4414</v>
      </c>
      <c r="J1093" s="4">
        <v>46093.596624710648</v>
      </c>
    </row>
    <row r="1094" spans="1:10" x14ac:dyDescent="0.55000000000000004">
      <c r="A1094" t="s">
        <v>4415</v>
      </c>
      <c r="B1094">
        <v>101225</v>
      </c>
      <c r="C1094" t="s">
        <v>19</v>
      </c>
      <c r="D1094" s="3">
        <v>46124</v>
      </c>
      <c r="E1094" t="s">
        <v>757</v>
      </c>
      <c r="F1094" t="s">
        <v>4416</v>
      </c>
      <c r="G1094" t="s">
        <v>15</v>
      </c>
      <c r="H1094" t="s">
        <v>4417</v>
      </c>
      <c r="I1094" t="s">
        <v>4418</v>
      </c>
      <c r="J1094" s="4">
        <v>46081.451485833335</v>
      </c>
    </row>
    <row r="1095" spans="1:10" x14ac:dyDescent="0.55000000000000004">
      <c r="A1095" t="s">
        <v>4419</v>
      </c>
      <c r="B1095">
        <v>100316</v>
      </c>
      <c r="C1095" t="s">
        <v>19</v>
      </c>
      <c r="D1095" s="3">
        <v>45754</v>
      </c>
      <c r="E1095" t="s">
        <v>141</v>
      </c>
      <c r="F1095" t="s">
        <v>4420</v>
      </c>
      <c r="G1095" t="s">
        <v>22</v>
      </c>
      <c r="H1095" t="s">
        <v>4421</v>
      </c>
      <c r="I1095" t="s">
        <v>4422</v>
      </c>
      <c r="J1095" s="4">
        <v>46073.257735844905</v>
      </c>
    </row>
    <row r="1096" spans="1:10" x14ac:dyDescent="0.55000000000000004">
      <c r="A1096" t="s">
        <v>4423</v>
      </c>
      <c r="B1096">
        <v>101223</v>
      </c>
      <c r="C1096" t="s">
        <v>179</v>
      </c>
      <c r="D1096" s="3">
        <v>45831</v>
      </c>
      <c r="E1096" t="s">
        <v>141</v>
      </c>
      <c r="F1096" t="s">
        <v>4424</v>
      </c>
      <c r="G1096" t="s">
        <v>22</v>
      </c>
      <c r="H1096" t="s">
        <v>4425</v>
      </c>
      <c r="I1096" t="s">
        <v>4426</v>
      </c>
      <c r="J1096" s="4">
        <v>46090.552180300925</v>
      </c>
    </row>
    <row r="1097" spans="1:10" x14ac:dyDescent="0.55000000000000004">
      <c r="A1097" t="s">
        <v>4427</v>
      </c>
      <c r="B1097">
        <v>100724</v>
      </c>
      <c r="C1097" t="s">
        <v>68</v>
      </c>
      <c r="D1097" s="3">
        <v>46075</v>
      </c>
      <c r="E1097" t="s">
        <v>213</v>
      </c>
      <c r="F1097" t="s">
        <v>4428</v>
      </c>
      <c r="G1097" t="s">
        <v>15</v>
      </c>
      <c r="H1097" t="s">
        <v>4429</v>
      </c>
      <c r="I1097" t="s">
        <v>4430</v>
      </c>
      <c r="J1097" s="4">
        <v>46091.966069189817</v>
      </c>
    </row>
    <row r="1098" spans="1:10" x14ac:dyDescent="0.55000000000000004">
      <c r="A1098" t="s">
        <v>4431</v>
      </c>
      <c r="B1098">
        <v>100210</v>
      </c>
      <c r="C1098" t="s">
        <v>248</v>
      </c>
      <c r="D1098" s="3">
        <v>46097</v>
      </c>
      <c r="E1098" t="s">
        <v>418</v>
      </c>
      <c r="F1098" t="s">
        <v>4432</v>
      </c>
      <c r="G1098" t="s">
        <v>22</v>
      </c>
      <c r="H1098" t="s">
        <v>4433</v>
      </c>
      <c r="I1098" t="s">
        <v>4434</v>
      </c>
      <c r="J1098" s="4">
        <v>46087.503569201392</v>
      </c>
    </row>
    <row r="1099" spans="1:10" x14ac:dyDescent="0.55000000000000004">
      <c r="A1099" t="s">
        <v>4435</v>
      </c>
      <c r="B1099">
        <v>101234</v>
      </c>
      <c r="C1099" t="s">
        <v>37</v>
      </c>
      <c r="D1099" s="3">
        <v>46042</v>
      </c>
      <c r="E1099" t="s">
        <v>115</v>
      </c>
      <c r="F1099" t="s">
        <v>4436</v>
      </c>
      <c r="G1099" t="s">
        <v>22</v>
      </c>
      <c r="H1099" t="s">
        <v>4437</v>
      </c>
      <c r="I1099" t="s">
        <v>4438</v>
      </c>
      <c r="J1099" s="4">
        <v>46089.986208101851</v>
      </c>
    </row>
    <row r="1100" spans="1:10" x14ac:dyDescent="0.55000000000000004">
      <c r="A1100" t="s">
        <v>4439</v>
      </c>
      <c r="B1100">
        <v>100430</v>
      </c>
      <c r="C1100" t="s">
        <v>179</v>
      </c>
      <c r="D1100" s="3">
        <v>45818</v>
      </c>
      <c r="E1100" t="s">
        <v>317</v>
      </c>
      <c r="F1100" t="s">
        <v>4440</v>
      </c>
      <c r="G1100" t="s">
        <v>15</v>
      </c>
      <c r="H1100" t="s">
        <v>4441</v>
      </c>
      <c r="I1100" t="s">
        <v>4442</v>
      </c>
      <c r="J1100" s="4">
        <v>46054.357735879632</v>
      </c>
    </row>
    <row r="1101" spans="1:10" x14ac:dyDescent="0.55000000000000004">
      <c r="A1101" t="s">
        <v>4443</v>
      </c>
      <c r="B1101">
        <v>100732</v>
      </c>
      <c r="C1101" t="s">
        <v>533</v>
      </c>
      <c r="D1101" s="3">
        <v>45957</v>
      </c>
      <c r="E1101" t="s">
        <v>189</v>
      </c>
      <c r="F1101" t="s">
        <v>4444</v>
      </c>
      <c r="G1101" t="s">
        <v>15</v>
      </c>
      <c r="H1101" t="s">
        <v>4445</v>
      </c>
      <c r="I1101" t="s">
        <v>4446</v>
      </c>
      <c r="J1101" s="4">
        <v>46053.988985891207</v>
      </c>
    </row>
    <row r="1102" spans="1:10" x14ac:dyDescent="0.55000000000000004">
      <c r="A1102" t="s">
        <v>4447</v>
      </c>
      <c r="B1102">
        <v>101263</v>
      </c>
      <c r="C1102" t="s">
        <v>248</v>
      </c>
      <c r="D1102" s="3">
        <v>45958</v>
      </c>
      <c r="E1102" t="s">
        <v>184</v>
      </c>
      <c r="F1102" t="s">
        <v>4448</v>
      </c>
      <c r="G1102" t="s">
        <v>22</v>
      </c>
      <c r="H1102" t="s">
        <v>4449</v>
      </c>
      <c r="I1102" t="s">
        <v>4450</v>
      </c>
      <c r="J1102" s="4">
        <v>46053.307735891205</v>
      </c>
    </row>
    <row r="1103" spans="1:10" x14ac:dyDescent="0.55000000000000004">
      <c r="A1103" t="s">
        <v>4451</v>
      </c>
      <c r="B1103">
        <v>100746</v>
      </c>
      <c r="C1103" t="s">
        <v>179</v>
      </c>
      <c r="D1103" s="3">
        <v>45758</v>
      </c>
      <c r="E1103" t="s">
        <v>243</v>
      </c>
      <c r="F1103" t="s">
        <v>4452</v>
      </c>
      <c r="G1103" t="s">
        <v>15</v>
      </c>
      <c r="H1103" t="s">
        <v>4453</v>
      </c>
      <c r="I1103" t="s">
        <v>4454</v>
      </c>
      <c r="J1103" s="4">
        <v>46082.213291458334</v>
      </c>
    </row>
    <row r="1104" spans="1:10" x14ac:dyDescent="0.55000000000000004">
      <c r="A1104" t="s">
        <v>2951</v>
      </c>
      <c r="B1104">
        <v>100631</v>
      </c>
      <c r="C1104" t="s">
        <v>248</v>
      </c>
      <c r="D1104" s="3">
        <v>45834</v>
      </c>
      <c r="E1104" t="s">
        <v>155</v>
      </c>
      <c r="F1104" t="s">
        <v>4455</v>
      </c>
      <c r="G1104" t="s">
        <v>22</v>
      </c>
      <c r="H1104" t="s">
        <v>4456</v>
      </c>
      <c r="I1104" t="s">
        <v>4457</v>
      </c>
      <c r="J1104" s="4">
        <v>46096.725791458332</v>
      </c>
    </row>
    <row r="1105" spans="1:11" x14ac:dyDescent="0.55000000000000004">
      <c r="A1105" t="s">
        <v>4458</v>
      </c>
      <c r="B1105">
        <v>100085</v>
      </c>
      <c r="C1105" t="s">
        <v>68</v>
      </c>
      <c r="D1105" s="3">
        <v>46152</v>
      </c>
      <c r="E1105" t="s">
        <v>317</v>
      </c>
      <c r="F1105" t="s">
        <v>4459</v>
      </c>
      <c r="G1105" t="s">
        <v>15</v>
      </c>
      <c r="H1105" t="s">
        <v>4460</v>
      </c>
      <c r="I1105" t="s">
        <v>4461</v>
      </c>
      <c r="J1105" s="4">
        <v>46083.609124803239</v>
      </c>
    </row>
    <row r="1106" spans="1:11" x14ac:dyDescent="0.55000000000000004">
      <c r="A1106" t="s">
        <v>4462</v>
      </c>
      <c r="B1106">
        <v>100261</v>
      </c>
      <c r="C1106" t="s">
        <v>533</v>
      </c>
      <c r="D1106" s="3">
        <v>46102</v>
      </c>
      <c r="E1106" t="s">
        <v>155</v>
      </c>
      <c r="F1106" t="s">
        <v>4463</v>
      </c>
      <c r="G1106" t="s">
        <v>22</v>
      </c>
      <c r="H1106" t="s">
        <v>4464</v>
      </c>
      <c r="I1106" t="s">
        <v>4465</v>
      </c>
      <c r="J1106" s="4">
        <v>46065.593152581016</v>
      </c>
    </row>
    <row r="1107" spans="1:11" x14ac:dyDescent="0.55000000000000004">
      <c r="A1107" t="s">
        <v>4466</v>
      </c>
      <c r="B1107">
        <v>100880</v>
      </c>
      <c r="C1107" t="s">
        <v>68</v>
      </c>
      <c r="D1107" s="3">
        <v>45897</v>
      </c>
      <c r="E1107" t="s">
        <v>587</v>
      </c>
      <c r="F1107" t="s">
        <v>4467</v>
      </c>
      <c r="G1107" t="s">
        <v>22</v>
      </c>
      <c r="H1107" t="s">
        <v>4468</v>
      </c>
      <c r="I1107" t="s">
        <v>4469</v>
      </c>
      <c r="J1107" s="4">
        <v>46070.574402592596</v>
      </c>
    </row>
    <row r="1108" spans="1:11" x14ac:dyDescent="0.55000000000000004">
      <c r="A1108" t="s">
        <v>4470</v>
      </c>
      <c r="B1108">
        <v>100303</v>
      </c>
      <c r="C1108" t="s">
        <v>248</v>
      </c>
      <c r="D1108" s="3">
        <v>45841</v>
      </c>
      <c r="E1108" t="s">
        <v>20</v>
      </c>
      <c r="F1108" t="s">
        <v>4471</v>
      </c>
      <c r="G1108" t="s">
        <v>22</v>
      </c>
      <c r="H1108" t="s">
        <v>4472</v>
      </c>
      <c r="I1108" t="s">
        <v>4473</v>
      </c>
      <c r="J1108" s="4">
        <v>46086.725097037037</v>
      </c>
    </row>
    <row r="1109" spans="1:11" x14ac:dyDescent="0.55000000000000004">
      <c r="A1109" t="s">
        <v>4474</v>
      </c>
      <c r="B1109">
        <v>101150</v>
      </c>
      <c r="C1109" t="s">
        <v>179</v>
      </c>
      <c r="D1109" s="3">
        <v>46066</v>
      </c>
      <c r="E1109" t="s">
        <v>334</v>
      </c>
      <c r="F1109" t="s">
        <v>4475</v>
      </c>
      <c r="G1109" t="s">
        <v>15</v>
      </c>
      <c r="H1109" t="s">
        <v>4476</v>
      </c>
      <c r="I1109" t="s">
        <v>4477</v>
      </c>
      <c r="J1109" s="4">
        <v>46068.433430381941</v>
      </c>
    </row>
    <row r="1110" spans="1:11" x14ac:dyDescent="0.55000000000000004">
      <c r="A1110" t="s">
        <v>4478</v>
      </c>
      <c r="B1110">
        <v>100073</v>
      </c>
      <c r="C1110" t="s">
        <v>37</v>
      </c>
      <c r="D1110" s="3">
        <v>46068</v>
      </c>
      <c r="E1110" t="s">
        <v>27</v>
      </c>
      <c r="F1110" t="s">
        <v>4479</v>
      </c>
      <c r="G1110" t="s">
        <v>22</v>
      </c>
      <c r="H1110" t="s">
        <v>4480</v>
      </c>
      <c r="I1110" t="s">
        <v>4481</v>
      </c>
      <c r="J1110" s="4">
        <v>46095.650791493055</v>
      </c>
    </row>
    <row r="1111" spans="1:11" x14ac:dyDescent="0.55000000000000004">
      <c r="A1111" t="s">
        <v>4482</v>
      </c>
      <c r="C1111" t="s">
        <v>248</v>
      </c>
      <c r="D1111" s="3">
        <v>45942</v>
      </c>
      <c r="E1111" t="s">
        <v>89</v>
      </c>
      <c r="F1111" t="s">
        <v>2878</v>
      </c>
      <c r="G1111" t="s">
        <v>15</v>
      </c>
      <c r="H1111" t="s">
        <v>4483</v>
      </c>
      <c r="I1111" t="s">
        <v>4484</v>
      </c>
      <c r="J1111" s="4">
        <v>46051.98343039352</v>
      </c>
      <c r="K1111" t="s">
        <v>112</v>
      </c>
    </row>
    <row r="1112" spans="1:11" x14ac:dyDescent="0.55000000000000004">
      <c r="A1112" t="s">
        <v>4485</v>
      </c>
      <c r="B1112">
        <v>101233</v>
      </c>
      <c r="C1112" t="s">
        <v>19</v>
      </c>
      <c r="D1112" s="3">
        <v>45819</v>
      </c>
      <c r="E1112" t="s">
        <v>170</v>
      </c>
      <c r="F1112" t="s">
        <v>4486</v>
      </c>
      <c r="G1112" t="s">
        <v>22</v>
      </c>
      <c r="H1112" t="s">
        <v>4487</v>
      </c>
      <c r="I1112" t="s">
        <v>4488</v>
      </c>
      <c r="J1112" s="4">
        <v>46056.755652627318</v>
      </c>
    </row>
    <row r="1113" spans="1:11" x14ac:dyDescent="0.55000000000000004">
      <c r="A1113" t="s">
        <v>4489</v>
      </c>
      <c r="B1113">
        <v>101320</v>
      </c>
      <c r="C1113" t="s">
        <v>179</v>
      </c>
      <c r="D1113" s="3">
        <v>46079</v>
      </c>
      <c r="E1113" t="s">
        <v>562</v>
      </c>
      <c r="F1113" t="s">
        <v>4490</v>
      </c>
      <c r="G1113" t="s">
        <v>22</v>
      </c>
      <c r="H1113" t="s">
        <v>4491</v>
      </c>
      <c r="I1113" t="s">
        <v>4492</v>
      </c>
      <c r="J1113" s="4">
        <v>46055.060513738426</v>
      </c>
    </row>
    <row r="1114" spans="1:11" x14ac:dyDescent="0.55000000000000004">
      <c r="A1114" t="s">
        <v>4493</v>
      </c>
      <c r="B1114">
        <v>101163</v>
      </c>
      <c r="C1114" t="s">
        <v>37</v>
      </c>
      <c r="D1114" s="3">
        <v>45903</v>
      </c>
      <c r="E1114" t="s">
        <v>38</v>
      </c>
      <c r="F1114" t="s">
        <v>4494</v>
      </c>
      <c r="G1114" t="s">
        <v>22</v>
      </c>
      <c r="H1114" t="s">
        <v>4495</v>
      </c>
      <c r="I1114" t="s">
        <v>4496</v>
      </c>
      <c r="J1114" s="4">
        <v>46073.019541527778</v>
      </c>
    </row>
    <row r="1115" spans="1:11" x14ac:dyDescent="0.55000000000000004">
      <c r="A1115" t="s">
        <v>4497</v>
      </c>
      <c r="B1115">
        <v>100875</v>
      </c>
      <c r="C1115" t="s">
        <v>248</v>
      </c>
      <c r="D1115" s="3">
        <v>45989</v>
      </c>
      <c r="E1115" t="s">
        <v>108</v>
      </c>
      <c r="F1115" t="s">
        <v>4498</v>
      </c>
      <c r="G1115" t="s">
        <v>15</v>
      </c>
      <c r="H1115" t="s">
        <v>4499</v>
      </c>
      <c r="I1115" t="s">
        <v>4500</v>
      </c>
      <c r="J1115" s="4">
        <v>46058.569541539349</v>
      </c>
    </row>
    <row r="1116" spans="1:11" x14ac:dyDescent="0.55000000000000004">
      <c r="A1116" t="s">
        <v>4501</v>
      </c>
      <c r="B1116">
        <v>100904</v>
      </c>
      <c r="C1116" t="s">
        <v>68</v>
      </c>
      <c r="D1116" s="3">
        <v>45853</v>
      </c>
      <c r="E1116" t="s">
        <v>121</v>
      </c>
      <c r="F1116" t="s">
        <v>4502</v>
      </c>
      <c r="G1116" t="s">
        <v>15</v>
      </c>
      <c r="H1116" t="s">
        <v>4503</v>
      </c>
      <c r="I1116" t="s">
        <v>4504</v>
      </c>
      <c r="J1116" s="4">
        <v>46089.213291539352</v>
      </c>
    </row>
    <row r="1117" spans="1:11" x14ac:dyDescent="0.55000000000000004">
      <c r="A1117" t="s">
        <v>4505</v>
      </c>
      <c r="B1117">
        <v>101328</v>
      </c>
      <c r="C1117" t="s">
        <v>19</v>
      </c>
      <c r="D1117" s="3">
        <v>45883</v>
      </c>
      <c r="E1117" t="s">
        <v>115</v>
      </c>
      <c r="F1117" t="s">
        <v>4506</v>
      </c>
      <c r="G1117" t="s">
        <v>22</v>
      </c>
      <c r="H1117" t="s">
        <v>4507</v>
      </c>
      <c r="I1117" t="s">
        <v>4508</v>
      </c>
      <c r="J1117" s="4">
        <v>46083.833430439816</v>
      </c>
    </row>
    <row r="1118" spans="1:11" x14ac:dyDescent="0.55000000000000004">
      <c r="A1118" t="s">
        <v>4509</v>
      </c>
      <c r="B1118">
        <v>100536</v>
      </c>
      <c r="C1118" t="s">
        <v>37</v>
      </c>
      <c r="D1118" s="3">
        <v>45853</v>
      </c>
      <c r="E1118" t="s">
        <v>495</v>
      </c>
      <c r="F1118" t="s">
        <v>4510</v>
      </c>
      <c r="G1118" t="s">
        <v>15</v>
      </c>
      <c r="H1118" t="s">
        <v>4511</v>
      </c>
      <c r="I1118" t="s">
        <v>4512</v>
      </c>
      <c r="J1118" s="4">
        <v>46080.294541550924</v>
      </c>
    </row>
    <row r="1119" spans="1:11" x14ac:dyDescent="0.55000000000000004">
      <c r="A1119" t="s">
        <v>4513</v>
      </c>
      <c r="B1119">
        <v>100267</v>
      </c>
      <c r="C1119" t="s">
        <v>37</v>
      </c>
      <c r="D1119" s="3">
        <v>45998</v>
      </c>
      <c r="E1119" t="s">
        <v>49</v>
      </c>
      <c r="F1119" t="s">
        <v>4514</v>
      </c>
      <c r="G1119" t="s">
        <v>15</v>
      </c>
      <c r="H1119" t="s">
        <v>4515</v>
      </c>
      <c r="I1119" t="s">
        <v>4516</v>
      </c>
      <c r="J1119" s="4">
        <v>46083.275097118058</v>
      </c>
    </row>
    <row r="1120" spans="1:11" x14ac:dyDescent="0.55000000000000004">
      <c r="A1120" t="s">
        <v>4517</v>
      </c>
      <c r="B1120">
        <v>100683</v>
      </c>
      <c r="C1120" t="s">
        <v>68</v>
      </c>
      <c r="D1120" s="3">
        <v>45856</v>
      </c>
      <c r="E1120" t="s">
        <v>38</v>
      </c>
      <c r="F1120" t="s">
        <v>4518</v>
      </c>
      <c r="G1120" t="s">
        <v>15</v>
      </c>
      <c r="H1120" t="s">
        <v>4519</v>
      </c>
      <c r="I1120" t="s">
        <v>4520</v>
      </c>
      <c r="J1120" s="4">
        <v>46055.393152673612</v>
      </c>
    </row>
    <row r="1121" spans="1:11" x14ac:dyDescent="0.55000000000000004">
      <c r="A1121" t="s">
        <v>4521</v>
      </c>
      <c r="B1121">
        <v>100007</v>
      </c>
      <c r="C1121" t="s">
        <v>248</v>
      </c>
      <c r="D1121" s="3">
        <v>46043</v>
      </c>
      <c r="E1121" t="s">
        <v>467</v>
      </c>
      <c r="F1121" t="s">
        <v>4522</v>
      </c>
      <c r="G1121" t="s">
        <v>15</v>
      </c>
      <c r="H1121" t="s">
        <v>4523</v>
      </c>
      <c r="I1121" t="s">
        <v>4524</v>
      </c>
      <c r="J1121" s="4">
        <v>46068.850791562501</v>
      </c>
    </row>
    <row r="1122" spans="1:11" x14ac:dyDescent="0.55000000000000004">
      <c r="A1122" t="s">
        <v>4525</v>
      </c>
      <c r="B1122">
        <v>100090</v>
      </c>
      <c r="D1122" s="3">
        <v>45765</v>
      </c>
      <c r="E1122" t="s">
        <v>265</v>
      </c>
      <c r="F1122" t="s">
        <v>4526</v>
      </c>
      <c r="G1122" t="s">
        <v>15</v>
      </c>
      <c r="H1122" t="s">
        <v>4527</v>
      </c>
      <c r="I1122" t="s">
        <v>4528</v>
      </c>
      <c r="J1122" s="4">
        <v>46057.545236018515</v>
      </c>
      <c r="K1122" t="s">
        <v>217</v>
      </c>
    </row>
    <row r="1123" spans="1:11" x14ac:dyDescent="0.55000000000000004">
      <c r="A1123" t="s">
        <v>4529</v>
      </c>
      <c r="B1123">
        <v>100566</v>
      </c>
      <c r="C1123" t="s">
        <v>248</v>
      </c>
      <c r="D1123" s="3">
        <v>45796</v>
      </c>
      <c r="E1123" t="s">
        <v>115</v>
      </c>
      <c r="F1123" t="s">
        <v>4530</v>
      </c>
      <c r="G1123" t="s">
        <v>15</v>
      </c>
      <c r="H1123" t="s">
        <v>4531</v>
      </c>
      <c r="I1123" t="s">
        <v>4532</v>
      </c>
      <c r="J1123" s="4">
        <v>46082.024402685187</v>
      </c>
    </row>
    <row r="1124" spans="1:11" x14ac:dyDescent="0.55000000000000004">
      <c r="A1124" t="s">
        <v>4533</v>
      </c>
      <c r="B1124">
        <v>101253</v>
      </c>
      <c r="C1124" t="s">
        <v>37</v>
      </c>
      <c r="D1124" s="3">
        <v>45950</v>
      </c>
      <c r="E1124" t="s">
        <v>208</v>
      </c>
      <c r="F1124" t="s">
        <v>4534</v>
      </c>
      <c r="G1124" t="s">
        <v>15</v>
      </c>
      <c r="H1124" t="s">
        <v>4535</v>
      </c>
      <c r="I1124" t="s">
        <v>4536</v>
      </c>
      <c r="J1124" s="4">
        <v>46082.143152696757</v>
      </c>
    </row>
    <row r="1125" spans="1:11" x14ac:dyDescent="0.55000000000000004">
      <c r="A1125" t="s">
        <v>4537</v>
      </c>
      <c r="B1125">
        <v>101457</v>
      </c>
      <c r="C1125" t="s">
        <v>533</v>
      </c>
      <c r="D1125" s="3">
        <v>46042</v>
      </c>
      <c r="E1125" t="s">
        <v>20</v>
      </c>
      <c r="F1125" t="s">
        <v>4538</v>
      </c>
      <c r="G1125" t="s">
        <v>22</v>
      </c>
      <c r="H1125" t="s">
        <v>4539</v>
      </c>
      <c r="I1125" t="s">
        <v>4540</v>
      </c>
      <c r="J1125" s="4">
        <v>46061.108430474538</v>
      </c>
    </row>
    <row r="1126" spans="1:11" x14ac:dyDescent="0.55000000000000004">
      <c r="A1126" t="s">
        <v>4541</v>
      </c>
      <c r="B1126">
        <v>100104</v>
      </c>
      <c r="C1126" t="s">
        <v>248</v>
      </c>
      <c r="D1126" s="3">
        <v>45871</v>
      </c>
      <c r="E1126" t="s">
        <v>295</v>
      </c>
      <c r="F1126" t="s">
        <v>4542</v>
      </c>
      <c r="G1126" t="s">
        <v>22</v>
      </c>
      <c r="H1126" t="s">
        <v>4543</v>
      </c>
      <c r="I1126" t="s">
        <v>4544</v>
      </c>
      <c r="J1126" s="4">
        <v>46073.507736041669</v>
      </c>
    </row>
    <row r="1127" spans="1:11" x14ac:dyDescent="0.55000000000000004">
      <c r="A1127" t="s">
        <v>4545</v>
      </c>
      <c r="B1127">
        <v>101355</v>
      </c>
      <c r="C1127" t="s">
        <v>19</v>
      </c>
      <c r="D1127" s="3">
        <v>45957</v>
      </c>
      <c r="E1127" t="s">
        <v>27</v>
      </c>
      <c r="F1127" t="s">
        <v>4546</v>
      </c>
      <c r="G1127" t="s">
        <v>22</v>
      </c>
      <c r="H1127" t="s">
        <v>4547</v>
      </c>
      <c r="I1127" t="s">
        <v>4548</v>
      </c>
      <c r="J1127" s="4">
        <v>46088.060513819444</v>
      </c>
    </row>
    <row r="1128" spans="1:11" x14ac:dyDescent="0.55000000000000004">
      <c r="A1128" t="s">
        <v>4549</v>
      </c>
      <c r="B1128">
        <v>101322</v>
      </c>
      <c r="C1128" t="s">
        <v>37</v>
      </c>
      <c r="D1128" s="3">
        <v>46122</v>
      </c>
      <c r="E1128" t="s">
        <v>334</v>
      </c>
      <c r="F1128" t="s">
        <v>4550</v>
      </c>
      <c r="G1128" t="s">
        <v>22</v>
      </c>
      <c r="H1128" t="s">
        <v>4551</v>
      </c>
      <c r="I1128" t="s">
        <v>4552</v>
      </c>
      <c r="J1128" s="4">
        <v>46058.982041608797</v>
      </c>
    </row>
    <row r="1129" spans="1:11" x14ac:dyDescent="0.55000000000000004">
      <c r="A1129" t="s">
        <v>4553</v>
      </c>
      <c r="B1129">
        <v>101035</v>
      </c>
      <c r="C1129" t="s">
        <v>533</v>
      </c>
      <c r="D1129" s="3">
        <v>46015</v>
      </c>
      <c r="E1129" t="s">
        <v>208</v>
      </c>
      <c r="F1129" t="s">
        <v>4554</v>
      </c>
      <c r="G1129" t="s">
        <v>22</v>
      </c>
      <c r="H1129" t="s">
        <v>4555</v>
      </c>
      <c r="I1129" t="s">
        <v>4556</v>
      </c>
      <c r="J1129" s="4">
        <v>46078.101486053238</v>
      </c>
    </row>
    <row r="1130" spans="1:11" x14ac:dyDescent="0.55000000000000004">
      <c r="A1130" t="s">
        <v>4557</v>
      </c>
      <c r="B1130">
        <v>100540</v>
      </c>
      <c r="C1130" t="s">
        <v>68</v>
      </c>
      <c r="D1130" s="3">
        <v>45924</v>
      </c>
      <c r="E1130" t="s">
        <v>270</v>
      </c>
      <c r="F1130" t="s">
        <v>4558</v>
      </c>
      <c r="G1130" t="s">
        <v>22</v>
      </c>
      <c r="H1130" t="s">
        <v>4559</v>
      </c>
      <c r="I1130" t="s">
        <v>4560</v>
      </c>
      <c r="J1130" s="4">
        <v>46089.078569398145</v>
      </c>
    </row>
    <row r="1131" spans="1:11" x14ac:dyDescent="0.55000000000000004">
      <c r="A1131" t="s">
        <v>4561</v>
      </c>
      <c r="B1131">
        <v>100416</v>
      </c>
      <c r="C1131" t="s">
        <v>248</v>
      </c>
      <c r="D1131" s="3">
        <v>45811</v>
      </c>
      <c r="E1131" t="s">
        <v>155</v>
      </c>
      <c r="F1131" t="s">
        <v>4562</v>
      </c>
      <c r="G1131" t="s">
        <v>15</v>
      </c>
      <c r="H1131" t="s">
        <v>4563</v>
      </c>
      <c r="I1131" t="s">
        <v>4564</v>
      </c>
      <c r="J1131" s="4">
        <v>46065.213986064817</v>
      </c>
    </row>
    <row r="1132" spans="1:11" x14ac:dyDescent="0.55000000000000004">
      <c r="A1132" t="s">
        <v>4565</v>
      </c>
      <c r="B1132">
        <v>100702</v>
      </c>
      <c r="C1132" t="s">
        <v>19</v>
      </c>
      <c r="D1132" s="3">
        <v>45939</v>
      </c>
      <c r="E1132" t="s">
        <v>58</v>
      </c>
      <c r="F1132" t="s">
        <v>4566</v>
      </c>
      <c r="G1132" t="s">
        <v>22</v>
      </c>
      <c r="H1132" t="s">
        <v>4567</v>
      </c>
      <c r="I1132" t="s">
        <v>4568</v>
      </c>
      <c r="J1132" s="4">
        <v>46066.308430520832</v>
      </c>
    </row>
    <row r="1133" spans="1:11" x14ac:dyDescent="0.55000000000000004">
      <c r="A1133" t="s">
        <v>4569</v>
      </c>
      <c r="B1133">
        <v>100431</v>
      </c>
      <c r="C1133" t="s">
        <v>19</v>
      </c>
      <c r="D1133" s="3">
        <v>45768</v>
      </c>
      <c r="E1133" t="s">
        <v>141</v>
      </c>
      <c r="F1133" t="s">
        <v>4570</v>
      </c>
      <c r="G1133" t="s">
        <v>22</v>
      </c>
      <c r="H1133" t="s">
        <v>4571</v>
      </c>
      <c r="I1133" t="s">
        <v>4572</v>
      </c>
      <c r="J1133" s="4">
        <v>46061.515374965275</v>
      </c>
    </row>
    <row r="1134" spans="1:11" x14ac:dyDescent="0.55000000000000004">
      <c r="A1134" t="s">
        <v>4573</v>
      </c>
      <c r="B1134">
        <v>100577</v>
      </c>
      <c r="C1134" t="s">
        <v>248</v>
      </c>
      <c r="D1134" s="3">
        <v>46122</v>
      </c>
      <c r="E1134" t="s">
        <v>49</v>
      </c>
      <c r="F1134" t="s">
        <v>4574</v>
      </c>
      <c r="G1134" t="s">
        <v>22</v>
      </c>
      <c r="H1134" t="s">
        <v>4575</v>
      </c>
      <c r="I1134" t="s">
        <v>4576</v>
      </c>
      <c r="J1134" s="4">
        <v>46056.766763865744</v>
      </c>
    </row>
    <row r="1135" spans="1:11" x14ac:dyDescent="0.55000000000000004">
      <c r="A1135" t="s">
        <v>6038</v>
      </c>
      <c r="B1135">
        <v>100557</v>
      </c>
      <c r="C1135" t="s">
        <v>68</v>
      </c>
      <c r="D1135" s="3">
        <v>46088</v>
      </c>
      <c r="E1135" t="s">
        <v>317</v>
      </c>
      <c r="F1135" t="s">
        <v>4578</v>
      </c>
      <c r="G1135" t="s">
        <v>22</v>
      </c>
      <c r="H1135" t="s">
        <v>4579</v>
      </c>
      <c r="I1135" t="s">
        <v>4580</v>
      </c>
      <c r="J1135" s="4">
        <v>46070.395236087963</v>
      </c>
      <c r="K1135" t="s">
        <v>119</v>
      </c>
    </row>
    <row r="1136" spans="1:11" x14ac:dyDescent="0.55000000000000004">
      <c r="A1136" t="s">
        <v>4581</v>
      </c>
      <c r="B1136">
        <v>101461</v>
      </c>
      <c r="C1136" t="s">
        <v>248</v>
      </c>
      <c r="D1136" s="3">
        <v>45976</v>
      </c>
      <c r="E1136" t="s">
        <v>20</v>
      </c>
      <c r="F1136" t="s">
        <v>4582</v>
      </c>
      <c r="G1136" t="s">
        <v>15</v>
      </c>
      <c r="H1136" t="s">
        <v>4583</v>
      </c>
      <c r="I1136" t="s">
        <v>4584</v>
      </c>
      <c r="J1136" s="4">
        <v>46052.799402766206</v>
      </c>
    </row>
    <row r="1137" spans="1:10" x14ac:dyDescent="0.55000000000000004">
      <c r="A1137" t="s">
        <v>4585</v>
      </c>
      <c r="B1137">
        <v>101435</v>
      </c>
      <c r="C1137" t="s">
        <v>533</v>
      </c>
      <c r="D1137" s="3">
        <v>45865</v>
      </c>
      <c r="E1137" t="s">
        <v>208</v>
      </c>
      <c r="F1137" t="s">
        <v>4586</v>
      </c>
      <c r="G1137" t="s">
        <v>15</v>
      </c>
      <c r="H1137" t="s">
        <v>4587</v>
      </c>
      <c r="I1137" t="s">
        <v>4588</v>
      </c>
      <c r="J1137" s="4">
        <v>46058.923708321759</v>
      </c>
    </row>
    <row r="1138" spans="1:10" x14ac:dyDescent="0.55000000000000004">
      <c r="A1138" t="s">
        <v>4589</v>
      </c>
      <c r="B1138">
        <v>100219</v>
      </c>
      <c r="C1138" t="s">
        <v>533</v>
      </c>
      <c r="D1138" s="3">
        <v>45738</v>
      </c>
      <c r="E1138" t="s">
        <v>155</v>
      </c>
      <c r="F1138" t="s">
        <v>4590</v>
      </c>
      <c r="G1138" t="s">
        <v>22</v>
      </c>
      <c r="H1138" t="s">
        <v>4591</v>
      </c>
      <c r="I1138" t="s">
        <v>4592</v>
      </c>
      <c r="J1138" s="4">
        <v>46071.912597210649</v>
      </c>
    </row>
    <row r="1139" spans="1:10" x14ac:dyDescent="0.55000000000000004">
      <c r="A1139" t="s">
        <v>4593</v>
      </c>
      <c r="B1139">
        <v>100236</v>
      </c>
      <c r="C1139" t="s">
        <v>37</v>
      </c>
      <c r="D1139" s="3">
        <v>45997</v>
      </c>
      <c r="E1139" t="s">
        <v>69</v>
      </c>
      <c r="F1139" t="s">
        <v>4594</v>
      </c>
      <c r="G1139" t="s">
        <v>15</v>
      </c>
      <c r="H1139" t="s">
        <v>4595</v>
      </c>
      <c r="I1139" t="s">
        <v>4596</v>
      </c>
      <c r="J1139" s="4">
        <v>46070.386902777776</v>
      </c>
    </row>
    <row r="1140" spans="1:10" x14ac:dyDescent="0.55000000000000004">
      <c r="A1140" t="s">
        <v>4597</v>
      </c>
      <c r="B1140">
        <v>101451</v>
      </c>
      <c r="C1140" t="s">
        <v>68</v>
      </c>
      <c r="D1140" s="3">
        <v>45988</v>
      </c>
      <c r="E1140" t="s">
        <v>300</v>
      </c>
      <c r="F1140" t="s">
        <v>4598</v>
      </c>
      <c r="G1140" t="s">
        <v>22</v>
      </c>
      <c r="H1140" t="s">
        <v>4599</v>
      </c>
      <c r="I1140" t="s">
        <v>4600</v>
      </c>
      <c r="J1140" s="4">
        <v>46092.591069444446</v>
      </c>
    </row>
    <row r="1141" spans="1:10" x14ac:dyDescent="0.55000000000000004">
      <c r="A1141" t="s">
        <v>4601</v>
      </c>
      <c r="B1141">
        <v>100275</v>
      </c>
      <c r="C1141" t="s">
        <v>19</v>
      </c>
      <c r="D1141" s="3">
        <v>46129</v>
      </c>
      <c r="E1141" t="s">
        <v>356</v>
      </c>
      <c r="F1141" t="s">
        <v>4602</v>
      </c>
      <c r="G1141" t="s">
        <v>15</v>
      </c>
      <c r="H1141" t="s">
        <v>4603</v>
      </c>
      <c r="I1141" t="s">
        <v>4604</v>
      </c>
      <c r="J1141" s="4">
        <v>46071.752180567128</v>
      </c>
    </row>
    <row r="1142" spans="1:10" x14ac:dyDescent="0.55000000000000004">
      <c r="A1142" t="s">
        <v>4605</v>
      </c>
      <c r="B1142">
        <v>100212</v>
      </c>
      <c r="C1142" t="s">
        <v>68</v>
      </c>
      <c r="D1142" s="3">
        <v>45735</v>
      </c>
      <c r="E1142" t="s">
        <v>69</v>
      </c>
      <c r="F1142" t="s">
        <v>4606</v>
      </c>
      <c r="G1142" t="s">
        <v>15</v>
      </c>
      <c r="H1142" t="s">
        <v>4607</v>
      </c>
      <c r="I1142" t="s">
        <v>4608</v>
      </c>
      <c r="J1142" s="4">
        <v>46091.646625011577</v>
      </c>
    </row>
    <row r="1143" spans="1:10" x14ac:dyDescent="0.55000000000000004">
      <c r="A1143" t="s">
        <v>4609</v>
      </c>
      <c r="B1143">
        <v>100613</v>
      </c>
      <c r="C1143" t="s">
        <v>179</v>
      </c>
      <c r="D1143" s="3">
        <v>46000</v>
      </c>
      <c r="E1143" t="s">
        <v>49</v>
      </c>
      <c r="F1143" t="s">
        <v>4610</v>
      </c>
      <c r="G1143" t="s">
        <v>22</v>
      </c>
      <c r="H1143" t="s">
        <v>4611</v>
      </c>
      <c r="I1143" t="s">
        <v>4612</v>
      </c>
      <c r="J1143" s="4">
        <v>46087.495236122682</v>
      </c>
    </row>
    <row r="1144" spans="1:10" x14ac:dyDescent="0.55000000000000004">
      <c r="A1144" t="s">
        <v>4613</v>
      </c>
      <c r="B1144">
        <v>101135</v>
      </c>
      <c r="C1144" t="s">
        <v>68</v>
      </c>
      <c r="D1144" s="3">
        <v>45827</v>
      </c>
      <c r="E1144" t="s">
        <v>680</v>
      </c>
      <c r="F1144" t="s">
        <v>4614</v>
      </c>
      <c r="G1144" t="s">
        <v>15</v>
      </c>
      <c r="H1144" t="s">
        <v>4615</v>
      </c>
      <c r="I1144" t="s">
        <v>4616</v>
      </c>
      <c r="J1144" s="4">
        <v>46065.589680578705</v>
      </c>
    </row>
    <row r="1145" spans="1:10" x14ac:dyDescent="0.55000000000000004">
      <c r="A1145" t="s">
        <v>4617</v>
      </c>
      <c r="B1145">
        <v>100016</v>
      </c>
      <c r="C1145" t="s">
        <v>179</v>
      </c>
      <c r="D1145" s="3">
        <v>46022</v>
      </c>
      <c r="E1145" t="s">
        <v>115</v>
      </c>
      <c r="F1145" t="s">
        <v>4618</v>
      </c>
      <c r="G1145" t="s">
        <v>15</v>
      </c>
      <c r="H1145" t="s">
        <v>4619</v>
      </c>
      <c r="I1145" t="s">
        <v>4620</v>
      </c>
      <c r="J1145" s="4">
        <v>46094.48620835648</v>
      </c>
    </row>
    <row r="1146" spans="1:10" x14ac:dyDescent="0.55000000000000004">
      <c r="A1146" t="s">
        <v>4621</v>
      </c>
      <c r="B1146">
        <v>101356</v>
      </c>
      <c r="C1146" t="s">
        <v>248</v>
      </c>
      <c r="D1146" s="3">
        <v>45864</v>
      </c>
      <c r="E1146" t="s">
        <v>89</v>
      </c>
      <c r="F1146" t="s">
        <v>4622</v>
      </c>
      <c r="G1146" t="s">
        <v>15</v>
      </c>
      <c r="H1146" t="s">
        <v>4623</v>
      </c>
      <c r="I1146" t="s">
        <v>4624</v>
      </c>
      <c r="J1146" s="4">
        <v>46057.509819479164</v>
      </c>
    </row>
    <row r="1147" spans="1:10" x14ac:dyDescent="0.55000000000000004">
      <c r="A1147" t="s">
        <v>4625</v>
      </c>
      <c r="B1147">
        <v>100619</v>
      </c>
      <c r="C1147" t="s">
        <v>37</v>
      </c>
      <c r="D1147" s="3">
        <v>45882</v>
      </c>
      <c r="E1147" t="s">
        <v>69</v>
      </c>
      <c r="F1147" t="s">
        <v>4626</v>
      </c>
      <c r="G1147" t="s">
        <v>15</v>
      </c>
      <c r="H1147" t="s">
        <v>4627</v>
      </c>
      <c r="I1147" t="s">
        <v>4628</v>
      </c>
      <c r="J1147" s="4">
        <v>46080.654958368053</v>
      </c>
    </row>
    <row r="1148" spans="1:10" x14ac:dyDescent="0.55000000000000004">
      <c r="A1148" t="s">
        <v>4629</v>
      </c>
      <c r="B1148">
        <v>101112</v>
      </c>
      <c r="C1148" t="s">
        <v>68</v>
      </c>
      <c r="D1148" s="3">
        <v>45747</v>
      </c>
      <c r="E1148" t="s">
        <v>43</v>
      </c>
      <c r="F1148" t="s">
        <v>4630</v>
      </c>
      <c r="G1148" t="s">
        <v>15</v>
      </c>
      <c r="H1148" t="s">
        <v>4631</v>
      </c>
      <c r="I1148" t="s">
        <v>4632</v>
      </c>
      <c r="J1148" s="4">
        <v>46097.659125034719</v>
      </c>
    </row>
    <row r="1149" spans="1:10" x14ac:dyDescent="0.55000000000000004">
      <c r="A1149" t="s">
        <v>4633</v>
      </c>
      <c r="B1149">
        <v>101293</v>
      </c>
      <c r="C1149" t="s">
        <v>248</v>
      </c>
      <c r="D1149" s="3">
        <v>46116</v>
      </c>
      <c r="E1149" t="s">
        <v>317</v>
      </c>
      <c r="F1149" t="s">
        <v>4634</v>
      </c>
      <c r="G1149" t="s">
        <v>15</v>
      </c>
      <c r="H1149" t="s">
        <v>4635</v>
      </c>
      <c r="I1149" t="s">
        <v>4636</v>
      </c>
      <c r="J1149" s="4">
        <v>46091.445930601854</v>
      </c>
    </row>
    <row r="1150" spans="1:10" x14ac:dyDescent="0.55000000000000004">
      <c r="A1150" t="s">
        <v>4637</v>
      </c>
      <c r="B1150">
        <v>101344</v>
      </c>
      <c r="C1150" t="s">
        <v>19</v>
      </c>
      <c r="D1150" s="3">
        <v>46137</v>
      </c>
      <c r="E1150" t="s">
        <v>69</v>
      </c>
      <c r="F1150" t="s">
        <v>4638</v>
      </c>
      <c r="G1150" t="s">
        <v>22</v>
      </c>
      <c r="H1150" t="s">
        <v>4639</v>
      </c>
      <c r="I1150" t="s">
        <v>4640</v>
      </c>
      <c r="J1150" s="4">
        <v>46066.073013935187</v>
      </c>
    </row>
    <row r="1151" spans="1:10" x14ac:dyDescent="0.55000000000000004">
      <c r="A1151" t="s">
        <v>4641</v>
      </c>
      <c r="B1151">
        <v>100583</v>
      </c>
      <c r="C1151" t="s">
        <v>68</v>
      </c>
      <c r="D1151" s="3">
        <v>46041</v>
      </c>
      <c r="E1151" t="s">
        <v>49</v>
      </c>
      <c r="F1151" t="s">
        <v>4642</v>
      </c>
      <c r="G1151" t="s">
        <v>22</v>
      </c>
      <c r="H1151" t="s">
        <v>4643</v>
      </c>
      <c r="I1151" t="s">
        <v>4644</v>
      </c>
      <c r="J1151" s="4">
        <v>46077.405652835645</v>
      </c>
    </row>
    <row r="1152" spans="1:10" x14ac:dyDescent="0.55000000000000004">
      <c r="A1152" t="s">
        <v>4645</v>
      </c>
      <c r="B1152">
        <v>100756</v>
      </c>
      <c r="C1152" t="s">
        <v>68</v>
      </c>
      <c r="D1152" s="3">
        <v>46072</v>
      </c>
      <c r="E1152" t="s">
        <v>89</v>
      </c>
      <c r="F1152" t="s">
        <v>4646</v>
      </c>
      <c r="G1152" t="s">
        <v>15</v>
      </c>
      <c r="H1152" t="s">
        <v>4647</v>
      </c>
      <c r="I1152" t="s">
        <v>4648</v>
      </c>
      <c r="J1152" s="4">
        <v>46075.276486168979</v>
      </c>
    </row>
    <row r="1153" spans="1:11" x14ac:dyDescent="0.55000000000000004">
      <c r="A1153" t="s">
        <v>4649</v>
      </c>
      <c r="B1153">
        <v>100500</v>
      </c>
      <c r="C1153" t="s">
        <v>533</v>
      </c>
      <c r="D1153" s="3">
        <v>45733</v>
      </c>
      <c r="E1153" t="s">
        <v>757</v>
      </c>
      <c r="F1153" t="s">
        <v>4650</v>
      </c>
      <c r="G1153" t="s">
        <v>15</v>
      </c>
      <c r="H1153" t="s">
        <v>4651</v>
      </c>
      <c r="I1153" t="s">
        <v>4652</v>
      </c>
      <c r="J1153" s="4">
        <v>46095.890375057868</v>
      </c>
    </row>
    <row r="1154" spans="1:11" x14ac:dyDescent="0.55000000000000004">
      <c r="A1154" t="s">
        <v>4653</v>
      </c>
      <c r="B1154">
        <v>101187</v>
      </c>
      <c r="C1154" t="s">
        <v>533</v>
      </c>
      <c r="D1154" s="3">
        <v>46003</v>
      </c>
      <c r="E1154" t="s">
        <v>189</v>
      </c>
      <c r="F1154" t="s">
        <v>4654</v>
      </c>
      <c r="G1154" t="s">
        <v>22</v>
      </c>
      <c r="H1154" t="s">
        <v>4655</v>
      </c>
      <c r="I1154" t="s">
        <v>4656</v>
      </c>
      <c r="J1154" s="4">
        <v>46068.866763958336</v>
      </c>
    </row>
    <row r="1155" spans="1:11" x14ac:dyDescent="0.55000000000000004">
      <c r="A1155" t="s">
        <v>4657</v>
      </c>
      <c r="B1155">
        <v>100714</v>
      </c>
      <c r="C1155" t="s">
        <v>19</v>
      </c>
      <c r="D1155" s="3">
        <v>45995</v>
      </c>
      <c r="E1155" t="s">
        <v>189</v>
      </c>
      <c r="F1155" t="s">
        <v>4658</v>
      </c>
      <c r="G1155" t="s">
        <v>15</v>
      </c>
      <c r="H1155" t="s">
        <v>4659</v>
      </c>
      <c r="I1155" t="s">
        <v>4660</v>
      </c>
      <c r="J1155" s="4">
        <v>46057.288291736113</v>
      </c>
    </row>
    <row r="1156" spans="1:11" x14ac:dyDescent="0.55000000000000004">
      <c r="A1156" t="s">
        <v>4661</v>
      </c>
      <c r="B1156">
        <v>100271</v>
      </c>
      <c r="C1156" t="s">
        <v>37</v>
      </c>
      <c r="D1156" s="3">
        <v>46056</v>
      </c>
      <c r="E1156" t="s">
        <v>295</v>
      </c>
      <c r="F1156" t="s">
        <v>4662</v>
      </c>
      <c r="G1156" t="s">
        <v>22</v>
      </c>
      <c r="H1156" t="s">
        <v>4663</v>
      </c>
      <c r="I1156" t="s">
        <v>4664</v>
      </c>
      <c r="J1156" s="4">
        <v>46082.883430636575</v>
      </c>
    </row>
    <row r="1157" spans="1:11" x14ac:dyDescent="0.55000000000000004">
      <c r="A1157" t="s">
        <v>4665</v>
      </c>
      <c r="B1157">
        <v>101170</v>
      </c>
      <c r="C1157" t="s">
        <v>19</v>
      </c>
      <c r="D1157" s="3">
        <v>45936</v>
      </c>
      <c r="E1157" t="s">
        <v>343</v>
      </c>
      <c r="F1157" t="s">
        <v>4666</v>
      </c>
      <c r="G1157" t="s">
        <v>22</v>
      </c>
      <c r="H1157" t="s">
        <v>4667</v>
      </c>
      <c r="I1157" t="s">
        <v>4668</v>
      </c>
      <c r="J1157" s="4">
        <v>46066.809819525464</v>
      </c>
    </row>
    <row r="1158" spans="1:11" x14ac:dyDescent="0.55000000000000004">
      <c r="A1158" t="s">
        <v>4669</v>
      </c>
      <c r="B1158">
        <v>101036</v>
      </c>
      <c r="C1158" t="s">
        <v>533</v>
      </c>
      <c r="D1158" s="3">
        <v>46107</v>
      </c>
      <c r="E1158" t="s">
        <v>467</v>
      </c>
      <c r="F1158" t="s">
        <v>4670</v>
      </c>
      <c r="G1158" t="s">
        <v>15</v>
      </c>
      <c r="H1158" t="s">
        <v>4671</v>
      </c>
      <c r="I1158" t="s">
        <v>4672</v>
      </c>
      <c r="J1158" s="4">
        <v>46052.542458414355</v>
      </c>
    </row>
    <row r="1159" spans="1:11" x14ac:dyDescent="0.55000000000000004">
      <c r="A1159" t="s">
        <v>4673</v>
      </c>
      <c r="B1159">
        <v>100436</v>
      </c>
      <c r="C1159" t="s">
        <v>19</v>
      </c>
      <c r="D1159" s="3">
        <v>46024</v>
      </c>
      <c r="E1159" t="s">
        <v>528</v>
      </c>
      <c r="F1159" t="s">
        <v>4674</v>
      </c>
      <c r="G1159" t="s">
        <v>22</v>
      </c>
      <c r="H1159" t="s">
        <v>4675</v>
      </c>
      <c r="I1159" t="s">
        <v>4676</v>
      </c>
      <c r="J1159" s="4">
        <v>46092.317458425925</v>
      </c>
    </row>
    <row r="1160" spans="1:11" x14ac:dyDescent="0.55000000000000004">
      <c r="A1160" t="s">
        <v>4677</v>
      </c>
      <c r="B1160">
        <v>101101</v>
      </c>
      <c r="C1160" t="s">
        <v>19</v>
      </c>
      <c r="D1160" s="3">
        <v>45971</v>
      </c>
      <c r="E1160" t="s">
        <v>69</v>
      </c>
      <c r="F1160" t="s">
        <v>4678</v>
      </c>
      <c r="G1160" t="s">
        <v>15</v>
      </c>
      <c r="H1160" t="s">
        <v>4679</v>
      </c>
      <c r="I1160" t="s">
        <v>4680</v>
      </c>
      <c r="J1160" s="4">
        <v>46066.803569537034</v>
      </c>
    </row>
    <row r="1161" spans="1:11" x14ac:dyDescent="0.55000000000000004">
      <c r="A1161" t="s">
        <v>4681</v>
      </c>
      <c r="B1161">
        <v>100150</v>
      </c>
      <c r="C1161" t="s">
        <v>19</v>
      </c>
      <c r="D1161" s="3">
        <v>45855</v>
      </c>
      <c r="E1161" t="s">
        <v>115</v>
      </c>
      <c r="F1161" t="s">
        <v>4682</v>
      </c>
      <c r="G1161" t="s">
        <v>15</v>
      </c>
      <c r="H1161" t="s">
        <v>4683</v>
      </c>
      <c r="I1161" t="s">
        <v>4684</v>
      </c>
      <c r="J1161" s="4">
        <v>46054.750791770835</v>
      </c>
    </row>
    <row r="1162" spans="1:11" x14ac:dyDescent="0.55000000000000004">
      <c r="A1162" t="s">
        <v>4685</v>
      </c>
      <c r="B1162">
        <v>100204</v>
      </c>
      <c r="C1162" t="s">
        <v>37</v>
      </c>
      <c r="D1162" s="3">
        <v>45786</v>
      </c>
      <c r="E1162" t="s">
        <v>141</v>
      </c>
      <c r="F1162" t="s">
        <v>4686</v>
      </c>
      <c r="G1162" t="s">
        <v>15</v>
      </c>
      <c r="H1162" t="s">
        <v>4687</v>
      </c>
      <c r="I1162" t="s">
        <v>4688</v>
      </c>
      <c r="J1162" s="4">
        <v>46077.200791770832</v>
      </c>
    </row>
    <row r="1163" spans="1:11" x14ac:dyDescent="0.55000000000000004">
      <c r="A1163" t="s">
        <v>4689</v>
      </c>
      <c r="B1163">
        <v>101153</v>
      </c>
      <c r="C1163" t="s">
        <v>248</v>
      </c>
      <c r="D1163" s="3">
        <v>45844</v>
      </c>
      <c r="E1163" t="s">
        <v>83</v>
      </c>
      <c r="F1163" t="s">
        <v>4690</v>
      </c>
      <c r="G1163" t="s">
        <v>15</v>
      </c>
      <c r="H1163" t="s">
        <v>4691</v>
      </c>
      <c r="I1163" t="s">
        <v>4692</v>
      </c>
      <c r="J1163" s="4">
        <v>46062.845236215275</v>
      </c>
    </row>
    <row r="1164" spans="1:11" x14ac:dyDescent="0.55000000000000004">
      <c r="A1164" t="s">
        <v>4693</v>
      </c>
      <c r="B1164">
        <v>100938</v>
      </c>
      <c r="C1164" t="s">
        <v>19</v>
      </c>
      <c r="D1164" s="3">
        <v>45778</v>
      </c>
      <c r="E1164" t="s">
        <v>199</v>
      </c>
      <c r="F1164" t="s">
        <v>4694</v>
      </c>
      <c r="G1164" t="s">
        <v>22</v>
      </c>
      <c r="H1164" t="s">
        <v>4695</v>
      </c>
      <c r="I1164" t="s">
        <v>4696</v>
      </c>
      <c r="J1164" s="4">
        <v>46073.203569560188</v>
      </c>
    </row>
    <row r="1165" spans="1:11" x14ac:dyDescent="0.55000000000000004">
      <c r="A1165" t="s">
        <v>4697</v>
      </c>
      <c r="B1165">
        <v>100019</v>
      </c>
      <c r="C1165" t="s">
        <v>19</v>
      </c>
      <c r="D1165" s="3">
        <v>45955</v>
      </c>
      <c r="E1165" t="s">
        <v>115</v>
      </c>
      <c r="F1165" t="s">
        <v>4698</v>
      </c>
      <c r="G1165" t="s">
        <v>22</v>
      </c>
      <c r="H1165" t="s">
        <v>4699</v>
      </c>
      <c r="I1165" t="s">
        <v>4700</v>
      </c>
      <c r="J1165" s="4">
        <v>46090.332736226854</v>
      </c>
    </row>
    <row r="1166" spans="1:11" x14ac:dyDescent="0.55000000000000004">
      <c r="A1166" t="s">
        <v>4701</v>
      </c>
      <c r="C1166" t="s">
        <v>37</v>
      </c>
      <c r="D1166" s="3">
        <v>45789</v>
      </c>
      <c r="E1166" t="s">
        <v>20</v>
      </c>
      <c r="F1166" t="s">
        <v>4702</v>
      </c>
      <c r="G1166" t="s">
        <v>15</v>
      </c>
      <c r="H1166" t="s">
        <v>4703</v>
      </c>
      <c r="I1166" t="s">
        <v>4704</v>
      </c>
      <c r="J1166" s="4">
        <v>46089.931347337966</v>
      </c>
      <c r="K1166" t="s">
        <v>112</v>
      </c>
    </row>
    <row r="1167" spans="1:11" x14ac:dyDescent="0.55000000000000004">
      <c r="A1167" t="s">
        <v>4705</v>
      </c>
      <c r="B1167">
        <v>101175</v>
      </c>
      <c r="C1167" t="s">
        <v>68</v>
      </c>
      <c r="D1167" s="3">
        <v>45797</v>
      </c>
      <c r="E1167" t="s">
        <v>89</v>
      </c>
      <c r="F1167" t="s">
        <v>4706</v>
      </c>
      <c r="G1167" t="s">
        <v>15</v>
      </c>
      <c r="H1167" t="s">
        <v>4707</v>
      </c>
      <c r="I1167" t="s">
        <v>4708</v>
      </c>
      <c r="J1167" s="4">
        <v>46078.658430682874</v>
      </c>
    </row>
    <row r="1168" spans="1:11" x14ac:dyDescent="0.55000000000000004">
      <c r="A1168" t="s">
        <v>4709</v>
      </c>
      <c r="B1168">
        <v>100936</v>
      </c>
      <c r="C1168" t="s">
        <v>19</v>
      </c>
      <c r="D1168" s="3">
        <v>46006</v>
      </c>
      <c r="E1168" t="s">
        <v>69</v>
      </c>
      <c r="F1168" t="s">
        <v>1259</v>
      </c>
      <c r="G1168" t="s">
        <v>22</v>
      </c>
      <c r="H1168" t="s">
        <v>4710</v>
      </c>
      <c r="I1168" t="s">
        <v>4711</v>
      </c>
      <c r="J1168" s="4">
        <v>46077.227180682872</v>
      </c>
    </row>
    <row r="1169" spans="1:11" x14ac:dyDescent="0.55000000000000004">
      <c r="A1169" t="s">
        <v>2817</v>
      </c>
      <c r="B1169">
        <v>100614</v>
      </c>
      <c r="C1169" t="s">
        <v>533</v>
      </c>
      <c r="D1169" s="3">
        <v>45998</v>
      </c>
      <c r="E1169" t="s">
        <v>587</v>
      </c>
      <c r="F1169" t="s">
        <v>4712</v>
      </c>
      <c r="G1169" t="s">
        <v>15</v>
      </c>
      <c r="H1169" t="s">
        <v>4713</v>
      </c>
      <c r="I1169" t="s">
        <v>4714</v>
      </c>
      <c r="J1169" s="4">
        <v>46072.733430694447</v>
      </c>
    </row>
    <row r="1170" spans="1:11" x14ac:dyDescent="0.55000000000000004">
      <c r="A1170" t="s">
        <v>6039</v>
      </c>
      <c r="B1170">
        <v>100268</v>
      </c>
      <c r="C1170" t="s">
        <v>19</v>
      </c>
      <c r="D1170" s="3">
        <v>45967</v>
      </c>
      <c r="E1170" t="s">
        <v>356</v>
      </c>
      <c r="F1170" t="s">
        <v>4716</v>
      </c>
      <c r="G1170" t="s">
        <v>15</v>
      </c>
      <c r="H1170" t="s">
        <v>4717</v>
      </c>
      <c r="I1170" t="s">
        <v>4718</v>
      </c>
      <c r="J1170" s="4">
        <v>46065.779264027777</v>
      </c>
      <c r="K1170" t="s">
        <v>119</v>
      </c>
    </row>
    <row r="1171" spans="1:11" x14ac:dyDescent="0.55000000000000004">
      <c r="A1171" t="s">
        <v>4719</v>
      </c>
      <c r="B1171">
        <v>101388</v>
      </c>
      <c r="C1171" t="s">
        <v>179</v>
      </c>
      <c r="D1171" s="3">
        <v>45807</v>
      </c>
      <c r="E1171" t="s">
        <v>199</v>
      </c>
      <c r="F1171" t="s">
        <v>4720</v>
      </c>
      <c r="G1171" t="s">
        <v>22</v>
      </c>
      <c r="H1171" t="s">
        <v>4721</v>
      </c>
      <c r="I1171" t="s">
        <v>4722</v>
      </c>
      <c r="J1171" s="4">
        <v>46078.032041817132</v>
      </c>
    </row>
    <row r="1172" spans="1:11" x14ac:dyDescent="0.55000000000000004">
      <c r="A1172" t="s">
        <v>3141</v>
      </c>
      <c r="B1172">
        <v>101213</v>
      </c>
      <c r="C1172" t="s">
        <v>533</v>
      </c>
      <c r="D1172" s="3">
        <v>45872</v>
      </c>
      <c r="E1172" t="s">
        <v>43</v>
      </c>
      <c r="F1172" t="s">
        <v>4723</v>
      </c>
      <c r="G1172" t="s">
        <v>22</v>
      </c>
      <c r="H1172" t="s">
        <v>4724</v>
      </c>
      <c r="I1172" t="s">
        <v>4725</v>
      </c>
      <c r="J1172" s="4">
        <v>46079.210514050923</v>
      </c>
    </row>
    <row r="1173" spans="1:11" x14ac:dyDescent="0.55000000000000004">
      <c r="A1173" t="s">
        <v>4726</v>
      </c>
      <c r="B1173">
        <v>100488</v>
      </c>
      <c r="C1173" t="s">
        <v>37</v>
      </c>
      <c r="D1173" s="3">
        <v>46146</v>
      </c>
      <c r="E1173" t="s">
        <v>189</v>
      </c>
      <c r="F1173" t="s">
        <v>4727</v>
      </c>
      <c r="G1173" t="s">
        <v>15</v>
      </c>
      <c r="H1173" t="s">
        <v>4728</v>
      </c>
      <c r="I1173" t="s">
        <v>4729</v>
      </c>
      <c r="J1173" s="4">
        <v>46053.671625162038</v>
      </c>
    </row>
    <row r="1174" spans="1:11" x14ac:dyDescent="0.55000000000000004">
      <c r="A1174" t="s">
        <v>4730</v>
      </c>
      <c r="B1174">
        <v>100643</v>
      </c>
      <c r="C1174" t="s">
        <v>533</v>
      </c>
      <c r="D1174" s="3">
        <v>45981</v>
      </c>
      <c r="E1174" t="s">
        <v>208</v>
      </c>
      <c r="F1174" t="s">
        <v>4731</v>
      </c>
      <c r="G1174" t="s">
        <v>15</v>
      </c>
      <c r="H1174" t="s">
        <v>4732</v>
      </c>
      <c r="I1174" t="s">
        <v>4733</v>
      </c>
      <c r="J1174" s="4">
        <v>46062.188291840277</v>
      </c>
    </row>
    <row r="1175" spans="1:11" x14ac:dyDescent="0.55000000000000004">
      <c r="A1175" t="s">
        <v>2137</v>
      </c>
      <c r="B1175">
        <v>100418</v>
      </c>
      <c r="C1175" t="s">
        <v>68</v>
      </c>
      <c r="D1175" s="3">
        <v>45948</v>
      </c>
      <c r="E1175" t="s">
        <v>300</v>
      </c>
      <c r="F1175" t="s">
        <v>4734</v>
      </c>
      <c r="G1175" t="s">
        <v>22</v>
      </c>
      <c r="H1175" t="s">
        <v>4735</v>
      </c>
      <c r="I1175" t="s">
        <v>4736</v>
      </c>
      <c r="J1175" s="4">
        <v>46092.995236296294</v>
      </c>
    </row>
    <row r="1176" spans="1:11" x14ac:dyDescent="0.55000000000000004">
      <c r="A1176" t="s">
        <v>6040</v>
      </c>
      <c r="B1176">
        <v>100534</v>
      </c>
      <c r="C1176" t="s">
        <v>68</v>
      </c>
      <c r="D1176" s="3">
        <v>45876</v>
      </c>
      <c r="E1176" t="s">
        <v>43</v>
      </c>
      <c r="F1176" t="s">
        <v>4738</v>
      </c>
      <c r="G1176" t="s">
        <v>15</v>
      </c>
      <c r="H1176" t="s">
        <v>4739</v>
      </c>
      <c r="I1176" t="s">
        <v>4740</v>
      </c>
      <c r="J1176" s="4">
        <v>46089.286208530095</v>
      </c>
      <c r="K1176" t="s">
        <v>119</v>
      </c>
    </row>
    <row r="1177" spans="1:11" x14ac:dyDescent="0.55000000000000004">
      <c r="A1177" t="s">
        <v>4741</v>
      </c>
      <c r="B1177">
        <v>100647</v>
      </c>
      <c r="C1177" t="s">
        <v>19</v>
      </c>
      <c r="D1177" s="3">
        <v>46144</v>
      </c>
      <c r="E1177" t="s">
        <v>317</v>
      </c>
      <c r="F1177" t="s">
        <v>4742</v>
      </c>
      <c r="G1177" t="s">
        <v>22</v>
      </c>
      <c r="H1177" t="s">
        <v>4743</v>
      </c>
      <c r="I1177" t="s">
        <v>4744</v>
      </c>
      <c r="J1177" s="4">
        <v>46067.815375196762</v>
      </c>
    </row>
    <row r="1178" spans="1:11" x14ac:dyDescent="0.55000000000000004">
      <c r="A1178" t="s">
        <v>4745</v>
      </c>
      <c r="B1178">
        <v>101070</v>
      </c>
      <c r="C1178" t="s">
        <v>533</v>
      </c>
      <c r="D1178" s="3">
        <v>46027</v>
      </c>
      <c r="E1178" t="s">
        <v>69</v>
      </c>
      <c r="F1178" t="s">
        <v>4746</v>
      </c>
      <c r="G1178" t="s">
        <v>22</v>
      </c>
      <c r="H1178" t="s">
        <v>4747</v>
      </c>
      <c r="I1178" t="s">
        <v>4748</v>
      </c>
      <c r="J1178" s="4">
        <v>46079.540375196761</v>
      </c>
    </row>
    <row r="1179" spans="1:11" x14ac:dyDescent="0.55000000000000004">
      <c r="A1179" t="s">
        <v>4749</v>
      </c>
      <c r="B1179">
        <v>101157</v>
      </c>
      <c r="C1179" t="s">
        <v>248</v>
      </c>
      <c r="D1179" s="3">
        <v>45843</v>
      </c>
      <c r="E1179" t="s">
        <v>199</v>
      </c>
      <c r="F1179" t="s">
        <v>4750</v>
      </c>
      <c r="G1179" t="s">
        <v>15</v>
      </c>
      <c r="H1179" t="s">
        <v>4751</v>
      </c>
      <c r="I1179" t="s">
        <v>4752</v>
      </c>
      <c r="J1179" s="4">
        <v>46054.536208541664</v>
      </c>
    </row>
    <row r="1180" spans="1:11" x14ac:dyDescent="0.55000000000000004">
      <c r="A1180" t="s">
        <v>4753</v>
      </c>
      <c r="B1180">
        <v>100858</v>
      </c>
      <c r="C1180" t="s">
        <v>179</v>
      </c>
      <c r="D1180" s="3">
        <v>45950</v>
      </c>
      <c r="E1180" t="s">
        <v>528</v>
      </c>
      <c r="F1180" t="s">
        <v>4754</v>
      </c>
      <c r="G1180" t="s">
        <v>22</v>
      </c>
      <c r="H1180" t="s">
        <v>714</v>
      </c>
      <c r="I1180" t="s">
        <v>4755</v>
      </c>
      <c r="J1180" s="4">
        <v>46067.49106965278</v>
      </c>
    </row>
    <row r="1181" spans="1:11" x14ac:dyDescent="0.55000000000000004">
      <c r="A1181" t="s">
        <v>4756</v>
      </c>
      <c r="B1181">
        <v>100167</v>
      </c>
      <c r="C1181" t="s">
        <v>37</v>
      </c>
      <c r="D1181" s="3">
        <v>45792</v>
      </c>
      <c r="E1181" t="s">
        <v>300</v>
      </c>
      <c r="F1181" t="s">
        <v>4757</v>
      </c>
      <c r="G1181" t="s">
        <v>15</v>
      </c>
      <c r="H1181" t="s">
        <v>4758</v>
      </c>
      <c r="I1181" t="s">
        <v>4759</v>
      </c>
      <c r="J1181" s="4">
        <v>46057.171625219904</v>
      </c>
    </row>
    <row r="1182" spans="1:11" x14ac:dyDescent="0.55000000000000004">
      <c r="A1182" t="s">
        <v>4760</v>
      </c>
      <c r="B1182">
        <v>100081</v>
      </c>
      <c r="D1182" s="3">
        <v>45749</v>
      </c>
      <c r="E1182" t="s">
        <v>115</v>
      </c>
      <c r="F1182" t="s">
        <v>4761</v>
      </c>
      <c r="G1182" t="s">
        <v>22</v>
      </c>
      <c r="H1182" t="s">
        <v>4762</v>
      </c>
      <c r="I1182" t="s">
        <v>4763</v>
      </c>
      <c r="J1182" s="4">
        <v>46066.316069664354</v>
      </c>
      <c r="K1182" t="s">
        <v>217</v>
      </c>
    </row>
    <row r="1183" spans="1:11" x14ac:dyDescent="0.55000000000000004">
      <c r="A1183" t="s">
        <v>4764</v>
      </c>
      <c r="B1183">
        <v>100504</v>
      </c>
      <c r="C1183" t="s">
        <v>19</v>
      </c>
      <c r="D1183" s="3">
        <v>45820</v>
      </c>
      <c r="E1183" t="s">
        <v>243</v>
      </c>
      <c r="F1183" t="s">
        <v>4765</v>
      </c>
      <c r="G1183" t="s">
        <v>22</v>
      </c>
      <c r="H1183" t="s">
        <v>4766</v>
      </c>
      <c r="I1183" t="s">
        <v>4767</v>
      </c>
      <c r="J1183" s="4">
        <v>46056.202875219904</v>
      </c>
    </row>
    <row r="1184" spans="1:11" x14ac:dyDescent="0.55000000000000004">
      <c r="A1184" t="s">
        <v>4768</v>
      </c>
      <c r="B1184">
        <v>101166</v>
      </c>
      <c r="C1184" t="s">
        <v>248</v>
      </c>
      <c r="D1184" s="3">
        <v>46055</v>
      </c>
      <c r="E1184" t="s">
        <v>83</v>
      </c>
      <c r="F1184" t="s">
        <v>4769</v>
      </c>
      <c r="G1184" t="s">
        <v>15</v>
      </c>
      <c r="H1184" t="s">
        <v>4770</v>
      </c>
      <c r="I1184" t="s">
        <v>4771</v>
      </c>
      <c r="J1184" s="4">
        <v>46090.628569675922</v>
      </c>
    </row>
    <row r="1185" spans="1:11" x14ac:dyDescent="0.55000000000000004">
      <c r="A1185" t="s">
        <v>4772</v>
      </c>
      <c r="B1185">
        <v>100245</v>
      </c>
      <c r="C1185" t="s">
        <v>533</v>
      </c>
      <c r="D1185" s="3">
        <v>45982</v>
      </c>
      <c r="E1185" t="s">
        <v>587</v>
      </c>
      <c r="F1185" t="s">
        <v>4773</v>
      </c>
      <c r="G1185" t="s">
        <v>15</v>
      </c>
      <c r="H1185" t="s">
        <v>4774</v>
      </c>
      <c r="I1185" t="s">
        <v>4775</v>
      </c>
      <c r="J1185" s="4">
        <v>46059.931347453705</v>
      </c>
    </row>
    <row r="1186" spans="1:11" x14ac:dyDescent="0.55000000000000004">
      <c r="A1186" t="s">
        <v>4776</v>
      </c>
      <c r="B1186">
        <v>100826</v>
      </c>
      <c r="C1186" t="s">
        <v>19</v>
      </c>
      <c r="D1186" s="3">
        <v>45977</v>
      </c>
      <c r="E1186" t="s">
        <v>141</v>
      </c>
      <c r="F1186" t="s">
        <v>4777</v>
      </c>
      <c r="G1186" t="s">
        <v>15</v>
      </c>
      <c r="H1186" t="s">
        <v>4778</v>
      </c>
      <c r="I1186" t="s">
        <v>4779</v>
      </c>
      <c r="J1186" s="4">
        <v>46073.057736342591</v>
      </c>
    </row>
    <row r="1187" spans="1:11" x14ac:dyDescent="0.55000000000000004">
      <c r="A1187" t="s">
        <v>2026</v>
      </c>
      <c r="B1187">
        <v>100481</v>
      </c>
      <c r="C1187" t="s">
        <v>179</v>
      </c>
      <c r="D1187" s="3">
        <v>45884</v>
      </c>
      <c r="E1187" t="s">
        <v>199</v>
      </c>
      <c r="F1187" t="s">
        <v>4781</v>
      </c>
      <c r="G1187" t="s">
        <v>15</v>
      </c>
      <c r="H1187" t="s">
        <v>4782</v>
      </c>
      <c r="I1187" t="s">
        <v>4783</v>
      </c>
      <c r="J1187" s="4">
        <v>46051.982041909723</v>
      </c>
      <c r="K1187" t="s">
        <v>119</v>
      </c>
    </row>
    <row r="1188" spans="1:11" x14ac:dyDescent="0.55000000000000004">
      <c r="A1188" t="s">
        <v>4784</v>
      </c>
      <c r="B1188">
        <v>100139</v>
      </c>
      <c r="C1188" t="s">
        <v>533</v>
      </c>
      <c r="D1188" s="3">
        <v>45939</v>
      </c>
      <c r="E1188" t="s">
        <v>270</v>
      </c>
      <c r="F1188" t="s">
        <v>4785</v>
      </c>
      <c r="G1188" t="s">
        <v>15</v>
      </c>
      <c r="H1188" t="s">
        <v>4786</v>
      </c>
      <c r="I1188" t="s">
        <v>4787</v>
      </c>
      <c r="J1188" s="4">
        <v>46063.914680810187</v>
      </c>
    </row>
    <row r="1189" spans="1:11" x14ac:dyDescent="0.55000000000000004">
      <c r="A1189" t="s">
        <v>4788</v>
      </c>
      <c r="B1189">
        <v>100140</v>
      </c>
      <c r="C1189" t="s">
        <v>19</v>
      </c>
      <c r="D1189" s="3">
        <v>46097</v>
      </c>
      <c r="E1189" t="s">
        <v>108</v>
      </c>
      <c r="F1189" t="s">
        <v>4789</v>
      </c>
      <c r="G1189" t="s">
        <v>15</v>
      </c>
      <c r="H1189" t="s">
        <v>4790</v>
      </c>
      <c r="I1189" t="s">
        <v>4791</v>
      </c>
      <c r="J1189" s="4">
        <v>46058.75773636574</v>
      </c>
    </row>
    <row r="1190" spans="1:11" x14ac:dyDescent="0.55000000000000004">
      <c r="A1190" t="s">
        <v>4792</v>
      </c>
      <c r="B1190">
        <v>100380</v>
      </c>
      <c r="C1190" t="s">
        <v>533</v>
      </c>
      <c r="D1190" s="3">
        <v>45734</v>
      </c>
      <c r="E1190" t="s">
        <v>83</v>
      </c>
      <c r="F1190" t="s">
        <v>4793</v>
      </c>
      <c r="G1190" t="s">
        <v>15</v>
      </c>
      <c r="H1190" t="s">
        <v>4794</v>
      </c>
      <c r="I1190" t="s">
        <v>4795</v>
      </c>
      <c r="J1190" s="4">
        <v>46088.928569710646</v>
      </c>
    </row>
    <row r="1191" spans="1:11" x14ac:dyDescent="0.55000000000000004">
      <c r="A1191" t="s">
        <v>4796</v>
      </c>
      <c r="B1191">
        <v>100164</v>
      </c>
      <c r="C1191" t="s">
        <v>248</v>
      </c>
      <c r="D1191" s="3">
        <v>46066</v>
      </c>
      <c r="E1191" t="s">
        <v>155</v>
      </c>
      <c r="F1191" t="s">
        <v>4562</v>
      </c>
      <c r="G1191" t="s">
        <v>22</v>
      </c>
      <c r="H1191" t="s">
        <v>4797</v>
      </c>
      <c r="I1191" t="s">
        <v>4798</v>
      </c>
      <c r="J1191" s="4">
        <v>46095.625791932871</v>
      </c>
    </row>
    <row r="1192" spans="1:11" x14ac:dyDescent="0.55000000000000004">
      <c r="A1192" t="s">
        <v>4799</v>
      </c>
      <c r="B1192">
        <v>101040</v>
      </c>
      <c r="C1192" t="s">
        <v>533</v>
      </c>
      <c r="D1192" s="3">
        <v>45991</v>
      </c>
      <c r="E1192" t="s">
        <v>467</v>
      </c>
      <c r="F1192" t="s">
        <v>4800</v>
      </c>
      <c r="G1192" t="s">
        <v>15</v>
      </c>
      <c r="H1192" t="s">
        <v>4801</v>
      </c>
      <c r="I1192" t="s">
        <v>4802</v>
      </c>
      <c r="J1192" s="4">
        <v>46069.810514166667</v>
      </c>
    </row>
    <row r="1193" spans="1:11" x14ac:dyDescent="0.55000000000000004">
      <c r="A1193" t="s">
        <v>4803</v>
      </c>
      <c r="B1193">
        <v>100116</v>
      </c>
      <c r="C1193" t="s">
        <v>37</v>
      </c>
      <c r="D1193" s="3">
        <v>45859</v>
      </c>
      <c r="E1193" t="s">
        <v>170</v>
      </c>
      <c r="F1193" t="s">
        <v>4804</v>
      </c>
      <c r="G1193" t="s">
        <v>22</v>
      </c>
      <c r="H1193" t="s">
        <v>4805</v>
      </c>
      <c r="I1193" t="s">
        <v>4806</v>
      </c>
      <c r="J1193" s="4">
        <v>46054.986903055556</v>
      </c>
    </row>
    <row r="1194" spans="1:11" x14ac:dyDescent="0.55000000000000004">
      <c r="A1194" t="s">
        <v>4807</v>
      </c>
      <c r="B1194">
        <v>100322</v>
      </c>
      <c r="C1194" t="s">
        <v>179</v>
      </c>
      <c r="D1194" s="3">
        <v>45803</v>
      </c>
      <c r="E1194" t="s">
        <v>495</v>
      </c>
      <c r="F1194" t="s">
        <v>4808</v>
      </c>
      <c r="G1194" t="s">
        <v>15</v>
      </c>
      <c r="H1194" t="s">
        <v>4809</v>
      </c>
      <c r="I1194" t="s">
        <v>4810</v>
      </c>
      <c r="J1194" s="4">
        <v>46053.605653067127</v>
      </c>
    </row>
    <row r="1195" spans="1:11" x14ac:dyDescent="0.55000000000000004">
      <c r="A1195" t="s">
        <v>4811</v>
      </c>
      <c r="B1195">
        <v>101087</v>
      </c>
      <c r="C1195" t="s">
        <v>37</v>
      </c>
      <c r="D1195" s="3">
        <v>45853</v>
      </c>
      <c r="E1195" t="s">
        <v>115</v>
      </c>
      <c r="F1195" t="s">
        <v>4812</v>
      </c>
      <c r="G1195" t="s">
        <v>15</v>
      </c>
      <c r="H1195" t="s">
        <v>4813</v>
      </c>
      <c r="I1195" t="s">
        <v>4814</v>
      </c>
      <c r="J1195" s="4">
        <v>46078.440375289349</v>
      </c>
    </row>
    <row r="1196" spans="1:11" x14ac:dyDescent="0.55000000000000004">
      <c r="A1196" t="s">
        <v>4815</v>
      </c>
      <c r="B1196">
        <v>101029</v>
      </c>
      <c r="C1196" t="s">
        <v>533</v>
      </c>
      <c r="D1196" s="3">
        <v>46040</v>
      </c>
      <c r="E1196" t="s">
        <v>160</v>
      </c>
      <c r="F1196" t="s">
        <v>4816</v>
      </c>
      <c r="G1196" t="s">
        <v>22</v>
      </c>
      <c r="H1196" t="s">
        <v>4817</v>
      </c>
      <c r="I1196" t="s">
        <v>4818</v>
      </c>
      <c r="J1196" s="4">
        <v>46088.861208634262</v>
      </c>
    </row>
    <row r="1197" spans="1:11" x14ac:dyDescent="0.55000000000000004">
      <c r="A1197" t="s">
        <v>4819</v>
      </c>
      <c r="B1197">
        <v>100976</v>
      </c>
      <c r="C1197" t="s">
        <v>179</v>
      </c>
      <c r="D1197" s="3">
        <v>45770</v>
      </c>
      <c r="E1197" t="s">
        <v>300</v>
      </c>
      <c r="F1197" t="s">
        <v>4820</v>
      </c>
      <c r="G1197" t="s">
        <v>15</v>
      </c>
      <c r="H1197" t="s">
        <v>4821</v>
      </c>
      <c r="I1197" t="s">
        <v>4822</v>
      </c>
      <c r="J1197" s="4">
        <v>46072.097319745371</v>
      </c>
    </row>
    <row r="1198" spans="1:11" x14ac:dyDescent="0.55000000000000004">
      <c r="A1198" t="s">
        <v>4823</v>
      </c>
      <c r="B1198">
        <v>101196</v>
      </c>
      <c r="C1198" t="s">
        <v>37</v>
      </c>
      <c r="D1198" s="3">
        <v>45862</v>
      </c>
      <c r="E1198" t="s">
        <v>43</v>
      </c>
      <c r="F1198" t="s">
        <v>4824</v>
      </c>
      <c r="G1198" t="s">
        <v>15</v>
      </c>
      <c r="H1198" t="s">
        <v>4825</v>
      </c>
      <c r="I1198" t="s">
        <v>4826</v>
      </c>
      <c r="J1198" s="4">
        <v>46057.363291979163</v>
      </c>
    </row>
    <row r="1199" spans="1:11" x14ac:dyDescent="0.55000000000000004">
      <c r="A1199" t="s">
        <v>4827</v>
      </c>
      <c r="B1199">
        <v>100102</v>
      </c>
      <c r="C1199" t="s">
        <v>248</v>
      </c>
      <c r="D1199" s="3">
        <v>46097</v>
      </c>
      <c r="E1199" t="s">
        <v>27</v>
      </c>
      <c r="F1199" t="s">
        <v>4828</v>
      </c>
      <c r="G1199" t="s">
        <v>15</v>
      </c>
      <c r="H1199" t="s">
        <v>4829</v>
      </c>
      <c r="I1199" t="s">
        <v>4830</v>
      </c>
      <c r="J1199" s="4">
        <v>46071.527875312502</v>
      </c>
    </row>
    <row r="1200" spans="1:11" x14ac:dyDescent="0.55000000000000004">
      <c r="A1200" t="s">
        <v>4831</v>
      </c>
      <c r="B1200">
        <v>100117</v>
      </c>
      <c r="C1200" t="s">
        <v>68</v>
      </c>
      <c r="D1200" s="3">
        <v>46135</v>
      </c>
      <c r="E1200" t="s">
        <v>334</v>
      </c>
      <c r="F1200" t="s">
        <v>4832</v>
      </c>
      <c r="G1200" t="s">
        <v>15</v>
      </c>
      <c r="H1200" t="s">
        <v>4833</v>
      </c>
      <c r="I1200" t="s">
        <v>4834</v>
      </c>
      <c r="J1200" s="4">
        <v>46093.361903101853</v>
      </c>
    </row>
    <row r="1201" spans="1:11" x14ac:dyDescent="0.55000000000000004">
      <c r="A1201" t="s">
        <v>4835</v>
      </c>
      <c r="B1201">
        <v>100642</v>
      </c>
      <c r="C1201" t="s">
        <v>533</v>
      </c>
      <c r="D1201" s="3">
        <v>46004</v>
      </c>
      <c r="E1201" t="s">
        <v>317</v>
      </c>
      <c r="F1201" t="s">
        <v>4836</v>
      </c>
      <c r="G1201" t="s">
        <v>22</v>
      </c>
      <c r="H1201" t="s">
        <v>4837</v>
      </c>
      <c r="I1201" t="s">
        <v>4838</v>
      </c>
      <c r="J1201" s="4">
        <v>46093.277875324071</v>
      </c>
    </row>
    <row r="1202" spans="1:11" x14ac:dyDescent="0.55000000000000004">
      <c r="A1202" t="s">
        <v>4839</v>
      </c>
      <c r="B1202">
        <v>101248</v>
      </c>
      <c r="C1202" t="s">
        <v>37</v>
      </c>
      <c r="D1202" s="3">
        <v>45917</v>
      </c>
      <c r="E1202" t="s">
        <v>356</v>
      </c>
      <c r="F1202" t="s">
        <v>4840</v>
      </c>
      <c r="G1202" t="s">
        <v>15</v>
      </c>
      <c r="H1202" t="s">
        <v>4841</v>
      </c>
      <c r="I1202" t="s">
        <v>4842</v>
      </c>
      <c r="J1202" s="4">
        <v>46080.732041990741</v>
      </c>
    </row>
    <row r="1203" spans="1:11" x14ac:dyDescent="0.55000000000000004">
      <c r="A1203" t="s">
        <v>4843</v>
      </c>
      <c r="B1203">
        <v>101110</v>
      </c>
      <c r="C1203" t="s">
        <v>533</v>
      </c>
      <c r="D1203" s="3">
        <v>45925</v>
      </c>
      <c r="E1203" t="s">
        <v>69</v>
      </c>
      <c r="F1203" t="s">
        <v>4844</v>
      </c>
      <c r="G1203" t="s">
        <v>15</v>
      </c>
      <c r="H1203" t="s">
        <v>4845</v>
      </c>
      <c r="I1203" t="s">
        <v>4846</v>
      </c>
      <c r="J1203" s="4">
        <v>46090.496625335647</v>
      </c>
    </row>
    <row r="1204" spans="1:11" x14ac:dyDescent="0.55000000000000004">
      <c r="A1204" t="s">
        <v>4847</v>
      </c>
      <c r="B1204">
        <v>101186</v>
      </c>
      <c r="C1204" t="s">
        <v>19</v>
      </c>
      <c r="D1204" s="3">
        <v>46104</v>
      </c>
      <c r="E1204" t="s">
        <v>89</v>
      </c>
      <c r="F1204" t="s">
        <v>4848</v>
      </c>
      <c r="G1204" t="s">
        <v>15</v>
      </c>
      <c r="H1204" t="s">
        <v>4849</v>
      </c>
      <c r="I1204" t="s">
        <v>4850</v>
      </c>
      <c r="J1204" s="4">
        <v>46064.250097557873</v>
      </c>
    </row>
    <row r="1205" spans="1:11" x14ac:dyDescent="0.55000000000000004">
      <c r="A1205" t="s">
        <v>4851</v>
      </c>
      <c r="B1205">
        <v>100119</v>
      </c>
      <c r="C1205" t="s">
        <v>19</v>
      </c>
      <c r="D1205" s="3">
        <v>45876</v>
      </c>
      <c r="E1205" t="s">
        <v>343</v>
      </c>
      <c r="F1205" t="s">
        <v>4852</v>
      </c>
      <c r="G1205" t="s">
        <v>15</v>
      </c>
      <c r="H1205" t="s">
        <v>4853</v>
      </c>
      <c r="I1205" t="s">
        <v>4854</v>
      </c>
      <c r="J1205" s="4">
        <v>46087.293847569446</v>
      </c>
    </row>
    <row r="1206" spans="1:11" x14ac:dyDescent="0.55000000000000004">
      <c r="A1206" t="s">
        <v>4855</v>
      </c>
      <c r="B1206">
        <v>100445</v>
      </c>
      <c r="C1206" t="s">
        <v>179</v>
      </c>
      <c r="D1206" s="3">
        <v>45824</v>
      </c>
      <c r="E1206" t="s">
        <v>27</v>
      </c>
      <c r="F1206" t="s">
        <v>3564</v>
      </c>
      <c r="G1206" t="s">
        <v>22</v>
      </c>
      <c r="H1206" t="s">
        <v>4856</v>
      </c>
      <c r="I1206" t="s">
        <v>4857</v>
      </c>
      <c r="J1206" s="4">
        <v>46066.90356979167</v>
      </c>
    </row>
    <row r="1207" spans="1:11" x14ac:dyDescent="0.55000000000000004">
      <c r="A1207" t="s">
        <v>4858</v>
      </c>
      <c r="B1207">
        <v>100607</v>
      </c>
      <c r="C1207" t="s">
        <v>533</v>
      </c>
      <c r="D1207" s="3">
        <v>45864</v>
      </c>
      <c r="E1207" t="s">
        <v>317</v>
      </c>
      <c r="F1207" t="s">
        <v>4859</v>
      </c>
      <c r="G1207" t="s">
        <v>15</v>
      </c>
      <c r="H1207" t="s">
        <v>4860</v>
      </c>
      <c r="I1207" t="s">
        <v>4861</v>
      </c>
      <c r="J1207" s="4">
        <v>46055.566764247684</v>
      </c>
    </row>
    <row r="1208" spans="1:11" x14ac:dyDescent="0.55000000000000004">
      <c r="A1208" t="s">
        <v>4862</v>
      </c>
      <c r="B1208">
        <v>100388</v>
      </c>
      <c r="C1208" t="s">
        <v>533</v>
      </c>
      <c r="D1208" s="3">
        <v>45925</v>
      </c>
      <c r="E1208" t="s">
        <v>13</v>
      </c>
      <c r="F1208" t="s">
        <v>4863</v>
      </c>
      <c r="G1208" t="s">
        <v>22</v>
      </c>
      <c r="H1208" t="s">
        <v>4864</v>
      </c>
      <c r="I1208" t="s">
        <v>4865</v>
      </c>
      <c r="J1208" s="4">
        <v>46052.391764247688</v>
      </c>
    </row>
    <row r="1209" spans="1:11" x14ac:dyDescent="0.55000000000000004">
      <c r="A1209" t="s">
        <v>4866</v>
      </c>
      <c r="B1209">
        <v>100317</v>
      </c>
      <c r="C1209" t="s">
        <v>19</v>
      </c>
      <c r="D1209" s="3">
        <v>45946</v>
      </c>
      <c r="E1209" t="s">
        <v>680</v>
      </c>
      <c r="F1209" t="s">
        <v>4867</v>
      </c>
      <c r="G1209" t="s">
        <v>22</v>
      </c>
      <c r="H1209" t="s">
        <v>4868</v>
      </c>
      <c r="I1209" t="s">
        <v>4869</v>
      </c>
      <c r="J1209" s="4">
        <v>46068.032042025465</v>
      </c>
    </row>
    <row r="1210" spans="1:11" x14ac:dyDescent="0.55000000000000004">
      <c r="A1210" t="s">
        <v>4870</v>
      </c>
      <c r="B1210">
        <v>100996</v>
      </c>
      <c r="C1210" t="s">
        <v>68</v>
      </c>
      <c r="D1210" s="3">
        <v>45873</v>
      </c>
      <c r="E1210" t="s">
        <v>409</v>
      </c>
      <c r="F1210" t="s">
        <v>4871</v>
      </c>
      <c r="G1210" t="s">
        <v>22</v>
      </c>
      <c r="H1210" t="s">
        <v>4872</v>
      </c>
      <c r="I1210" t="s">
        <v>4873</v>
      </c>
      <c r="J1210" s="4">
        <v>46057.622319814815</v>
      </c>
    </row>
    <row r="1211" spans="1:11" x14ac:dyDescent="0.55000000000000004">
      <c r="A1211" t="s">
        <v>4874</v>
      </c>
      <c r="B1211">
        <v>101138</v>
      </c>
      <c r="C1211" t="s">
        <v>68</v>
      </c>
      <c r="D1211" s="3">
        <v>45940</v>
      </c>
      <c r="E1211" t="s">
        <v>141</v>
      </c>
      <c r="F1211" t="s">
        <v>4875</v>
      </c>
      <c r="G1211" t="s">
        <v>15</v>
      </c>
      <c r="H1211" t="s">
        <v>4876</v>
      </c>
      <c r="I1211" t="s">
        <v>4877</v>
      </c>
      <c r="J1211" s="4">
        <v>46082.613292037036</v>
      </c>
    </row>
    <row r="1212" spans="1:11" x14ac:dyDescent="0.55000000000000004">
      <c r="A1212" t="s">
        <v>4878</v>
      </c>
      <c r="C1212" t="s">
        <v>533</v>
      </c>
      <c r="D1212" s="3">
        <v>46026</v>
      </c>
      <c r="E1212" t="s">
        <v>155</v>
      </c>
      <c r="F1212" t="s">
        <v>4879</v>
      </c>
      <c r="G1212" t="s">
        <v>22</v>
      </c>
      <c r="H1212" t="s">
        <v>4880</v>
      </c>
      <c r="I1212" t="s">
        <v>4881</v>
      </c>
      <c r="J1212" s="4">
        <v>46062.045236493053</v>
      </c>
      <c r="K1212" t="s">
        <v>112</v>
      </c>
    </row>
    <row r="1213" spans="1:11" x14ac:dyDescent="0.55000000000000004">
      <c r="A1213" t="s">
        <v>4882</v>
      </c>
      <c r="B1213">
        <v>100584</v>
      </c>
      <c r="C1213" t="s">
        <v>37</v>
      </c>
      <c r="D1213" s="3">
        <v>45949</v>
      </c>
      <c r="E1213" t="s">
        <v>43</v>
      </c>
      <c r="F1213" t="s">
        <v>4883</v>
      </c>
      <c r="G1213" t="s">
        <v>22</v>
      </c>
      <c r="H1213" t="s">
        <v>4884</v>
      </c>
      <c r="I1213" t="s">
        <v>4885</v>
      </c>
      <c r="J1213" s="4">
        <v>46064.771625381945</v>
      </c>
    </row>
    <row r="1214" spans="1:11" x14ac:dyDescent="0.55000000000000004">
      <c r="A1214" t="s">
        <v>4886</v>
      </c>
      <c r="B1214">
        <v>100931</v>
      </c>
      <c r="C1214" t="s">
        <v>19</v>
      </c>
      <c r="D1214" s="3">
        <v>46089</v>
      </c>
      <c r="E1214" t="s">
        <v>69</v>
      </c>
      <c r="F1214" t="s">
        <v>4887</v>
      </c>
      <c r="G1214" t="s">
        <v>15</v>
      </c>
      <c r="H1214" t="s">
        <v>4888</v>
      </c>
      <c r="I1214" t="s">
        <v>4889</v>
      </c>
      <c r="J1214" s="4">
        <v>46058.475792060184</v>
      </c>
    </row>
    <row r="1215" spans="1:11" x14ac:dyDescent="0.55000000000000004">
      <c r="A1215" t="s">
        <v>4890</v>
      </c>
      <c r="B1215">
        <v>100543</v>
      </c>
      <c r="C1215" t="s">
        <v>37</v>
      </c>
      <c r="D1215" s="3">
        <v>46097</v>
      </c>
      <c r="E1215" t="s">
        <v>27</v>
      </c>
      <c r="F1215" t="s">
        <v>4891</v>
      </c>
      <c r="G1215" t="s">
        <v>22</v>
      </c>
      <c r="H1215" t="s">
        <v>4892</v>
      </c>
      <c r="I1215" t="s">
        <v>4893</v>
      </c>
      <c r="J1215" s="4">
        <v>46081.805653171294</v>
      </c>
    </row>
    <row r="1216" spans="1:11" x14ac:dyDescent="0.55000000000000004">
      <c r="A1216" t="s">
        <v>4894</v>
      </c>
      <c r="B1216">
        <v>100799</v>
      </c>
      <c r="C1216" t="s">
        <v>19</v>
      </c>
      <c r="D1216" s="3">
        <v>46082</v>
      </c>
      <c r="E1216" t="s">
        <v>270</v>
      </c>
      <c r="F1216" t="s">
        <v>4895</v>
      </c>
      <c r="G1216" t="s">
        <v>15</v>
      </c>
      <c r="H1216" t="s">
        <v>4896</v>
      </c>
      <c r="I1216" t="s">
        <v>4897</v>
      </c>
      <c r="J1216" s="4">
        <v>46054.001486504632</v>
      </c>
    </row>
    <row r="1217" spans="1:11" x14ac:dyDescent="0.55000000000000004">
      <c r="A1217" t="s">
        <v>4898</v>
      </c>
      <c r="B1217">
        <v>100004</v>
      </c>
      <c r="C1217" t="s">
        <v>248</v>
      </c>
      <c r="D1217" s="3">
        <v>45821</v>
      </c>
      <c r="E1217" t="s">
        <v>20</v>
      </c>
      <c r="F1217" t="s">
        <v>4899</v>
      </c>
      <c r="G1217" t="s">
        <v>15</v>
      </c>
      <c r="H1217" t="s">
        <v>4900</v>
      </c>
      <c r="I1217" t="s">
        <v>4901</v>
      </c>
      <c r="J1217" s="4">
        <v>46065.243847627316</v>
      </c>
    </row>
    <row r="1218" spans="1:11" x14ac:dyDescent="0.55000000000000004">
      <c r="A1218" t="s">
        <v>4902</v>
      </c>
      <c r="B1218">
        <v>100776</v>
      </c>
      <c r="C1218" t="s">
        <v>37</v>
      </c>
      <c r="D1218" s="3">
        <v>45948</v>
      </c>
      <c r="E1218" t="s">
        <v>418</v>
      </c>
      <c r="F1218" t="s">
        <v>4903</v>
      </c>
      <c r="G1218" t="s">
        <v>22</v>
      </c>
      <c r="H1218" t="s">
        <v>4904</v>
      </c>
      <c r="I1218" t="s">
        <v>4905</v>
      </c>
      <c r="J1218" s="4">
        <v>46090.265375405092</v>
      </c>
    </row>
    <row r="1219" spans="1:11" x14ac:dyDescent="0.55000000000000004">
      <c r="A1219" t="s">
        <v>4906</v>
      </c>
      <c r="B1219">
        <v>100337</v>
      </c>
      <c r="C1219" t="s">
        <v>248</v>
      </c>
      <c r="D1219" s="3">
        <v>46157</v>
      </c>
      <c r="E1219" t="s">
        <v>343</v>
      </c>
      <c r="F1219" t="s">
        <v>4907</v>
      </c>
      <c r="G1219" t="s">
        <v>22</v>
      </c>
      <c r="H1219" t="s">
        <v>4908</v>
      </c>
      <c r="I1219" t="s">
        <v>4909</v>
      </c>
      <c r="J1219" s="4">
        <v>46079.369542071756</v>
      </c>
    </row>
    <row r="1220" spans="1:11" x14ac:dyDescent="0.55000000000000004">
      <c r="A1220" t="s">
        <v>4910</v>
      </c>
      <c r="B1220">
        <v>101277</v>
      </c>
      <c r="C1220" t="s">
        <v>248</v>
      </c>
      <c r="D1220" s="3">
        <v>45733</v>
      </c>
      <c r="E1220" t="s">
        <v>213</v>
      </c>
      <c r="F1220" t="s">
        <v>4911</v>
      </c>
      <c r="G1220" t="s">
        <v>15</v>
      </c>
      <c r="H1220" t="s">
        <v>4912</v>
      </c>
      <c r="I1220" t="s">
        <v>4913</v>
      </c>
      <c r="J1220" s="4">
        <v>46077.832042083333</v>
      </c>
    </row>
    <row r="1221" spans="1:11" x14ac:dyDescent="0.55000000000000004">
      <c r="A1221" t="s">
        <v>4914</v>
      </c>
      <c r="B1221">
        <v>101397</v>
      </c>
      <c r="C1221" t="s">
        <v>19</v>
      </c>
      <c r="D1221" s="3">
        <v>46154</v>
      </c>
      <c r="E1221" t="s">
        <v>69</v>
      </c>
      <c r="F1221" t="s">
        <v>4915</v>
      </c>
      <c r="G1221" t="s">
        <v>22</v>
      </c>
      <c r="H1221" t="s">
        <v>4916</v>
      </c>
      <c r="I1221" t="s">
        <v>4917</v>
      </c>
      <c r="J1221" s="4">
        <v>46094.240375416666</v>
      </c>
    </row>
    <row r="1222" spans="1:11" x14ac:dyDescent="0.55000000000000004">
      <c r="A1222" t="s">
        <v>4918</v>
      </c>
      <c r="B1222">
        <v>100437</v>
      </c>
      <c r="C1222" t="s">
        <v>37</v>
      </c>
      <c r="D1222" s="3">
        <v>46047</v>
      </c>
      <c r="E1222" t="s">
        <v>49</v>
      </c>
      <c r="F1222" t="s">
        <v>4919</v>
      </c>
      <c r="G1222" t="s">
        <v>22</v>
      </c>
      <c r="H1222" t="s">
        <v>4920</v>
      </c>
      <c r="I1222" t="s">
        <v>4921</v>
      </c>
      <c r="J1222" s="4">
        <v>46091.738986539349</v>
      </c>
    </row>
    <row r="1223" spans="1:11" x14ac:dyDescent="0.55000000000000004">
      <c r="A1223" t="s">
        <v>4922</v>
      </c>
      <c r="B1223">
        <v>100985</v>
      </c>
      <c r="C1223" t="s">
        <v>68</v>
      </c>
      <c r="D1223" s="3">
        <v>46101</v>
      </c>
      <c r="E1223" t="s">
        <v>69</v>
      </c>
      <c r="F1223" t="s">
        <v>4923</v>
      </c>
      <c r="G1223" t="s">
        <v>22</v>
      </c>
      <c r="H1223" t="s">
        <v>4924</v>
      </c>
      <c r="I1223" t="s">
        <v>4925</v>
      </c>
      <c r="J1223" s="4">
        <v>46097.602180983798</v>
      </c>
    </row>
    <row r="1224" spans="1:11" x14ac:dyDescent="0.55000000000000004">
      <c r="A1224" t="s">
        <v>4926</v>
      </c>
      <c r="B1224">
        <v>101268</v>
      </c>
      <c r="C1224" t="s">
        <v>179</v>
      </c>
      <c r="D1224" s="3">
        <v>45983</v>
      </c>
      <c r="E1224" t="s">
        <v>155</v>
      </c>
      <c r="F1224" t="s">
        <v>4927</v>
      </c>
      <c r="G1224" t="s">
        <v>15</v>
      </c>
      <c r="H1224" t="s">
        <v>4928</v>
      </c>
      <c r="I1224" t="s">
        <v>4929</v>
      </c>
      <c r="J1224" s="4">
        <v>46071.570236539352</v>
      </c>
    </row>
    <row r="1225" spans="1:11" x14ac:dyDescent="0.55000000000000004">
      <c r="A1225" t="s">
        <v>4930</v>
      </c>
      <c r="B1225">
        <v>100832</v>
      </c>
      <c r="C1225" t="s">
        <v>19</v>
      </c>
      <c r="D1225" s="3">
        <v>45735</v>
      </c>
      <c r="E1225" t="s">
        <v>317</v>
      </c>
      <c r="F1225" t="s">
        <v>4931</v>
      </c>
      <c r="G1225" t="s">
        <v>22</v>
      </c>
      <c r="H1225" t="s">
        <v>4932</v>
      </c>
      <c r="I1225" t="s">
        <v>4933</v>
      </c>
      <c r="J1225" s="4">
        <v>46083.077180995373</v>
      </c>
    </row>
    <row r="1226" spans="1:11" x14ac:dyDescent="0.55000000000000004">
      <c r="A1226" t="s">
        <v>4934</v>
      </c>
      <c r="B1226">
        <v>100340</v>
      </c>
      <c r="C1226" t="s">
        <v>179</v>
      </c>
      <c r="D1226" s="3">
        <v>45923</v>
      </c>
      <c r="E1226" t="s">
        <v>58</v>
      </c>
      <c r="F1226" t="s">
        <v>4935</v>
      </c>
      <c r="G1226" t="s">
        <v>15</v>
      </c>
      <c r="H1226" t="s">
        <v>4936</v>
      </c>
      <c r="I1226" t="s">
        <v>4937</v>
      </c>
      <c r="J1226" s="4">
        <v>46063.363292106478</v>
      </c>
    </row>
    <row r="1227" spans="1:11" x14ac:dyDescent="0.55000000000000004">
      <c r="A1227" t="s">
        <v>4938</v>
      </c>
      <c r="B1227">
        <v>100484</v>
      </c>
      <c r="C1227" t="s">
        <v>533</v>
      </c>
      <c r="D1227" s="3">
        <v>45956</v>
      </c>
      <c r="E1227" t="s">
        <v>43</v>
      </c>
      <c r="F1227" t="s">
        <v>4939</v>
      </c>
      <c r="G1227" t="s">
        <v>22</v>
      </c>
      <c r="H1227" t="s">
        <v>4940</v>
      </c>
      <c r="I1227" t="s">
        <v>4941</v>
      </c>
      <c r="J1227" s="4">
        <v>46070.738292106478</v>
      </c>
    </row>
    <row r="1228" spans="1:11" x14ac:dyDescent="0.55000000000000004">
      <c r="A1228" t="s">
        <v>4942</v>
      </c>
      <c r="B1228">
        <v>101484</v>
      </c>
      <c r="D1228" s="3">
        <v>46095</v>
      </c>
      <c r="E1228" t="s">
        <v>155</v>
      </c>
      <c r="F1228" t="s">
        <v>4943</v>
      </c>
      <c r="G1228" t="s">
        <v>15</v>
      </c>
      <c r="H1228" t="s">
        <v>4944</v>
      </c>
      <c r="I1228" t="s">
        <v>4945</v>
      </c>
      <c r="J1228" s="4">
        <v>46079.688986562498</v>
      </c>
      <c r="K1228" t="s">
        <v>217</v>
      </c>
    </row>
    <row r="1229" spans="1:11" x14ac:dyDescent="0.55000000000000004">
      <c r="A1229" t="s">
        <v>4946</v>
      </c>
      <c r="B1229">
        <v>100030</v>
      </c>
      <c r="C1229" t="s">
        <v>533</v>
      </c>
      <c r="D1229" s="3">
        <v>45934</v>
      </c>
      <c r="E1229" t="s">
        <v>49</v>
      </c>
      <c r="F1229" t="s">
        <v>4947</v>
      </c>
      <c r="G1229" t="s">
        <v>15</v>
      </c>
      <c r="H1229" t="s">
        <v>224</v>
      </c>
      <c r="I1229" t="s">
        <v>4948</v>
      </c>
      <c r="J1229" s="4">
        <v>46086.798708784721</v>
      </c>
    </row>
    <row r="1230" spans="1:11" x14ac:dyDescent="0.55000000000000004">
      <c r="A1230" t="s">
        <v>4949</v>
      </c>
      <c r="B1230">
        <v>101107</v>
      </c>
      <c r="C1230" t="s">
        <v>248</v>
      </c>
      <c r="D1230" s="3">
        <v>45977</v>
      </c>
      <c r="E1230" t="s">
        <v>83</v>
      </c>
      <c r="F1230" t="s">
        <v>4950</v>
      </c>
      <c r="G1230" t="s">
        <v>22</v>
      </c>
      <c r="H1230" t="s">
        <v>4951</v>
      </c>
      <c r="I1230" t="s">
        <v>4952</v>
      </c>
      <c r="J1230" s="4">
        <v>46062.041764340276</v>
      </c>
    </row>
    <row r="1231" spans="1:11" x14ac:dyDescent="0.55000000000000004">
      <c r="A1231" t="s">
        <v>4953</v>
      </c>
      <c r="B1231">
        <v>100103</v>
      </c>
      <c r="C1231" t="s">
        <v>533</v>
      </c>
      <c r="D1231" s="3">
        <v>45898</v>
      </c>
      <c r="E1231" t="s">
        <v>89</v>
      </c>
      <c r="F1231" t="s">
        <v>4954</v>
      </c>
      <c r="G1231" t="s">
        <v>15</v>
      </c>
      <c r="H1231" t="s">
        <v>4955</v>
      </c>
      <c r="I1231" t="s">
        <v>4956</v>
      </c>
      <c r="J1231" s="4">
        <v>46090.593153240741</v>
      </c>
    </row>
    <row r="1232" spans="1:11" x14ac:dyDescent="0.55000000000000004">
      <c r="A1232" t="s">
        <v>4957</v>
      </c>
      <c r="B1232">
        <v>100200</v>
      </c>
      <c r="C1232" t="s">
        <v>37</v>
      </c>
      <c r="D1232" s="3">
        <v>45796</v>
      </c>
      <c r="E1232" t="s">
        <v>20</v>
      </c>
      <c r="F1232" t="s">
        <v>4958</v>
      </c>
      <c r="G1232" t="s">
        <v>15</v>
      </c>
      <c r="H1232" t="s">
        <v>4959</v>
      </c>
      <c r="I1232" t="s">
        <v>4960</v>
      </c>
      <c r="J1232" s="4">
        <v>46054.409819907407</v>
      </c>
    </row>
    <row r="1233" spans="1:10" x14ac:dyDescent="0.55000000000000004">
      <c r="A1233" t="s">
        <v>4961</v>
      </c>
      <c r="B1233">
        <v>101127</v>
      </c>
      <c r="C1233" t="s">
        <v>37</v>
      </c>
      <c r="D1233" s="3">
        <v>46079</v>
      </c>
      <c r="E1233" t="s">
        <v>89</v>
      </c>
      <c r="F1233" t="s">
        <v>4962</v>
      </c>
      <c r="G1233" t="s">
        <v>15</v>
      </c>
      <c r="H1233" t="s">
        <v>4963</v>
      </c>
      <c r="I1233" t="s">
        <v>4964</v>
      </c>
      <c r="J1233" s="4">
        <v>46070.063292129627</v>
      </c>
    </row>
    <row r="1234" spans="1:10" x14ac:dyDescent="0.55000000000000004">
      <c r="A1234" t="s">
        <v>4965</v>
      </c>
      <c r="B1234">
        <v>100907</v>
      </c>
      <c r="C1234" t="s">
        <v>68</v>
      </c>
      <c r="D1234" s="3">
        <v>45876</v>
      </c>
      <c r="E1234" t="s">
        <v>334</v>
      </c>
      <c r="F1234" t="s">
        <v>4966</v>
      </c>
      <c r="G1234" t="s">
        <v>15</v>
      </c>
      <c r="H1234" t="s">
        <v>4967</v>
      </c>
      <c r="I1234" t="s">
        <v>4968</v>
      </c>
      <c r="J1234" s="4">
        <v>46058.529264363424</v>
      </c>
    </row>
    <row r="1235" spans="1:10" x14ac:dyDescent="0.55000000000000004">
      <c r="A1235" t="s">
        <v>4969</v>
      </c>
      <c r="B1235">
        <v>100154</v>
      </c>
      <c r="C1235" t="s">
        <v>19</v>
      </c>
      <c r="D1235" s="3">
        <v>45827</v>
      </c>
      <c r="E1235" t="s">
        <v>20</v>
      </c>
      <c r="F1235" t="s">
        <v>4970</v>
      </c>
      <c r="G1235" t="s">
        <v>15</v>
      </c>
      <c r="H1235" t="s">
        <v>4971</v>
      </c>
      <c r="I1235" t="s">
        <v>4972</v>
      </c>
      <c r="J1235" s="4">
        <v>46080.749403252317</v>
      </c>
    </row>
    <row r="1236" spans="1:10" x14ac:dyDescent="0.55000000000000004">
      <c r="A1236" t="s">
        <v>4973</v>
      </c>
      <c r="B1236">
        <v>100511</v>
      </c>
      <c r="C1236" t="s">
        <v>248</v>
      </c>
      <c r="D1236" s="3">
        <v>46073</v>
      </c>
      <c r="E1236" t="s">
        <v>418</v>
      </c>
      <c r="F1236" t="s">
        <v>4974</v>
      </c>
      <c r="G1236" t="s">
        <v>15</v>
      </c>
      <c r="H1236" t="s">
        <v>4975</v>
      </c>
      <c r="I1236" t="s">
        <v>4976</v>
      </c>
      <c r="J1236" s="4">
        <v>46053.032042152779</v>
      </c>
    </row>
    <row r="1237" spans="1:10" x14ac:dyDescent="0.55000000000000004">
      <c r="A1237" t="s">
        <v>4977</v>
      </c>
      <c r="B1237">
        <v>100947</v>
      </c>
      <c r="C1237" t="s">
        <v>19</v>
      </c>
      <c r="D1237" s="3">
        <v>45824</v>
      </c>
      <c r="E1237" t="s">
        <v>38</v>
      </c>
      <c r="F1237" t="s">
        <v>4978</v>
      </c>
      <c r="G1237" t="s">
        <v>15</v>
      </c>
      <c r="H1237" t="s">
        <v>4979</v>
      </c>
      <c r="I1237" t="s">
        <v>4980</v>
      </c>
      <c r="J1237" s="4">
        <v>46083.57509770833</v>
      </c>
    </row>
    <row r="1238" spans="1:10" x14ac:dyDescent="0.55000000000000004">
      <c r="A1238" t="s">
        <v>4981</v>
      </c>
      <c r="B1238">
        <v>101269</v>
      </c>
      <c r="C1238" t="s">
        <v>533</v>
      </c>
      <c r="D1238" s="3">
        <v>45937</v>
      </c>
      <c r="E1238" t="s">
        <v>20</v>
      </c>
      <c r="F1238" t="s">
        <v>4982</v>
      </c>
      <c r="G1238" t="s">
        <v>15</v>
      </c>
      <c r="H1238" t="s">
        <v>4983</v>
      </c>
      <c r="I1238" t="s">
        <v>4984</v>
      </c>
      <c r="J1238" s="4">
        <v>46088.139681053239</v>
      </c>
    </row>
    <row r="1239" spans="1:10" x14ac:dyDescent="0.55000000000000004">
      <c r="A1239" t="s">
        <v>4985</v>
      </c>
      <c r="B1239">
        <v>100375</v>
      </c>
      <c r="C1239" t="s">
        <v>37</v>
      </c>
      <c r="D1239" s="3">
        <v>46047</v>
      </c>
      <c r="E1239" t="s">
        <v>155</v>
      </c>
      <c r="F1239" t="s">
        <v>4986</v>
      </c>
      <c r="G1239" t="s">
        <v>15</v>
      </c>
      <c r="H1239" t="s">
        <v>4987</v>
      </c>
      <c r="I1239" t="s">
        <v>4988</v>
      </c>
      <c r="J1239" s="4">
        <v>46073.166764386573</v>
      </c>
    </row>
    <row r="1240" spans="1:10" x14ac:dyDescent="0.55000000000000004">
      <c r="A1240" t="s">
        <v>4989</v>
      </c>
      <c r="B1240">
        <v>101363</v>
      </c>
      <c r="C1240" t="s">
        <v>19</v>
      </c>
      <c r="D1240" s="3">
        <v>45888</v>
      </c>
      <c r="E1240" t="s">
        <v>587</v>
      </c>
      <c r="F1240" t="s">
        <v>4990</v>
      </c>
      <c r="G1240" t="s">
        <v>22</v>
      </c>
      <c r="H1240" t="s">
        <v>4991</v>
      </c>
      <c r="I1240" t="s">
        <v>4992</v>
      </c>
      <c r="J1240" s="4">
        <v>46070.064681053242</v>
      </c>
    </row>
    <row r="1241" spans="1:10" x14ac:dyDescent="0.55000000000000004">
      <c r="A1241" t="s">
        <v>4993</v>
      </c>
      <c r="B1241">
        <v>100287</v>
      </c>
      <c r="C1241" t="s">
        <v>37</v>
      </c>
      <c r="D1241" s="3">
        <v>45993</v>
      </c>
      <c r="E1241" t="s">
        <v>141</v>
      </c>
      <c r="F1241" t="s">
        <v>4994</v>
      </c>
      <c r="G1241" t="s">
        <v>22</v>
      </c>
      <c r="H1241" t="s">
        <v>4995</v>
      </c>
      <c r="I1241" t="s">
        <v>4996</v>
      </c>
      <c r="J1241" s="4">
        <v>46090.363292175927</v>
      </c>
    </row>
    <row r="1242" spans="1:10" x14ac:dyDescent="0.55000000000000004">
      <c r="A1242" t="s">
        <v>4997</v>
      </c>
      <c r="B1242">
        <v>100918</v>
      </c>
      <c r="C1242" t="s">
        <v>68</v>
      </c>
      <c r="D1242" s="3">
        <v>45875</v>
      </c>
      <c r="E1242" t="s">
        <v>757</v>
      </c>
      <c r="F1242" t="s">
        <v>4998</v>
      </c>
      <c r="G1242" t="s">
        <v>15</v>
      </c>
      <c r="H1242" t="s">
        <v>4999</v>
      </c>
      <c r="I1242" t="s">
        <v>5000</v>
      </c>
      <c r="J1242" s="4">
        <v>46077.678569953707</v>
      </c>
    </row>
    <row r="1243" spans="1:10" x14ac:dyDescent="0.55000000000000004">
      <c r="A1243" t="s">
        <v>5001</v>
      </c>
      <c r="B1243">
        <v>101448</v>
      </c>
      <c r="C1243" t="s">
        <v>533</v>
      </c>
      <c r="D1243" s="3">
        <v>45752</v>
      </c>
      <c r="E1243" t="s">
        <v>155</v>
      </c>
      <c r="F1243" t="s">
        <v>5002</v>
      </c>
      <c r="G1243" t="s">
        <v>22</v>
      </c>
      <c r="H1243" t="s">
        <v>5003</v>
      </c>
      <c r="I1243" t="s">
        <v>5004</v>
      </c>
      <c r="J1243" s="4">
        <v>46084.340375520835</v>
      </c>
    </row>
    <row r="1244" spans="1:10" x14ac:dyDescent="0.55000000000000004">
      <c r="A1244" t="s">
        <v>5005</v>
      </c>
      <c r="B1244">
        <v>101258</v>
      </c>
      <c r="C1244" t="s">
        <v>19</v>
      </c>
      <c r="D1244" s="3">
        <v>45875</v>
      </c>
      <c r="E1244" t="s">
        <v>121</v>
      </c>
      <c r="F1244" t="s">
        <v>5006</v>
      </c>
      <c r="G1244" t="s">
        <v>22</v>
      </c>
      <c r="H1244" t="s">
        <v>5007</v>
      </c>
      <c r="I1244" t="s">
        <v>5008</v>
      </c>
      <c r="J1244" s="4">
        <v>46066.229264409725</v>
      </c>
    </row>
    <row r="1245" spans="1:10" x14ac:dyDescent="0.55000000000000004">
      <c r="A1245" t="s">
        <v>5009</v>
      </c>
      <c r="B1245">
        <v>100392</v>
      </c>
      <c r="C1245" t="s">
        <v>68</v>
      </c>
      <c r="D1245" s="3">
        <v>45887</v>
      </c>
      <c r="E1245" t="s">
        <v>155</v>
      </c>
      <c r="F1245" t="s">
        <v>5010</v>
      </c>
      <c r="G1245" t="s">
        <v>15</v>
      </c>
      <c r="H1245" t="s">
        <v>5011</v>
      </c>
      <c r="I1245" t="s">
        <v>5012</v>
      </c>
      <c r="J1245" s="4">
        <v>46053.961208854169</v>
      </c>
    </row>
    <row r="1246" spans="1:10" x14ac:dyDescent="0.55000000000000004">
      <c r="A1246" t="s">
        <v>5013</v>
      </c>
      <c r="B1246">
        <v>100509</v>
      </c>
      <c r="C1246" t="s">
        <v>533</v>
      </c>
      <c r="D1246" s="3">
        <v>45901</v>
      </c>
      <c r="E1246" t="s">
        <v>49</v>
      </c>
      <c r="F1246" t="s">
        <v>5014</v>
      </c>
      <c r="G1246" t="s">
        <v>22</v>
      </c>
      <c r="H1246" t="s">
        <v>5015</v>
      </c>
      <c r="I1246" t="s">
        <v>5016</v>
      </c>
      <c r="J1246" s="4">
        <v>46081.821625532408</v>
      </c>
    </row>
    <row r="1247" spans="1:10" x14ac:dyDescent="0.55000000000000004">
      <c r="A1247" t="s">
        <v>5017</v>
      </c>
      <c r="B1247">
        <v>100223</v>
      </c>
      <c r="C1247" t="s">
        <v>248</v>
      </c>
      <c r="D1247" s="3">
        <v>45839</v>
      </c>
      <c r="E1247" t="s">
        <v>270</v>
      </c>
      <c r="F1247" t="s">
        <v>5018</v>
      </c>
      <c r="G1247" t="s">
        <v>15</v>
      </c>
      <c r="H1247" t="s">
        <v>5019</v>
      </c>
      <c r="I1247" t="s">
        <v>5020</v>
      </c>
      <c r="J1247" s="4">
        <v>46056.890375532406</v>
      </c>
    </row>
    <row r="1248" spans="1:10" x14ac:dyDescent="0.55000000000000004">
      <c r="A1248" t="s">
        <v>77</v>
      </c>
      <c r="B1248">
        <v>100694</v>
      </c>
      <c r="C1248" t="s">
        <v>533</v>
      </c>
      <c r="D1248" s="3">
        <v>45753</v>
      </c>
      <c r="E1248" t="s">
        <v>587</v>
      </c>
      <c r="F1248" t="s">
        <v>5021</v>
      </c>
      <c r="G1248" t="s">
        <v>22</v>
      </c>
      <c r="H1248" t="s">
        <v>5022</v>
      </c>
      <c r="I1248" t="s">
        <v>5023</v>
      </c>
      <c r="J1248" s="4">
        <v>46091.639681099536</v>
      </c>
    </row>
    <row r="1249" spans="1:11" x14ac:dyDescent="0.55000000000000004">
      <c r="A1249" t="s">
        <v>5024</v>
      </c>
      <c r="B1249">
        <v>100824</v>
      </c>
      <c r="D1249" s="3">
        <v>46048</v>
      </c>
      <c r="E1249" t="s">
        <v>58</v>
      </c>
      <c r="F1249" t="s">
        <v>5025</v>
      </c>
      <c r="G1249" t="s">
        <v>15</v>
      </c>
      <c r="H1249" t="s">
        <v>5026</v>
      </c>
      <c r="I1249" t="s">
        <v>5027</v>
      </c>
      <c r="J1249" s="4">
        <v>46063.527875543979</v>
      </c>
      <c r="K1249" t="s">
        <v>217</v>
      </c>
    </row>
    <row r="1250" spans="1:11" x14ac:dyDescent="0.55000000000000004">
      <c r="A1250" t="s">
        <v>5028</v>
      </c>
      <c r="B1250">
        <v>100124</v>
      </c>
      <c r="C1250" t="s">
        <v>37</v>
      </c>
      <c r="D1250" s="3">
        <v>45797</v>
      </c>
      <c r="E1250" t="s">
        <v>69</v>
      </c>
      <c r="F1250" t="s">
        <v>5029</v>
      </c>
      <c r="G1250" t="s">
        <v>22</v>
      </c>
      <c r="H1250" t="s">
        <v>5030</v>
      </c>
      <c r="I1250" t="s">
        <v>5031</v>
      </c>
      <c r="J1250" s="4">
        <v>46062.252181111115</v>
      </c>
    </row>
    <row r="1251" spans="1:11" x14ac:dyDescent="0.55000000000000004">
      <c r="A1251" t="s">
        <v>5032</v>
      </c>
      <c r="B1251">
        <v>100201</v>
      </c>
      <c r="C1251" t="s">
        <v>68</v>
      </c>
      <c r="D1251" s="3">
        <v>45961</v>
      </c>
      <c r="E1251" t="s">
        <v>243</v>
      </c>
      <c r="F1251" t="s">
        <v>5033</v>
      </c>
      <c r="G1251" t="s">
        <v>15</v>
      </c>
      <c r="H1251" t="s">
        <v>5034</v>
      </c>
      <c r="I1251" t="s">
        <v>5035</v>
      </c>
      <c r="J1251" s="4">
        <v>46067.150097777776</v>
      </c>
    </row>
    <row r="1252" spans="1:11" x14ac:dyDescent="0.55000000000000004">
      <c r="A1252" t="s">
        <v>5036</v>
      </c>
      <c r="B1252">
        <v>100110</v>
      </c>
      <c r="C1252" t="s">
        <v>19</v>
      </c>
      <c r="D1252" s="3">
        <v>45989</v>
      </c>
      <c r="E1252" t="s">
        <v>115</v>
      </c>
      <c r="F1252" t="s">
        <v>5037</v>
      </c>
      <c r="G1252" t="s">
        <v>22</v>
      </c>
      <c r="H1252" t="s">
        <v>5038</v>
      </c>
      <c r="I1252" t="s">
        <v>5039</v>
      </c>
      <c r="J1252" s="4">
        <v>46053.562597777774</v>
      </c>
    </row>
    <row r="1253" spans="1:11" x14ac:dyDescent="0.55000000000000004">
      <c r="A1253" t="s">
        <v>5040</v>
      </c>
      <c r="B1253">
        <v>100956</v>
      </c>
      <c r="C1253" t="s">
        <v>68</v>
      </c>
      <c r="D1253" s="3">
        <v>45755</v>
      </c>
      <c r="E1253" t="s">
        <v>121</v>
      </c>
      <c r="F1253" t="s">
        <v>5041</v>
      </c>
      <c r="G1253" t="s">
        <v>22</v>
      </c>
      <c r="H1253" t="s">
        <v>5042</v>
      </c>
      <c r="I1253" t="s">
        <v>5043</v>
      </c>
      <c r="J1253" s="4">
        <v>46053.98898667824</v>
      </c>
    </row>
    <row r="1254" spans="1:11" x14ac:dyDescent="0.55000000000000004">
      <c r="A1254" t="s">
        <v>5044</v>
      </c>
      <c r="B1254">
        <v>100841</v>
      </c>
      <c r="C1254" t="s">
        <v>19</v>
      </c>
      <c r="D1254" s="3">
        <v>45770</v>
      </c>
      <c r="E1254" t="s">
        <v>69</v>
      </c>
      <c r="F1254" t="s">
        <v>5045</v>
      </c>
      <c r="G1254" t="s">
        <v>22</v>
      </c>
      <c r="H1254" t="s">
        <v>5046</v>
      </c>
      <c r="I1254" t="s">
        <v>5047</v>
      </c>
      <c r="J1254" s="4">
        <v>46062.191070011577</v>
      </c>
    </row>
    <row r="1255" spans="1:11" x14ac:dyDescent="0.55000000000000004">
      <c r="A1255" t="s">
        <v>5048</v>
      </c>
      <c r="B1255">
        <v>100867</v>
      </c>
      <c r="C1255" t="s">
        <v>179</v>
      </c>
      <c r="D1255" s="3">
        <v>46042</v>
      </c>
      <c r="E1255" t="s">
        <v>189</v>
      </c>
      <c r="F1255" t="s">
        <v>5049</v>
      </c>
      <c r="G1255" t="s">
        <v>15</v>
      </c>
      <c r="H1255" t="s">
        <v>5050</v>
      </c>
      <c r="I1255" t="s">
        <v>5051</v>
      </c>
      <c r="J1255" s="4">
        <v>46086.932736678238</v>
      </c>
    </row>
    <row r="1256" spans="1:11" x14ac:dyDescent="0.55000000000000004">
      <c r="A1256" t="s">
        <v>5052</v>
      </c>
      <c r="B1256">
        <v>100725</v>
      </c>
      <c r="C1256" t="s">
        <v>248</v>
      </c>
      <c r="D1256" s="3">
        <v>46035</v>
      </c>
      <c r="E1256" t="s">
        <v>270</v>
      </c>
      <c r="F1256" t="s">
        <v>5053</v>
      </c>
      <c r="G1256" t="s">
        <v>22</v>
      </c>
      <c r="H1256" t="s">
        <v>5054</v>
      </c>
      <c r="I1256" t="s">
        <v>5055</v>
      </c>
      <c r="J1256" s="4">
        <v>46078.432736689814</v>
      </c>
    </row>
    <row r="1257" spans="1:11" x14ac:dyDescent="0.55000000000000004">
      <c r="A1257" t="s">
        <v>3853</v>
      </c>
      <c r="B1257">
        <v>100882</v>
      </c>
      <c r="C1257" t="s">
        <v>68</v>
      </c>
      <c r="D1257" s="3">
        <v>46094</v>
      </c>
      <c r="E1257" t="s">
        <v>170</v>
      </c>
      <c r="F1257" t="s">
        <v>5056</v>
      </c>
      <c r="G1257" t="s">
        <v>15</v>
      </c>
      <c r="H1257" t="s">
        <v>5057</v>
      </c>
      <c r="I1257" t="s">
        <v>5058</v>
      </c>
      <c r="J1257" s="4">
        <v>46083.681347800928</v>
      </c>
    </row>
    <row r="1258" spans="1:11" x14ac:dyDescent="0.55000000000000004">
      <c r="A1258" t="s">
        <v>5059</v>
      </c>
      <c r="B1258">
        <v>101455</v>
      </c>
      <c r="C1258" t="s">
        <v>19</v>
      </c>
      <c r="D1258" s="3">
        <v>45853</v>
      </c>
      <c r="E1258" t="s">
        <v>265</v>
      </c>
      <c r="F1258" t="s">
        <v>5060</v>
      </c>
      <c r="G1258" t="s">
        <v>22</v>
      </c>
      <c r="H1258" t="s">
        <v>5061</v>
      </c>
      <c r="I1258" t="s">
        <v>5062</v>
      </c>
      <c r="J1258" s="4">
        <v>46089.361903356483</v>
      </c>
    </row>
    <row r="1259" spans="1:11" x14ac:dyDescent="0.55000000000000004">
      <c r="A1259" t="s">
        <v>5063</v>
      </c>
      <c r="B1259">
        <v>100193</v>
      </c>
      <c r="C1259" t="s">
        <v>37</v>
      </c>
      <c r="D1259" s="3">
        <v>46060</v>
      </c>
      <c r="E1259" t="s">
        <v>115</v>
      </c>
      <c r="F1259" t="s">
        <v>5064</v>
      </c>
      <c r="G1259" t="s">
        <v>15</v>
      </c>
      <c r="H1259" t="s">
        <v>5065</v>
      </c>
      <c r="I1259" t="s">
        <v>5066</v>
      </c>
      <c r="J1259" s="4">
        <v>46096.823708923614</v>
      </c>
    </row>
    <row r="1260" spans="1:11" x14ac:dyDescent="0.55000000000000004">
      <c r="A1260" t="s">
        <v>5067</v>
      </c>
      <c r="B1260">
        <v>100389</v>
      </c>
      <c r="C1260" t="s">
        <v>68</v>
      </c>
      <c r="D1260" s="3">
        <v>46055</v>
      </c>
      <c r="E1260" t="s">
        <v>13</v>
      </c>
      <c r="F1260" t="s">
        <v>5068</v>
      </c>
      <c r="G1260" t="s">
        <v>22</v>
      </c>
      <c r="H1260" t="s">
        <v>5069</v>
      </c>
      <c r="I1260" t="s">
        <v>5070</v>
      </c>
      <c r="J1260" s="4">
        <v>46089.165375590281</v>
      </c>
    </row>
    <row r="1261" spans="1:11" x14ac:dyDescent="0.55000000000000004">
      <c r="A1261" t="s">
        <v>5071</v>
      </c>
      <c r="B1261">
        <v>100833</v>
      </c>
      <c r="C1261" t="s">
        <v>19</v>
      </c>
      <c r="D1261" s="3">
        <v>45882</v>
      </c>
      <c r="E1261" t="s">
        <v>141</v>
      </c>
      <c r="F1261" t="s">
        <v>5072</v>
      </c>
      <c r="G1261" t="s">
        <v>22</v>
      </c>
      <c r="H1261" t="s">
        <v>5073</v>
      </c>
      <c r="I1261" t="s">
        <v>5074</v>
      </c>
      <c r="J1261" s="4">
        <v>46083.348708935184</v>
      </c>
    </row>
    <row r="1262" spans="1:11" x14ac:dyDescent="0.55000000000000004">
      <c r="A1262" t="s">
        <v>5075</v>
      </c>
      <c r="B1262">
        <v>101262</v>
      </c>
      <c r="C1262" t="s">
        <v>533</v>
      </c>
      <c r="D1262" s="3">
        <v>45863</v>
      </c>
      <c r="E1262" t="s">
        <v>38</v>
      </c>
      <c r="F1262" t="s">
        <v>5076</v>
      </c>
      <c r="G1262" t="s">
        <v>15</v>
      </c>
      <c r="H1262" t="s">
        <v>5077</v>
      </c>
      <c r="I1262" t="s">
        <v>5078</v>
      </c>
      <c r="J1262" s="4">
        <v>46053.202875601855</v>
      </c>
    </row>
    <row r="1263" spans="1:11" x14ac:dyDescent="0.55000000000000004">
      <c r="A1263" t="s">
        <v>5079</v>
      </c>
      <c r="B1263">
        <v>100497</v>
      </c>
      <c r="C1263" t="s">
        <v>248</v>
      </c>
      <c r="D1263" s="3">
        <v>46052</v>
      </c>
      <c r="E1263" t="s">
        <v>587</v>
      </c>
      <c r="F1263" t="s">
        <v>5080</v>
      </c>
      <c r="G1263" t="s">
        <v>22</v>
      </c>
      <c r="H1263" t="s">
        <v>5081</v>
      </c>
      <c r="I1263" t="s">
        <v>5082</v>
      </c>
      <c r="J1263" s="4">
        <v>46083.284820057874</v>
      </c>
    </row>
    <row r="1264" spans="1:11" x14ac:dyDescent="0.55000000000000004">
      <c r="A1264" t="s">
        <v>5083</v>
      </c>
      <c r="B1264">
        <v>100968</v>
      </c>
      <c r="C1264" t="s">
        <v>248</v>
      </c>
      <c r="D1264" s="3">
        <v>45836</v>
      </c>
      <c r="E1264" t="s">
        <v>680</v>
      </c>
      <c r="F1264" t="s">
        <v>5084</v>
      </c>
      <c r="G1264" t="s">
        <v>22</v>
      </c>
      <c r="H1264" t="s">
        <v>5085</v>
      </c>
      <c r="I1264" t="s">
        <v>5086</v>
      </c>
      <c r="J1264" s="4">
        <v>46083.129264502313</v>
      </c>
    </row>
    <row r="1265" spans="1:11" x14ac:dyDescent="0.55000000000000004">
      <c r="A1265" t="s">
        <v>5087</v>
      </c>
      <c r="B1265">
        <v>101180</v>
      </c>
      <c r="C1265" t="s">
        <v>68</v>
      </c>
      <c r="D1265" s="3">
        <v>45807</v>
      </c>
      <c r="E1265" t="s">
        <v>334</v>
      </c>
      <c r="F1265" t="s">
        <v>5088</v>
      </c>
      <c r="G1265" t="s">
        <v>15</v>
      </c>
      <c r="H1265" t="s">
        <v>5089</v>
      </c>
      <c r="I1265" t="s">
        <v>5090</v>
      </c>
      <c r="J1265" s="4">
        <v>46068.483431168985</v>
      </c>
    </row>
    <row r="1266" spans="1:11" x14ac:dyDescent="0.55000000000000004">
      <c r="A1266" t="s">
        <v>5091</v>
      </c>
      <c r="B1266">
        <v>101169</v>
      </c>
      <c r="C1266" t="s">
        <v>533</v>
      </c>
      <c r="D1266" s="3">
        <v>45828</v>
      </c>
      <c r="E1266" t="s">
        <v>208</v>
      </c>
      <c r="F1266" t="s">
        <v>5092</v>
      </c>
      <c r="G1266" t="s">
        <v>15</v>
      </c>
      <c r="H1266" t="s">
        <v>5093</v>
      </c>
      <c r="I1266" t="s">
        <v>5094</v>
      </c>
      <c r="J1266" s="4">
        <v>46078.514681180553</v>
      </c>
    </row>
    <row r="1267" spans="1:11" x14ac:dyDescent="0.55000000000000004">
      <c r="A1267" t="s">
        <v>5095</v>
      </c>
      <c r="B1267">
        <v>100270</v>
      </c>
      <c r="C1267" t="s">
        <v>533</v>
      </c>
      <c r="D1267" s="3">
        <v>46150</v>
      </c>
      <c r="E1267" t="s">
        <v>27</v>
      </c>
      <c r="F1267" t="s">
        <v>5096</v>
      </c>
      <c r="G1267" t="s">
        <v>15</v>
      </c>
      <c r="H1267" t="s">
        <v>5097</v>
      </c>
      <c r="I1267" t="s">
        <v>5098</v>
      </c>
      <c r="J1267" s="4">
        <v>46093.542458958334</v>
      </c>
    </row>
    <row r="1268" spans="1:11" x14ac:dyDescent="0.55000000000000004">
      <c r="A1268" t="s">
        <v>5099</v>
      </c>
      <c r="B1268">
        <v>101298</v>
      </c>
      <c r="C1268" t="s">
        <v>37</v>
      </c>
      <c r="D1268" s="3">
        <v>45950</v>
      </c>
      <c r="E1268" t="s">
        <v>69</v>
      </c>
      <c r="F1268" t="s">
        <v>5100</v>
      </c>
      <c r="G1268" t="s">
        <v>22</v>
      </c>
      <c r="H1268" t="s">
        <v>5101</v>
      </c>
      <c r="I1268" t="s">
        <v>5102</v>
      </c>
      <c r="J1268" s="4">
        <v>46090.99732008102</v>
      </c>
    </row>
    <row r="1269" spans="1:11" x14ac:dyDescent="0.55000000000000004">
      <c r="A1269" t="s">
        <v>5103</v>
      </c>
      <c r="B1269">
        <v>100438</v>
      </c>
      <c r="C1269" t="s">
        <v>533</v>
      </c>
      <c r="D1269" s="3">
        <v>46104</v>
      </c>
      <c r="E1269" t="s">
        <v>38</v>
      </c>
      <c r="F1269" t="s">
        <v>5104</v>
      </c>
      <c r="G1269" t="s">
        <v>15</v>
      </c>
      <c r="H1269" t="s">
        <v>5105</v>
      </c>
      <c r="I1269" t="s">
        <v>5106</v>
      </c>
      <c r="J1269" s="4">
        <v>46073.200097858797</v>
      </c>
    </row>
    <row r="1270" spans="1:11" x14ac:dyDescent="0.55000000000000004">
      <c r="A1270" t="s">
        <v>5107</v>
      </c>
      <c r="B1270">
        <v>100994</v>
      </c>
      <c r="C1270" t="s">
        <v>37</v>
      </c>
      <c r="D1270" s="3">
        <v>45788</v>
      </c>
      <c r="E1270" t="s">
        <v>317</v>
      </c>
      <c r="F1270" t="s">
        <v>5108</v>
      </c>
      <c r="G1270" t="s">
        <v>15</v>
      </c>
      <c r="H1270" t="s">
        <v>5109</v>
      </c>
      <c r="I1270" t="s">
        <v>5110</v>
      </c>
      <c r="J1270" s="4">
        <v>46089.393153414348</v>
      </c>
    </row>
    <row r="1271" spans="1:11" x14ac:dyDescent="0.55000000000000004">
      <c r="A1271" t="s">
        <v>5111</v>
      </c>
      <c r="B1271">
        <v>100570</v>
      </c>
      <c r="C1271" t="s">
        <v>37</v>
      </c>
      <c r="D1271" s="3">
        <v>45869</v>
      </c>
      <c r="E1271" t="s">
        <v>317</v>
      </c>
      <c r="F1271" t="s">
        <v>5112</v>
      </c>
      <c r="G1271" t="s">
        <v>15</v>
      </c>
      <c r="H1271" t="s">
        <v>5113</v>
      </c>
      <c r="I1271" t="s">
        <v>5114</v>
      </c>
      <c r="J1271" s="4">
        <v>46097.595236759262</v>
      </c>
    </row>
    <row r="1272" spans="1:11" x14ac:dyDescent="0.55000000000000004">
      <c r="A1272" t="s">
        <v>1059</v>
      </c>
      <c r="B1272">
        <v>100487</v>
      </c>
      <c r="C1272" t="s">
        <v>19</v>
      </c>
      <c r="D1272" s="3">
        <v>46108</v>
      </c>
      <c r="E1272" t="s">
        <v>141</v>
      </c>
      <c r="F1272" t="s">
        <v>5115</v>
      </c>
      <c r="G1272" t="s">
        <v>15</v>
      </c>
      <c r="H1272" t="s">
        <v>5116</v>
      </c>
      <c r="I1272" t="s">
        <v>5117</v>
      </c>
      <c r="J1272" s="4">
        <v>46089.063292314815</v>
      </c>
    </row>
    <row r="1273" spans="1:11" x14ac:dyDescent="0.55000000000000004">
      <c r="A1273" t="s">
        <v>5118</v>
      </c>
      <c r="B1273">
        <v>101052</v>
      </c>
      <c r="C1273" t="s">
        <v>19</v>
      </c>
      <c r="D1273" s="3">
        <v>45959</v>
      </c>
      <c r="E1273" t="s">
        <v>20</v>
      </c>
      <c r="F1273" t="s">
        <v>5119</v>
      </c>
      <c r="G1273" t="s">
        <v>22</v>
      </c>
      <c r="H1273" t="s">
        <v>5120</v>
      </c>
      <c r="I1273" t="s">
        <v>5121</v>
      </c>
      <c r="J1273" s="4">
        <v>46067.526486770832</v>
      </c>
    </row>
    <row r="1274" spans="1:11" x14ac:dyDescent="0.55000000000000004">
      <c r="A1274" t="s">
        <v>5122</v>
      </c>
      <c r="B1274">
        <v>101278</v>
      </c>
      <c r="C1274" t="s">
        <v>248</v>
      </c>
      <c r="D1274" s="3">
        <v>45760</v>
      </c>
      <c r="E1274" t="s">
        <v>13</v>
      </c>
      <c r="F1274" t="s">
        <v>5123</v>
      </c>
      <c r="G1274" t="s">
        <v>15</v>
      </c>
      <c r="H1274" t="s">
        <v>5124</v>
      </c>
      <c r="I1274" t="s">
        <v>5125</v>
      </c>
      <c r="J1274" s="4">
        <v>46095.600097881943</v>
      </c>
    </row>
    <row r="1275" spans="1:11" x14ac:dyDescent="0.55000000000000004">
      <c r="A1275" t="s">
        <v>5126</v>
      </c>
      <c r="B1275">
        <v>100676</v>
      </c>
      <c r="C1275" t="s">
        <v>19</v>
      </c>
      <c r="D1275" s="3">
        <v>45883</v>
      </c>
      <c r="E1275" t="s">
        <v>38</v>
      </c>
      <c r="F1275" t="s">
        <v>5127</v>
      </c>
      <c r="G1275" t="s">
        <v>22</v>
      </c>
      <c r="H1275" t="s">
        <v>5128</v>
      </c>
      <c r="I1275" t="s">
        <v>5129</v>
      </c>
      <c r="J1275" s="4">
        <v>46088.744542326385</v>
      </c>
    </row>
    <row r="1276" spans="1:11" x14ac:dyDescent="0.55000000000000004">
      <c r="A1276" t="s">
        <v>5130</v>
      </c>
      <c r="B1276">
        <v>100064</v>
      </c>
      <c r="C1276" t="s">
        <v>248</v>
      </c>
      <c r="D1276" s="3">
        <v>45744</v>
      </c>
      <c r="E1276" t="s">
        <v>69</v>
      </c>
      <c r="F1276" t="s">
        <v>5131</v>
      </c>
      <c r="G1276" t="s">
        <v>22</v>
      </c>
      <c r="H1276" t="s">
        <v>4246</v>
      </c>
      <c r="I1276" t="s">
        <v>5132</v>
      </c>
      <c r="J1276" s="4">
        <v>46088.243847893522</v>
      </c>
    </row>
    <row r="1277" spans="1:11" x14ac:dyDescent="0.55000000000000004">
      <c r="A1277" t="s">
        <v>5133</v>
      </c>
      <c r="B1277">
        <v>100138</v>
      </c>
      <c r="C1277" t="s">
        <v>68</v>
      </c>
      <c r="D1277" s="3">
        <v>45847</v>
      </c>
      <c r="E1277" t="s">
        <v>243</v>
      </c>
      <c r="F1277" t="s">
        <v>5134</v>
      </c>
      <c r="G1277" t="s">
        <v>15</v>
      </c>
      <c r="H1277" t="s">
        <v>5135</v>
      </c>
      <c r="I1277" t="s">
        <v>5136</v>
      </c>
      <c r="J1277" s="4">
        <v>46090.427181226849</v>
      </c>
    </row>
    <row r="1278" spans="1:11" x14ac:dyDescent="0.55000000000000004">
      <c r="A1278" t="s">
        <v>5137</v>
      </c>
      <c r="B1278">
        <v>100468</v>
      </c>
      <c r="C1278" t="s">
        <v>533</v>
      </c>
      <c r="D1278" s="3">
        <v>45876</v>
      </c>
      <c r="E1278" t="s">
        <v>170</v>
      </c>
      <c r="F1278" t="s">
        <v>5138</v>
      </c>
      <c r="G1278" t="s">
        <v>22</v>
      </c>
      <c r="H1278" t="s">
        <v>5139</v>
      </c>
      <c r="I1278" t="s">
        <v>5140</v>
      </c>
      <c r="J1278" s="4">
        <v>46090.23343122685</v>
      </c>
    </row>
    <row r="1279" spans="1:11" x14ac:dyDescent="0.55000000000000004">
      <c r="A1279" t="s">
        <v>5141</v>
      </c>
      <c r="B1279">
        <v>100120</v>
      </c>
      <c r="C1279" t="s">
        <v>37</v>
      </c>
      <c r="D1279" s="3">
        <v>45754</v>
      </c>
      <c r="E1279" t="s">
        <v>680</v>
      </c>
      <c r="F1279" t="s">
        <v>5142</v>
      </c>
      <c r="G1279" t="s">
        <v>22</v>
      </c>
      <c r="H1279" t="s">
        <v>5143</v>
      </c>
      <c r="I1279" t="s">
        <v>5144</v>
      </c>
      <c r="J1279" s="4">
        <v>46059.488292349539</v>
      </c>
    </row>
    <row r="1280" spans="1:11" x14ac:dyDescent="0.55000000000000004">
      <c r="A1280" t="s">
        <v>5145</v>
      </c>
      <c r="B1280">
        <v>100145</v>
      </c>
      <c r="D1280" s="3">
        <v>45808</v>
      </c>
      <c r="E1280" t="s">
        <v>126</v>
      </c>
      <c r="F1280" t="s">
        <v>5146</v>
      </c>
      <c r="G1280" t="s">
        <v>22</v>
      </c>
      <c r="H1280" t="s">
        <v>5147</v>
      </c>
      <c r="I1280" t="s">
        <v>5148</v>
      </c>
      <c r="J1280" s="4">
        <v>46091.360514571759</v>
      </c>
      <c r="K1280" t="s">
        <v>217</v>
      </c>
    </row>
    <row r="1281" spans="1:10" x14ac:dyDescent="0.55000000000000004">
      <c r="A1281" t="s">
        <v>5149</v>
      </c>
      <c r="B1281">
        <v>100014</v>
      </c>
      <c r="C1281" t="s">
        <v>19</v>
      </c>
      <c r="D1281" s="3">
        <v>46070</v>
      </c>
      <c r="E1281" t="s">
        <v>295</v>
      </c>
      <c r="F1281" t="s">
        <v>5150</v>
      </c>
      <c r="G1281" t="s">
        <v>15</v>
      </c>
      <c r="H1281" t="s">
        <v>5151</v>
      </c>
      <c r="I1281" t="s">
        <v>5152</v>
      </c>
      <c r="J1281" s="4">
        <v>46087.813292349536</v>
      </c>
    </row>
    <row r="1282" spans="1:10" x14ac:dyDescent="0.55000000000000004">
      <c r="A1282" t="s">
        <v>5153</v>
      </c>
      <c r="B1282">
        <v>101471</v>
      </c>
      <c r="C1282" t="s">
        <v>533</v>
      </c>
      <c r="D1282" s="3">
        <v>45895</v>
      </c>
      <c r="E1282" t="s">
        <v>69</v>
      </c>
      <c r="F1282" t="s">
        <v>5154</v>
      </c>
      <c r="G1282" t="s">
        <v>22</v>
      </c>
      <c r="H1282" t="s">
        <v>5155</v>
      </c>
      <c r="I1282" t="s">
        <v>5156</v>
      </c>
      <c r="J1282" s="4">
        <v>46067.650792361113</v>
      </c>
    </row>
    <row r="1283" spans="1:10" x14ac:dyDescent="0.55000000000000004">
      <c r="A1283" t="s">
        <v>5157</v>
      </c>
      <c r="B1283">
        <v>101205</v>
      </c>
      <c r="C1283" t="s">
        <v>533</v>
      </c>
      <c r="D1283" s="3">
        <v>46027</v>
      </c>
      <c r="E1283" t="s">
        <v>49</v>
      </c>
      <c r="F1283" t="s">
        <v>5158</v>
      </c>
      <c r="G1283" t="s">
        <v>15</v>
      </c>
      <c r="H1283" t="s">
        <v>5159</v>
      </c>
      <c r="I1283" t="s">
        <v>5160</v>
      </c>
      <c r="J1283" s="4">
        <v>46092.286903472224</v>
      </c>
    </row>
    <row r="1284" spans="1:10" x14ac:dyDescent="0.55000000000000004">
      <c r="A1284" t="s">
        <v>5161</v>
      </c>
      <c r="B1284">
        <v>100471</v>
      </c>
      <c r="C1284" t="s">
        <v>533</v>
      </c>
      <c r="D1284" s="3">
        <v>45825</v>
      </c>
      <c r="E1284" t="s">
        <v>49</v>
      </c>
      <c r="F1284" t="s">
        <v>5162</v>
      </c>
      <c r="G1284" t="s">
        <v>22</v>
      </c>
      <c r="H1284" t="s">
        <v>5163</v>
      </c>
      <c r="I1284" t="s">
        <v>5164</v>
      </c>
      <c r="J1284" s="4">
        <v>46070.061903483795</v>
      </c>
    </row>
    <row r="1285" spans="1:10" x14ac:dyDescent="0.55000000000000004">
      <c r="A1285" t="s">
        <v>5165</v>
      </c>
      <c r="B1285">
        <v>101134</v>
      </c>
      <c r="C1285" t="s">
        <v>179</v>
      </c>
      <c r="D1285" s="3">
        <v>46040</v>
      </c>
      <c r="E1285" t="s">
        <v>160</v>
      </c>
      <c r="F1285" t="s">
        <v>5166</v>
      </c>
      <c r="G1285" t="s">
        <v>22</v>
      </c>
      <c r="H1285" t="s">
        <v>5167</v>
      </c>
      <c r="I1285" t="s">
        <v>5168</v>
      </c>
      <c r="J1285" s="4">
        <v>46070.964681261576</v>
      </c>
    </row>
    <row r="1286" spans="1:10" x14ac:dyDescent="0.55000000000000004">
      <c r="A1286" t="s">
        <v>5169</v>
      </c>
      <c r="B1286">
        <v>101204</v>
      </c>
      <c r="C1286" t="s">
        <v>19</v>
      </c>
      <c r="D1286" s="3">
        <v>46007</v>
      </c>
      <c r="E1286" t="s">
        <v>43</v>
      </c>
      <c r="F1286" t="s">
        <v>5170</v>
      </c>
      <c r="G1286" t="s">
        <v>22</v>
      </c>
      <c r="H1286" t="s">
        <v>5171</v>
      </c>
      <c r="I1286" t="s">
        <v>5172</v>
      </c>
      <c r="J1286" s="4">
        <v>46091.920236828701</v>
      </c>
    </row>
    <row r="1287" spans="1:10" x14ac:dyDescent="0.55000000000000004">
      <c r="A1287" t="s">
        <v>5173</v>
      </c>
      <c r="B1287">
        <v>100043</v>
      </c>
      <c r="C1287" t="s">
        <v>179</v>
      </c>
      <c r="D1287" s="3">
        <v>46001</v>
      </c>
      <c r="E1287" t="s">
        <v>108</v>
      </c>
      <c r="F1287" t="s">
        <v>5174</v>
      </c>
      <c r="G1287" t="s">
        <v>15</v>
      </c>
      <c r="H1287" t="s">
        <v>5175</v>
      </c>
      <c r="I1287" t="s">
        <v>5176</v>
      </c>
      <c r="J1287" s="4">
        <v>46074.742459050925</v>
      </c>
    </row>
    <row r="1288" spans="1:10" x14ac:dyDescent="0.55000000000000004">
      <c r="A1288" t="s">
        <v>5177</v>
      </c>
      <c r="B1288">
        <v>100692</v>
      </c>
      <c r="C1288" t="s">
        <v>248</v>
      </c>
      <c r="D1288" s="3">
        <v>45740</v>
      </c>
      <c r="E1288" t="s">
        <v>89</v>
      </c>
      <c r="F1288" t="s">
        <v>5178</v>
      </c>
      <c r="G1288" t="s">
        <v>15</v>
      </c>
      <c r="H1288" t="s">
        <v>5179</v>
      </c>
      <c r="I1288" t="s">
        <v>5180</v>
      </c>
      <c r="J1288" s="4">
        <v>46090.661209062499</v>
      </c>
    </row>
    <row r="1289" spans="1:10" x14ac:dyDescent="0.55000000000000004">
      <c r="A1289" t="s">
        <v>5181</v>
      </c>
      <c r="B1289">
        <v>100131</v>
      </c>
      <c r="C1289" t="s">
        <v>68</v>
      </c>
      <c r="D1289" s="3">
        <v>45916</v>
      </c>
      <c r="E1289" t="s">
        <v>20</v>
      </c>
      <c r="F1289" t="s">
        <v>5182</v>
      </c>
      <c r="G1289" t="s">
        <v>22</v>
      </c>
      <c r="H1289" t="s">
        <v>5183</v>
      </c>
      <c r="I1289" t="s">
        <v>5184</v>
      </c>
      <c r="J1289" s="4">
        <v>46087.961903506941</v>
      </c>
    </row>
    <row r="1290" spans="1:10" x14ac:dyDescent="0.55000000000000004">
      <c r="A1290" t="s">
        <v>5185</v>
      </c>
      <c r="B1290">
        <v>100460</v>
      </c>
      <c r="C1290" t="s">
        <v>179</v>
      </c>
      <c r="D1290" s="3">
        <v>45856</v>
      </c>
      <c r="E1290" t="s">
        <v>115</v>
      </c>
      <c r="F1290" t="s">
        <v>5186</v>
      </c>
      <c r="G1290" t="s">
        <v>15</v>
      </c>
      <c r="H1290" t="s">
        <v>5187</v>
      </c>
      <c r="I1290" t="s">
        <v>5188</v>
      </c>
      <c r="J1290" s="4">
        <v>46089.579264629632</v>
      </c>
    </row>
    <row r="1291" spans="1:10" x14ac:dyDescent="0.55000000000000004">
      <c r="A1291" t="s">
        <v>5189</v>
      </c>
      <c r="B1291">
        <v>100507</v>
      </c>
      <c r="C1291" t="s">
        <v>533</v>
      </c>
      <c r="D1291" s="3">
        <v>45925</v>
      </c>
      <c r="E1291" t="s">
        <v>83</v>
      </c>
      <c r="F1291" t="s">
        <v>5190</v>
      </c>
      <c r="G1291" t="s">
        <v>15</v>
      </c>
      <c r="H1291" t="s">
        <v>5191</v>
      </c>
      <c r="I1291" t="s">
        <v>5192</v>
      </c>
      <c r="J1291" s="4">
        <v>46053.595236851848</v>
      </c>
    </row>
    <row r="1292" spans="1:10" x14ac:dyDescent="0.55000000000000004">
      <c r="A1292" t="s">
        <v>5193</v>
      </c>
      <c r="B1292">
        <v>100247</v>
      </c>
      <c r="C1292" t="s">
        <v>19</v>
      </c>
      <c r="D1292" s="3">
        <v>45769</v>
      </c>
      <c r="E1292" t="s">
        <v>409</v>
      </c>
      <c r="F1292" t="s">
        <v>5194</v>
      </c>
      <c r="G1292" t="s">
        <v>15</v>
      </c>
      <c r="H1292" t="s">
        <v>5195</v>
      </c>
      <c r="I1292" t="s">
        <v>5196</v>
      </c>
      <c r="J1292" s="4">
        <v>46088.226486851854</v>
      </c>
    </row>
    <row r="1293" spans="1:10" x14ac:dyDescent="0.55000000000000004">
      <c r="A1293" t="s">
        <v>5197</v>
      </c>
      <c r="B1293">
        <v>100924</v>
      </c>
      <c r="C1293" t="s">
        <v>533</v>
      </c>
      <c r="D1293" s="3">
        <v>45772</v>
      </c>
      <c r="E1293" t="s">
        <v>155</v>
      </c>
      <c r="F1293" t="s">
        <v>5198</v>
      </c>
      <c r="G1293" t="s">
        <v>15</v>
      </c>
      <c r="H1293" t="s">
        <v>5199</v>
      </c>
      <c r="I1293" t="s">
        <v>5200</v>
      </c>
      <c r="J1293" s="4">
        <v>46061.154264641205</v>
      </c>
    </row>
    <row r="1294" spans="1:10" x14ac:dyDescent="0.55000000000000004">
      <c r="A1294" t="s">
        <v>5201</v>
      </c>
      <c r="B1294">
        <v>101059</v>
      </c>
      <c r="C1294" t="s">
        <v>533</v>
      </c>
      <c r="D1294" s="3">
        <v>46123</v>
      </c>
      <c r="E1294" t="s">
        <v>69</v>
      </c>
      <c r="F1294" t="s">
        <v>5202</v>
      </c>
      <c r="G1294" t="s">
        <v>15</v>
      </c>
      <c r="H1294" t="s">
        <v>5203</v>
      </c>
      <c r="I1294" t="s">
        <v>5204</v>
      </c>
      <c r="J1294" s="4">
        <v>46063.752875752318</v>
      </c>
    </row>
    <row r="1295" spans="1:10" x14ac:dyDescent="0.55000000000000004">
      <c r="A1295" t="s">
        <v>5205</v>
      </c>
      <c r="B1295">
        <v>100897</v>
      </c>
      <c r="C1295" t="s">
        <v>68</v>
      </c>
      <c r="D1295" s="3">
        <v>45972</v>
      </c>
      <c r="E1295" t="s">
        <v>49</v>
      </c>
      <c r="F1295" t="s">
        <v>5206</v>
      </c>
      <c r="G1295" t="s">
        <v>22</v>
      </c>
      <c r="H1295" t="s">
        <v>5207</v>
      </c>
      <c r="I1295" t="s">
        <v>5208</v>
      </c>
      <c r="J1295" s="4">
        <v>46055.757736874999</v>
      </c>
    </row>
    <row r="1296" spans="1:10" x14ac:dyDescent="0.55000000000000004">
      <c r="A1296" t="s">
        <v>5209</v>
      </c>
      <c r="B1296">
        <v>100764</v>
      </c>
      <c r="C1296" t="s">
        <v>37</v>
      </c>
      <c r="D1296" s="3">
        <v>45878</v>
      </c>
      <c r="E1296" t="s">
        <v>115</v>
      </c>
      <c r="F1296" t="s">
        <v>5210</v>
      </c>
      <c r="G1296" t="s">
        <v>15</v>
      </c>
      <c r="H1296" t="s">
        <v>5211</v>
      </c>
      <c r="I1296" t="s">
        <v>5212</v>
      </c>
      <c r="J1296" s="4">
        <v>46056.700792430558</v>
      </c>
    </row>
    <row r="1297" spans="1:11" x14ac:dyDescent="0.55000000000000004">
      <c r="A1297" t="s">
        <v>5213</v>
      </c>
      <c r="B1297">
        <v>101375</v>
      </c>
      <c r="C1297" t="s">
        <v>19</v>
      </c>
      <c r="D1297" s="3">
        <v>46116</v>
      </c>
      <c r="E1297" t="s">
        <v>38</v>
      </c>
      <c r="F1297" t="s">
        <v>5214</v>
      </c>
      <c r="G1297" t="s">
        <v>15</v>
      </c>
      <c r="H1297" t="s">
        <v>5215</v>
      </c>
      <c r="I1297" t="s">
        <v>5216</v>
      </c>
      <c r="J1297" s="4">
        <v>46097.182736875002</v>
      </c>
    </row>
    <row r="1298" spans="1:11" x14ac:dyDescent="0.55000000000000004">
      <c r="A1298" t="s">
        <v>5217</v>
      </c>
      <c r="B1298">
        <v>100638</v>
      </c>
      <c r="C1298" t="s">
        <v>179</v>
      </c>
      <c r="D1298" s="3">
        <v>46080</v>
      </c>
      <c r="E1298" t="s">
        <v>467</v>
      </c>
      <c r="F1298" t="s">
        <v>5218</v>
      </c>
      <c r="G1298" t="s">
        <v>22</v>
      </c>
      <c r="H1298" t="s">
        <v>5219</v>
      </c>
      <c r="I1298" t="s">
        <v>5220</v>
      </c>
      <c r="J1298" s="4">
        <v>46052.423014664353</v>
      </c>
    </row>
    <row r="1299" spans="1:11" x14ac:dyDescent="0.55000000000000004">
      <c r="A1299" t="s">
        <v>5221</v>
      </c>
      <c r="B1299">
        <v>101008</v>
      </c>
      <c r="C1299" t="s">
        <v>179</v>
      </c>
      <c r="D1299" s="3">
        <v>45812</v>
      </c>
      <c r="E1299" t="s">
        <v>170</v>
      </c>
      <c r="F1299" t="s">
        <v>4191</v>
      </c>
      <c r="G1299" t="s">
        <v>22</v>
      </c>
      <c r="H1299" t="s">
        <v>5222</v>
      </c>
      <c r="I1299" t="s">
        <v>5223</v>
      </c>
      <c r="J1299" s="4">
        <v>46089.445236886575</v>
      </c>
      <c r="K1299" t="s">
        <v>139</v>
      </c>
    </row>
    <row r="1300" spans="1:11" x14ac:dyDescent="0.55000000000000004">
      <c r="A1300" t="s">
        <v>5224</v>
      </c>
      <c r="C1300" t="s">
        <v>179</v>
      </c>
      <c r="D1300" s="3">
        <v>46048</v>
      </c>
      <c r="E1300" t="s">
        <v>115</v>
      </c>
      <c r="F1300" t="s">
        <v>5225</v>
      </c>
      <c r="G1300" t="s">
        <v>22</v>
      </c>
      <c r="H1300" t="s">
        <v>5226</v>
      </c>
      <c r="I1300" t="s">
        <v>5227</v>
      </c>
      <c r="J1300" s="4">
        <v>46085.950792453703</v>
      </c>
      <c r="K1300" t="s">
        <v>112</v>
      </c>
    </row>
    <row r="1301" spans="1:11" x14ac:dyDescent="0.55000000000000004">
      <c r="A1301" t="s">
        <v>5228</v>
      </c>
      <c r="B1301">
        <v>100433</v>
      </c>
      <c r="C1301" t="s">
        <v>19</v>
      </c>
      <c r="D1301" s="3">
        <v>45771</v>
      </c>
      <c r="E1301" t="s">
        <v>300</v>
      </c>
      <c r="F1301" t="s">
        <v>5229</v>
      </c>
      <c r="G1301" t="s">
        <v>22</v>
      </c>
      <c r="H1301" t="s">
        <v>5230</v>
      </c>
      <c r="I1301" t="s">
        <v>5231</v>
      </c>
      <c r="J1301" s="4">
        <v>46073.511903564817</v>
      </c>
    </row>
    <row r="1302" spans="1:11" x14ac:dyDescent="0.55000000000000004">
      <c r="A1302" t="s">
        <v>5232</v>
      </c>
      <c r="B1302">
        <v>100866</v>
      </c>
      <c r="C1302" t="s">
        <v>37</v>
      </c>
      <c r="D1302" s="3">
        <v>46143</v>
      </c>
      <c r="E1302" t="s">
        <v>757</v>
      </c>
      <c r="F1302" t="s">
        <v>5233</v>
      </c>
      <c r="G1302" t="s">
        <v>15</v>
      </c>
      <c r="H1302" t="s">
        <v>5234</v>
      </c>
      <c r="I1302" t="s">
        <v>5235</v>
      </c>
      <c r="J1302" s="4">
        <v>46080.591764675926</v>
      </c>
    </row>
    <row r="1303" spans="1:11" x14ac:dyDescent="0.55000000000000004">
      <c r="A1303" t="s">
        <v>5236</v>
      </c>
      <c r="B1303">
        <v>101242</v>
      </c>
      <c r="C1303" t="s">
        <v>533</v>
      </c>
      <c r="D1303" s="3">
        <v>45771</v>
      </c>
      <c r="E1303" t="s">
        <v>467</v>
      </c>
      <c r="F1303" t="s">
        <v>5237</v>
      </c>
      <c r="G1303" t="s">
        <v>15</v>
      </c>
      <c r="H1303" t="s">
        <v>5238</v>
      </c>
      <c r="I1303" t="s">
        <v>5239</v>
      </c>
      <c r="J1303" s="4">
        <v>46082.345236909721</v>
      </c>
    </row>
    <row r="1304" spans="1:11" x14ac:dyDescent="0.55000000000000004">
      <c r="A1304" t="s">
        <v>5240</v>
      </c>
      <c r="B1304">
        <v>101080</v>
      </c>
      <c r="C1304" t="s">
        <v>533</v>
      </c>
      <c r="D1304" s="3">
        <v>46009</v>
      </c>
      <c r="E1304" t="s">
        <v>155</v>
      </c>
      <c r="F1304" t="s">
        <v>5241</v>
      </c>
      <c r="G1304" t="s">
        <v>15</v>
      </c>
      <c r="H1304" t="s">
        <v>5242</v>
      </c>
      <c r="I1304" t="s">
        <v>5243</v>
      </c>
      <c r="J1304" s="4">
        <v>46059.730653576386</v>
      </c>
    </row>
    <row r="1305" spans="1:11" x14ac:dyDescent="0.55000000000000004">
      <c r="A1305" t="s">
        <v>5244</v>
      </c>
      <c r="B1305">
        <v>101384</v>
      </c>
      <c r="C1305" t="s">
        <v>68</v>
      </c>
      <c r="D1305" s="3">
        <v>45828</v>
      </c>
      <c r="E1305" t="s">
        <v>108</v>
      </c>
      <c r="F1305" t="s">
        <v>5245</v>
      </c>
      <c r="G1305" t="s">
        <v>22</v>
      </c>
      <c r="H1305" t="s">
        <v>5246</v>
      </c>
      <c r="I1305" t="s">
        <v>5247</v>
      </c>
      <c r="J1305" s="4">
        <v>46091.935514699071</v>
      </c>
    </row>
    <row r="1306" spans="1:11" x14ac:dyDescent="0.55000000000000004">
      <c r="A1306" t="s">
        <v>3714</v>
      </c>
      <c r="B1306">
        <v>100338</v>
      </c>
      <c r="C1306" t="s">
        <v>19</v>
      </c>
      <c r="D1306" s="3">
        <v>45754</v>
      </c>
      <c r="E1306" t="s">
        <v>270</v>
      </c>
      <c r="F1306" t="s">
        <v>5248</v>
      </c>
      <c r="G1306" t="s">
        <v>22</v>
      </c>
      <c r="H1306" t="s">
        <v>5249</v>
      </c>
      <c r="I1306" t="s">
        <v>5250</v>
      </c>
      <c r="J1306" s="4">
        <v>46092.307042476852</v>
      </c>
    </row>
    <row r="1307" spans="1:11" x14ac:dyDescent="0.55000000000000004">
      <c r="A1307" t="s">
        <v>5251</v>
      </c>
      <c r="B1307">
        <v>101125</v>
      </c>
      <c r="C1307" t="s">
        <v>37</v>
      </c>
      <c r="D1307" s="3">
        <v>45914</v>
      </c>
      <c r="E1307" t="s">
        <v>89</v>
      </c>
      <c r="F1307" t="s">
        <v>5252</v>
      </c>
      <c r="G1307" t="s">
        <v>15</v>
      </c>
      <c r="H1307" t="s">
        <v>5253</v>
      </c>
      <c r="I1307" t="s">
        <v>5254</v>
      </c>
      <c r="J1307" s="4">
        <v>46077.19037582176</v>
      </c>
    </row>
    <row r="1308" spans="1:11" x14ac:dyDescent="0.55000000000000004">
      <c r="A1308" t="s">
        <v>5255</v>
      </c>
      <c r="B1308">
        <v>100973</v>
      </c>
      <c r="C1308" t="s">
        <v>68</v>
      </c>
      <c r="D1308" s="3">
        <v>45798</v>
      </c>
      <c r="E1308" t="s">
        <v>13</v>
      </c>
      <c r="F1308" t="s">
        <v>5256</v>
      </c>
      <c r="G1308" t="s">
        <v>22</v>
      </c>
      <c r="H1308" t="s">
        <v>5257</v>
      </c>
      <c r="I1308" t="s">
        <v>5258</v>
      </c>
      <c r="J1308" s="4">
        <v>46065.602875821758</v>
      </c>
    </row>
    <row r="1309" spans="1:11" x14ac:dyDescent="0.55000000000000004">
      <c r="A1309" t="s">
        <v>5259</v>
      </c>
      <c r="B1309">
        <v>100262</v>
      </c>
      <c r="C1309" t="s">
        <v>19</v>
      </c>
      <c r="D1309" s="3">
        <v>46145</v>
      </c>
      <c r="E1309" t="s">
        <v>155</v>
      </c>
      <c r="F1309" t="s">
        <v>5260</v>
      </c>
      <c r="G1309" t="s">
        <v>22</v>
      </c>
      <c r="H1309" t="s">
        <v>5261</v>
      </c>
      <c r="I1309" t="s">
        <v>5262</v>
      </c>
      <c r="J1309" s="4">
        <v>46066.912598055555</v>
      </c>
    </row>
    <row r="1310" spans="1:11" x14ac:dyDescent="0.55000000000000004">
      <c r="A1310" t="s">
        <v>5263</v>
      </c>
      <c r="B1310">
        <v>100257</v>
      </c>
      <c r="C1310" t="s">
        <v>37</v>
      </c>
      <c r="D1310" s="3">
        <v>45880</v>
      </c>
      <c r="E1310" t="s">
        <v>115</v>
      </c>
      <c r="F1310" t="s">
        <v>5264</v>
      </c>
      <c r="G1310" t="s">
        <v>22</v>
      </c>
      <c r="H1310" t="s">
        <v>5265</v>
      </c>
      <c r="I1310" t="s">
        <v>5266</v>
      </c>
      <c r="J1310" s="4">
        <v>46091.856348055553</v>
      </c>
    </row>
    <row r="1311" spans="1:11" x14ac:dyDescent="0.55000000000000004">
      <c r="A1311" t="s">
        <v>5267</v>
      </c>
      <c r="B1311">
        <v>101090</v>
      </c>
      <c r="C1311" t="s">
        <v>37</v>
      </c>
      <c r="D1311" s="3">
        <v>46099</v>
      </c>
      <c r="E1311" t="s">
        <v>115</v>
      </c>
      <c r="F1311" t="s">
        <v>5268</v>
      </c>
      <c r="G1311" t="s">
        <v>15</v>
      </c>
      <c r="H1311" t="s">
        <v>5269</v>
      </c>
      <c r="I1311" t="s">
        <v>5270</v>
      </c>
      <c r="J1311" s="4">
        <v>46052.517459166666</v>
      </c>
    </row>
    <row r="1312" spans="1:11" x14ac:dyDescent="0.55000000000000004">
      <c r="A1312" t="s">
        <v>5271</v>
      </c>
      <c r="B1312">
        <v>100141</v>
      </c>
      <c r="C1312" t="s">
        <v>19</v>
      </c>
      <c r="D1312" s="3">
        <v>45996</v>
      </c>
      <c r="E1312" t="s">
        <v>126</v>
      </c>
      <c r="F1312" t="s">
        <v>5272</v>
      </c>
      <c r="G1312" t="s">
        <v>22</v>
      </c>
      <c r="H1312" t="s">
        <v>5273</v>
      </c>
      <c r="I1312" t="s">
        <v>5274</v>
      </c>
      <c r="J1312" s="4">
        <v>46089.263986956015</v>
      </c>
    </row>
    <row r="1313" spans="1:10" x14ac:dyDescent="0.55000000000000004">
      <c r="A1313" t="s">
        <v>5275</v>
      </c>
      <c r="B1313">
        <v>100995</v>
      </c>
      <c r="C1313" t="s">
        <v>68</v>
      </c>
      <c r="D1313" s="3">
        <v>45916</v>
      </c>
      <c r="E1313" t="s">
        <v>243</v>
      </c>
      <c r="F1313" t="s">
        <v>5276</v>
      </c>
      <c r="G1313" t="s">
        <v>15</v>
      </c>
      <c r="H1313" t="s">
        <v>5277</v>
      </c>
      <c r="I1313" t="s">
        <v>5278</v>
      </c>
      <c r="J1313" s="4">
        <v>46083.877875844904</v>
      </c>
    </row>
    <row r="1314" spans="1:10" x14ac:dyDescent="0.55000000000000004">
      <c r="A1314" t="s">
        <v>5279</v>
      </c>
      <c r="B1314">
        <v>100175</v>
      </c>
      <c r="C1314" t="s">
        <v>19</v>
      </c>
      <c r="D1314" s="3">
        <v>45770</v>
      </c>
      <c r="E1314" t="s">
        <v>38</v>
      </c>
      <c r="F1314" t="s">
        <v>5280</v>
      </c>
      <c r="G1314" t="s">
        <v>22</v>
      </c>
      <c r="H1314" t="s">
        <v>5281</v>
      </c>
      <c r="I1314" t="s">
        <v>5282</v>
      </c>
      <c r="J1314" s="4">
        <v>46091.725098078707</v>
      </c>
    </row>
    <row r="1315" spans="1:10" x14ac:dyDescent="0.55000000000000004">
      <c r="A1315" t="s">
        <v>5283</v>
      </c>
      <c r="B1315">
        <v>101445</v>
      </c>
      <c r="C1315" t="s">
        <v>533</v>
      </c>
      <c r="D1315" s="3">
        <v>46124</v>
      </c>
      <c r="E1315" t="s">
        <v>170</v>
      </c>
      <c r="F1315" t="s">
        <v>5284</v>
      </c>
      <c r="G1315" t="s">
        <v>22</v>
      </c>
      <c r="H1315" t="s">
        <v>5285</v>
      </c>
      <c r="I1315" t="s">
        <v>5286</v>
      </c>
      <c r="J1315" s="4">
        <v>46091.09940363426</v>
      </c>
    </row>
    <row r="1316" spans="1:10" x14ac:dyDescent="0.55000000000000004">
      <c r="A1316" t="s">
        <v>5287</v>
      </c>
      <c r="B1316">
        <v>101393</v>
      </c>
      <c r="C1316" t="s">
        <v>68</v>
      </c>
      <c r="D1316" s="3">
        <v>45818</v>
      </c>
      <c r="E1316" t="s">
        <v>265</v>
      </c>
      <c r="F1316" t="s">
        <v>5288</v>
      </c>
      <c r="G1316" t="s">
        <v>22</v>
      </c>
      <c r="H1316" t="s">
        <v>5289</v>
      </c>
      <c r="I1316" t="s">
        <v>5290</v>
      </c>
      <c r="J1316" s="4">
        <v>46061.229264745372</v>
      </c>
    </row>
    <row r="1317" spans="1:10" x14ac:dyDescent="0.55000000000000004">
      <c r="A1317" t="s">
        <v>5291</v>
      </c>
      <c r="B1317">
        <v>100493</v>
      </c>
      <c r="C1317" t="s">
        <v>68</v>
      </c>
      <c r="D1317" s="3">
        <v>45777</v>
      </c>
      <c r="E1317" t="s">
        <v>115</v>
      </c>
      <c r="F1317" t="s">
        <v>5292</v>
      </c>
      <c r="G1317" t="s">
        <v>22</v>
      </c>
      <c r="H1317" t="s">
        <v>5293</v>
      </c>
      <c r="I1317" t="s">
        <v>5294</v>
      </c>
      <c r="J1317" s="4">
        <v>46081.073014756941</v>
      </c>
    </row>
    <row r="1318" spans="1:10" x14ac:dyDescent="0.55000000000000004">
      <c r="A1318" t="s">
        <v>5295</v>
      </c>
      <c r="B1318">
        <v>100118</v>
      </c>
      <c r="C1318" t="s">
        <v>248</v>
      </c>
      <c r="D1318" s="3">
        <v>46122</v>
      </c>
      <c r="E1318" t="s">
        <v>189</v>
      </c>
      <c r="F1318" t="s">
        <v>5296</v>
      </c>
      <c r="G1318" t="s">
        <v>15</v>
      </c>
      <c r="H1318" t="s">
        <v>5297</v>
      </c>
      <c r="I1318" t="s">
        <v>5298</v>
      </c>
      <c r="J1318" s="4">
        <v>46061.052181423613</v>
      </c>
    </row>
    <row r="1319" spans="1:10" x14ac:dyDescent="0.55000000000000004">
      <c r="A1319" t="s">
        <v>5299</v>
      </c>
      <c r="B1319">
        <v>100490</v>
      </c>
      <c r="C1319" t="s">
        <v>37</v>
      </c>
      <c r="D1319" s="3">
        <v>45918</v>
      </c>
      <c r="E1319" t="s">
        <v>757</v>
      </c>
      <c r="F1319" t="s">
        <v>5300</v>
      </c>
      <c r="G1319" t="s">
        <v>15</v>
      </c>
      <c r="H1319" t="s">
        <v>5301</v>
      </c>
      <c r="I1319" t="s">
        <v>5302</v>
      </c>
      <c r="J1319" s="4">
        <v>46069.224403645836</v>
      </c>
    </row>
    <row r="1320" spans="1:10" x14ac:dyDescent="0.55000000000000004">
      <c r="A1320" t="s">
        <v>5303</v>
      </c>
      <c r="B1320">
        <v>100629</v>
      </c>
      <c r="C1320" t="s">
        <v>19</v>
      </c>
      <c r="D1320" s="3">
        <v>46051</v>
      </c>
      <c r="E1320" t="s">
        <v>295</v>
      </c>
      <c r="F1320" t="s">
        <v>5304</v>
      </c>
      <c r="G1320" t="s">
        <v>22</v>
      </c>
      <c r="H1320" t="s">
        <v>5305</v>
      </c>
      <c r="I1320" t="s">
        <v>5306</v>
      </c>
      <c r="J1320" s="4">
        <v>46065.10634810185</v>
      </c>
    </row>
    <row r="1321" spans="1:10" x14ac:dyDescent="0.55000000000000004">
      <c r="A1321" t="s">
        <v>5307</v>
      </c>
      <c r="B1321">
        <v>100743</v>
      </c>
      <c r="C1321" t="s">
        <v>248</v>
      </c>
      <c r="D1321" s="3">
        <v>46081</v>
      </c>
      <c r="E1321" t="s">
        <v>38</v>
      </c>
      <c r="F1321" t="s">
        <v>5308</v>
      </c>
      <c r="G1321" t="s">
        <v>15</v>
      </c>
      <c r="H1321" t="s">
        <v>5309</v>
      </c>
      <c r="I1321" t="s">
        <v>5310</v>
      </c>
      <c r="J1321" s="4">
        <v>46081.7507925463</v>
      </c>
    </row>
    <row r="1322" spans="1:10" x14ac:dyDescent="0.55000000000000004">
      <c r="A1322" t="s">
        <v>5311</v>
      </c>
      <c r="B1322">
        <v>100229</v>
      </c>
      <c r="C1322" t="s">
        <v>19</v>
      </c>
      <c r="D1322" s="3">
        <v>45736</v>
      </c>
      <c r="E1322" t="s">
        <v>155</v>
      </c>
      <c r="F1322" t="s">
        <v>5312</v>
      </c>
      <c r="G1322" t="s">
        <v>22</v>
      </c>
      <c r="H1322" t="s">
        <v>5313</v>
      </c>
      <c r="I1322" t="s">
        <v>5314</v>
      </c>
      <c r="J1322" s="4">
        <v>46073.520931446757</v>
      </c>
    </row>
    <row r="1323" spans="1:10" x14ac:dyDescent="0.55000000000000004">
      <c r="A1323" t="s">
        <v>5315</v>
      </c>
      <c r="B1323">
        <v>100039</v>
      </c>
      <c r="C1323" t="s">
        <v>19</v>
      </c>
      <c r="D1323" s="3">
        <v>45936</v>
      </c>
      <c r="E1323" t="s">
        <v>115</v>
      </c>
      <c r="F1323" t="s">
        <v>5316</v>
      </c>
      <c r="G1323" t="s">
        <v>22</v>
      </c>
      <c r="H1323" t="s">
        <v>5317</v>
      </c>
      <c r="I1323" t="s">
        <v>5318</v>
      </c>
      <c r="J1323" s="4">
        <v>46067.794542557873</v>
      </c>
    </row>
    <row r="1324" spans="1:10" x14ac:dyDescent="0.55000000000000004">
      <c r="A1324" t="s">
        <v>5319</v>
      </c>
      <c r="B1324">
        <v>101000</v>
      </c>
      <c r="C1324" t="s">
        <v>37</v>
      </c>
      <c r="D1324" s="3">
        <v>45910</v>
      </c>
      <c r="E1324" t="s">
        <v>89</v>
      </c>
      <c r="F1324" t="s">
        <v>5320</v>
      </c>
      <c r="G1324" t="s">
        <v>22</v>
      </c>
      <c r="H1324" t="s">
        <v>5321</v>
      </c>
      <c r="I1324" t="s">
        <v>5322</v>
      </c>
      <c r="J1324" s="4">
        <v>46091.624403668982</v>
      </c>
    </row>
    <row r="1325" spans="1:10" x14ac:dyDescent="0.55000000000000004">
      <c r="A1325" t="s">
        <v>5323</v>
      </c>
      <c r="B1325">
        <v>100663</v>
      </c>
      <c r="C1325" t="s">
        <v>533</v>
      </c>
      <c r="D1325" s="3">
        <v>46106</v>
      </c>
      <c r="E1325" t="s">
        <v>69</v>
      </c>
      <c r="F1325" t="s">
        <v>5324</v>
      </c>
      <c r="G1325" t="s">
        <v>22</v>
      </c>
      <c r="H1325" t="s">
        <v>5325</v>
      </c>
      <c r="I1325" t="s">
        <v>5326</v>
      </c>
      <c r="J1325" s="4">
        <v>46085.175098125001</v>
      </c>
    </row>
    <row r="1326" spans="1:10" x14ac:dyDescent="0.55000000000000004">
      <c r="A1326" t="s">
        <v>5327</v>
      </c>
      <c r="B1326">
        <v>101226</v>
      </c>
      <c r="C1326" t="s">
        <v>68</v>
      </c>
      <c r="D1326" s="3">
        <v>45765</v>
      </c>
      <c r="E1326" t="s">
        <v>467</v>
      </c>
      <c r="F1326" t="s">
        <v>5328</v>
      </c>
      <c r="G1326" t="s">
        <v>22</v>
      </c>
      <c r="H1326" t="s">
        <v>5329</v>
      </c>
      <c r="I1326" t="s">
        <v>5330</v>
      </c>
      <c r="J1326" s="4">
        <v>46083.747320347225</v>
      </c>
    </row>
    <row r="1327" spans="1:10" x14ac:dyDescent="0.55000000000000004">
      <c r="A1327" t="s">
        <v>5331</v>
      </c>
      <c r="B1327">
        <v>100001</v>
      </c>
      <c r="C1327" t="s">
        <v>19</v>
      </c>
      <c r="D1327" s="3">
        <v>45790</v>
      </c>
      <c r="E1327" t="s">
        <v>334</v>
      </c>
      <c r="F1327" t="s">
        <v>5332</v>
      </c>
      <c r="G1327" t="s">
        <v>15</v>
      </c>
      <c r="H1327" t="s">
        <v>5333</v>
      </c>
      <c r="I1327" t="s">
        <v>5334</v>
      </c>
      <c r="J1327" s="4">
        <v>46067.53898701389</v>
      </c>
    </row>
    <row r="1328" spans="1:10" x14ac:dyDescent="0.55000000000000004">
      <c r="A1328" t="s">
        <v>5335</v>
      </c>
      <c r="B1328">
        <v>101086</v>
      </c>
      <c r="C1328" t="s">
        <v>248</v>
      </c>
      <c r="D1328" s="3">
        <v>45895</v>
      </c>
      <c r="E1328" t="s">
        <v>270</v>
      </c>
      <c r="F1328" t="s">
        <v>5336</v>
      </c>
      <c r="G1328" t="s">
        <v>15</v>
      </c>
      <c r="H1328" t="s">
        <v>5337</v>
      </c>
      <c r="I1328" t="s">
        <v>5338</v>
      </c>
      <c r="J1328" s="4">
        <v>46074.134820358799</v>
      </c>
    </row>
    <row r="1329" spans="1:10" x14ac:dyDescent="0.55000000000000004">
      <c r="A1329" t="s">
        <v>5339</v>
      </c>
      <c r="B1329">
        <v>101104</v>
      </c>
      <c r="C1329" t="s">
        <v>19</v>
      </c>
      <c r="D1329" s="3">
        <v>45841</v>
      </c>
      <c r="E1329" t="s">
        <v>115</v>
      </c>
      <c r="F1329" t="s">
        <v>5340</v>
      </c>
      <c r="G1329" t="s">
        <v>15</v>
      </c>
      <c r="H1329" t="s">
        <v>5341</v>
      </c>
      <c r="I1329" t="s">
        <v>5342</v>
      </c>
      <c r="J1329" s="4">
        <v>46054.144542581016</v>
      </c>
    </row>
    <row r="1330" spans="1:10" x14ac:dyDescent="0.55000000000000004">
      <c r="A1330" t="s">
        <v>5343</v>
      </c>
      <c r="B1330">
        <v>100330</v>
      </c>
      <c r="C1330" t="s">
        <v>248</v>
      </c>
      <c r="D1330" s="3">
        <v>45861</v>
      </c>
      <c r="E1330" t="s">
        <v>108</v>
      </c>
      <c r="F1330" t="s">
        <v>5344</v>
      </c>
      <c r="G1330" t="s">
        <v>15</v>
      </c>
      <c r="H1330" t="s">
        <v>5345</v>
      </c>
      <c r="I1330" t="s">
        <v>5346</v>
      </c>
      <c r="J1330" s="4">
        <v>46080.17023703704</v>
      </c>
    </row>
    <row r="1331" spans="1:10" x14ac:dyDescent="0.55000000000000004">
      <c r="A1331" t="s">
        <v>5347</v>
      </c>
      <c r="B1331">
        <v>100765</v>
      </c>
      <c r="C1331" t="s">
        <v>37</v>
      </c>
      <c r="D1331" s="3">
        <v>45884</v>
      </c>
      <c r="E1331" t="s">
        <v>680</v>
      </c>
      <c r="F1331" t="s">
        <v>5348</v>
      </c>
      <c r="G1331" t="s">
        <v>22</v>
      </c>
      <c r="H1331" t="s">
        <v>5349</v>
      </c>
      <c r="I1331" t="s">
        <v>5350</v>
      </c>
      <c r="J1331" s="4">
        <v>46086.669542592594</v>
      </c>
    </row>
    <row r="1332" spans="1:10" x14ac:dyDescent="0.55000000000000004">
      <c r="A1332" t="s">
        <v>5351</v>
      </c>
      <c r="B1332">
        <v>101366</v>
      </c>
      <c r="C1332" t="s">
        <v>37</v>
      </c>
      <c r="D1332" s="3">
        <v>45951</v>
      </c>
      <c r="E1332" t="s">
        <v>356</v>
      </c>
      <c r="F1332" t="s">
        <v>5352</v>
      </c>
      <c r="G1332" t="s">
        <v>15</v>
      </c>
      <c r="H1332" t="s">
        <v>5353</v>
      </c>
      <c r="I1332" t="s">
        <v>5354</v>
      </c>
      <c r="J1332" s="4">
        <v>46075.150098148151</v>
      </c>
    </row>
    <row r="1333" spans="1:10" x14ac:dyDescent="0.55000000000000004">
      <c r="A1333" t="s">
        <v>5355</v>
      </c>
      <c r="B1333">
        <v>101477</v>
      </c>
      <c r="C1333" t="s">
        <v>19</v>
      </c>
      <c r="D1333" s="3">
        <v>45975</v>
      </c>
      <c r="E1333" t="s">
        <v>680</v>
      </c>
      <c r="F1333" t="s">
        <v>5356</v>
      </c>
      <c r="G1333" t="s">
        <v>22</v>
      </c>
      <c r="H1333" t="s">
        <v>5357</v>
      </c>
      <c r="I1333" t="s">
        <v>5358</v>
      </c>
      <c r="J1333" s="4">
        <v>46052.934820381946</v>
      </c>
    </row>
    <row r="1334" spans="1:10" x14ac:dyDescent="0.55000000000000004">
      <c r="A1334" t="s">
        <v>5359</v>
      </c>
      <c r="B1334">
        <v>101415</v>
      </c>
      <c r="C1334" t="s">
        <v>179</v>
      </c>
      <c r="D1334" s="3">
        <v>46153</v>
      </c>
      <c r="E1334" t="s">
        <v>38</v>
      </c>
      <c r="F1334" t="s">
        <v>5360</v>
      </c>
      <c r="G1334" t="s">
        <v>15</v>
      </c>
      <c r="H1334" t="s">
        <v>5361</v>
      </c>
      <c r="I1334" t="s">
        <v>5362</v>
      </c>
      <c r="J1334" s="4">
        <v>46092.796625937503</v>
      </c>
    </row>
    <row r="1335" spans="1:10" x14ac:dyDescent="0.55000000000000004">
      <c r="A1335" t="s">
        <v>2005</v>
      </c>
      <c r="B1335">
        <v>101338</v>
      </c>
      <c r="C1335" t="s">
        <v>19</v>
      </c>
      <c r="D1335" s="3">
        <v>46047</v>
      </c>
      <c r="E1335" t="s">
        <v>20</v>
      </c>
      <c r="F1335" t="s">
        <v>5363</v>
      </c>
      <c r="G1335" t="s">
        <v>22</v>
      </c>
      <c r="H1335" t="s">
        <v>5364</v>
      </c>
      <c r="I1335" t="s">
        <v>5365</v>
      </c>
      <c r="J1335" s="4">
        <v>46097.532042604165</v>
      </c>
    </row>
    <row r="1336" spans="1:10" x14ac:dyDescent="0.55000000000000004">
      <c r="A1336" t="s">
        <v>5366</v>
      </c>
      <c r="B1336">
        <v>101308</v>
      </c>
      <c r="C1336" t="s">
        <v>179</v>
      </c>
      <c r="D1336" s="3">
        <v>45807</v>
      </c>
      <c r="E1336" t="s">
        <v>295</v>
      </c>
      <c r="F1336" t="s">
        <v>5367</v>
      </c>
      <c r="G1336" t="s">
        <v>22</v>
      </c>
      <c r="H1336" t="s">
        <v>5368</v>
      </c>
      <c r="I1336" t="s">
        <v>5369</v>
      </c>
      <c r="J1336" s="4">
        <v>46081.005653726854</v>
      </c>
    </row>
    <row r="1337" spans="1:10" x14ac:dyDescent="0.55000000000000004">
      <c r="A1337" t="s">
        <v>5370</v>
      </c>
      <c r="B1337">
        <v>100611</v>
      </c>
      <c r="C1337" t="s">
        <v>37</v>
      </c>
      <c r="D1337" s="3">
        <v>45962</v>
      </c>
      <c r="E1337" t="s">
        <v>317</v>
      </c>
      <c r="F1337" t="s">
        <v>5371</v>
      </c>
      <c r="G1337" t="s">
        <v>22</v>
      </c>
      <c r="H1337" t="s">
        <v>5372</v>
      </c>
      <c r="I1337" t="s">
        <v>5373</v>
      </c>
      <c r="J1337" s="4">
        <v>46056.923709282404</v>
      </c>
    </row>
    <row r="1338" spans="1:10" x14ac:dyDescent="0.55000000000000004">
      <c r="A1338" t="s">
        <v>5374</v>
      </c>
      <c r="B1338">
        <v>101280</v>
      </c>
      <c r="C1338" t="s">
        <v>533</v>
      </c>
      <c r="D1338" s="3">
        <v>45750</v>
      </c>
      <c r="E1338" t="s">
        <v>317</v>
      </c>
      <c r="F1338" t="s">
        <v>5375</v>
      </c>
      <c r="G1338" t="s">
        <v>15</v>
      </c>
      <c r="H1338" t="s">
        <v>5376</v>
      </c>
      <c r="I1338" t="s">
        <v>5377</v>
      </c>
      <c r="J1338" s="4">
        <v>46070.755653738423</v>
      </c>
    </row>
    <row r="1339" spans="1:10" x14ac:dyDescent="0.55000000000000004">
      <c r="A1339" t="s">
        <v>5378</v>
      </c>
      <c r="B1339">
        <v>100217</v>
      </c>
      <c r="C1339" t="s">
        <v>19</v>
      </c>
      <c r="D1339" s="3">
        <v>46128</v>
      </c>
      <c r="E1339" t="s">
        <v>38</v>
      </c>
      <c r="F1339" t="s">
        <v>5379</v>
      </c>
      <c r="G1339" t="s">
        <v>22</v>
      </c>
      <c r="H1339" t="s">
        <v>5380</v>
      </c>
      <c r="I1339" t="s">
        <v>5381</v>
      </c>
      <c r="J1339" s="4">
        <v>46084.251487071757</v>
      </c>
    </row>
    <row r="1340" spans="1:10" x14ac:dyDescent="0.55000000000000004">
      <c r="A1340" t="s">
        <v>5382</v>
      </c>
      <c r="B1340">
        <v>101039</v>
      </c>
      <c r="C1340" t="s">
        <v>248</v>
      </c>
      <c r="D1340" s="3">
        <v>45829</v>
      </c>
      <c r="E1340" t="s">
        <v>343</v>
      </c>
      <c r="F1340" t="s">
        <v>5383</v>
      </c>
      <c r="G1340" t="s">
        <v>22</v>
      </c>
      <c r="H1340" t="s">
        <v>5384</v>
      </c>
      <c r="I1340" t="s">
        <v>5385</v>
      </c>
      <c r="J1340" s="4">
        <v>46096.316764849536</v>
      </c>
    </row>
    <row r="1341" spans="1:10" x14ac:dyDescent="0.55000000000000004">
      <c r="A1341" t="s">
        <v>5386</v>
      </c>
      <c r="B1341">
        <v>100365</v>
      </c>
      <c r="C1341" t="s">
        <v>68</v>
      </c>
      <c r="D1341" s="3">
        <v>45989</v>
      </c>
      <c r="E1341" t="s">
        <v>317</v>
      </c>
      <c r="F1341" t="s">
        <v>5387</v>
      </c>
      <c r="G1341" t="s">
        <v>22</v>
      </c>
      <c r="H1341" t="s">
        <v>5388</v>
      </c>
      <c r="I1341" t="s">
        <v>5389</v>
      </c>
      <c r="J1341" s="4">
        <v>46056.098014861112</v>
      </c>
    </row>
    <row r="1342" spans="1:10" x14ac:dyDescent="0.55000000000000004">
      <c r="A1342" t="s">
        <v>5390</v>
      </c>
      <c r="B1342">
        <v>101025</v>
      </c>
      <c r="C1342" t="s">
        <v>179</v>
      </c>
      <c r="D1342" s="3">
        <v>45942</v>
      </c>
      <c r="E1342" t="s">
        <v>467</v>
      </c>
      <c r="F1342" t="s">
        <v>5391</v>
      </c>
      <c r="G1342" t="s">
        <v>22</v>
      </c>
      <c r="H1342" t="s">
        <v>5392</v>
      </c>
      <c r="I1342" t="s">
        <v>5393</v>
      </c>
      <c r="J1342" s="4">
        <v>46064.268848194442</v>
      </c>
    </row>
    <row r="1343" spans="1:10" x14ac:dyDescent="0.55000000000000004">
      <c r="A1343" t="s">
        <v>5394</v>
      </c>
      <c r="B1343">
        <v>100539</v>
      </c>
      <c r="C1343" t="s">
        <v>533</v>
      </c>
      <c r="D1343" s="3">
        <v>45822</v>
      </c>
      <c r="E1343" t="s">
        <v>58</v>
      </c>
      <c r="F1343" t="s">
        <v>5395</v>
      </c>
      <c r="G1343" t="s">
        <v>15</v>
      </c>
      <c r="H1343" t="s">
        <v>5396</v>
      </c>
      <c r="I1343" t="s">
        <v>5397</v>
      </c>
      <c r="J1343" s="4">
        <v>46061.900098194441</v>
      </c>
    </row>
    <row r="1344" spans="1:10" x14ac:dyDescent="0.55000000000000004">
      <c r="A1344" t="s">
        <v>5398</v>
      </c>
      <c r="B1344">
        <v>100006</v>
      </c>
      <c r="C1344" t="s">
        <v>533</v>
      </c>
      <c r="D1344" s="3">
        <v>46009</v>
      </c>
      <c r="E1344" t="s">
        <v>58</v>
      </c>
      <c r="F1344" t="s">
        <v>5399</v>
      </c>
      <c r="G1344" t="s">
        <v>22</v>
      </c>
      <c r="H1344" t="s">
        <v>5400</v>
      </c>
      <c r="I1344" t="s">
        <v>5401</v>
      </c>
      <c r="J1344" s="4">
        <v>46057.343153761576</v>
      </c>
    </row>
    <row r="1345" spans="1:11" x14ac:dyDescent="0.55000000000000004">
      <c r="A1345" t="s">
        <v>5402</v>
      </c>
      <c r="B1345">
        <v>100929</v>
      </c>
      <c r="C1345" t="s">
        <v>19</v>
      </c>
      <c r="D1345" s="3">
        <v>45782</v>
      </c>
      <c r="E1345" t="s">
        <v>155</v>
      </c>
      <c r="F1345" t="s">
        <v>5403</v>
      </c>
      <c r="G1345" t="s">
        <v>15</v>
      </c>
      <c r="H1345" t="s">
        <v>5404</v>
      </c>
      <c r="I1345" t="s">
        <v>5405</v>
      </c>
      <c r="J1345" s="4">
        <v>46056.723014872689</v>
      </c>
    </row>
    <row r="1346" spans="1:11" x14ac:dyDescent="0.55000000000000004">
      <c r="A1346" t="s">
        <v>5406</v>
      </c>
      <c r="B1346">
        <v>100323</v>
      </c>
      <c r="C1346" t="s">
        <v>19</v>
      </c>
      <c r="D1346" s="3">
        <v>45942</v>
      </c>
      <c r="E1346" t="s">
        <v>69</v>
      </c>
      <c r="F1346" t="s">
        <v>5407</v>
      </c>
      <c r="G1346" t="s">
        <v>15</v>
      </c>
      <c r="H1346" t="s">
        <v>5408</v>
      </c>
      <c r="I1346" t="s">
        <v>5409</v>
      </c>
      <c r="J1346" s="4">
        <v>46057.114681550927</v>
      </c>
    </row>
    <row r="1347" spans="1:11" x14ac:dyDescent="0.55000000000000004">
      <c r="A1347" t="s">
        <v>5410</v>
      </c>
      <c r="B1347">
        <v>100890</v>
      </c>
      <c r="C1347" t="s">
        <v>19</v>
      </c>
      <c r="D1347" s="3">
        <v>46029</v>
      </c>
      <c r="E1347" t="s">
        <v>317</v>
      </c>
      <c r="F1347" t="s">
        <v>5411</v>
      </c>
      <c r="G1347" t="s">
        <v>22</v>
      </c>
      <c r="H1347" t="s">
        <v>5412</v>
      </c>
      <c r="I1347" t="s">
        <v>5413</v>
      </c>
      <c r="J1347" s="4">
        <v>46071.445237106484</v>
      </c>
    </row>
    <row r="1348" spans="1:11" x14ac:dyDescent="0.55000000000000004">
      <c r="A1348" t="s">
        <v>5414</v>
      </c>
      <c r="B1348">
        <v>100601</v>
      </c>
      <c r="C1348" t="s">
        <v>248</v>
      </c>
      <c r="D1348" s="3">
        <v>46129</v>
      </c>
      <c r="E1348" t="s">
        <v>89</v>
      </c>
      <c r="F1348" t="s">
        <v>5415</v>
      </c>
      <c r="G1348" t="s">
        <v>15</v>
      </c>
      <c r="H1348" t="s">
        <v>5416</v>
      </c>
      <c r="I1348" t="s">
        <v>5417</v>
      </c>
      <c r="J1348" s="4">
        <v>46085.078570439815</v>
      </c>
    </row>
    <row r="1349" spans="1:11" x14ac:dyDescent="0.55000000000000004">
      <c r="A1349" t="s">
        <v>5418</v>
      </c>
      <c r="B1349">
        <v>101498</v>
      </c>
      <c r="C1349" t="s">
        <v>533</v>
      </c>
      <c r="D1349" s="3">
        <v>45911</v>
      </c>
      <c r="E1349" t="s">
        <v>757</v>
      </c>
      <c r="F1349" t="s">
        <v>260</v>
      </c>
      <c r="G1349" t="s">
        <v>15</v>
      </c>
      <c r="H1349" t="s">
        <v>5419</v>
      </c>
      <c r="I1349" t="s">
        <v>5420</v>
      </c>
      <c r="J1349" s="4">
        <v>46074.427876006943</v>
      </c>
    </row>
    <row r="1350" spans="1:11" x14ac:dyDescent="0.55000000000000004">
      <c r="A1350" t="s">
        <v>5421</v>
      </c>
      <c r="B1350">
        <v>101171</v>
      </c>
      <c r="C1350" t="s">
        <v>19</v>
      </c>
      <c r="D1350" s="3">
        <v>45877</v>
      </c>
      <c r="E1350" t="s">
        <v>49</v>
      </c>
      <c r="F1350" t="s">
        <v>5422</v>
      </c>
      <c r="G1350" t="s">
        <v>22</v>
      </c>
      <c r="H1350" t="s">
        <v>5423</v>
      </c>
      <c r="I1350" t="s">
        <v>5424</v>
      </c>
      <c r="J1350" s="4">
        <v>46070.788987118052</v>
      </c>
      <c r="K1350" t="s">
        <v>139</v>
      </c>
    </row>
    <row r="1351" spans="1:11" x14ac:dyDescent="0.55000000000000004">
      <c r="A1351" t="s">
        <v>5425</v>
      </c>
      <c r="B1351">
        <v>101312</v>
      </c>
      <c r="C1351" t="s">
        <v>248</v>
      </c>
      <c r="D1351" s="3">
        <v>45734</v>
      </c>
      <c r="E1351" t="s">
        <v>141</v>
      </c>
      <c r="F1351" t="s">
        <v>5426</v>
      </c>
      <c r="G1351" t="s">
        <v>15</v>
      </c>
      <c r="H1351" t="s">
        <v>5427</v>
      </c>
      <c r="I1351" t="s">
        <v>5428</v>
      </c>
      <c r="J1351" s="4">
        <v>46088.213987118055</v>
      </c>
    </row>
    <row r="1352" spans="1:11" x14ac:dyDescent="0.55000000000000004">
      <c r="A1352" t="s">
        <v>5429</v>
      </c>
      <c r="B1352">
        <v>101419</v>
      </c>
      <c r="C1352" t="s">
        <v>19</v>
      </c>
      <c r="D1352" s="3">
        <v>46151</v>
      </c>
      <c r="E1352" t="s">
        <v>126</v>
      </c>
      <c r="F1352" t="s">
        <v>5430</v>
      </c>
      <c r="G1352" t="s">
        <v>15</v>
      </c>
      <c r="H1352" t="s">
        <v>5431</v>
      </c>
      <c r="I1352" t="s">
        <v>5432</v>
      </c>
      <c r="J1352" s="4">
        <v>46061.134820462961</v>
      </c>
    </row>
    <row r="1353" spans="1:11" x14ac:dyDescent="0.55000000000000004">
      <c r="A1353" t="s">
        <v>5433</v>
      </c>
      <c r="B1353">
        <v>101099</v>
      </c>
      <c r="C1353" t="s">
        <v>248</v>
      </c>
      <c r="D1353" s="3">
        <v>46016</v>
      </c>
      <c r="E1353" t="s">
        <v>409</v>
      </c>
      <c r="F1353" t="s">
        <v>5434</v>
      </c>
      <c r="G1353" t="s">
        <v>22</v>
      </c>
      <c r="H1353" t="s">
        <v>5435</v>
      </c>
      <c r="I1353" t="s">
        <v>5436</v>
      </c>
      <c r="J1353" s="4">
        <v>46093.9244037963</v>
      </c>
    </row>
    <row r="1354" spans="1:11" x14ac:dyDescent="0.55000000000000004">
      <c r="A1354" t="s">
        <v>5437</v>
      </c>
      <c r="B1354">
        <v>100234</v>
      </c>
      <c r="C1354" t="s">
        <v>179</v>
      </c>
      <c r="D1354" s="3">
        <v>45797</v>
      </c>
      <c r="E1354" t="s">
        <v>680</v>
      </c>
      <c r="F1354" t="s">
        <v>5438</v>
      </c>
      <c r="G1354" t="s">
        <v>22</v>
      </c>
      <c r="H1354" t="s">
        <v>5439</v>
      </c>
      <c r="I1354" t="s">
        <v>5440</v>
      </c>
      <c r="J1354" s="4">
        <v>46064.520931574072</v>
      </c>
    </row>
    <row r="1355" spans="1:11" x14ac:dyDescent="0.55000000000000004">
      <c r="A1355" t="s">
        <v>5441</v>
      </c>
      <c r="B1355">
        <v>100023</v>
      </c>
      <c r="C1355" t="s">
        <v>179</v>
      </c>
      <c r="D1355" s="3">
        <v>45850</v>
      </c>
      <c r="E1355" t="s">
        <v>317</v>
      </c>
      <c r="F1355" t="s">
        <v>5442</v>
      </c>
      <c r="G1355" t="s">
        <v>15</v>
      </c>
      <c r="H1355" t="s">
        <v>5443</v>
      </c>
      <c r="I1355" t="s">
        <v>5444</v>
      </c>
      <c r="J1355" s="4">
        <v>46065.577876030089</v>
      </c>
    </row>
    <row r="1356" spans="1:11" x14ac:dyDescent="0.55000000000000004">
      <c r="A1356" t="s">
        <v>5445</v>
      </c>
      <c r="B1356">
        <v>101133</v>
      </c>
      <c r="C1356" t="s">
        <v>19</v>
      </c>
      <c r="D1356" s="3">
        <v>46133</v>
      </c>
      <c r="E1356" t="s">
        <v>49</v>
      </c>
      <c r="F1356" t="s">
        <v>5446</v>
      </c>
      <c r="G1356" t="s">
        <v>15</v>
      </c>
      <c r="H1356" t="s">
        <v>5447</v>
      </c>
      <c r="I1356" t="s">
        <v>5448</v>
      </c>
      <c r="J1356" s="4">
        <v>46077.456348252315</v>
      </c>
    </row>
    <row r="1357" spans="1:11" x14ac:dyDescent="0.55000000000000004">
      <c r="A1357" t="s">
        <v>5449</v>
      </c>
      <c r="B1357">
        <v>100514</v>
      </c>
      <c r="C1357" t="s">
        <v>37</v>
      </c>
      <c r="D1357" s="3">
        <v>45779</v>
      </c>
      <c r="E1357" t="s">
        <v>69</v>
      </c>
      <c r="F1357" t="s">
        <v>5450</v>
      </c>
      <c r="G1357" t="s">
        <v>15</v>
      </c>
      <c r="H1357" t="s">
        <v>5451</v>
      </c>
      <c r="I1357" t="s">
        <v>5452</v>
      </c>
      <c r="J1357" s="4">
        <v>46056.902181597223</v>
      </c>
    </row>
    <row r="1358" spans="1:11" x14ac:dyDescent="0.55000000000000004">
      <c r="A1358" t="s">
        <v>5453</v>
      </c>
      <c r="B1358">
        <v>101083</v>
      </c>
      <c r="C1358" t="s">
        <v>533</v>
      </c>
      <c r="D1358" s="3">
        <v>45746</v>
      </c>
      <c r="E1358" t="s">
        <v>184</v>
      </c>
      <c r="F1358" t="s">
        <v>5454</v>
      </c>
      <c r="G1358" t="s">
        <v>22</v>
      </c>
      <c r="H1358" t="s">
        <v>5455</v>
      </c>
      <c r="I1358" t="s">
        <v>5456</v>
      </c>
      <c r="J1358" s="4">
        <v>46096.560514930556</v>
      </c>
    </row>
    <row r="1359" spans="1:11" x14ac:dyDescent="0.55000000000000004">
      <c r="A1359" t="s">
        <v>5457</v>
      </c>
      <c r="B1359">
        <v>100958</v>
      </c>
      <c r="C1359" t="s">
        <v>179</v>
      </c>
      <c r="D1359" s="3">
        <v>46056</v>
      </c>
      <c r="E1359" t="s">
        <v>160</v>
      </c>
      <c r="F1359" t="s">
        <v>5458</v>
      </c>
      <c r="G1359" t="s">
        <v>15</v>
      </c>
      <c r="H1359" t="s">
        <v>5459</v>
      </c>
      <c r="I1359" t="s">
        <v>5460</v>
      </c>
      <c r="J1359" s="4">
        <v>46078.470931597221</v>
      </c>
    </row>
    <row r="1360" spans="1:11" x14ac:dyDescent="0.55000000000000004">
      <c r="A1360" t="s">
        <v>5461</v>
      </c>
      <c r="B1360">
        <v>101220</v>
      </c>
      <c r="C1360" t="s">
        <v>19</v>
      </c>
      <c r="D1360" s="3">
        <v>45857</v>
      </c>
      <c r="E1360" t="s">
        <v>83</v>
      </c>
      <c r="F1360" t="s">
        <v>5462</v>
      </c>
      <c r="G1360" t="s">
        <v>22</v>
      </c>
      <c r="H1360" t="s">
        <v>5463</v>
      </c>
      <c r="I1360" t="s">
        <v>5464</v>
      </c>
      <c r="J1360" s="4">
        <v>46092.541764942129</v>
      </c>
    </row>
    <row r="1361" spans="1:10" x14ac:dyDescent="0.55000000000000004">
      <c r="A1361" t="s">
        <v>5465</v>
      </c>
      <c r="B1361">
        <v>100781</v>
      </c>
      <c r="C1361" t="s">
        <v>37</v>
      </c>
      <c r="D1361" s="3">
        <v>46058</v>
      </c>
      <c r="E1361" t="s">
        <v>243</v>
      </c>
      <c r="F1361" t="s">
        <v>5466</v>
      </c>
      <c r="G1361" t="s">
        <v>15</v>
      </c>
      <c r="H1361" t="s">
        <v>5467</v>
      </c>
      <c r="I1361" t="s">
        <v>5468</v>
      </c>
      <c r="J1361" s="4">
        <v>46091.544542719908</v>
      </c>
    </row>
    <row r="1362" spans="1:10" x14ac:dyDescent="0.55000000000000004">
      <c r="A1362" t="s">
        <v>5469</v>
      </c>
      <c r="B1362">
        <v>100788</v>
      </c>
      <c r="C1362" t="s">
        <v>68</v>
      </c>
      <c r="D1362" s="3">
        <v>45866</v>
      </c>
      <c r="E1362" t="s">
        <v>155</v>
      </c>
      <c r="F1362" t="s">
        <v>5470</v>
      </c>
      <c r="G1362" t="s">
        <v>15</v>
      </c>
      <c r="H1362" t="s">
        <v>5471</v>
      </c>
      <c r="I1362" t="s">
        <v>5472</v>
      </c>
      <c r="J1362" s="4">
        <v>46066.232042719908</v>
      </c>
    </row>
    <row r="1363" spans="1:10" x14ac:dyDescent="0.55000000000000004">
      <c r="A1363" t="s">
        <v>5473</v>
      </c>
      <c r="B1363">
        <v>100130</v>
      </c>
      <c r="C1363" t="s">
        <v>248</v>
      </c>
      <c r="D1363" s="3">
        <v>45932</v>
      </c>
      <c r="E1363" t="s">
        <v>69</v>
      </c>
      <c r="F1363" t="s">
        <v>5474</v>
      </c>
      <c r="G1363" t="s">
        <v>15</v>
      </c>
      <c r="H1363" t="s">
        <v>5475</v>
      </c>
      <c r="I1363" t="s">
        <v>5476</v>
      </c>
      <c r="J1363" s="4">
        <v>46071.641764953703</v>
      </c>
    </row>
    <row r="1364" spans="1:10" x14ac:dyDescent="0.55000000000000004">
      <c r="A1364" t="s">
        <v>5477</v>
      </c>
      <c r="B1364">
        <v>101221</v>
      </c>
      <c r="C1364" t="s">
        <v>19</v>
      </c>
      <c r="D1364" s="3">
        <v>46052</v>
      </c>
      <c r="E1364" t="s">
        <v>115</v>
      </c>
      <c r="F1364" t="s">
        <v>5478</v>
      </c>
      <c r="G1364" t="s">
        <v>22</v>
      </c>
      <c r="H1364" t="s">
        <v>5479</v>
      </c>
      <c r="I1364" t="s">
        <v>5480</v>
      </c>
      <c r="J1364" s="4">
        <v>46073.300098287036</v>
      </c>
    </row>
    <row r="1365" spans="1:10" x14ac:dyDescent="0.55000000000000004">
      <c r="A1365" t="s">
        <v>5481</v>
      </c>
      <c r="B1365">
        <v>101487</v>
      </c>
      <c r="C1365" t="s">
        <v>179</v>
      </c>
      <c r="D1365" s="3">
        <v>46145</v>
      </c>
      <c r="E1365" t="s">
        <v>115</v>
      </c>
      <c r="F1365" t="s">
        <v>5482</v>
      </c>
      <c r="G1365" t="s">
        <v>22</v>
      </c>
      <c r="H1365" t="s">
        <v>5483</v>
      </c>
      <c r="I1365" t="s">
        <v>5484</v>
      </c>
      <c r="J1365" s="4">
        <v>46097.492459409725</v>
      </c>
    </row>
    <row r="1366" spans="1:10" x14ac:dyDescent="0.55000000000000004">
      <c r="A1366" t="s">
        <v>5485</v>
      </c>
      <c r="B1366">
        <v>100327</v>
      </c>
      <c r="C1366" t="s">
        <v>19</v>
      </c>
      <c r="D1366" s="3">
        <v>46055</v>
      </c>
      <c r="E1366" t="s">
        <v>13</v>
      </c>
      <c r="F1366" t="s">
        <v>5486</v>
      </c>
      <c r="G1366" t="s">
        <v>22</v>
      </c>
      <c r="H1366" t="s">
        <v>5487</v>
      </c>
      <c r="I1366" t="s">
        <v>5488</v>
      </c>
      <c r="J1366" s="4">
        <v>46066.873014965277</v>
      </c>
    </row>
    <row r="1367" spans="1:10" x14ac:dyDescent="0.55000000000000004">
      <c r="A1367" t="s">
        <v>5489</v>
      </c>
      <c r="B1367">
        <v>101285</v>
      </c>
      <c r="C1367" t="s">
        <v>19</v>
      </c>
      <c r="D1367" s="3">
        <v>46011</v>
      </c>
      <c r="E1367" t="s">
        <v>115</v>
      </c>
      <c r="F1367" t="s">
        <v>5490</v>
      </c>
      <c r="G1367" t="s">
        <v>22</v>
      </c>
      <c r="H1367" t="s">
        <v>5491</v>
      </c>
      <c r="I1367" t="s">
        <v>5492</v>
      </c>
      <c r="J1367" s="4">
        <v>46090.472320520836</v>
      </c>
    </row>
    <row r="1368" spans="1:10" x14ac:dyDescent="0.55000000000000004">
      <c r="A1368" t="s">
        <v>5493</v>
      </c>
      <c r="B1368">
        <v>100313</v>
      </c>
      <c r="C1368" t="s">
        <v>19</v>
      </c>
      <c r="D1368" s="3">
        <v>45747</v>
      </c>
      <c r="E1368" t="s">
        <v>528</v>
      </c>
      <c r="F1368" t="s">
        <v>5494</v>
      </c>
      <c r="G1368" t="s">
        <v>15</v>
      </c>
      <c r="H1368" t="s">
        <v>5495</v>
      </c>
      <c r="I1368" t="s">
        <v>5496</v>
      </c>
      <c r="J1368" s="4">
        <v>46074.582737199074</v>
      </c>
    </row>
    <row r="1369" spans="1:10" x14ac:dyDescent="0.55000000000000004">
      <c r="A1369" t="s">
        <v>5497</v>
      </c>
      <c r="B1369">
        <v>100224</v>
      </c>
      <c r="C1369" t="s">
        <v>248</v>
      </c>
      <c r="D1369" s="3">
        <v>45747</v>
      </c>
      <c r="E1369" t="s">
        <v>189</v>
      </c>
      <c r="F1369" t="s">
        <v>5498</v>
      </c>
      <c r="G1369" t="s">
        <v>15</v>
      </c>
      <c r="H1369" t="s">
        <v>5499</v>
      </c>
      <c r="I1369" t="s">
        <v>5500</v>
      </c>
      <c r="J1369" s="4">
        <v>46053.566070532404</v>
      </c>
    </row>
    <row r="1370" spans="1:10" x14ac:dyDescent="0.55000000000000004">
      <c r="A1370" t="s">
        <v>5501</v>
      </c>
      <c r="B1370">
        <v>100096</v>
      </c>
      <c r="C1370" t="s">
        <v>248</v>
      </c>
      <c r="D1370" s="3">
        <v>45872</v>
      </c>
      <c r="E1370" t="s">
        <v>265</v>
      </c>
      <c r="F1370" t="s">
        <v>5502</v>
      </c>
      <c r="G1370" t="s">
        <v>22</v>
      </c>
      <c r="H1370" t="s">
        <v>5503</v>
      </c>
      <c r="I1370" t="s">
        <v>5504</v>
      </c>
      <c r="J1370" s="4">
        <v>46051.961903877316</v>
      </c>
    </row>
    <row r="1371" spans="1:10" x14ac:dyDescent="0.55000000000000004">
      <c r="A1371" t="s">
        <v>5505</v>
      </c>
      <c r="B1371">
        <v>100186</v>
      </c>
      <c r="C1371" t="s">
        <v>68</v>
      </c>
      <c r="D1371" s="3">
        <v>45971</v>
      </c>
      <c r="E1371" t="s">
        <v>213</v>
      </c>
      <c r="F1371" t="s">
        <v>5506</v>
      </c>
      <c r="G1371" t="s">
        <v>15</v>
      </c>
      <c r="H1371" t="s">
        <v>5507</v>
      </c>
      <c r="I1371" t="s">
        <v>5508</v>
      </c>
      <c r="J1371" s="4">
        <v>46081.500098321761</v>
      </c>
    </row>
    <row r="1372" spans="1:10" x14ac:dyDescent="0.55000000000000004">
      <c r="A1372" t="s">
        <v>5509</v>
      </c>
      <c r="B1372">
        <v>101010</v>
      </c>
      <c r="C1372" t="s">
        <v>248</v>
      </c>
      <c r="D1372" s="3">
        <v>46083</v>
      </c>
      <c r="E1372" t="s">
        <v>83</v>
      </c>
      <c r="F1372" t="s">
        <v>5510</v>
      </c>
      <c r="G1372" t="s">
        <v>22</v>
      </c>
      <c r="H1372" t="s">
        <v>5511</v>
      </c>
      <c r="I1372" t="s">
        <v>5512</v>
      </c>
      <c r="J1372" s="4">
        <v>46087.453570543985</v>
      </c>
    </row>
    <row r="1373" spans="1:10" x14ac:dyDescent="0.55000000000000004">
      <c r="A1373" t="s">
        <v>5513</v>
      </c>
      <c r="B1373">
        <v>101043</v>
      </c>
      <c r="C1373" t="s">
        <v>19</v>
      </c>
      <c r="D1373" s="3">
        <v>45953</v>
      </c>
      <c r="E1373" t="s">
        <v>89</v>
      </c>
      <c r="F1373" t="s">
        <v>5514</v>
      </c>
      <c r="G1373" t="s">
        <v>22</v>
      </c>
      <c r="H1373" t="s">
        <v>5515</v>
      </c>
      <c r="I1373" t="s">
        <v>5516</v>
      </c>
      <c r="J1373" s="4">
        <v>46076.860515</v>
      </c>
    </row>
    <row r="1374" spans="1:10" x14ac:dyDescent="0.55000000000000004">
      <c r="A1374" t="s">
        <v>2937</v>
      </c>
      <c r="B1374">
        <v>100283</v>
      </c>
      <c r="C1374" t="s">
        <v>533</v>
      </c>
      <c r="D1374" s="3">
        <v>46042</v>
      </c>
      <c r="E1374" t="s">
        <v>418</v>
      </c>
      <c r="F1374" t="s">
        <v>5517</v>
      </c>
      <c r="G1374" t="s">
        <v>22</v>
      </c>
      <c r="H1374" t="s">
        <v>5518</v>
      </c>
      <c r="I1374" t="s">
        <v>5519</v>
      </c>
      <c r="J1374" s="4">
        <v>46073.84662611111</v>
      </c>
    </row>
    <row r="1375" spans="1:10" x14ac:dyDescent="0.55000000000000004">
      <c r="A1375" t="s">
        <v>5520</v>
      </c>
      <c r="B1375">
        <v>101404</v>
      </c>
      <c r="C1375" t="s">
        <v>37</v>
      </c>
      <c r="D1375" s="3">
        <v>45962</v>
      </c>
      <c r="E1375" t="s">
        <v>155</v>
      </c>
      <c r="F1375" t="s">
        <v>5521</v>
      </c>
      <c r="G1375" t="s">
        <v>22</v>
      </c>
      <c r="H1375" t="s">
        <v>5522</v>
      </c>
      <c r="I1375" t="s">
        <v>5523</v>
      </c>
      <c r="J1375" s="4">
        <v>46060.163292789352</v>
      </c>
    </row>
    <row r="1376" spans="1:10" x14ac:dyDescent="0.55000000000000004">
      <c r="A1376" t="s">
        <v>5524</v>
      </c>
      <c r="B1376">
        <v>100741</v>
      </c>
      <c r="C1376" t="s">
        <v>68</v>
      </c>
      <c r="D1376" s="3">
        <v>46041</v>
      </c>
      <c r="E1376" t="s">
        <v>495</v>
      </c>
      <c r="F1376" t="s">
        <v>5525</v>
      </c>
      <c r="G1376" t="s">
        <v>15</v>
      </c>
      <c r="H1376" t="s">
        <v>5526</v>
      </c>
      <c r="I1376" t="s">
        <v>5527</v>
      </c>
      <c r="J1376" s="4">
        <v>46090.490376122689</v>
      </c>
    </row>
    <row r="1377" spans="1:11" x14ac:dyDescent="0.55000000000000004">
      <c r="A1377" t="s">
        <v>5528</v>
      </c>
      <c r="B1377">
        <v>100817</v>
      </c>
      <c r="D1377" s="3">
        <v>45951</v>
      </c>
      <c r="E1377" t="s">
        <v>20</v>
      </c>
      <c r="F1377" t="s">
        <v>5529</v>
      </c>
      <c r="G1377" t="s">
        <v>15</v>
      </c>
      <c r="H1377" t="s">
        <v>5530</v>
      </c>
      <c r="I1377" t="s">
        <v>5531</v>
      </c>
      <c r="J1377" s="4">
        <v>46093.440376122686</v>
      </c>
      <c r="K1377" t="s">
        <v>217</v>
      </c>
    </row>
    <row r="1378" spans="1:11" x14ac:dyDescent="0.55000000000000004">
      <c r="A1378" t="s">
        <v>5532</v>
      </c>
      <c r="B1378">
        <v>101195</v>
      </c>
      <c r="C1378" t="s">
        <v>68</v>
      </c>
      <c r="D1378" s="3">
        <v>45922</v>
      </c>
      <c r="E1378" t="s">
        <v>20</v>
      </c>
      <c r="F1378" t="s">
        <v>5533</v>
      </c>
      <c r="G1378" t="s">
        <v>15</v>
      </c>
      <c r="H1378" t="s">
        <v>5534</v>
      </c>
      <c r="I1378" t="s">
        <v>5535</v>
      </c>
      <c r="J1378" s="4">
        <v>46097.29315391204</v>
      </c>
    </row>
    <row r="1379" spans="1:11" x14ac:dyDescent="0.55000000000000004">
      <c r="A1379" t="s">
        <v>5536</v>
      </c>
      <c r="B1379">
        <v>100877</v>
      </c>
      <c r="C1379" t="s">
        <v>37</v>
      </c>
      <c r="D1379" s="3">
        <v>46099</v>
      </c>
      <c r="E1379" t="s">
        <v>418</v>
      </c>
      <c r="F1379" t="s">
        <v>5537</v>
      </c>
      <c r="G1379" t="s">
        <v>22</v>
      </c>
      <c r="H1379" t="s">
        <v>5538</v>
      </c>
      <c r="I1379" t="s">
        <v>5539</v>
      </c>
      <c r="J1379" s="4">
        <v>46082.947320578707</v>
      </c>
    </row>
    <row r="1380" spans="1:11" x14ac:dyDescent="0.55000000000000004">
      <c r="A1380" t="s">
        <v>5540</v>
      </c>
      <c r="B1380">
        <v>101197</v>
      </c>
      <c r="C1380" t="s">
        <v>37</v>
      </c>
      <c r="D1380" s="3">
        <v>45929</v>
      </c>
      <c r="E1380" t="s">
        <v>409</v>
      </c>
      <c r="F1380" t="s">
        <v>5541</v>
      </c>
      <c r="G1380" t="s">
        <v>15</v>
      </c>
      <c r="H1380" t="s">
        <v>5542</v>
      </c>
      <c r="I1380" t="s">
        <v>5543</v>
      </c>
      <c r="J1380" s="4">
        <v>46090.948709467593</v>
      </c>
    </row>
    <row r="1381" spans="1:11" x14ac:dyDescent="0.55000000000000004">
      <c r="A1381" t="s">
        <v>5544</v>
      </c>
      <c r="B1381">
        <v>100538</v>
      </c>
      <c r="C1381" t="s">
        <v>248</v>
      </c>
      <c r="D1381" s="3">
        <v>46098</v>
      </c>
      <c r="E1381" t="s">
        <v>243</v>
      </c>
      <c r="F1381" t="s">
        <v>5545</v>
      </c>
      <c r="G1381" t="s">
        <v>22</v>
      </c>
      <c r="H1381" t="s">
        <v>5546</v>
      </c>
      <c r="I1381" t="s">
        <v>5547</v>
      </c>
      <c r="J1381" s="4">
        <v>46077.291070590276</v>
      </c>
    </row>
    <row r="1382" spans="1:11" x14ac:dyDescent="0.55000000000000004">
      <c r="A1382" t="s">
        <v>5548</v>
      </c>
      <c r="B1382">
        <v>101103</v>
      </c>
      <c r="C1382" t="s">
        <v>248</v>
      </c>
      <c r="D1382" s="3">
        <v>45832</v>
      </c>
      <c r="E1382" t="s">
        <v>69</v>
      </c>
      <c r="F1382" t="s">
        <v>5549</v>
      </c>
      <c r="G1382" t="s">
        <v>22</v>
      </c>
      <c r="H1382" t="s">
        <v>5550</v>
      </c>
      <c r="I1382" t="s">
        <v>5551</v>
      </c>
      <c r="J1382" s="4">
        <v>46095.355653923609</v>
      </c>
    </row>
    <row r="1383" spans="1:11" x14ac:dyDescent="0.55000000000000004">
      <c r="A1383" t="s">
        <v>5552</v>
      </c>
      <c r="B1383">
        <v>101478</v>
      </c>
      <c r="C1383" t="s">
        <v>179</v>
      </c>
      <c r="D1383" s="3">
        <v>45793</v>
      </c>
      <c r="E1383" t="s">
        <v>69</v>
      </c>
      <c r="F1383" t="s">
        <v>5553</v>
      </c>
      <c r="G1383" t="s">
        <v>15</v>
      </c>
      <c r="H1383" t="s">
        <v>5554</v>
      </c>
      <c r="I1383" t="s">
        <v>5555</v>
      </c>
      <c r="J1383" s="4">
        <v>46059.281348368058</v>
      </c>
    </row>
    <row r="1384" spans="1:11" x14ac:dyDescent="0.55000000000000004">
      <c r="A1384" t="s">
        <v>5556</v>
      </c>
      <c r="B1384">
        <v>100505</v>
      </c>
      <c r="C1384" t="s">
        <v>19</v>
      </c>
      <c r="D1384" s="3">
        <v>45928</v>
      </c>
      <c r="E1384" t="s">
        <v>38</v>
      </c>
      <c r="F1384" t="s">
        <v>5557</v>
      </c>
      <c r="G1384" t="s">
        <v>15</v>
      </c>
      <c r="H1384" t="s">
        <v>5558</v>
      </c>
      <c r="I1384" t="s">
        <v>5559</v>
      </c>
      <c r="J1384" s="4">
        <v>46079.72093171296</v>
      </c>
    </row>
    <row r="1385" spans="1:11" x14ac:dyDescent="0.55000000000000004">
      <c r="A1385" t="s">
        <v>5560</v>
      </c>
      <c r="B1385">
        <v>101493</v>
      </c>
      <c r="C1385" t="s">
        <v>19</v>
      </c>
      <c r="D1385" s="3">
        <v>45734</v>
      </c>
      <c r="E1385" t="s">
        <v>356</v>
      </c>
      <c r="F1385" t="s">
        <v>5561</v>
      </c>
      <c r="G1385" t="s">
        <v>22</v>
      </c>
      <c r="H1385" t="s">
        <v>5562</v>
      </c>
      <c r="I1385" t="s">
        <v>5563</v>
      </c>
      <c r="J1385" s="4">
        <v>46094.98759837963</v>
      </c>
    </row>
    <row r="1386" spans="1:11" x14ac:dyDescent="0.55000000000000004">
      <c r="A1386" t="s">
        <v>5564</v>
      </c>
      <c r="B1386">
        <v>100542</v>
      </c>
      <c r="C1386" t="s">
        <v>19</v>
      </c>
      <c r="D1386" s="3">
        <v>45752</v>
      </c>
      <c r="E1386" t="s">
        <v>141</v>
      </c>
      <c r="F1386" t="s">
        <v>5565</v>
      </c>
      <c r="G1386" t="s">
        <v>15</v>
      </c>
      <c r="H1386" t="s">
        <v>5566</v>
      </c>
      <c r="I1386" t="s">
        <v>5567</v>
      </c>
      <c r="J1386" s="4">
        <v>46067.611209502313</v>
      </c>
    </row>
    <row r="1387" spans="1:11" x14ac:dyDescent="0.55000000000000004">
      <c r="A1387" t="s">
        <v>5568</v>
      </c>
      <c r="B1387">
        <v>100292</v>
      </c>
      <c r="C1387" t="s">
        <v>179</v>
      </c>
      <c r="D1387" s="3">
        <v>46102</v>
      </c>
      <c r="E1387" t="s">
        <v>49</v>
      </c>
      <c r="F1387" t="s">
        <v>5569</v>
      </c>
      <c r="G1387" t="s">
        <v>22</v>
      </c>
      <c r="H1387" t="s">
        <v>5570</v>
      </c>
      <c r="I1387" t="s">
        <v>5571</v>
      </c>
      <c r="J1387" s="4">
        <v>46072.632737280095</v>
      </c>
    </row>
    <row r="1388" spans="1:11" x14ac:dyDescent="0.55000000000000004">
      <c r="A1388" t="s">
        <v>5572</v>
      </c>
      <c r="B1388">
        <v>100939</v>
      </c>
      <c r="C1388" t="s">
        <v>19</v>
      </c>
      <c r="D1388" s="3">
        <v>46128</v>
      </c>
      <c r="E1388" t="s">
        <v>89</v>
      </c>
      <c r="F1388" t="s">
        <v>5573</v>
      </c>
      <c r="G1388" t="s">
        <v>15</v>
      </c>
      <c r="H1388" t="s">
        <v>5574</v>
      </c>
      <c r="I1388" t="s">
        <v>5575</v>
      </c>
      <c r="J1388" s="4">
        <v>46072.321626168981</v>
      </c>
    </row>
    <row r="1389" spans="1:11" x14ac:dyDescent="0.55000000000000004">
      <c r="A1389" t="s">
        <v>5576</v>
      </c>
      <c r="B1389">
        <v>101316</v>
      </c>
      <c r="C1389" t="s">
        <v>179</v>
      </c>
      <c r="D1389" s="3">
        <v>45984</v>
      </c>
      <c r="E1389" t="s">
        <v>13</v>
      </c>
      <c r="F1389" t="s">
        <v>5577</v>
      </c>
      <c r="G1389" t="s">
        <v>15</v>
      </c>
      <c r="H1389" t="s">
        <v>5578</v>
      </c>
      <c r="I1389" t="s">
        <v>5579</v>
      </c>
      <c r="J1389" s="4">
        <v>46083.678570625001</v>
      </c>
    </row>
    <row r="1390" spans="1:11" x14ac:dyDescent="0.55000000000000004">
      <c r="A1390" t="s">
        <v>5580</v>
      </c>
      <c r="B1390">
        <v>100810</v>
      </c>
      <c r="C1390" t="s">
        <v>37</v>
      </c>
      <c r="D1390" s="3">
        <v>45803</v>
      </c>
      <c r="E1390" t="s">
        <v>20</v>
      </c>
      <c r="F1390" t="s">
        <v>5581</v>
      </c>
      <c r="G1390" t="s">
        <v>22</v>
      </c>
      <c r="H1390" t="s">
        <v>5582</v>
      </c>
      <c r="I1390" t="s">
        <v>5583</v>
      </c>
      <c r="J1390" s="4">
        <v>46083.504265069445</v>
      </c>
    </row>
    <row r="1391" spans="1:11" x14ac:dyDescent="0.55000000000000004">
      <c r="A1391" t="s">
        <v>5584</v>
      </c>
      <c r="B1391">
        <v>101022</v>
      </c>
      <c r="C1391" t="s">
        <v>37</v>
      </c>
      <c r="D1391" s="3">
        <v>45829</v>
      </c>
      <c r="E1391" t="s">
        <v>343</v>
      </c>
      <c r="F1391" t="s">
        <v>5585</v>
      </c>
      <c r="G1391" t="s">
        <v>15</v>
      </c>
      <c r="H1391" t="s">
        <v>5586</v>
      </c>
      <c r="I1391" t="s">
        <v>5587</v>
      </c>
      <c r="J1391" s="4">
        <v>46081.684820625</v>
      </c>
    </row>
    <row r="1392" spans="1:11" x14ac:dyDescent="0.55000000000000004">
      <c r="A1392" t="s">
        <v>5588</v>
      </c>
      <c r="B1392">
        <v>101342</v>
      </c>
      <c r="C1392" t="s">
        <v>533</v>
      </c>
      <c r="D1392" s="3">
        <v>45756</v>
      </c>
      <c r="E1392" t="s">
        <v>295</v>
      </c>
      <c r="F1392" t="s">
        <v>5589</v>
      </c>
      <c r="G1392" t="s">
        <v>22</v>
      </c>
      <c r="H1392" t="s">
        <v>5590</v>
      </c>
      <c r="I1392" t="s">
        <v>5591</v>
      </c>
      <c r="J1392" s="4">
        <v>46052.875098414355</v>
      </c>
    </row>
    <row r="1393" spans="1:11" x14ac:dyDescent="0.55000000000000004">
      <c r="A1393" t="s">
        <v>6041</v>
      </c>
      <c r="B1393">
        <v>100435</v>
      </c>
      <c r="C1393" t="s">
        <v>179</v>
      </c>
      <c r="D1393" s="3">
        <v>45870</v>
      </c>
      <c r="E1393" t="s">
        <v>680</v>
      </c>
      <c r="F1393" t="s">
        <v>5593</v>
      </c>
      <c r="G1393" t="s">
        <v>15</v>
      </c>
      <c r="H1393" t="s">
        <v>5594</v>
      </c>
      <c r="I1393" t="s">
        <v>5595</v>
      </c>
      <c r="J1393" s="4">
        <v>46089.292459525466</v>
      </c>
      <c r="K1393" t="s">
        <v>119</v>
      </c>
    </row>
    <row r="1394" spans="1:11" x14ac:dyDescent="0.55000000000000004">
      <c r="A1394" t="s">
        <v>5596</v>
      </c>
      <c r="B1394">
        <v>100644</v>
      </c>
      <c r="C1394" t="s">
        <v>533</v>
      </c>
      <c r="D1394" s="3">
        <v>46117</v>
      </c>
      <c r="E1394" t="s">
        <v>243</v>
      </c>
      <c r="F1394" t="s">
        <v>5597</v>
      </c>
      <c r="G1394" t="s">
        <v>15</v>
      </c>
      <c r="H1394" t="s">
        <v>5598</v>
      </c>
      <c r="I1394" t="s">
        <v>5599</v>
      </c>
      <c r="J1394" s="4">
        <v>46061.066765081021</v>
      </c>
    </row>
    <row r="1395" spans="1:11" x14ac:dyDescent="0.55000000000000004">
      <c r="A1395" t="s">
        <v>5600</v>
      </c>
      <c r="B1395">
        <v>101161</v>
      </c>
      <c r="C1395" t="s">
        <v>19</v>
      </c>
      <c r="D1395" s="3">
        <v>45875</v>
      </c>
      <c r="E1395" t="s">
        <v>757</v>
      </c>
      <c r="F1395" t="s">
        <v>5601</v>
      </c>
      <c r="G1395" t="s">
        <v>15</v>
      </c>
      <c r="H1395" t="s">
        <v>5602</v>
      </c>
      <c r="I1395" t="s">
        <v>5603</v>
      </c>
      <c r="J1395" s="4">
        <v>46092.370931759258</v>
      </c>
    </row>
    <row r="1396" spans="1:11" x14ac:dyDescent="0.55000000000000004">
      <c r="A1396" t="s">
        <v>5604</v>
      </c>
      <c r="B1396">
        <v>100432</v>
      </c>
      <c r="C1396" t="s">
        <v>68</v>
      </c>
      <c r="D1396" s="3">
        <v>46096</v>
      </c>
      <c r="E1396" t="s">
        <v>20</v>
      </c>
      <c r="F1396" t="s">
        <v>5605</v>
      </c>
      <c r="G1396" t="s">
        <v>15</v>
      </c>
      <c r="H1396" t="s">
        <v>5606</v>
      </c>
      <c r="I1396" t="s">
        <v>5607</v>
      </c>
      <c r="J1396" s="4">
        <v>46054.825792870368</v>
      </c>
    </row>
    <row r="1397" spans="1:11" x14ac:dyDescent="0.55000000000000004">
      <c r="A1397" t="s">
        <v>5608</v>
      </c>
      <c r="B1397">
        <v>100135</v>
      </c>
      <c r="C1397" t="s">
        <v>248</v>
      </c>
      <c r="D1397" s="3">
        <v>46087</v>
      </c>
      <c r="E1397" t="s">
        <v>155</v>
      </c>
      <c r="F1397" t="s">
        <v>5609</v>
      </c>
      <c r="G1397" t="s">
        <v>22</v>
      </c>
      <c r="H1397" t="s">
        <v>5610</v>
      </c>
      <c r="I1397" t="s">
        <v>5611</v>
      </c>
      <c r="J1397" s="4">
        <v>46094.443848425923</v>
      </c>
    </row>
    <row r="1398" spans="1:11" x14ac:dyDescent="0.55000000000000004">
      <c r="A1398" t="s">
        <v>5612</v>
      </c>
      <c r="B1398">
        <v>100548</v>
      </c>
      <c r="C1398" t="s">
        <v>37</v>
      </c>
      <c r="D1398" s="3">
        <v>46075</v>
      </c>
      <c r="E1398" t="s">
        <v>69</v>
      </c>
      <c r="F1398" t="s">
        <v>5613</v>
      </c>
      <c r="G1398" t="s">
        <v>22</v>
      </c>
      <c r="H1398" t="s">
        <v>5614</v>
      </c>
      <c r="I1398" t="s">
        <v>5615</v>
      </c>
      <c r="J1398" s="4">
        <v>46085.052876215275</v>
      </c>
    </row>
    <row r="1399" spans="1:11" x14ac:dyDescent="0.55000000000000004">
      <c r="A1399" t="s">
        <v>1583</v>
      </c>
      <c r="B1399">
        <v>100821</v>
      </c>
      <c r="C1399" t="s">
        <v>533</v>
      </c>
      <c r="D1399" s="3">
        <v>45906</v>
      </c>
      <c r="E1399" t="s">
        <v>38</v>
      </c>
      <c r="F1399" t="s">
        <v>5616</v>
      </c>
      <c r="G1399" t="s">
        <v>22</v>
      </c>
      <c r="H1399" t="s">
        <v>5617</v>
      </c>
      <c r="I1399" t="s">
        <v>5618</v>
      </c>
      <c r="J1399" s="4">
        <v>46078.100792881945</v>
      </c>
    </row>
    <row r="1400" spans="1:11" x14ac:dyDescent="0.55000000000000004">
      <c r="A1400" t="s">
        <v>5619</v>
      </c>
      <c r="B1400">
        <v>100646</v>
      </c>
      <c r="C1400" t="s">
        <v>533</v>
      </c>
      <c r="D1400" s="3">
        <v>45990</v>
      </c>
      <c r="E1400" t="s">
        <v>115</v>
      </c>
      <c r="F1400" t="s">
        <v>5620</v>
      </c>
      <c r="G1400" t="s">
        <v>15</v>
      </c>
      <c r="H1400" t="s">
        <v>5621</v>
      </c>
      <c r="I1400" t="s">
        <v>5622</v>
      </c>
      <c r="J1400" s="4">
        <v>46074.19801511574</v>
      </c>
    </row>
    <row r="1401" spans="1:11" x14ac:dyDescent="0.55000000000000004">
      <c r="A1401" t="s">
        <v>5623</v>
      </c>
      <c r="B1401">
        <v>101486</v>
      </c>
      <c r="C1401" t="s">
        <v>179</v>
      </c>
      <c r="D1401" s="3">
        <v>46049</v>
      </c>
      <c r="E1401" t="s">
        <v>680</v>
      </c>
      <c r="F1401" t="s">
        <v>5624</v>
      </c>
      <c r="G1401" t="s">
        <v>15</v>
      </c>
      <c r="H1401" t="s">
        <v>5625</v>
      </c>
      <c r="I1401" t="s">
        <v>5626</v>
      </c>
      <c r="J1401" s="4">
        <v>46080.144542893519</v>
      </c>
    </row>
    <row r="1402" spans="1:11" x14ac:dyDescent="0.55000000000000004">
      <c r="A1402" t="s">
        <v>5627</v>
      </c>
      <c r="B1402">
        <v>100469</v>
      </c>
      <c r="C1402" t="s">
        <v>533</v>
      </c>
      <c r="D1402" s="3">
        <v>46083</v>
      </c>
      <c r="E1402" t="s">
        <v>170</v>
      </c>
      <c r="F1402" t="s">
        <v>5628</v>
      </c>
      <c r="G1402" t="s">
        <v>15</v>
      </c>
      <c r="H1402" t="s">
        <v>5629</v>
      </c>
      <c r="I1402" t="s">
        <v>5630</v>
      </c>
      <c r="J1402" s="4">
        <v>46068.593848449076</v>
      </c>
    </row>
    <row r="1403" spans="1:11" x14ac:dyDescent="0.55000000000000004">
      <c r="A1403" t="s">
        <v>5631</v>
      </c>
      <c r="B1403">
        <v>100114</v>
      </c>
      <c r="C1403" t="s">
        <v>533</v>
      </c>
      <c r="D1403" s="3">
        <v>45855</v>
      </c>
      <c r="E1403" t="s">
        <v>69</v>
      </c>
      <c r="F1403" t="s">
        <v>5632</v>
      </c>
      <c r="G1403" t="s">
        <v>15</v>
      </c>
      <c r="H1403" t="s">
        <v>5633</v>
      </c>
      <c r="I1403" t="s">
        <v>5634</v>
      </c>
      <c r="J1403" s="4">
        <v>46080.705654016201</v>
      </c>
    </row>
    <row r="1404" spans="1:11" x14ac:dyDescent="0.55000000000000004">
      <c r="A1404" t="s">
        <v>5635</v>
      </c>
      <c r="B1404">
        <v>100664</v>
      </c>
      <c r="C1404" t="s">
        <v>19</v>
      </c>
      <c r="D1404" s="3">
        <v>46070</v>
      </c>
      <c r="E1404" t="s">
        <v>495</v>
      </c>
      <c r="F1404" t="s">
        <v>5636</v>
      </c>
      <c r="G1404" t="s">
        <v>15</v>
      </c>
      <c r="H1404" t="s">
        <v>5637</v>
      </c>
      <c r="I1404" t="s">
        <v>5638</v>
      </c>
      <c r="J1404" s="4">
        <v>46062.626487349538</v>
      </c>
    </row>
    <row r="1405" spans="1:11" x14ac:dyDescent="0.55000000000000004">
      <c r="A1405" t="s">
        <v>5639</v>
      </c>
      <c r="B1405">
        <v>101402</v>
      </c>
      <c r="C1405" t="s">
        <v>68</v>
      </c>
      <c r="D1405" s="3">
        <v>45952</v>
      </c>
      <c r="E1405" t="s">
        <v>115</v>
      </c>
      <c r="F1405" t="s">
        <v>5640</v>
      </c>
      <c r="G1405" t="s">
        <v>22</v>
      </c>
      <c r="H1405" t="s">
        <v>5641</v>
      </c>
      <c r="I1405" t="s">
        <v>5642</v>
      </c>
      <c r="J1405" s="4">
        <v>46065.133431793984</v>
      </c>
    </row>
    <row r="1406" spans="1:11" x14ac:dyDescent="0.55000000000000004">
      <c r="A1406" t="s">
        <v>5643</v>
      </c>
      <c r="B1406">
        <v>100449</v>
      </c>
      <c r="C1406" t="s">
        <v>19</v>
      </c>
      <c r="D1406" s="3">
        <v>45902</v>
      </c>
      <c r="E1406" t="s">
        <v>69</v>
      </c>
      <c r="F1406" t="s">
        <v>5644</v>
      </c>
      <c r="G1406" t="s">
        <v>22</v>
      </c>
      <c r="H1406" t="s">
        <v>5645</v>
      </c>
      <c r="I1406" t="s">
        <v>5646</v>
      </c>
      <c r="J1406" s="4">
        <v>46074.607042916665</v>
      </c>
    </row>
    <row r="1407" spans="1:11" x14ac:dyDescent="0.55000000000000004">
      <c r="A1407" t="s">
        <v>5647</v>
      </c>
      <c r="B1407">
        <v>101140</v>
      </c>
      <c r="C1407" t="s">
        <v>37</v>
      </c>
      <c r="D1407" s="3">
        <v>46064</v>
      </c>
      <c r="E1407" t="s">
        <v>757</v>
      </c>
      <c r="F1407" t="s">
        <v>5648</v>
      </c>
      <c r="G1407" t="s">
        <v>15</v>
      </c>
      <c r="H1407" t="s">
        <v>5649</v>
      </c>
      <c r="I1407" t="s">
        <v>5650</v>
      </c>
      <c r="J1407" s="4">
        <v>46079.477181805552</v>
      </c>
    </row>
    <row r="1408" spans="1:11" x14ac:dyDescent="0.55000000000000004">
      <c r="A1408" t="s">
        <v>5651</v>
      </c>
      <c r="B1408">
        <v>101310</v>
      </c>
      <c r="C1408" t="s">
        <v>179</v>
      </c>
      <c r="D1408" s="3">
        <v>45822</v>
      </c>
      <c r="E1408" t="s">
        <v>495</v>
      </c>
      <c r="F1408" t="s">
        <v>5652</v>
      </c>
      <c r="G1408" t="s">
        <v>22</v>
      </c>
      <c r="H1408" t="s">
        <v>5653</v>
      </c>
      <c r="I1408" t="s">
        <v>5654</v>
      </c>
      <c r="J1408" s="4">
        <v>46090.777181805555</v>
      </c>
    </row>
    <row r="1409" spans="1:11" x14ac:dyDescent="0.55000000000000004">
      <c r="A1409" t="s">
        <v>5655</v>
      </c>
      <c r="B1409">
        <v>100552</v>
      </c>
      <c r="C1409" t="s">
        <v>37</v>
      </c>
      <c r="D1409" s="3">
        <v>46062</v>
      </c>
      <c r="E1409" t="s">
        <v>155</v>
      </c>
      <c r="F1409" t="s">
        <v>5656</v>
      </c>
      <c r="G1409" t="s">
        <v>15</v>
      </c>
      <c r="H1409" t="s">
        <v>5657</v>
      </c>
      <c r="I1409" t="s">
        <v>5658</v>
      </c>
      <c r="J1409" s="4">
        <v>46090.670931817127</v>
      </c>
    </row>
    <row r="1410" spans="1:11" x14ac:dyDescent="0.55000000000000004">
      <c r="A1410" t="s">
        <v>6042</v>
      </c>
      <c r="B1410">
        <v>100777</v>
      </c>
      <c r="C1410" t="s">
        <v>37</v>
      </c>
      <c r="D1410" s="3">
        <v>46026</v>
      </c>
      <c r="E1410" t="s">
        <v>265</v>
      </c>
      <c r="F1410" t="s">
        <v>5660</v>
      </c>
      <c r="G1410" t="s">
        <v>15</v>
      </c>
      <c r="H1410" t="s">
        <v>5661</v>
      </c>
      <c r="I1410" t="s">
        <v>5662</v>
      </c>
      <c r="J1410" s="4">
        <v>46080.424404039353</v>
      </c>
      <c r="K1410" t="s">
        <v>119</v>
      </c>
    </row>
    <row r="1411" spans="1:11" x14ac:dyDescent="0.55000000000000004">
      <c r="A1411" t="s">
        <v>5663</v>
      </c>
      <c r="B1411">
        <v>100946</v>
      </c>
      <c r="C1411" t="s">
        <v>19</v>
      </c>
      <c r="D1411" s="3">
        <v>46090</v>
      </c>
      <c r="E1411" t="s">
        <v>213</v>
      </c>
      <c r="F1411" t="s">
        <v>5664</v>
      </c>
      <c r="G1411" t="s">
        <v>15</v>
      </c>
      <c r="H1411" t="s">
        <v>5665</v>
      </c>
      <c r="I1411" t="s">
        <v>5666</v>
      </c>
      <c r="J1411" s="4">
        <v>46082.762598483794</v>
      </c>
    </row>
    <row r="1412" spans="1:11" x14ac:dyDescent="0.55000000000000004">
      <c r="A1412" t="s">
        <v>5667</v>
      </c>
      <c r="C1412" t="s">
        <v>248</v>
      </c>
      <c r="D1412" s="3">
        <v>45985</v>
      </c>
      <c r="E1412" t="s">
        <v>115</v>
      </c>
      <c r="F1412" t="s">
        <v>5668</v>
      </c>
      <c r="G1412" t="s">
        <v>15</v>
      </c>
      <c r="H1412" t="s">
        <v>5669</v>
      </c>
      <c r="I1412" t="s">
        <v>5670</v>
      </c>
      <c r="J1412" s="4">
        <v>46074.840376273147</v>
      </c>
      <c r="K1412" t="s">
        <v>112</v>
      </c>
    </row>
    <row r="1413" spans="1:11" x14ac:dyDescent="0.55000000000000004">
      <c r="A1413" t="s">
        <v>5671</v>
      </c>
      <c r="B1413">
        <v>101495</v>
      </c>
      <c r="C1413" t="s">
        <v>68</v>
      </c>
      <c r="D1413" s="3">
        <v>46093</v>
      </c>
      <c r="E1413" t="s">
        <v>343</v>
      </c>
      <c r="F1413" t="s">
        <v>5672</v>
      </c>
      <c r="G1413" t="s">
        <v>15</v>
      </c>
      <c r="H1413" t="s">
        <v>5673</v>
      </c>
      <c r="I1413" t="s">
        <v>5674</v>
      </c>
      <c r="J1413" s="4">
        <v>46064.750098495373</v>
      </c>
    </row>
    <row r="1414" spans="1:11" x14ac:dyDescent="0.55000000000000004">
      <c r="A1414" t="s">
        <v>5675</v>
      </c>
      <c r="B1414">
        <v>101093</v>
      </c>
      <c r="C1414" t="s">
        <v>19</v>
      </c>
      <c r="D1414" s="3">
        <v>45976</v>
      </c>
      <c r="E1414" t="s">
        <v>160</v>
      </c>
      <c r="F1414" t="s">
        <v>5676</v>
      </c>
      <c r="G1414" t="s">
        <v>22</v>
      </c>
      <c r="H1414" t="s">
        <v>5677</v>
      </c>
      <c r="I1414" t="s">
        <v>5678</v>
      </c>
      <c r="J1414" s="4">
        <v>46054.647320717595</v>
      </c>
    </row>
    <row r="1415" spans="1:11" x14ac:dyDescent="0.55000000000000004">
      <c r="A1415" t="s">
        <v>5679</v>
      </c>
      <c r="B1415">
        <v>100350</v>
      </c>
      <c r="C1415" t="s">
        <v>533</v>
      </c>
      <c r="D1415" s="3">
        <v>45827</v>
      </c>
      <c r="E1415" t="s">
        <v>418</v>
      </c>
      <c r="F1415" t="s">
        <v>5680</v>
      </c>
      <c r="G1415" t="s">
        <v>15</v>
      </c>
      <c r="H1415" t="s">
        <v>5681</v>
      </c>
      <c r="I1415" t="s">
        <v>5682</v>
      </c>
      <c r="J1415" s="4">
        <v>46055.07162628472</v>
      </c>
    </row>
    <row r="1416" spans="1:11" x14ac:dyDescent="0.55000000000000004">
      <c r="A1416" t="s">
        <v>5683</v>
      </c>
      <c r="B1416">
        <v>101300</v>
      </c>
      <c r="C1416" t="s">
        <v>179</v>
      </c>
      <c r="D1416" s="3">
        <v>45903</v>
      </c>
      <c r="E1416" t="s">
        <v>115</v>
      </c>
      <c r="F1416" t="s">
        <v>5684</v>
      </c>
      <c r="G1416" t="s">
        <v>22</v>
      </c>
      <c r="H1416" t="s">
        <v>5685</v>
      </c>
      <c r="I1416" t="s">
        <v>5686</v>
      </c>
      <c r="J1416" s="4">
        <v>46093.503570729168</v>
      </c>
    </row>
    <row r="1417" spans="1:11" x14ac:dyDescent="0.55000000000000004">
      <c r="A1417" t="s">
        <v>5687</v>
      </c>
      <c r="B1417">
        <v>101247</v>
      </c>
      <c r="C1417" t="s">
        <v>37</v>
      </c>
      <c r="D1417" s="3">
        <v>46036</v>
      </c>
      <c r="E1417" t="s">
        <v>89</v>
      </c>
      <c r="F1417" t="s">
        <v>5688</v>
      </c>
      <c r="G1417" t="s">
        <v>15</v>
      </c>
      <c r="H1417" t="s">
        <v>5689</v>
      </c>
      <c r="I1417" t="s">
        <v>5690</v>
      </c>
      <c r="J1417" s="4">
        <v>46066.39454296296</v>
      </c>
    </row>
    <row r="1418" spans="1:11" x14ac:dyDescent="0.55000000000000004">
      <c r="A1418" t="s">
        <v>5691</v>
      </c>
      <c r="B1418">
        <v>100146</v>
      </c>
      <c r="C1418" t="s">
        <v>19</v>
      </c>
      <c r="D1418" s="3">
        <v>45788</v>
      </c>
      <c r="E1418" t="s">
        <v>155</v>
      </c>
      <c r="F1418" t="s">
        <v>5692</v>
      </c>
      <c r="G1418" t="s">
        <v>22</v>
      </c>
      <c r="H1418" t="s">
        <v>5693</v>
      </c>
      <c r="I1418" t="s">
        <v>5694</v>
      </c>
      <c r="J1418" s="4">
        <v>46082.999404074071</v>
      </c>
    </row>
    <row r="1419" spans="1:11" x14ac:dyDescent="0.55000000000000004">
      <c r="A1419" t="s">
        <v>5695</v>
      </c>
      <c r="B1419">
        <v>101327</v>
      </c>
      <c r="C1419" t="s">
        <v>19</v>
      </c>
      <c r="D1419" s="3">
        <v>45817</v>
      </c>
      <c r="E1419" t="s">
        <v>155</v>
      </c>
      <c r="F1419" t="s">
        <v>5696</v>
      </c>
      <c r="G1419" t="s">
        <v>15</v>
      </c>
      <c r="H1419" t="s">
        <v>5697</v>
      </c>
      <c r="I1419" t="s">
        <v>5698</v>
      </c>
      <c r="J1419" s="4">
        <v>46078.26884853009</v>
      </c>
    </row>
    <row r="1420" spans="1:11" x14ac:dyDescent="0.55000000000000004">
      <c r="A1420" t="s">
        <v>5699</v>
      </c>
      <c r="B1420">
        <v>101399</v>
      </c>
      <c r="C1420" t="s">
        <v>179</v>
      </c>
      <c r="D1420" s="3">
        <v>45983</v>
      </c>
      <c r="E1420" t="s">
        <v>126</v>
      </c>
      <c r="F1420" t="s">
        <v>5700</v>
      </c>
      <c r="G1420" t="s">
        <v>22</v>
      </c>
      <c r="H1420" t="s">
        <v>5701</v>
      </c>
      <c r="I1420" t="s">
        <v>5702</v>
      </c>
      <c r="J1420" s="4">
        <v>46081.227876307872</v>
      </c>
    </row>
    <row r="1421" spans="1:11" x14ac:dyDescent="0.55000000000000004">
      <c r="A1421" t="s">
        <v>377</v>
      </c>
      <c r="B1421">
        <v>100546</v>
      </c>
      <c r="C1421" t="s">
        <v>179</v>
      </c>
      <c r="D1421" s="3">
        <v>45738</v>
      </c>
      <c r="E1421" t="s">
        <v>49</v>
      </c>
      <c r="F1421" t="s">
        <v>5703</v>
      </c>
      <c r="G1421" t="s">
        <v>22</v>
      </c>
      <c r="H1421" t="s">
        <v>5704</v>
      </c>
      <c r="I1421" t="s">
        <v>5705</v>
      </c>
      <c r="J1421" s="4">
        <v>46090.36259853009</v>
      </c>
    </row>
    <row r="1422" spans="1:11" x14ac:dyDescent="0.55000000000000004">
      <c r="A1422" t="s">
        <v>5706</v>
      </c>
      <c r="C1422" t="s">
        <v>19</v>
      </c>
      <c r="D1422" s="3">
        <v>46104</v>
      </c>
      <c r="E1422" t="s">
        <v>121</v>
      </c>
      <c r="F1422" t="s">
        <v>5707</v>
      </c>
      <c r="G1422" t="s">
        <v>15</v>
      </c>
      <c r="H1422" t="s">
        <v>5708</v>
      </c>
      <c r="I1422" t="s">
        <v>5709</v>
      </c>
      <c r="J1422" s="4">
        <v>46055.544542986114</v>
      </c>
      <c r="K1422" t="s">
        <v>112</v>
      </c>
    </row>
    <row r="1423" spans="1:11" x14ac:dyDescent="0.55000000000000004">
      <c r="A1423" t="s">
        <v>5710</v>
      </c>
      <c r="B1423">
        <v>100429</v>
      </c>
      <c r="C1423" t="s">
        <v>68</v>
      </c>
      <c r="D1423" s="3">
        <v>45986</v>
      </c>
      <c r="E1423" t="s">
        <v>115</v>
      </c>
      <c r="F1423" t="s">
        <v>5711</v>
      </c>
      <c r="G1423" t="s">
        <v>22</v>
      </c>
      <c r="H1423" t="s">
        <v>5712</v>
      </c>
      <c r="I1423" t="s">
        <v>5713</v>
      </c>
      <c r="J1423" s="4">
        <v>46074.452876319447</v>
      </c>
    </row>
    <row r="1424" spans="1:11" x14ac:dyDescent="0.55000000000000004">
      <c r="A1424" t="s">
        <v>5714</v>
      </c>
      <c r="B1424">
        <v>100727</v>
      </c>
      <c r="C1424" t="s">
        <v>37</v>
      </c>
      <c r="D1424" s="3">
        <v>45831</v>
      </c>
      <c r="E1424" t="s">
        <v>141</v>
      </c>
      <c r="F1424" t="s">
        <v>5715</v>
      </c>
      <c r="G1424" t="s">
        <v>22</v>
      </c>
      <c r="H1424" t="s">
        <v>5716</v>
      </c>
      <c r="I1424" t="s">
        <v>5717</v>
      </c>
      <c r="J1424" s="4">
        <v>46056.780654108799</v>
      </c>
    </row>
    <row r="1425" spans="1:11" x14ac:dyDescent="0.55000000000000004">
      <c r="A1425" t="s">
        <v>5718</v>
      </c>
      <c r="B1425">
        <v>100758</v>
      </c>
      <c r="C1425" t="s">
        <v>19</v>
      </c>
      <c r="D1425" s="3">
        <v>45962</v>
      </c>
      <c r="E1425" t="s">
        <v>160</v>
      </c>
      <c r="F1425" t="s">
        <v>5719</v>
      </c>
      <c r="G1425" t="s">
        <v>22</v>
      </c>
      <c r="H1425" t="s">
        <v>5720</v>
      </c>
      <c r="I1425" t="s">
        <v>5721</v>
      </c>
      <c r="J1425" s="4">
        <v>46071.908431886572</v>
      </c>
    </row>
    <row r="1426" spans="1:11" x14ac:dyDescent="0.55000000000000004">
      <c r="A1426" t="s">
        <v>5722</v>
      </c>
      <c r="B1426">
        <v>100333</v>
      </c>
      <c r="C1426" t="s">
        <v>179</v>
      </c>
      <c r="D1426" s="3">
        <v>45873</v>
      </c>
      <c r="E1426" t="s">
        <v>265</v>
      </c>
      <c r="F1426" t="s">
        <v>5723</v>
      </c>
      <c r="G1426" t="s">
        <v>22</v>
      </c>
      <c r="H1426" t="s">
        <v>5724</v>
      </c>
      <c r="I1426" t="s">
        <v>5725</v>
      </c>
      <c r="J1426" s="4">
        <v>46058.571626331017</v>
      </c>
    </row>
    <row r="1427" spans="1:11" x14ac:dyDescent="0.55000000000000004">
      <c r="A1427" t="s">
        <v>5726</v>
      </c>
      <c r="B1427">
        <v>100747</v>
      </c>
      <c r="D1427" s="3">
        <v>46139</v>
      </c>
      <c r="E1427" t="s">
        <v>467</v>
      </c>
      <c r="F1427" t="s">
        <v>5727</v>
      </c>
      <c r="G1427" t="s">
        <v>22</v>
      </c>
      <c r="H1427" t="s">
        <v>5728</v>
      </c>
      <c r="I1427" t="s">
        <v>5729</v>
      </c>
      <c r="J1427" s="4">
        <v>46090.734126342591</v>
      </c>
      <c r="K1427" t="s">
        <v>217</v>
      </c>
    </row>
    <row r="1428" spans="1:11" x14ac:dyDescent="0.55000000000000004">
      <c r="A1428" t="s">
        <v>5730</v>
      </c>
      <c r="B1428">
        <v>101301</v>
      </c>
      <c r="C1428" t="s">
        <v>19</v>
      </c>
      <c r="D1428" s="3">
        <v>46082</v>
      </c>
      <c r="E1428" t="s">
        <v>69</v>
      </c>
      <c r="F1428" t="s">
        <v>5731</v>
      </c>
      <c r="G1428" t="s">
        <v>15</v>
      </c>
      <c r="H1428" t="s">
        <v>5732</v>
      </c>
      <c r="I1428" t="s">
        <v>5733</v>
      </c>
      <c r="J1428" s="4">
        <v>46064.33412634259</v>
      </c>
    </row>
    <row r="1429" spans="1:11" x14ac:dyDescent="0.55000000000000004">
      <c r="A1429" t="s">
        <v>3020</v>
      </c>
      <c r="B1429">
        <v>100928</v>
      </c>
      <c r="C1429" t="s">
        <v>19</v>
      </c>
      <c r="D1429" s="3">
        <v>46017</v>
      </c>
      <c r="E1429" t="s">
        <v>208</v>
      </c>
      <c r="F1429" t="s">
        <v>5734</v>
      </c>
      <c r="G1429" t="s">
        <v>22</v>
      </c>
      <c r="H1429" t="s">
        <v>5735</v>
      </c>
      <c r="I1429" t="s">
        <v>5736</v>
      </c>
      <c r="J1429" s="4">
        <v>46093.327181898145</v>
      </c>
    </row>
    <row r="1430" spans="1:11" x14ac:dyDescent="0.55000000000000004">
      <c r="A1430" t="s">
        <v>5737</v>
      </c>
      <c r="B1430">
        <v>101462</v>
      </c>
      <c r="C1430" t="s">
        <v>37</v>
      </c>
      <c r="D1430" s="3">
        <v>45964</v>
      </c>
      <c r="E1430" t="s">
        <v>115</v>
      </c>
      <c r="F1430" t="s">
        <v>5738</v>
      </c>
      <c r="G1430" t="s">
        <v>22</v>
      </c>
      <c r="H1430" t="s">
        <v>5739</v>
      </c>
      <c r="I1430" t="s">
        <v>5740</v>
      </c>
      <c r="J1430" s="4">
        <v>46060.570931909722</v>
      </c>
    </row>
    <row r="1431" spans="1:11" x14ac:dyDescent="0.55000000000000004">
      <c r="A1431" t="s">
        <v>6043</v>
      </c>
      <c r="B1431">
        <v>101456</v>
      </c>
      <c r="C1431" t="s">
        <v>37</v>
      </c>
      <c r="D1431" s="3">
        <v>45982</v>
      </c>
      <c r="E1431" t="s">
        <v>334</v>
      </c>
      <c r="F1431" t="s">
        <v>5742</v>
      </c>
      <c r="G1431" t="s">
        <v>22</v>
      </c>
      <c r="H1431" t="s">
        <v>5743</v>
      </c>
      <c r="I1431" t="s">
        <v>5744</v>
      </c>
      <c r="J1431" s="4">
        <v>46055.745237465278</v>
      </c>
      <c r="K1431" t="s">
        <v>119</v>
      </c>
    </row>
    <row r="1432" spans="1:11" x14ac:dyDescent="0.55000000000000004">
      <c r="A1432" t="s">
        <v>5745</v>
      </c>
      <c r="B1432">
        <v>100206</v>
      </c>
      <c r="D1432" s="3">
        <v>45860</v>
      </c>
      <c r="E1432" t="s">
        <v>20</v>
      </c>
      <c r="F1432" t="s">
        <v>5746</v>
      </c>
      <c r="G1432" t="s">
        <v>22</v>
      </c>
      <c r="H1432" t="s">
        <v>5747</v>
      </c>
      <c r="I1432" t="s">
        <v>5748</v>
      </c>
      <c r="J1432" s="4">
        <v>46064.800098576387</v>
      </c>
      <c r="K1432" t="s">
        <v>217</v>
      </c>
    </row>
    <row r="1433" spans="1:11" x14ac:dyDescent="0.55000000000000004">
      <c r="A1433" t="s">
        <v>5749</v>
      </c>
      <c r="B1433">
        <v>101482</v>
      </c>
      <c r="C1433" t="s">
        <v>19</v>
      </c>
      <c r="D1433" s="3">
        <v>45811</v>
      </c>
      <c r="E1433" t="s">
        <v>317</v>
      </c>
      <c r="F1433" t="s">
        <v>5750</v>
      </c>
      <c r="G1433" t="s">
        <v>22</v>
      </c>
      <c r="H1433" t="s">
        <v>5751</v>
      </c>
      <c r="I1433" t="s">
        <v>5752</v>
      </c>
      <c r="J1433" s="4">
        <v>46088.466765254627</v>
      </c>
    </row>
    <row r="1434" spans="1:11" x14ac:dyDescent="0.55000000000000004">
      <c r="A1434" t="s">
        <v>5753</v>
      </c>
      <c r="B1434">
        <v>100163</v>
      </c>
      <c r="C1434" t="s">
        <v>179</v>
      </c>
      <c r="D1434" s="3">
        <v>46031</v>
      </c>
      <c r="E1434" t="s">
        <v>20</v>
      </c>
      <c r="F1434" t="s">
        <v>5754</v>
      </c>
      <c r="G1434" t="s">
        <v>15</v>
      </c>
      <c r="H1434" t="s">
        <v>5755</v>
      </c>
      <c r="I1434" t="s">
        <v>5756</v>
      </c>
      <c r="J1434" s="4">
        <v>46095.073015254631</v>
      </c>
    </row>
    <row r="1435" spans="1:11" x14ac:dyDescent="0.55000000000000004">
      <c r="A1435" t="s">
        <v>5757</v>
      </c>
      <c r="B1435">
        <v>100592</v>
      </c>
      <c r="C1435" t="s">
        <v>68</v>
      </c>
      <c r="D1435" s="3">
        <v>45859</v>
      </c>
      <c r="E1435" t="s">
        <v>213</v>
      </c>
      <c r="F1435" t="s">
        <v>5758</v>
      </c>
      <c r="G1435" t="s">
        <v>22</v>
      </c>
      <c r="H1435" t="s">
        <v>5759</v>
      </c>
      <c r="I1435" t="s">
        <v>5760</v>
      </c>
      <c r="J1435" s="4">
        <v>46091.37440414352</v>
      </c>
    </row>
    <row r="1436" spans="1:11" x14ac:dyDescent="0.55000000000000004">
      <c r="A1436" t="s">
        <v>5761</v>
      </c>
      <c r="B1436">
        <v>100466</v>
      </c>
      <c r="C1436" t="s">
        <v>68</v>
      </c>
      <c r="D1436" s="3">
        <v>46037</v>
      </c>
      <c r="E1436" t="s">
        <v>409</v>
      </c>
      <c r="F1436" t="s">
        <v>5762</v>
      </c>
      <c r="G1436" t="s">
        <v>22</v>
      </c>
      <c r="H1436" t="s">
        <v>5763</v>
      </c>
      <c r="I1436" t="s">
        <v>5764</v>
      </c>
      <c r="J1436" s="4">
        <v>46054.287598599534</v>
      </c>
    </row>
    <row r="1437" spans="1:11" x14ac:dyDescent="0.55000000000000004">
      <c r="A1437" t="s">
        <v>5765</v>
      </c>
      <c r="B1437">
        <v>101354</v>
      </c>
      <c r="C1437" t="s">
        <v>19</v>
      </c>
      <c r="D1437" s="3">
        <v>45803</v>
      </c>
      <c r="E1437" t="s">
        <v>562</v>
      </c>
      <c r="F1437" t="s">
        <v>5766</v>
      </c>
      <c r="G1437" t="s">
        <v>22</v>
      </c>
      <c r="H1437" t="s">
        <v>5767</v>
      </c>
      <c r="I1437" t="s">
        <v>5768</v>
      </c>
      <c r="J1437" s="4">
        <v>46062.462598599537</v>
      </c>
    </row>
    <row r="1438" spans="1:11" x14ac:dyDescent="0.55000000000000004">
      <c r="A1438" t="s">
        <v>5769</v>
      </c>
      <c r="C1438" t="s">
        <v>68</v>
      </c>
      <c r="D1438" s="3">
        <v>45888</v>
      </c>
      <c r="E1438" t="s">
        <v>20</v>
      </c>
      <c r="F1438" t="s">
        <v>5770</v>
      </c>
      <c r="G1438" t="s">
        <v>22</v>
      </c>
      <c r="H1438" t="s">
        <v>5771</v>
      </c>
      <c r="I1438" t="s">
        <v>5772</v>
      </c>
      <c r="J1438" s="4">
        <v>46063.485515266206</v>
      </c>
      <c r="K1438" t="s">
        <v>112</v>
      </c>
    </row>
    <row r="1439" spans="1:11" x14ac:dyDescent="0.55000000000000004">
      <c r="A1439" t="s">
        <v>5773</v>
      </c>
      <c r="B1439">
        <v>100142</v>
      </c>
      <c r="C1439" t="s">
        <v>179</v>
      </c>
      <c r="D1439" s="3">
        <v>46132</v>
      </c>
      <c r="E1439" t="s">
        <v>265</v>
      </c>
      <c r="F1439" t="s">
        <v>5774</v>
      </c>
      <c r="G1439" t="s">
        <v>22</v>
      </c>
      <c r="H1439" t="s">
        <v>5775</v>
      </c>
      <c r="I1439" t="s">
        <v>5776</v>
      </c>
      <c r="J1439" s="4">
        <v>46053.300793055554</v>
      </c>
    </row>
    <row r="1440" spans="1:11" x14ac:dyDescent="0.55000000000000004">
      <c r="A1440" t="s">
        <v>5777</v>
      </c>
      <c r="B1440">
        <v>100393</v>
      </c>
      <c r="C1440" t="s">
        <v>19</v>
      </c>
      <c r="D1440" s="3">
        <v>46082</v>
      </c>
      <c r="E1440" t="s">
        <v>300</v>
      </c>
      <c r="F1440" t="s">
        <v>5778</v>
      </c>
      <c r="G1440" t="s">
        <v>22</v>
      </c>
      <c r="H1440" t="s">
        <v>5779</v>
      </c>
      <c r="I1440" t="s">
        <v>5780</v>
      </c>
      <c r="J1440" s="4">
        <v>46068.14801527778</v>
      </c>
    </row>
    <row r="1441" spans="1:10" x14ac:dyDescent="0.55000000000000004">
      <c r="A1441" t="s">
        <v>5781</v>
      </c>
      <c r="B1441">
        <v>101182</v>
      </c>
      <c r="C1441" t="s">
        <v>179</v>
      </c>
      <c r="D1441" s="3">
        <v>45968</v>
      </c>
      <c r="E1441" t="s">
        <v>38</v>
      </c>
      <c r="F1441" t="s">
        <v>5782</v>
      </c>
      <c r="G1441" t="s">
        <v>15</v>
      </c>
      <c r="H1441" t="s">
        <v>5783</v>
      </c>
      <c r="I1441" t="s">
        <v>5784</v>
      </c>
      <c r="J1441" s="4">
        <v>46071.620237511575</v>
      </c>
    </row>
    <row r="1442" spans="1:10" x14ac:dyDescent="0.55000000000000004">
      <c r="A1442" t="s">
        <v>5785</v>
      </c>
      <c r="B1442">
        <v>100740</v>
      </c>
      <c r="C1442" t="s">
        <v>533</v>
      </c>
      <c r="D1442" s="3">
        <v>46046</v>
      </c>
      <c r="E1442" t="s">
        <v>409</v>
      </c>
      <c r="F1442" t="s">
        <v>5786</v>
      </c>
      <c r="G1442" t="s">
        <v>22</v>
      </c>
      <c r="H1442" t="s">
        <v>5787</v>
      </c>
      <c r="I1442" t="s">
        <v>5788</v>
      </c>
      <c r="J1442" s="4">
        <v>46088.86329306713</v>
      </c>
    </row>
    <row r="1443" spans="1:10" x14ac:dyDescent="0.55000000000000004">
      <c r="A1443" t="s">
        <v>5789</v>
      </c>
      <c r="B1443">
        <v>101266</v>
      </c>
      <c r="C1443" t="s">
        <v>19</v>
      </c>
      <c r="D1443" s="3">
        <v>46021</v>
      </c>
      <c r="E1443" t="s">
        <v>334</v>
      </c>
      <c r="F1443" t="s">
        <v>5790</v>
      </c>
      <c r="G1443" t="s">
        <v>15</v>
      </c>
      <c r="H1443" t="s">
        <v>5791</v>
      </c>
      <c r="I1443" t="s">
        <v>5792</v>
      </c>
      <c r="J1443" s="4">
        <v>46071.793154178238</v>
      </c>
    </row>
    <row r="1444" spans="1:10" x14ac:dyDescent="0.55000000000000004">
      <c r="A1444" t="s">
        <v>5793</v>
      </c>
      <c r="B1444">
        <v>101287</v>
      </c>
      <c r="C1444" t="s">
        <v>37</v>
      </c>
      <c r="D1444" s="3">
        <v>45968</v>
      </c>
      <c r="E1444" t="s">
        <v>270</v>
      </c>
      <c r="F1444" t="s">
        <v>5794</v>
      </c>
      <c r="G1444" t="s">
        <v>15</v>
      </c>
      <c r="H1444" t="s">
        <v>5795</v>
      </c>
      <c r="I1444" t="s">
        <v>5796</v>
      </c>
      <c r="J1444" s="4">
        <v>46079.822320856481</v>
      </c>
    </row>
    <row r="1445" spans="1:10" x14ac:dyDescent="0.55000000000000004">
      <c r="A1445" t="s">
        <v>5797</v>
      </c>
      <c r="B1445">
        <v>100600</v>
      </c>
      <c r="C1445" t="s">
        <v>533</v>
      </c>
      <c r="D1445" s="3">
        <v>45902</v>
      </c>
      <c r="E1445" t="s">
        <v>83</v>
      </c>
      <c r="F1445" t="s">
        <v>5798</v>
      </c>
      <c r="G1445" t="s">
        <v>22</v>
      </c>
      <c r="H1445" t="s">
        <v>5799</v>
      </c>
      <c r="I1445" t="s">
        <v>5800</v>
      </c>
      <c r="J1445" s="4">
        <v>46094.573709745368</v>
      </c>
    </row>
    <row r="1446" spans="1:10" x14ac:dyDescent="0.55000000000000004">
      <c r="A1446" t="s">
        <v>5801</v>
      </c>
      <c r="B1446">
        <v>101130</v>
      </c>
      <c r="C1446" t="s">
        <v>19</v>
      </c>
      <c r="D1446" s="3">
        <v>46077</v>
      </c>
      <c r="E1446" t="s">
        <v>108</v>
      </c>
      <c r="F1446" t="s">
        <v>5802</v>
      </c>
      <c r="G1446" t="s">
        <v>15</v>
      </c>
      <c r="H1446" t="s">
        <v>5803</v>
      </c>
      <c r="I1446" t="s">
        <v>5804</v>
      </c>
      <c r="J1446" s="4">
        <v>46062.041765300928</v>
      </c>
    </row>
    <row r="1447" spans="1:10" x14ac:dyDescent="0.55000000000000004">
      <c r="A1447" t="s">
        <v>5805</v>
      </c>
      <c r="B1447">
        <v>100161</v>
      </c>
      <c r="C1447" t="s">
        <v>533</v>
      </c>
      <c r="D1447" s="3">
        <v>45846</v>
      </c>
      <c r="E1447" t="s">
        <v>562</v>
      </c>
      <c r="F1447" t="s">
        <v>5806</v>
      </c>
      <c r="G1447" t="s">
        <v>22</v>
      </c>
      <c r="H1447" t="s">
        <v>5807</v>
      </c>
      <c r="I1447" t="s">
        <v>5808</v>
      </c>
      <c r="J1447" s="4">
        <v>46097.056348645834</v>
      </c>
    </row>
    <row r="1448" spans="1:10" x14ac:dyDescent="0.55000000000000004">
      <c r="A1448" t="s">
        <v>5809</v>
      </c>
      <c r="B1448">
        <v>100775</v>
      </c>
      <c r="C1448" t="s">
        <v>19</v>
      </c>
      <c r="D1448" s="3">
        <v>46084</v>
      </c>
      <c r="E1448" t="s">
        <v>155</v>
      </c>
      <c r="F1448" t="s">
        <v>5810</v>
      </c>
      <c r="G1448" t="s">
        <v>15</v>
      </c>
      <c r="H1448" t="s">
        <v>5811</v>
      </c>
      <c r="I1448" t="s">
        <v>5812</v>
      </c>
      <c r="J1448" s="4">
        <v>46097.528570868053</v>
      </c>
    </row>
    <row r="1449" spans="1:10" x14ac:dyDescent="0.55000000000000004">
      <c r="A1449" t="s">
        <v>5813</v>
      </c>
      <c r="B1449">
        <v>100255</v>
      </c>
      <c r="C1449" t="s">
        <v>19</v>
      </c>
      <c r="D1449" s="3">
        <v>45793</v>
      </c>
      <c r="E1449" t="s">
        <v>528</v>
      </c>
      <c r="F1449" t="s">
        <v>5814</v>
      </c>
      <c r="G1449" t="s">
        <v>15</v>
      </c>
      <c r="H1449" t="s">
        <v>5815</v>
      </c>
      <c r="I1449" t="s">
        <v>5816</v>
      </c>
      <c r="J1449" s="4">
        <v>46067.711209756948</v>
      </c>
    </row>
    <row r="1450" spans="1:10" x14ac:dyDescent="0.55000000000000004">
      <c r="A1450" t="s">
        <v>5817</v>
      </c>
      <c r="B1450">
        <v>101098</v>
      </c>
      <c r="C1450" t="s">
        <v>19</v>
      </c>
      <c r="D1450" s="3">
        <v>45959</v>
      </c>
      <c r="E1450" t="s">
        <v>141</v>
      </c>
      <c r="F1450" t="s">
        <v>5818</v>
      </c>
      <c r="G1450" t="s">
        <v>22</v>
      </c>
      <c r="H1450" t="s">
        <v>5819</v>
      </c>
      <c r="I1450" t="s">
        <v>5820</v>
      </c>
      <c r="J1450" s="4">
        <v>46072.058431990743</v>
      </c>
    </row>
    <row r="1451" spans="1:10" x14ac:dyDescent="0.55000000000000004">
      <c r="A1451" t="s">
        <v>5821</v>
      </c>
      <c r="B1451">
        <v>100940</v>
      </c>
      <c r="C1451" t="s">
        <v>533</v>
      </c>
      <c r="D1451" s="3">
        <v>46151</v>
      </c>
      <c r="E1451" t="s">
        <v>38</v>
      </c>
      <c r="F1451" t="s">
        <v>5822</v>
      </c>
      <c r="G1451" t="s">
        <v>22</v>
      </c>
      <c r="H1451" t="s">
        <v>5823</v>
      </c>
      <c r="I1451" t="s">
        <v>5824</v>
      </c>
      <c r="J1451" s="4">
        <v>46057.777181990743</v>
      </c>
    </row>
    <row r="1452" spans="1:10" x14ac:dyDescent="0.55000000000000004">
      <c r="A1452" t="s">
        <v>5825</v>
      </c>
      <c r="B1452">
        <v>100088</v>
      </c>
      <c r="C1452" t="s">
        <v>179</v>
      </c>
      <c r="D1452" s="3">
        <v>46068</v>
      </c>
      <c r="E1452" t="s">
        <v>121</v>
      </c>
      <c r="F1452" t="s">
        <v>5826</v>
      </c>
      <c r="G1452" t="s">
        <v>15</v>
      </c>
      <c r="H1452" t="s">
        <v>5827</v>
      </c>
      <c r="I1452" t="s">
        <v>5828</v>
      </c>
      <c r="J1452" s="4">
        <v>46086.544543113429</v>
      </c>
    </row>
    <row r="1453" spans="1:10" x14ac:dyDescent="0.55000000000000004">
      <c r="A1453" t="s">
        <v>5829</v>
      </c>
      <c r="B1453">
        <v>100541</v>
      </c>
      <c r="C1453" t="s">
        <v>248</v>
      </c>
      <c r="D1453" s="3">
        <v>45819</v>
      </c>
      <c r="E1453" t="s">
        <v>587</v>
      </c>
      <c r="F1453" t="s">
        <v>5830</v>
      </c>
      <c r="G1453" t="s">
        <v>22</v>
      </c>
      <c r="H1453" t="s">
        <v>5831</v>
      </c>
      <c r="I1453" t="s">
        <v>5832</v>
      </c>
      <c r="J1453" s="4">
        <v>46067.33412644676</v>
      </c>
    </row>
    <row r="1454" spans="1:10" x14ac:dyDescent="0.55000000000000004">
      <c r="A1454" t="s">
        <v>5833</v>
      </c>
      <c r="B1454">
        <v>101236</v>
      </c>
      <c r="C1454" t="s">
        <v>68</v>
      </c>
      <c r="D1454" s="3">
        <v>46073</v>
      </c>
      <c r="E1454" t="s">
        <v>38</v>
      </c>
      <c r="F1454" t="s">
        <v>5834</v>
      </c>
      <c r="G1454" t="s">
        <v>22</v>
      </c>
      <c r="H1454" t="s">
        <v>5835</v>
      </c>
      <c r="I1454" t="s">
        <v>5836</v>
      </c>
      <c r="J1454" s="4">
        <v>46073.796626446761</v>
      </c>
    </row>
    <row r="1455" spans="1:10" x14ac:dyDescent="0.55000000000000004">
      <c r="A1455" t="s">
        <v>5837</v>
      </c>
      <c r="B1455">
        <v>100704</v>
      </c>
      <c r="C1455" t="s">
        <v>248</v>
      </c>
      <c r="D1455" s="3">
        <v>45932</v>
      </c>
      <c r="E1455" t="s">
        <v>141</v>
      </c>
      <c r="F1455" t="s">
        <v>5838</v>
      </c>
      <c r="G1455" t="s">
        <v>22</v>
      </c>
      <c r="H1455" t="s">
        <v>5839</v>
      </c>
      <c r="I1455" t="s">
        <v>5840</v>
      </c>
      <c r="J1455" s="4">
        <v>46071.141765347224</v>
      </c>
    </row>
    <row r="1456" spans="1:10" x14ac:dyDescent="0.55000000000000004">
      <c r="A1456" t="s">
        <v>5841</v>
      </c>
      <c r="B1456">
        <v>100735</v>
      </c>
      <c r="C1456" t="s">
        <v>533</v>
      </c>
      <c r="D1456" s="3">
        <v>45746</v>
      </c>
      <c r="E1456" t="s">
        <v>334</v>
      </c>
      <c r="F1456" t="s">
        <v>5842</v>
      </c>
      <c r="G1456" t="s">
        <v>22</v>
      </c>
      <c r="H1456" t="s">
        <v>5843</v>
      </c>
      <c r="I1456" t="s">
        <v>5844</v>
      </c>
      <c r="J1456" s="4">
        <v>46096.920932013891</v>
      </c>
    </row>
    <row r="1457" spans="1:10" x14ac:dyDescent="0.55000000000000004">
      <c r="A1457" t="s">
        <v>5845</v>
      </c>
      <c r="B1457">
        <v>100198</v>
      </c>
      <c r="C1457" t="s">
        <v>68</v>
      </c>
      <c r="D1457" s="3">
        <v>45749</v>
      </c>
      <c r="E1457" t="s">
        <v>213</v>
      </c>
      <c r="F1457" t="s">
        <v>5846</v>
      </c>
      <c r="G1457" t="s">
        <v>15</v>
      </c>
      <c r="H1457" t="s">
        <v>5847</v>
      </c>
      <c r="I1457" t="s">
        <v>5848</v>
      </c>
      <c r="J1457" s="4">
        <v>46075.548015347224</v>
      </c>
    </row>
    <row r="1458" spans="1:10" x14ac:dyDescent="0.55000000000000004">
      <c r="A1458" t="s">
        <v>5849</v>
      </c>
      <c r="B1458">
        <v>100778</v>
      </c>
      <c r="C1458" t="s">
        <v>179</v>
      </c>
      <c r="D1458" s="3">
        <v>46102</v>
      </c>
      <c r="E1458" t="s">
        <v>295</v>
      </c>
      <c r="F1458" t="s">
        <v>5850</v>
      </c>
      <c r="G1458" t="s">
        <v>15</v>
      </c>
      <c r="H1458" t="s">
        <v>5851</v>
      </c>
      <c r="I1458" t="s">
        <v>5852</v>
      </c>
      <c r="J1458" s="4">
        <v>46075.034126469909</v>
      </c>
    </row>
    <row r="1459" spans="1:10" x14ac:dyDescent="0.55000000000000004">
      <c r="A1459" t="s">
        <v>5853</v>
      </c>
      <c r="B1459">
        <v>100189</v>
      </c>
      <c r="C1459" t="s">
        <v>19</v>
      </c>
      <c r="D1459" s="3">
        <v>45839</v>
      </c>
      <c r="E1459" t="s">
        <v>27</v>
      </c>
      <c r="F1459" t="s">
        <v>5854</v>
      </c>
      <c r="G1459" t="s">
        <v>22</v>
      </c>
      <c r="H1459" t="s">
        <v>5855</v>
      </c>
      <c r="I1459" t="s">
        <v>5856</v>
      </c>
      <c r="J1459" s="4">
        <v>46065.657043136576</v>
      </c>
    </row>
    <row r="1460" spans="1:10" x14ac:dyDescent="0.55000000000000004">
      <c r="A1460" t="s">
        <v>5857</v>
      </c>
      <c r="B1460">
        <v>101492</v>
      </c>
      <c r="C1460" t="s">
        <v>533</v>
      </c>
      <c r="D1460" s="3">
        <v>46067</v>
      </c>
      <c r="E1460" t="s">
        <v>20</v>
      </c>
      <c r="F1460" t="s">
        <v>5858</v>
      </c>
      <c r="G1460" t="s">
        <v>22</v>
      </c>
      <c r="H1460" t="s">
        <v>5859</v>
      </c>
      <c r="I1460" t="s">
        <v>5860</v>
      </c>
      <c r="J1460" s="4">
        <v>46068.547320914353</v>
      </c>
    </row>
    <row r="1461" spans="1:10" x14ac:dyDescent="0.55000000000000004">
      <c r="A1461" t="s">
        <v>5861</v>
      </c>
      <c r="B1461">
        <v>100689</v>
      </c>
      <c r="C1461" t="s">
        <v>248</v>
      </c>
      <c r="D1461" s="3">
        <v>46133</v>
      </c>
      <c r="E1461" t="s">
        <v>83</v>
      </c>
      <c r="F1461" t="s">
        <v>5862</v>
      </c>
      <c r="G1461" t="s">
        <v>22</v>
      </c>
      <c r="H1461" t="s">
        <v>5863</v>
      </c>
      <c r="I1461" t="s">
        <v>5864</v>
      </c>
      <c r="J1461" s="4">
        <v>46073.075098703703</v>
      </c>
    </row>
    <row r="1462" spans="1:10" x14ac:dyDescent="0.55000000000000004">
      <c r="A1462" t="s">
        <v>5865</v>
      </c>
      <c r="B1462">
        <v>100440</v>
      </c>
      <c r="C1462" t="s">
        <v>19</v>
      </c>
      <c r="D1462" s="3">
        <v>46069</v>
      </c>
      <c r="E1462" t="s">
        <v>38</v>
      </c>
      <c r="F1462" t="s">
        <v>2249</v>
      </c>
      <c r="G1462" t="s">
        <v>22</v>
      </c>
      <c r="H1462" t="s">
        <v>5866</v>
      </c>
      <c r="I1462" t="s">
        <v>5867</v>
      </c>
      <c r="J1462" s="4">
        <v>46088.753570925925</v>
      </c>
    </row>
    <row r="1463" spans="1:10" x14ac:dyDescent="0.55000000000000004">
      <c r="A1463" t="s">
        <v>5868</v>
      </c>
      <c r="B1463">
        <v>100318</v>
      </c>
      <c r="C1463" t="s">
        <v>68</v>
      </c>
      <c r="D1463" s="3">
        <v>46033</v>
      </c>
      <c r="E1463" t="s">
        <v>495</v>
      </c>
      <c r="F1463" t="s">
        <v>5869</v>
      </c>
      <c r="G1463" t="s">
        <v>15</v>
      </c>
      <c r="H1463" t="s">
        <v>5870</v>
      </c>
      <c r="I1463" t="s">
        <v>5871</v>
      </c>
      <c r="J1463" s="4">
        <v>46095.704265381944</v>
      </c>
    </row>
    <row r="1464" spans="1:10" x14ac:dyDescent="0.55000000000000004">
      <c r="A1464" t="s">
        <v>5872</v>
      </c>
      <c r="B1464">
        <v>101468</v>
      </c>
      <c r="C1464" t="s">
        <v>533</v>
      </c>
      <c r="D1464" s="3">
        <v>45850</v>
      </c>
      <c r="E1464" t="s">
        <v>317</v>
      </c>
      <c r="F1464" t="s">
        <v>5873</v>
      </c>
      <c r="G1464" t="s">
        <v>15</v>
      </c>
      <c r="H1464" t="s">
        <v>5874</v>
      </c>
      <c r="I1464" t="s">
        <v>5875</v>
      </c>
      <c r="J1464" s="4">
        <v>46065.779959826388</v>
      </c>
    </row>
    <row r="1465" spans="1:10" x14ac:dyDescent="0.55000000000000004">
      <c r="A1465" t="s">
        <v>5876</v>
      </c>
      <c r="B1465">
        <v>100696</v>
      </c>
      <c r="C1465" t="s">
        <v>19</v>
      </c>
      <c r="D1465" s="3">
        <v>45897</v>
      </c>
      <c r="E1465" t="s">
        <v>317</v>
      </c>
      <c r="F1465" t="s">
        <v>5877</v>
      </c>
      <c r="G1465" t="s">
        <v>15</v>
      </c>
      <c r="H1465" t="s">
        <v>5878</v>
      </c>
      <c r="I1465" t="s">
        <v>5879</v>
      </c>
      <c r="J1465" s="4">
        <v>46091.498709826388</v>
      </c>
    </row>
    <row r="1466" spans="1:10" x14ac:dyDescent="0.55000000000000004">
      <c r="A1466" t="s">
        <v>5880</v>
      </c>
      <c r="B1466">
        <v>100865</v>
      </c>
      <c r="C1466" t="s">
        <v>179</v>
      </c>
      <c r="D1466" s="3">
        <v>46118</v>
      </c>
      <c r="E1466" t="s">
        <v>141</v>
      </c>
      <c r="F1466" t="s">
        <v>5881</v>
      </c>
      <c r="G1466" t="s">
        <v>22</v>
      </c>
      <c r="H1466" t="s">
        <v>5882</v>
      </c>
      <c r="I1466" t="s">
        <v>5883</v>
      </c>
      <c r="J1466" s="4">
        <v>46090.69315428241</v>
      </c>
    </row>
    <row r="1467" spans="1:10" x14ac:dyDescent="0.55000000000000004">
      <c r="A1467" t="s">
        <v>5884</v>
      </c>
      <c r="B1467">
        <v>101429</v>
      </c>
      <c r="C1467" t="s">
        <v>37</v>
      </c>
      <c r="D1467" s="3">
        <v>45958</v>
      </c>
      <c r="E1467" t="s">
        <v>170</v>
      </c>
      <c r="F1467" t="s">
        <v>5885</v>
      </c>
      <c r="G1467" t="s">
        <v>15</v>
      </c>
      <c r="H1467" t="s">
        <v>5886</v>
      </c>
      <c r="I1467" t="s">
        <v>5887</v>
      </c>
      <c r="J1467" s="4">
        <v>46077.593154282411</v>
      </c>
    </row>
    <row r="1468" spans="1:10" x14ac:dyDescent="0.55000000000000004">
      <c r="A1468" t="s">
        <v>5888</v>
      </c>
      <c r="B1468">
        <v>100326</v>
      </c>
      <c r="C1468" t="s">
        <v>179</v>
      </c>
      <c r="D1468" s="3">
        <v>45925</v>
      </c>
      <c r="E1468" t="s">
        <v>317</v>
      </c>
      <c r="F1468" t="s">
        <v>5889</v>
      </c>
      <c r="G1468" t="s">
        <v>15</v>
      </c>
      <c r="H1468" t="s">
        <v>5890</v>
      </c>
      <c r="I1468" t="s">
        <v>5891</v>
      </c>
      <c r="J1468" s="4">
        <v>46085.386904282408</v>
      </c>
    </row>
    <row r="1469" spans="1:10" x14ac:dyDescent="0.55000000000000004">
      <c r="A1469" t="s">
        <v>5892</v>
      </c>
      <c r="B1469">
        <v>100013</v>
      </c>
      <c r="C1469" t="s">
        <v>19</v>
      </c>
      <c r="D1469" s="3">
        <v>45956</v>
      </c>
      <c r="E1469" t="s">
        <v>160</v>
      </c>
      <c r="F1469" t="s">
        <v>5893</v>
      </c>
      <c r="G1469" t="s">
        <v>15</v>
      </c>
      <c r="H1469" t="s">
        <v>5894</v>
      </c>
      <c r="I1469" t="s">
        <v>5895</v>
      </c>
      <c r="J1469" s="4">
        <v>46069.994543182867</v>
      </c>
    </row>
    <row r="1470" spans="1:10" x14ac:dyDescent="0.55000000000000004">
      <c r="A1470" t="s">
        <v>5896</v>
      </c>
      <c r="B1470">
        <v>100569</v>
      </c>
      <c r="C1470" t="s">
        <v>248</v>
      </c>
      <c r="D1470" s="3">
        <v>45776</v>
      </c>
      <c r="E1470" t="s">
        <v>108</v>
      </c>
      <c r="F1470" t="s">
        <v>5897</v>
      </c>
      <c r="G1470" t="s">
        <v>15</v>
      </c>
      <c r="H1470" t="s">
        <v>5898</v>
      </c>
      <c r="I1470" t="s">
        <v>5899</v>
      </c>
      <c r="J1470" s="4">
        <v>46089.738987627316</v>
      </c>
    </row>
    <row r="1471" spans="1:10" x14ac:dyDescent="0.55000000000000004">
      <c r="A1471" t="s">
        <v>5900</v>
      </c>
      <c r="B1471">
        <v>101206</v>
      </c>
      <c r="C1471" t="s">
        <v>68</v>
      </c>
      <c r="D1471" s="3">
        <v>46128</v>
      </c>
      <c r="E1471" t="s">
        <v>27</v>
      </c>
      <c r="F1471" t="s">
        <v>5901</v>
      </c>
      <c r="G1471" t="s">
        <v>15</v>
      </c>
      <c r="H1471" t="s">
        <v>5902</v>
      </c>
      <c r="I1471" t="s">
        <v>5903</v>
      </c>
      <c r="J1471" s="4">
        <v>46076.482737627317</v>
      </c>
    </row>
    <row r="1472" spans="1:10" x14ac:dyDescent="0.55000000000000004">
      <c r="A1472" t="s">
        <v>5904</v>
      </c>
      <c r="B1472">
        <v>100919</v>
      </c>
      <c r="C1472" t="s">
        <v>19</v>
      </c>
      <c r="D1472" s="3">
        <v>45986</v>
      </c>
      <c r="E1472" t="s">
        <v>115</v>
      </c>
      <c r="F1472" t="s">
        <v>5905</v>
      </c>
      <c r="G1472" t="s">
        <v>22</v>
      </c>
      <c r="H1472" t="s">
        <v>5906</v>
      </c>
      <c r="I1472" t="s">
        <v>5907</v>
      </c>
      <c r="J1472" s="4">
        <v>46065.24523763889</v>
      </c>
    </row>
    <row r="1473" spans="1:10" x14ac:dyDescent="0.55000000000000004">
      <c r="A1473" t="s">
        <v>5908</v>
      </c>
      <c r="B1473">
        <v>100451</v>
      </c>
      <c r="C1473" t="s">
        <v>68</v>
      </c>
      <c r="D1473" s="3">
        <v>46048</v>
      </c>
      <c r="E1473" t="s">
        <v>121</v>
      </c>
      <c r="F1473" t="s">
        <v>5909</v>
      </c>
      <c r="G1473" t="s">
        <v>22</v>
      </c>
      <c r="H1473" t="s">
        <v>5910</v>
      </c>
      <c r="I1473" t="s">
        <v>5911</v>
      </c>
      <c r="J1473" s="4">
        <v>46057.211209861111</v>
      </c>
    </row>
    <row r="1474" spans="1:10" x14ac:dyDescent="0.55000000000000004">
      <c r="A1474" t="s">
        <v>5912</v>
      </c>
      <c r="B1474">
        <v>100859</v>
      </c>
      <c r="C1474" t="s">
        <v>37</v>
      </c>
      <c r="D1474" s="3">
        <v>46023</v>
      </c>
      <c r="E1474" t="s">
        <v>115</v>
      </c>
      <c r="F1474" t="s">
        <v>5913</v>
      </c>
      <c r="G1474" t="s">
        <v>22</v>
      </c>
      <c r="H1474" t="s">
        <v>5914</v>
      </c>
      <c r="I1474" t="s">
        <v>5915</v>
      </c>
      <c r="J1474" s="4">
        <v>46091.578570972219</v>
      </c>
    </row>
    <row r="1475" spans="1:10" x14ac:dyDescent="0.55000000000000004">
      <c r="A1475" t="s">
        <v>5916</v>
      </c>
      <c r="B1475">
        <v>101490</v>
      </c>
      <c r="C1475" t="s">
        <v>19</v>
      </c>
      <c r="D1475" s="3">
        <v>45850</v>
      </c>
      <c r="E1475" t="s">
        <v>38</v>
      </c>
      <c r="F1475" t="s">
        <v>5917</v>
      </c>
      <c r="G1475" t="s">
        <v>22</v>
      </c>
      <c r="H1475" t="s">
        <v>5918</v>
      </c>
      <c r="I1475" t="s">
        <v>5919</v>
      </c>
      <c r="J1475" s="4">
        <v>46096.427876539354</v>
      </c>
    </row>
    <row r="1476" spans="1:10" x14ac:dyDescent="0.55000000000000004">
      <c r="A1476" t="s">
        <v>5920</v>
      </c>
      <c r="B1476">
        <v>101436</v>
      </c>
      <c r="C1476" t="s">
        <v>68</v>
      </c>
      <c r="D1476" s="3">
        <v>46156</v>
      </c>
      <c r="E1476" t="s">
        <v>58</v>
      </c>
      <c r="F1476" t="s">
        <v>5921</v>
      </c>
      <c r="G1476" t="s">
        <v>15</v>
      </c>
      <c r="H1476" t="s">
        <v>5922</v>
      </c>
      <c r="I1476" t="s">
        <v>5923</v>
      </c>
      <c r="J1476" s="4">
        <v>46087.336904317126</v>
      </c>
    </row>
    <row r="1477" spans="1:10" x14ac:dyDescent="0.55000000000000004">
      <c r="A1477" t="s">
        <v>5924</v>
      </c>
      <c r="B1477">
        <v>101330</v>
      </c>
      <c r="C1477" t="s">
        <v>37</v>
      </c>
      <c r="D1477" s="3">
        <v>46005</v>
      </c>
      <c r="E1477" t="s">
        <v>160</v>
      </c>
      <c r="F1477" t="s">
        <v>4286</v>
      </c>
      <c r="G1477" t="s">
        <v>22</v>
      </c>
      <c r="H1477" t="s">
        <v>5925</v>
      </c>
      <c r="I1477" t="s">
        <v>5926</v>
      </c>
      <c r="J1477" s="4">
        <v>46058.665376550925</v>
      </c>
    </row>
    <row r="1478" spans="1:10" x14ac:dyDescent="0.55000000000000004">
      <c r="A1478" t="s">
        <v>5927</v>
      </c>
      <c r="B1478">
        <v>101466</v>
      </c>
      <c r="C1478" t="s">
        <v>19</v>
      </c>
      <c r="D1478" s="3">
        <v>46089</v>
      </c>
      <c r="E1478" t="s">
        <v>38</v>
      </c>
      <c r="F1478" t="s">
        <v>5928</v>
      </c>
      <c r="G1478" t="s">
        <v>22</v>
      </c>
      <c r="H1478" t="s">
        <v>5929</v>
      </c>
      <c r="I1478" t="s">
        <v>5930</v>
      </c>
      <c r="J1478" s="4">
        <v>46080.81745988426</v>
      </c>
    </row>
    <row r="1479" spans="1:10" x14ac:dyDescent="0.55000000000000004">
      <c r="A1479" t="s">
        <v>5931</v>
      </c>
      <c r="B1479">
        <v>100407</v>
      </c>
      <c r="C1479" t="s">
        <v>37</v>
      </c>
      <c r="D1479" s="3">
        <v>45748</v>
      </c>
      <c r="E1479" t="s">
        <v>58</v>
      </c>
      <c r="F1479" t="s">
        <v>5932</v>
      </c>
      <c r="G1479" t="s">
        <v>15</v>
      </c>
      <c r="H1479" t="s">
        <v>5933</v>
      </c>
      <c r="I1479" t="s">
        <v>5934</v>
      </c>
      <c r="J1479" s="4">
        <v>46076.661904328706</v>
      </c>
    </row>
    <row r="1480" spans="1:10" x14ac:dyDescent="0.55000000000000004">
      <c r="A1480" t="s">
        <v>5935</v>
      </c>
      <c r="B1480">
        <v>101149</v>
      </c>
      <c r="C1480" t="s">
        <v>533</v>
      </c>
      <c r="D1480" s="3">
        <v>45836</v>
      </c>
      <c r="E1480" t="s">
        <v>13</v>
      </c>
      <c r="F1480" t="s">
        <v>5936</v>
      </c>
      <c r="G1480" t="s">
        <v>15</v>
      </c>
      <c r="H1480" t="s">
        <v>5937</v>
      </c>
      <c r="I1480" t="s">
        <v>5938</v>
      </c>
      <c r="J1480" s="4">
        <v>46066.642459895833</v>
      </c>
    </row>
    <row r="1481" spans="1:10" x14ac:dyDescent="0.55000000000000004">
      <c r="A1481" t="s">
        <v>5939</v>
      </c>
      <c r="B1481">
        <v>100054</v>
      </c>
      <c r="C1481" t="s">
        <v>19</v>
      </c>
      <c r="D1481" s="3">
        <v>46044</v>
      </c>
      <c r="E1481" t="s">
        <v>13</v>
      </c>
      <c r="F1481" t="s">
        <v>5940</v>
      </c>
      <c r="G1481" t="s">
        <v>22</v>
      </c>
      <c r="H1481" t="s">
        <v>5941</v>
      </c>
      <c r="I1481" t="s">
        <v>5942</v>
      </c>
      <c r="J1481" s="4">
        <v>46058.875098784723</v>
      </c>
    </row>
    <row r="1482" spans="1:10" x14ac:dyDescent="0.55000000000000004">
      <c r="A1482" t="s">
        <v>5943</v>
      </c>
      <c r="B1482">
        <v>101232</v>
      </c>
      <c r="C1482" t="s">
        <v>37</v>
      </c>
      <c r="D1482" s="3">
        <v>46014</v>
      </c>
      <c r="E1482" t="s">
        <v>356</v>
      </c>
      <c r="F1482" t="s">
        <v>5944</v>
      </c>
      <c r="G1482" t="s">
        <v>15</v>
      </c>
      <c r="H1482" t="s">
        <v>5945</v>
      </c>
      <c r="I1482" t="s">
        <v>5946</v>
      </c>
      <c r="J1482" s="4">
        <v>46091.695932118055</v>
      </c>
    </row>
    <row r="1483" spans="1:10" x14ac:dyDescent="0.55000000000000004">
      <c r="A1483" t="s">
        <v>5947</v>
      </c>
      <c r="B1483">
        <v>101034</v>
      </c>
      <c r="C1483" t="s">
        <v>19</v>
      </c>
      <c r="D1483" s="3">
        <v>45991</v>
      </c>
      <c r="E1483" t="s">
        <v>317</v>
      </c>
      <c r="F1483" t="s">
        <v>5948</v>
      </c>
      <c r="G1483" t="s">
        <v>22</v>
      </c>
      <c r="H1483" t="s">
        <v>5949</v>
      </c>
      <c r="I1483" t="s">
        <v>5950</v>
      </c>
      <c r="J1483" s="4">
        <v>46070.066765462965</v>
      </c>
    </row>
    <row r="1484" spans="1:10" x14ac:dyDescent="0.55000000000000004">
      <c r="A1484" t="s">
        <v>5951</v>
      </c>
      <c r="B1484">
        <v>100476</v>
      </c>
      <c r="C1484" t="s">
        <v>68</v>
      </c>
      <c r="D1484" s="3">
        <v>46132</v>
      </c>
      <c r="E1484" t="s">
        <v>155</v>
      </c>
      <c r="F1484" t="s">
        <v>5952</v>
      </c>
      <c r="G1484" t="s">
        <v>15</v>
      </c>
      <c r="H1484" t="s">
        <v>5953</v>
      </c>
      <c r="I1484" t="s">
        <v>5954</v>
      </c>
      <c r="J1484" s="4">
        <v>46096.467459907406</v>
      </c>
    </row>
    <row r="1485" spans="1:10" x14ac:dyDescent="0.55000000000000004">
      <c r="A1485" t="s">
        <v>5955</v>
      </c>
      <c r="B1485">
        <v>100447</v>
      </c>
      <c r="C1485" t="s">
        <v>19</v>
      </c>
      <c r="D1485" s="3">
        <v>46043</v>
      </c>
      <c r="E1485" t="s">
        <v>141</v>
      </c>
      <c r="F1485" t="s">
        <v>5956</v>
      </c>
      <c r="G1485" t="s">
        <v>22</v>
      </c>
      <c r="H1485" t="s">
        <v>5957</v>
      </c>
      <c r="I1485" t="s">
        <v>5958</v>
      </c>
      <c r="J1485" s="4">
        <v>46094.195932141207</v>
      </c>
    </row>
    <row r="1486" spans="1:10" x14ac:dyDescent="0.55000000000000004">
      <c r="A1486" t="s">
        <v>3726</v>
      </c>
      <c r="B1486">
        <v>100191</v>
      </c>
      <c r="C1486" t="s">
        <v>179</v>
      </c>
      <c r="D1486" s="3">
        <v>46088</v>
      </c>
      <c r="E1486" t="s">
        <v>69</v>
      </c>
      <c r="F1486" t="s">
        <v>5959</v>
      </c>
      <c r="G1486" t="s">
        <v>22</v>
      </c>
      <c r="H1486" t="s">
        <v>5960</v>
      </c>
      <c r="I1486" t="s">
        <v>5961</v>
      </c>
      <c r="J1486" s="4">
        <v>46062.550098807871</v>
      </c>
    </row>
    <row r="1487" spans="1:10" x14ac:dyDescent="0.55000000000000004">
      <c r="A1487" t="s">
        <v>5962</v>
      </c>
      <c r="B1487">
        <v>100061</v>
      </c>
      <c r="C1487" t="s">
        <v>533</v>
      </c>
      <c r="D1487" s="3">
        <v>45956</v>
      </c>
      <c r="E1487" t="s">
        <v>38</v>
      </c>
      <c r="F1487" t="s">
        <v>5963</v>
      </c>
      <c r="G1487" t="s">
        <v>22</v>
      </c>
      <c r="H1487" t="s">
        <v>5964</v>
      </c>
      <c r="I1487" t="s">
        <v>5965</v>
      </c>
      <c r="J1487" s="4">
        <v>46075.470932141201</v>
      </c>
    </row>
    <row r="1488" spans="1:10" x14ac:dyDescent="0.55000000000000004">
      <c r="A1488" t="s">
        <v>5966</v>
      </c>
      <c r="B1488">
        <v>100065</v>
      </c>
      <c r="C1488" t="s">
        <v>68</v>
      </c>
      <c r="D1488" s="3">
        <v>45955</v>
      </c>
      <c r="E1488" t="s">
        <v>115</v>
      </c>
      <c r="F1488" t="s">
        <v>5967</v>
      </c>
      <c r="G1488" t="s">
        <v>15</v>
      </c>
      <c r="H1488" t="s">
        <v>5968</v>
      </c>
      <c r="I1488" t="s">
        <v>5969</v>
      </c>
      <c r="J1488" s="4">
        <v>46091.909126597224</v>
      </c>
    </row>
    <row r="1489" spans="1:10" x14ac:dyDescent="0.55000000000000004">
      <c r="A1489" t="s">
        <v>5970</v>
      </c>
      <c r="B1489">
        <v>100864</v>
      </c>
      <c r="C1489" t="s">
        <v>37</v>
      </c>
      <c r="D1489" s="3">
        <v>45848</v>
      </c>
      <c r="E1489" t="s">
        <v>27</v>
      </c>
      <c r="F1489" t="s">
        <v>5971</v>
      </c>
      <c r="G1489" t="s">
        <v>15</v>
      </c>
      <c r="H1489" t="s">
        <v>5972</v>
      </c>
      <c r="I1489" t="s">
        <v>5973</v>
      </c>
      <c r="J1489" s="4">
        <v>46097.391071041668</v>
      </c>
    </row>
    <row r="1490" spans="1:10" x14ac:dyDescent="0.55000000000000004">
      <c r="A1490" t="s">
        <v>5974</v>
      </c>
      <c r="B1490">
        <v>101209</v>
      </c>
      <c r="C1490" t="s">
        <v>37</v>
      </c>
      <c r="D1490" s="3">
        <v>45771</v>
      </c>
      <c r="E1490" t="s">
        <v>115</v>
      </c>
      <c r="F1490" t="s">
        <v>5975</v>
      </c>
      <c r="G1490" t="s">
        <v>22</v>
      </c>
      <c r="H1490" t="s">
        <v>5976</v>
      </c>
      <c r="I1490" t="s">
        <v>5977</v>
      </c>
      <c r="J1490" s="4">
        <v>46086.344543263891</v>
      </c>
    </row>
    <row r="1491" spans="1:10" x14ac:dyDescent="0.55000000000000004">
      <c r="A1491" t="s">
        <v>5978</v>
      </c>
      <c r="B1491">
        <v>100178</v>
      </c>
      <c r="C1491" t="s">
        <v>37</v>
      </c>
      <c r="D1491" s="3">
        <v>45892</v>
      </c>
      <c r="E1491" t="s">
        <v>409</v>
      </c>
      <c r="F1491" t="s">
        <v>5979</v>
      </c>
      <c r="G1491" t="s">
        <v>22</v>
      </c>
      <c r="H1491" t="s">
        <v>5980</v>
      </c>
      <c r="I1491" t="s">
        <v>5981</v>
      </c>
      <c r="J1491" s="4">
        <v>46088.884126608798</v>
      </c>
    </row>
    <row r="1492" spans="1:10" x14ac:dyDescent="0.55000000000000004">
      <c r="A1492" t="s">
        <v>5982</v>
      </c>
      <c r="B1492">
        <v>101116</v>
      </c>
      <c r="C1492" t="s">
        <v>179</v>
      </c>
      <c r="D1492" s="3">
        <v>45977</v>
      </c>
      <c r="E1492" t="s">
        <v>184</v>
      </c>
      <c r="F1492" t="s">
        <v>5983</v>
      </c>
      <c r="G1492" t="s">
        <v>22</v>
      </c>
      <c r="H1492" t="s">
        <v>5984</v>
      </c>
      <c r="I1492" t="s">
        <v>5985</v>
      </c>
      <c r="J1492" s="4">
        <v>46063.453571053244</v>
      </c>
    </row>
    <row r="1493" spans="1:10" x14ac:dyDescent="0.55000000000000004">
      <c r="A1493" t="s">
        <v>5986</v>
      </c>
      <c r="B1493">
        <v>101385</v>
      </c>
      <c r="C1493" t="s">
        <v>19</v>
      </c>
      <c r="D1493" s="3">
        <v>46093</v>
      </c>
      <c r="E1493" t="s">
        <v>208</v>
      </c>
      <c r="F1493" t="s">
        <v>5987</v>
      </c>
      <c r="G1493" t="s">
        <v>22</v>
      </c>
      <c r="H1493" t="s">
        <v>5988</v>
      </c>
      <c r="I1493" t="s">
        <v>5989</v>
      </c>
      <c r="J1493" s="4">
        <v>46073.961904386575</v>
      </c>
    </row>
    <row r="1494" spans="1:10" x14ac:dyDescent="0.55000000000000004">
      <c r="A1494" t="s">
        <v>5990</v>
      </c>
      <c r="B1494">
        <v>100209</v>
      </c>
      <c r="C1494" t="s">
        <v>68</v>
      </c>
      <c r="D1494" s="3">
        <v>46066</v>
      </c>
      <c r="E1494" t="s">
        <v>38</v>
      </c>
      <c r="F1494" t="s">
        <v>5991</v>
      </c>
      <c r="G1494" t="s">
        <v>22</v>
      </c>
      <c r="H1494" t="s">
        <v>5992</v>
      </c>
      <c r="I1494" t="s">
        <v>5993</v>
      </c>
      <c r="J1494" s="4">
        <v>46076.753571064815</v>
      </c>
    </row>
    <row r="1495" spans="1:10" x14ac:dyDescent="0.55000000000000004">
      <c r="A1495" t="s">
        <v>5994</v>
      </c>
      <c r="B1495">
        <v>100285</v>
      </c>
      <c r="C1495" t="s">
        <v>19</v>
      </c>
      <c r="D1495" s="3">
        <v>45989</v>
      </c>
      <c r="E1495" t="s">
        <v>155</v>
      </c>
      <c r="F1495" t="s">
        <v>5995</v>
      </c>
      <c r="G1495" t="s">
        <v>22</v>
      </c>
      <c r="H1495" t="s">
        <v>5996</v>
      </c>
      <c r="I1495" t="s">
        <v>5997</v>
      </c>
      <c r="J1495" s="4">
        <v>46070.861904398145</v>
      </c>
    </row>
    <row r="1496" spans="1:10" x14ac:dyDescent="0.55000000000000004">
      <c r="A1496" t="s">
        <v>5998</v>
      </c>
      <c r="B1496">
        <v>100457</v>
      </c>
      <c r="C1496" t="s">
        <v>19</v>
      </c>
      <c r="D1496" s="3">
        <v>45875</v>
      </c>
      <c r="E1496" t="s">
        <v>115</v>
      </c>
      <c r="F1496" t="s">
        <v>5999</v>
      </c>
      <c r="G1496" t="s">
        <v>15</v>
      </c>
      <c r="H1496" t="s">
        <v>6000</v>
      </c>
      <c r="I1496" t="s">
        <v>6001</v>
      </c>
      <c r="J1496" s="4">
        <v>46064.418154398147</v>
      </c>
    </row>
    <row r="1497" spans="1:10" x14ac:dyDescent="0.55000000000000004">
      <c r="A1497" t="s">
        <v>6002</v>
      </c>
      <c r="B1497">
        <v>100501</v>
      </c>
      <c r="C1497" t="s">
        <v>68</v>
      </c>
      <c r="D1497" s="3">
        <v>46111</v>
      </c>
      <c r="E1497" t="s">
        <v>199</v>
      </c>
      <c r="F1497" t="s">
        <v>6003</v>
      </c>
      <c r="G1497" t="s">
        <v>15</v>
      </c>
      <c r="H1497" t="s">
        <v>6004</v>
      </c>
      <c r="I1497" t="s">
        <v>6005</v>
      </c>
      <c r="J1497" s="4">
        <v>46095.411904409724</v>
      </c>
    </row>
    <row r="1498" spans="1:10" x14ac:dyDescent="0.55000000000000004">
      <c r="A1498" t="s">
        <v>6006</v>
      </c>
      <c r="B1498">
        <v>100563</v>
      </c>
      <c r="C1498" t="s">
        <v>179</v>
      </c>
      <c r="D1498" s="3">
        <v>46064</v>
      </c>
      <c r="E1498" t="s">
        <v>141</v>
      </c>
      <c r="F1498" t="s">
        <v>6007</v>
      </c>
      <c r="G1498" t="s">
        <v>22</v>
      </c>
      <c r="H1498" t="s">
        <v>6008</v>
      </c>
      <c r="I1498" t="s">
        <v>6009</v>
      </c>
      <c r="J1498" s="4">
        <v>46095.361904409721</v>
      </c>
    </row>
    <row r="1499" spans="1:10" x14ac:dyDescent="0.55000000000000004">
      <c r="A1499" t="s">
        <v>6010</v>
      </c>
      <c r="B1499">
        <v>100051</v>
      </c>
      <c r="C1499" t="s">
        <v>248</v>
      </c>
      <c r="D1499" s="3">
        <v>46033</v>
      </c>
      <c r="E1499" t="s">
        <v>295</v>
      </c>
      <c r="F1499" t="s">
        <v>6011</v>
      </c>
      <c r="G1499" t="s">
        <v>15</v>
      </c>
      <c r="H1499" t="s">
        <v>6012</v>
      </c>
      <c r="I1499" t="s">
        <v>6013</v>
      </c>
      <c r="J1499" s="4">
        <v>46079.879265520831</v>
      </c>
    </row>
    <row r="1500" spans="1:10" x14ac:dyDescent="0.55000000000000004">
      <c r="A1500" t="s">
        <v>6014</v>
      </c>
      <c r="B1500">
        <v>100228</v>
      </c>
      <c r="C1500" t="s">
        <v>179</v>
      </c>
      <c r="D1500" s="3">
        <v>45985</v>
      </c>
      <c r="E1500" t="s">
        <v>69</v>
      </c>
      <c r="F1500" t="s">
        <v>6015</v>
      </c>
      <c r="G1500" t="s">
        <v>22</v>
      </c>
      <c r="H1500" t="s">
        <v>6016</v>
      </c>
      <c r="I1500" t="s">
        <v>6017</v>
      </c>
      <c r="J1500" s="4">
        <v>46069.683432199075</v>
      </c>
    </row>
    <row r="1501" spans="1:10" x14ac:dyDescent="0.55000000000000004">
      <c r="A1501" t="s">
        <v>6018</v>
      </c>
      <c r="B1501">
        <v>101309</v>
      </c>
      <c r="C1501" t="s">
        <v>248</v>
      </c>
      <c r="D1501" s="3">
        <v>45837</v>
      </c>
      <c r="E1501" t="s">
        <v>418</v>
      </c>
      <c r="F1501" t="s">
        <v>6019</v>
      </c>
      <c r="G1501" t="s">
        <v>15</v>
      </c>
      <c r="H1501" t="s">
        <v>6020</v>
      </c>
      <c r="I1501" t="s">
        <v>6021</v>
      </c>
      <c r="J1501" s="4">
        <v>46055.312604166669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2386BF-6DDF-47BD-92EE-DE51E644D959}">
  <sheetPr codeName="Sheet8">
    <tabColor theme="4"/>
  </sheetPr>
  <dimension ref="A1:G44"/>
  <sheetViews>
    <sheetView workbookViewId="0">
      <selection activeCell="B9" sqref="B9"/>
    </sheetView>
  </sheetViews>
  <sheetFormatPr defaultRowHeight="14.4" x14ac:dyDescent="0.55000000000000004"/>
  <cols>
    <col min="1" max="1" width="16.47265625" bestFit="1" customWidth="1"/>
    <col min="2" max="2" width="16" bestFit="1" customWidth="1"/>
    <col min="3" max="3" width="25.5234375" bestFit="1" customWidth="1"/>
    <col min="4" max="4" width="12.578125" bestFit="1" customWidth="1"/>
    <col min="5" max="5" width="13.26171875" bestFit="1" customWidth="1"/>
    <col min="6" max="6" width="13.9453125" bestFit="1" customWidth="1"/>
    <col min="7" max="8" width="12.578125" bestFit="1" customWidth="1"/>
  </cols>
  <sheetData>
    <row r="1" spans="1:7" x14ac:dyDescent="0.55000000000000004">
      <c r="A1" t="s">
        <v>0</v>
      </c>
      <c r="B1" t="s">
        <v>5</v>
      </c>
      <c r="C1" t="s">
        <v>6064</v>
      </c>
      <c r="D1" t="s">
        <v>2</v>
      </c>
      <c r="E1" t="s">
        <v>1</v>
      </c>
      <c r="F1" t="s">
        <v>6071</v>
      </c>
      <c r="G1" t="s">
        <v>6075</v>
      </c>
    </row>
    <row r="2" spans="1:7" x14ac:dyDescent="0.55000000000000004">
      <c r="A2" t="s">
        <v>107</v>
      </c>
      <c r="B2" t="s">
        <v>109</v>
      </c>
      <c r="C2" t="s">
        <v>110</v>
      </c>
      <c r="D2" t="s">
        <v>533</v>
      </c>
      <c r="F2" t="s">
        <v>1</v>
      </c>
      <c r="G2" t="s">
        <v>22</v>
      </c>
    </row>
    <row r="3" spans="1:7" x14ac:dyDescent="0.55000000000000004">
      <c r="A3" t="s">
        <v>212</v>
      </c>
      <c r="B3" t="s">
        <v>214</v>
      </c>
      <c r="C3" t="s">
        <v>215</v>
      </c>
      <c r="E3">
        <v>100701</v>
      </c>
      <c r="F3" t="s">
        <v>2</v>
      </c>
      <c r="G3" t="s">
        <v>22</v>
      </c>
    </row>
    <row r="4" spans="1:7" x14ac:dyDescent="0.55000000000000004">
      <c r="A4" t="s">
        <v>299</v>
      </c>
      <c r="B4" t="s">
        <v>301</v>
      </c>
      <c r="C4" t="s">
        <v>302</v>
      </c>
      <c r="D4" t="s">
        <v>179</v>
      </c>
      <c r="F4" t="s">
        <v>1</v>
      </c>
      <c r="G4" t="s">
        <v>22</v>
      </c>
    </row>
    <row r="5" spans="1:7" x14ac:dyDescent="0.55000000000000004">
      <c r="A5" t="s">
        <v>380</v>
      </c>
      <c r="B5" t="s">
        <v>381</v>
      </c>
      <c r="C5" t="s">
        <v>382</v>
      </c>
      <c r="E5">
        <v>101358</v>
      </c>
      <c r="F5" t="s">
        <v>2</v>
      </c>
      <c r="G5" t="s">
        <v>22</v>
      </c>
    </row>
    <row r="6" spans="1:7" x14ac:dyDescent="0.55000000000000004">
      <c r="A6" t="s">
        <v>865</v>
      </c>
      <c r="B6" t="s">
        <v>866</v>
      </c>
      <c r="C6" t="s">
        <v>867</v>
      </c>
      <c r="E6">
        <v>101432</v>
      </c>
      <c r="F6" t="s">
        <v>2</v>
      </c>
      <c r="G6" t="s">
        <v>22</v>
      </c>
    </row>
    <row r="7" spans="1:7" x14ac:dyDescent="0.55000000000000004">
      <c r="A7" t="s">
        <v>897</v>
      </c>
      <c r="B7" t="s">
        <v>898</v>
      </c>
      <c r="C7" t="s">
        <v>899</v>
      </c>
      <c r="D7" t="s">
        <v>533</v>
      </c>
      <c r="F7" t="s">
        <v>1</v>
      </c>
      <c r="G7" t="s">
        <v>22</v>
      </c>
    </row>
    <row r="8" spans="1:7" x14ac:dyDescent="0.55000000000000004">
      <c r="A8" t="s">
        <v>1027</v>
      </c>
      <c r="B8" t="s">
        <v>1028</v>
      </c>
      <c r="C8" t="s">
        <v>1029</v>
      </c>
      <c r="D8" t="s">
        <v>37</v>
      </c>
      <c r="F8" t="s">
        <v>1</v>
      </c>
      <c r="G8" t="s">
        <v>22</v>
      </c>
    </row>
    <row r="9" spans="1:7" x14ac:dyDescent="0.55000000000000004">
      <c r="A9" t="s">
        <v>1250</v>
      </c>
      <c r="B9" t="s">
        <v>1251</v>
      </c>
      <c r="C9" t="s">
        <v>1252</v>
      </c>
      <c r="E9">
        <v>100372</v>
      </c>
      <c r="F9" t="s">
        <v>2</v>
      </c>
      <c r="G9" t="s">
        <v>22</v>
      </c>
    </row>
    <row r="10" spans="1:7" x14ac:dyDescent="0.55000000000000004">
      <c r="A10" t="s">
        <v>1352</v>
      </c>
      <c r="B10" t="s">
        <v>1353</v>
      </c>
      <c r="C10" t="s">
        <v>1354</v>
      </c>
      <c r="D10" t="s">
        <v>37</v>
      </c>
      <c r="F10" t="s">
        <v>1</v>
      </c>
      <c r="G10" t="s">
        <v>22</v>
      </c>
    </row>
    <row r="11" spans="1:7" x14ac:dyDescent="0.55000000000000004">
      <c r="A11" t="s">
        <v>1516</v>
      </c>
      <c r="B11" t="s">
        <v>1517</v>
      </c>
      <c r="C11" t="s">
        <v>1518</v>
      </c>
      <c r="D11" t="s">
        <v>19</v>
      </c>
      <c r="F11" t="s">
        <v>1</v>
      </c>
      <c r="G11" t="s">
        <v>22</v>
      </c>
    </row>
    <row r="12" spans="1:7" x14ac:dyDescent="0.55000000000000004">
      <c r="A12" t="s">
        <v>1907</v>
      </c>
      <c r="B12" t="s">
        <v>1908</v>
      </c>
      <c r="C12" t="s">
        <v>1909</v>
      </c>
      <c r="D12" t="s">
        <v>68</v>
      </c>
      <c r="F12" t="s">
        <v>1</v>
      </c>
      <c r="G12" t="s">
        <v>22</v>
      </c>
    </row>
    <row r="13" spans="1:7" x14ac:dyDescent="0.55000000000000004">
      <c r="A13" t="s">
        <v>1911</v>
      </c>
      <c r="B13" t="s">
        <v>1286</v>
      </c>
      <c r="C13" t="s">
        <v>1912</v>
      </c>
      <c r="D13" t="s">
        <v>179</v>
      </c>
      <c r="F13" t="s">
        <v>1</v>
      </c>
      <c r="G13" t="s">
        <v>22</v>
      </c>
    </row>
    <row r="14" spans="1:7" x14ac:dyDescent="0.55000000000000004">
      <c r="A14" t="s">
        <v>2404</v>
      </c>
      <c r="B14" t="s">
        <v>2405</v>
      </c>
      <c r="C14" t="s">
        <v>2406</v>
      </c>
      <c r="E14">
        <v>100703</v>
      </c>
      <c r="F14" t="s">
        <v>2</v>
      </c>
      <c r="G14" t="s">
        <v>22</v>
      </c>
    </row>
    <row r="15" spans="1:7" x14ac:dyDescent="0.55000000000000004">
      <c r="A15" t="s">
        <v>2436</v>
      </c>
      <c r="B15" t="s">
        <v>2437</v>
      </c>
      <c r="C15" t="s">
        <v>2438</v>
      </c>
      <c r="D15" t="s">
        <v>68</v>
      </c>
      <c r="F15" t="s">
        <v>1</v>
      </c>
      <c r="G15" t="s">
        <v>22</v>
      </c>
    </row>
    <row r="16" spans="1:7" x14ac:dyDescent="0.55000000000000004">
      <c r="A16" t="s">
        <v>2543</v>
      </c>
      <c r="B16" t="s">
        <v>2544</v>
      </c>
      <c r="C16" t="s">
        <v>2545</v>
      </c>
      <c r="D16" t="s">
        <v>37</v>
      </c>
      <c r="F16" t="s">
        <v>1</v>
      </c>
      <c r="G16" t="s">
        <v>22</v>
      </c>
    </row>
    <row r="17" spans="1:7" x14ac:dyDescent="0.55000000000000004">
      <c r="A17" t="s">
        <v>3086</v>
      </c>
      <c r="B17" t="s">
        <v>3087</v>
      </c>
      <c r="C17" t="s">
        <v>3088</v>
      </c>
      <c r="E17">
        <v>100319</v>
      </c>
      <c r="F17" t="s">
        <v>2</v>
      </c>
      <c r="G17" t="s">
        <v>22</v>
      </c>
    </row>
    <row r="18" spans="1:7" x14ac:dyDescent="0.55000000000000004">
      <c r="A18" t="s">
        <v>2113</v>
      </c>
      <c r="B18" t="s">
        <v>3106</v>
      </c>
      <c r="C18" t="s">
        <v>3107</v>
      </c>
      <c r="E18">
        <v>101179</v>
      </c>
      <c r="F18" t="s">
        <v>2</v>
      </c>
      <c r="G18" t="s">
        <v>22</v>
      </c>
    </row>
    <row r="19" spans="1:7" x14ac:dyDescent="0.55000000000000004">
      <c r="A19" t="s">
        <v>3157</v>
      </c>
      <c r="B19" t="s">
        <v>3158</v>
      </c>
      <c r="C19" t="s">
        <v>3159</v>
      </c>
      <c r="D19" t="s">
        <v>68</v>
      </c>
      <c r="F19" t="s">
        <v>1</v>
      </c>
      <c r="G19" t="s">
        <v>22</v>
      </c>
    </row>
    <row r="20" spans="1:7" x14ac:dyDescent="0.55000000000000004">
      <c r="A20" t="s">
        <v>3165</v>
      </c>
      <c r="B20" t="s">
        <v>3166</v>
      </c>
      <c r="C20" t="s">
        <v>3167</v>
      </c>
      <c r="D20" t="s">
        <v>533</v>
      </c>
      <c r="F20" t="s">
        <v>1</v>
      </c>
      <c r="G20" t="s">
        <v>22</v>
      </c>
    </row>
    <row r="21" spans="1:7" x14ac:dyDescent="0.55000000000000004">
      <c r="A21" t="s">
        <v>3281</v>
      </c>
      <c r="B21" t="s">
        <v>3282</v>
      </c>
      <c r="C21" t="s">
        <v>3283</v>
      </c>
      <c r="E21">
        <v>100465</v>
      </c>
      <c r="F21" t="s">
        <v>2</v>
      </c>
      <c r="G21" t="s">
        <v>22</v>
      </c>
    </row>
    <row r="22" spans="1:7" x14ac:dyDescent="0.55000000000000004">
      <c r="A22" t="s">
        <v>3400</v>
      </c>
      <c r="B22" t="s">
        <v>3401</v>
      </c>
      <c r="C22" t="s">
        <v>3402</v>
      </c>
      <c r="D22" t="s">
        <v>19</v>
      </c>
      <c r="F22" t="s">
        <v>1</v>
      </c>
      <c r="G22" t="s">
        <v>22</v>
      </c>
    </row>
    <row r="23" spans="1:7" x14ac:dyDescent="0.55000000000000004">
      <c r="A23" t="s">
        <v>3595</v>
      </c>
      <c r="B23" t="s">
        <v>3596</v>
      </c>
      <c r="C23" t="s">
        <v>3597</v>
      </c>
      <c r="E23">
        <v>101364</v>
      </c>
      <c r="F23" t="s">
        <v>2</v>
      </c>
      <c r="G23" t="s">
        <v>22</v>
      </c>
    </row>
    <row r="24" spans="1:7" x14ac:dyDescent="0.55000000000000004">
      <c r="A24" t="s">
        <v>3607</v>
      </c>
      <c r="B24" t="s">
        <v>3608</v>
      </c>
      <c r="C24" t="s">
        <v>3609</v>
      </c>
      <c r="E24">
        <v>100981</v>
      </c>
      <c r="F24" t="s">
        <v>2</v>
      </c>
      <c r="G24" t="s">
        <v>22</v>
      </c>
    </row>
    <row r="25" spans="1:7" x14ac:dyDescent="0.55000000000000004">
      <c r="A25" t="s">
        <v>3766</v>
      </c>
      <c r="B25" t="s">
        <v>3767</v>
      </c>
      <c r="C25" t="s">
        <v>3768</v>
      </c>
      <c r="E25">
        <v>100937</v>
      </c>
      <c r="F25" t="s">
        <v>2</v>
      </c>
      <c r="G25" t="s">
        <v>22</v>
      </c>
    </row>
    <row r="26" spans="1:7" x14ac:dyDescent="0.55000000000000004">
      <c r="A26" t="s">
        <v>3841</v>
      </c>
      <c r="B26" t="s">
        <v>3842</v>
      </c>
      <c r="C26" t="s">
        <v>3843</v>
      </c>
      <c r="E26">
        <v>101046</v>
      </c>
      <c r="F26" t="s">
        <v>2</v>
      </c>
      <c r="G26" t="s">
        <v>22</v>
      </c>
    </row>
    <row r="27" spans="1:7" x14ac:dyDescent="0.55000000000000004">
      <c r="A27" t="s">
        <v>4130</v>
      </c>
      <c r="B27" t="s">
        <v>4131</v>
      </c>
      <c r="C27" t="s">
        <v>4132</v>
      </c>
      <c r="E27">
        <v>100308</v>
      </c>
      <c r="F27" t="s">
        <v>2</v>
      </c>
      <c r="G27" t="s">
        <v>22</v>
      </c>
    </row>
    <row r="28" spans="1:7" x14ac:dyDescent="0.55000000000000004">
      <c r="A28" t="s">
        <v>4256</v>
      </c>
      <c r="B28" t="s">
        <v>4257</v>
      </c>
      <c r="C28" t="s">
        <v>4258</v>
      </c>
      <c r="F28" t="s">
        <v>2</v>
      </c>
      <c r="G28" t="s">
        <v>22</v>
      </c>
    </row>
    <row r="29" spans="1:7" x14ac:dyDescent="0.55000000000000004">
      <c r="A29" t="s">
        <v>4309</v>
      </c>
      <c r="B29" t="s">
        <v>4310</v>
      </c>
      <c r="C29" t="s">
        <v>4311</v>
      </c>
      <c r="D29" t="s">
        <v>68</v>
      </c>
      <c r="F29" t="s">
        <v>1</v>
      </c>
      <c r="G29" t="s">
        <v>22</v>
      </c>
    </row>
    <row r="30" spans="1:7" x14ac:dyDescent="0.55000000000000004">
      <c r="A30" t="s">
        <v>4482</v>
      </c>
      <c r="B30" t="s">
        <v>2878</v>
      </c>
      <c r="C30" t="s">
        <v>4483</v>
      </c>
      <c r="D30" t="s">
        <v>248</v>
      </c>
      <c r="F30" t="s">
        <v>1</v>
      </c>
      <c r="G30" t="s">
        <v>22</v>
      </c>
    </row>
    <row r="31" spans="1:7" x14ac:dyDescent="0.55000000000000004">
      <c r="A31" t="s">
        <v>4525</v>
      </c>
      <c r="B31" t="s">
        <v>4526</v>
      </c>
      <c r="C31" t="s">
        <v>4527</v>
      </c>
      <c r="E31">
        <v>100090</v>
      </c>
      <c r="F31" t="s">
        <v>2</v>
      </c>
      <c r="G31" t="s">
        <v>22</v>
      </c>
    </row>
    <row r="32" spans="1:7" x14ac:dyDescent="0.55000000000000004">
      <c r="A32" t="s">
        <v>4701</v>
      </c>
      <c r="B32" t="s">
        <v>4702</v>
      </c>
      <c r="C32" t="s">
        <v>4703</v>
      </c>
      <c r="D32" t="s">
        <v>37</v>
      </c>
      <c r="F32" t="s">
        <v>1</v>
      </c>
      <c r="G32" t="s">
        <v>22</v>
      </c>
    </row>
    <row r="33" spans="1:7" x14ac:dyDescent="0.55000000000000004">
      <c r="A33" t="s">
        <v>4760</v>
      </c>
      <c r="B33" t="s">
        <v>4761</v>
      </c>
      <c r="C33" t="s">
        <v>4762</v>
      </c>
      <c r="E33">
        <v>100081</v>
      </c>
      <c r="F33" t="s">
        <v>2</v>
      </c>
      <c r="G33" t="s">
        <v>22</v>
      </c>
    </row>
    <row r="34" spans="1:7" x14ac:dyDescent="0.55000000000000004">
      <c r="A34" t="s">
        <v>4878</v>
      </c>
      <c r="B34" t="s">
        <v>4879</v>
      </c>
      <c r="C34" t="s">
        <v>4880</v>
      </c>
      <c r="D34" t="s">
        <v>533</v>
      </c>
      <c r="F34" t="s">
        <v>1</v>
      </c>
      <c r="G34" t="s">
        <v>22</v>
      </c>
    </row>
    <row r="35" spans="1:7" x14ac:dyDescent="0.55000000000000004">
      <c r="A35" t="s">
        <v>4942</v>
      </c>
      <c r="B35" t="s">
        <v>4943</v>
      </c>
      <c r="C35" t="s">
        <v>4944</v>
      </c>
      <c r="E35">
        <v>101484</v>
      </c>
      <c r="F35" t="s">
        <v>2</v>
      </c>
      <c r="G35" t="s">
        <v>22</v>
      </c>
    </row>
    <row r="36" spans="1:7" x14ac:dyDescent="0.55000000000000004">
      <c r="A36" t="s">
        <v>5024</v>
      </c>
      <c r="B36" t="s">
        <v>5025</v>
      </c>
      <c r="C36" t="s">
        <v>5026</v>
      </c>
      <c r="E36">
        <v>100824</v>
      </c>
      <c r="F36" t="s">
        <v>2</v>
      </c>
      <c r="G36" t="s">
        <v>22</v>
      </c>
    </row>
    <row r="37" spans="1:7" x14ac:dyDescent="0.55000000000000004">
      <c r="A37" t="s">
        <v>5145</v>
      </c>
      <c r="B37" t="s">
        <v>5146</v>
      </c>
      <c r="C37" t="s">
        <v>5147</v>
      </c>
      <c r="E37">
        <v>100145</v>
      </c>
      <c r="F37" t="s">
        <v>2</v>
      </c>
      <c r="G37" t="s">
        <v>22</v>
      </c>
    </row>
    <row r="38" spans="1:7" x14ac:dyDescent="0.55000000000000004">
      <c r="A38" t="s">
        <v>5224</v>
      </c>
      <c r="B38" t="s">
        <v>5225</v>
      </c>
      <c r="C38" t="s">
        <v>5226</v>
      </c>
      <c r="D38" t="s">
        <v>179</v>
      </c>
      <c r="F38" t="s">
        <v>1</v>
      </c>
      <c r="G38" t="s">
        <v>22</v>
      </c>
    </row>
    <row r="39" spans="1:7" x14ac:dyDescent="0.55000000000000004">
      <c r="A39" t="s">
        <v>5528</v>
      </c>
      <c r="B39" t="s">
        <v>5529</v>
      </c>
      <c r="C39" t="s">
        <v>5530</v>
      </c>
      <c r="E39">
        <v>100817</v>
      </c>
      <c r="F39" t="s">
        <v>2</v>
      </c>
      <c r="G39" t="s">
        <v>22</v>
      </c>
    </row>
    <row r="40" spans="1:7" x14ac:dyDescent="0.55000000000000004">
      <c r="A40" t="s">
        <v>5667</v>
      </c>
      <c r="B40" t="s">
        <v>5668</v>
      </c>
      <c r="C40" t="s">
        <v>5669</v>
      </c>
      <c r="D40" t="s">
        <v>248</v>
      </c>
      <c r="F40" t="s">
        <v>1</v>
      </c>
      <c r="G40" t="s">
        <v>22</v>
      </c>
    </row>
    <row r="41" spans="1:7" x14ac:dyDescent="0.55000000000000004">
      <c r="A41" t="s">
        <v>5706</v>
      </c>
      <c r="B41" t="s">
        <v>5707</v>
      </c>
      <c r="C41" t="s">
        <v>5708</v>
      </c>
      <c r="D41" t="s">
        <v>19</v>
      </c>
      <c r="F41" t="s">
        <v>1</v>
      </c>
      <c r="G41" t="s">
        <v>22</v>
      </c>
    </row>
    <row r="42" spans="1:7" x14ac:dyDescent="0.55000000000000004">
      <c r="A42" t="s">
        <v>5726</v>
      </c>
      <c r="B42" t="s">
        <v>5727</v>
      </c>
      <c r="C42" t="s">
        <v>5728</v>
      </c>
      <c r="E42">
        <v>100747</v>
      </c>
      <c r="F42" t="s">
        <v>2</v>
      </c>
      <c r="G42" t="s">
        <v>22</v>
      </c>
    </row>
    <row r="43" spans="1:7" x14ac:dyDescent="0.55000000000000004">
      <c r="A43" t="s">
        <v>5745</v>
      </c>
      <c r="B43" t="s">
        <v>5746</v>
      </c>
      <c r="C43" t="s">
        <v>5747</v>
      </c>
      <c r="E43">
        <v>100206</v>
      </c>
      <c r="F43" t="s">
        <v>2</v>
      </c>
      <c r="G43" t="s">
        <v>22</v>
      </c>
    </row>
    <row r="44" spans="1:7" x14ac:dyDescent="0.55000000000000004">
      <c r="A44" t="s">
        <v>5769</v>
      </c>
      <c r="B44" t="s">
        <v>5770</v>
      </c>
      <c r="C44" t="s">
        <v>5771</v>
      </c>
      <c r="D44" t="s">
        <v>68</v>
      </c>
      <c r="F44" t="s">
        <v>1</v>
      </c>
      <c r="G44" t="s">
        <v>22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8AD4A8-BE55-42D5-843F-853A96505370}">
  <sheetPr codeName="Sheet4">
    <tabColor theme="5" tint="-0.499984740745262"/>
  </sheetPr>
  <dimension ref="A1:H92"/>
  <sheetViews>
    <sheetView workbookViewId="0">
      <selection activeCell="D14" sqref="D14"/>
    </sheetView>
  </sheetViews>
  <sheetFormatPr defaultRowHeight="14.4" x14ac:dyDescent="0.55000000000000004"/>
  <cols>
    <col min="1" max="1" width="17.3671875" bestFit="1" customWidth="1"/>
    <col min="2" max="2" width="17.15625" bestFit="1" customWidth="1"/>
    <col min="3" max="3" width="25.9453125" bestFit="1" customWidth="1"/>
    <col min="4" max="4" width="33.68359375" bestFit="1" customWidth="1"/>
    <col min="5" max="5" width="28.26171875" customWidth="1"/>
    <col min="6" max="6" width="12.05078125" customWidth="1"/>
    <col min="7" max="7" width="14.734375" customWidth="1"/>
    <col min="8" max="8" width="10.62890625" customWidth="1"/>
  </cols>
  <sheetData>
    <row r="1" spans="1:8" x14ac:dyDescent="0.55000000000000004">
      <c r="A1" t="s">
        <v>0</v>
      </c>
      <c r="B1" t="s">
        <v>5</v>
      </c>
      <c r="C1" t="s">
        <v>6064</v>
      </c>
      <c r="D1" t="s">
        <v>6062</v>
      </c>
      <c r="E1" t="s">
        <v>6063</v>
      </c>
      <c r="F1" t="s">
        <v>6065</v>
      </c>
      <c r="G1" t="s">
        <v>6066</v>
      </c>
      <c r="H1" t="s">
        <v>6067</v>
      </c>
    </row>
    <row r="2" spans="1:8" x14ac:dyDescent="0.55000000000000004">
      <c r="A2" t="s">
        <v>107</v>
      </c>
      <c r="B2" t="s">
        <v>109</v>
      </c>
      <c r="C2" t="s">
        <v>110</v>
      </c>
      <c r="D2" t="s">
        <v>112</v>
      </c>
      <c r="E2" s="16" t="s">
        <v>6069</v>
      </c>
      <c r="F2" t="s">
        <v>6068</v>
      </c>
      <c r="H2" t="s">
        <v>22</v>
      </c>
    </row>
    <row r="3" spans="1:8" x14ac:dyDescent="0.55000000000000004">
      <c r="A3" t="s">
        <v>3957</v>
      </c>
      <c r="B3" t="s">
        <v>116</v>
      </c>
      <c r="C3" t="s">
        <v>117</v>
      </c>
      <c r="D3" t="s">
        <v>119</v>
      </c>
      <c r="E3" s="16" t="s">
        <v>6069</v>
      </c>
      <c r="F3" t="s">
        <v>6068</v>
      </c>
      <c r="H3" t="s">
        <v>22</v>
      </c>
    </row>
    <row r="4" spans="1:8" x14ac:dyDescent="0.55000000000000004">
      <c r="A4" t="s">
        <v>135</v>
      </c>
      <c r="B4" t="s">
        <v>136</v>
      </c>
      <c r="C4" t="s">
        <v>137</v>
      </c>
      <c r="D4" t="s">
        <v>139</v>
      </c>
      <c r="E4" s="16" t="s">
        <v>6069</v>
      </c>
      <c r="F4" t="s">
        <v>6068</v>
      </c>
      <c r="H4" t="s">
        <v>22</v>
      </c>
    </row>
    <row r="5" spans="1:8" x14ac:dyDescent="0.55000000000000004">
      <c r="A5" t="s">
        <v>212</v>
      </c>
      <c r="B5" t="s">
        <v>214</v>
      </c>
      <c r="C5" t="s">
        <v>215</v>
      </c>
      <c r="D5" t="s">
        <v>217</v>
      </c>
      <c r="E5" s="16" t="s">
        <v>6069</v>
      </c>
      <c r="F5" t="s">
        <v>6068</v>
      </c>
      <c r="H5" t="s">
        <v>22</v>
      </c>
    </row>
    <row r="6" spans="1:8" x14ac:dyDescent="0.55000000000000004">
      <c r="A6" t="s">
        <v>238</v>
      </c>
      <c r="B6" t="s">
        <v>239</v>
      </c>
      <c r="C6" t="s">
        <v>240</v>
      </c>
      <c r="D6" t="s">
        <v>139</v>
      </c>
      <c r="E6" s="16" t="s">
        <v>6069</v>
      </c>
      <c r="F6" t="s">
        <v>6068</v>
      </c>
      <c r="H6" t="s">
        <v>22</v>
      </c>
    </row>
    <row r="7" spans="1:8" x14ac:dyDescent="0.55000000000000004">
      <c r="A7" t="s">
        <v>299</v>
      </c>
      <c r="B7" t="s">
        <v>301</v>
      </c>
      <c r="C7" t="s">
        <v>302</v>
      </c>
      <c r="D7" t="s">
        <v>112</v>
      </c>
      <c r="E7" s="16" t="s">
        <v>6069</v>
      </c>
      <c r="F7" t="s">
        <v>6068</v>
      </c>
      <c r="H7" t="s">
        <v>22</v>
      </c>
    </row>
    <row r="8" spans="1:8" x14ac:dyDescent="0.55000000000000004">
      <c r="A8" t="s">
        <v>368</v>
      </c>
      <c r="B8" t="s">
        <v>369</v>
      </c>
      <c r="C8" t="s">
        <v>370</v>
      </c>
      <c r="D8" t="s">
        <v>139</v>
      </c>
      <c r="E8" s="16" t="s">
        <v>6069</v>
      </c>
      <c r="F8" t="s">
        <v>6068</v>
      </c>
      <c r="H8" t="s">
        <v>22</v>
      </c>
    </row>
    <row r="9" spans="1:8" x14ac:dyDescent="0.55000000000000004">
      <c r="A9" t="s">
        <v>380</v>
      </c>
      <c r="B9" t="s">
        <v>381</v>
      </c>
      <c r="C9" t="s">
        <v>382</v>
      </c>
      <c r="D9" t="s">
        <v>217</v>
      </c>
      <c r="E9" s="16" t="s">
        <v>6069</v>
      </c>
      <c r="F9" t="s">
        <v>6068</v>
      </c>
      <c r="H9" t="s">
        <v>22</v>
      </c>
    </row>
    <row r="10" spans="1:8" x14ac:dyDescent="0.55000000000000004">
      <c r="A10" t="s">
        <v>6022</v>
      </c>
      <c r="B10" t="s">
        <v>472</v>
      </c>
      <c r="C10" t="s">
        <v>473</v>
      </c>
      <c r="D10" t="s">
        <v>119</v>
      </c>
      <c r="E10" s="16" t="s">
        <v>6069</v>
      </c>
      <c r="F10" t="s">
        <v>6068</v>
      </c>
      <c r="H10" t="s">
        <v>22</v>
      </c>
    </row>
    <row r="11" spans="1:8" x14ac:dyDescent="0.55000000000000004">
      <c r="A11" t="s">
        <v>6023</v>
      </c>
      <c r="B11" t="s">
        <v>571</v>
      </c>
      <c r="C11" t="s">
        <v>572</v>
      </c>
      <c r="D11" t="s">
        <v>119</v>
      </c>
      <c r="E11" s="16" t="s">
        <v>6069</v>
      </c>
      <c r="F11" t="s">
        <v>6068</v>
      </c>
      <c r="H11" t="s">
        <v>22</v>
      </c>
    </row>
    <row r="12" spans="1:8" x14ac:dyDescent="0.55000000000000004">
      <c r="A12" t="s">
        <v>6024</v>
      </c>
      <c r="B12" t="s">
        <v>579</v>
      </c>
      <c r="C12" t="s">
        <v>580</v>
      </c>
      <c r="D12" t="s">
        <v>119</v>
      </c>
      <c r="E12" s="16" t="s">
        <v>6069</v>
      </c>
      <c r="F12" t="s">
        <v>6068</v>
      </c>
      <c r="H12" t="s">
        <v>22</v>
      </c>
    </row>
    <row r="13" spans="1:8" x14ac:dyDescent="0.55000000000000004">
      <c r="A13" t="s">
        <v>627</v>
      </c>
      <c r="B13" t="s">
        <v>628</v>
      </c>
      <c r="C13" t="s">
        <v>629</v>
      </c>
      <c r="D13" t="s">
        <v>139</v>
      </c>
      <c r="E13" s="16" t="s">
        <v>6069</v>
      </c>
      <c r="F13" t="s">
        <v>6068</v>
      </c>
      <c r="H13" t="s">
        <v>22</v>
      </c>
    </row>
    <row r="14" spans="1:8" x14ac:dyDescent="0.55000000000000004">
      <c r="A14" t="s">
        <v>675</v>
      </c>
      <c r="B14" t="s">
        <v>676</v>
      </c>
      <c r="C14" t="s">
        <v>677</v>
      </c>
      <c r="D14" t="s">
        <v>139</v>
      </c>
      <c r="E14" s="16" t="s">
        <v>6069</v>
      </c>
      <c r="F14" t="s">
        <v>6068</v>
      </c>
      <c r="H14" t="s">
        <v>22</v>
      </c>
    </row>
    <row r="15" spans="1:8" x14ac:dyDescent="0.55000000000000004">
      <c r="A15" t="s">
        <v>752</v>
      </c>
      <c r="B15" t="s">
        <v>753</v>
      </c>
      <c r="C15" t="s">
        <v>754</v>
      </c>
      <c r="D15" t="s">
        <v>139</v>
      </c>
      <c r="E15" s="16" t="s">
        <v>6069</v>
      </c>
      <c r="F15" t="s">
        <v>6068</v>
      </c>
      <c r="H15" t="s">
        <v>22</v>
      </c>
    </row>
    <row r="16" spans="1:8" x14ac:dyDescent="0.55000000000000004">
      <c r="A16" t="s">
        <v>865</v>
      </c>
      <c r="B16" t="s">
        <v>866</v>
      </c>
      <c r="C16" t="s">
        <v>867</v>
      </c>
      <c r="D16" t="s">
        <v>217</v>
      </c>
      <c r="E16" s="16" t="s">
        <v>6069</v>
      </c>
      <c r="F16" t="s">
        <v>6068</v>
      </c>
      <c r="H16" t="s">
        <v>22</v>
      </c>
    </row>
    <row r="17" spans="1:8" x14ac:dyDescent="0.55000000000000004">
      <c r="A17" t="s">
        <v>897</v>
      </c>
      <c r="B17" t="s">
        <v>898</v>
      </c>
      <c r="C17" t="s">
        <v>899</v>
      </c>
      <c r="D17" t="s">
        <v>112</v>
      </c>
      <c r="E17" s="16" t="s">
        <v>6069</v>
      </c>
      <c r="F17" t="s">
        <v>6068</v>
      </c>
      <c r="H17" t="s">
        <v>22</v>
      </c>
    </row>
    <row r="18" spans="1:8" x14ac:dyDescent="0.55000000000000004">
      <c r="A18" t="s">
        <v>1027</v>
      </c>
      <c r="B18" t="s">
        <v>1028</v>
      </c>
      <c r="C18" t="s">
        <v>1029</v>
      </c>
      <c r="D18" t="s">
        <v>112</v>
      </c>
      <c r="E18" s="16" t="s">
        <v>6069</v>
      </c>
      <c r="F18" t="s">
        <v>6068</v>
      </c>
      <c r="H18" t="s">
        <v>22</v>
      </c>
    </row>
    <row r="19" spans="1:8" x14ac:dyDescent="0.55000000000000004">
      <c r="A19" t="s">
        <v>1031</v>
      </c>
      <c r="B19" t="s">
        <v>1032</v>
      </c>
      <c r="C19" t="s">
        <v>1033</v>
      </c>
      <c r="D19" t="s">
        <v>139</v>
      </c>
      <c r="E19" s="16" t="s">
        <v>6069</v>
      </c>
      <c r="F19" t="s">
        <v>6068</v>
      </c>
      <c r="H19" t="s">
        <v>22</v>
      </c>
    </row>
    <row r="20" spans="1:8" x14ac:dyDescent="0.55000000000000004">
      <c r="A20" t="s">
        <v>1055</v>
      </c>
      <c r="B20" t="s">
        <v>1056</v>
      </c>
      <c r="C20" t="s">
        <v>1057</v>
      </c>
      <c r="D20" t="s">
        <v>139</v>
      </c>
      <c r="E20" s="16" t="s">
        <v>6069</v>
      </c>
      <c r="F20" t="s">
        <v>6068</v>
      </c>
      <c r="H20" t="s">
        <v>22</v>
      </c>
    </row>
    <row r="21" spans="1:8" x14ac:dyDescent="0.55000000000000004">
      <c r="A21" t="s">
        <v>6025</v>
      </c>
      <c r="B21" t="s">
        <v>1152</v>
      </c>
      <c r="C21" t="s">
        <v>1153</v>
      </c>
      <c r="D21" t="s">
        <v>119</v>
      </c>
      <c r="E21" s="16" t="s">
        <v>6069</v>
      </c>
      <c r="F21" t="s">
        <v>6068</v>
      </c>
      <c r="H21" t="s">
        <v>22</v>
      </c>
    </row>
    <row r="22" spans="1:8" x14ac:dyDescent="0.55000000000000004">
      <c r="A22" t="s">
        <v>1194</v>
      </c>
      <c r="B22" t="s">
        <v>1195</v>
      </c>
      <c r="C22" t="s">
        <v>1196</v>
      </c>
      <c r="D22" t="s">
        <v>139</v>
      </c>
      <c r="E22" s="16" t="s">
        <v>6069</v>
      </c>
      <c r="F22" t="s">
        <v>6068</v>
      </c>
      <c r="H22" t="s">
        <v>22</v>
      </c>
    </row>
    <row r="23" spans="1:8" x14ac:dyDescent="0.55000000000000004">
      <c r="A23" t="s">
        <v>6026</v>
      </c>
      <c r="B23" t="s">
        <v>1235</v>
      </c>
      <c r="C23" t="s">
        <v>1236</v>
      </c>
      <c r="D23" t="s">
        <v>119</v>
      </c>
      <c r="E23" s="16" t="s">
        <v>6069</v>
      </c>
      <c r="F23" t="s">
        <v>6068</v>
      </c>
      <c r="H23" t="s">
        <v>22</v>
      </c>
    </row>
    <row r="24" spans="1:8" x14ac:dyDescent="0.55000000000000004">
      <c r="A24" t="s">
        <v>1250</v>
      </c>
      <c r="B24" t="s">
        <v>1251</v>
      </c>
      <c r="C24" t="s">
        <v>1252</v>
      </c>
      <c r="D24" t="s">
        <v>217</v>
      </c>
      <c r="E24" s="16" t="s">
        <v>6069</v>
      </c>
      <c r="F24" t="s">
        <v>6068</v>
      </c>
      <c r="H24" t="s">
        <v>22</v>
      </c>
    </row>
    <row r="25" spans="1:8" x14ac:dyDescent="0.55000000000000004">
      <c r="A25" t="s">
        <v>6027</v>
      </c>
      <c r="B25" t="s">
        <v>1263</v>
      </c>
      <c r="C25" t="s">
        <v>1264</v>
      </c>
      <c r="D25" t="s">
        <v>119</v>
      </c>
      <c r="E25" s="16" t="s">
        <v>6069</v>
      </c>
      <c r="F25" t="s">
        <v>6068</v>
      </c>
      <c r="H25" t="s">
        <v>22</v>
      </c>
    </row>
    <row r="26" spans="1:8" x14ac:dyDescent="0.55000000000000004">
      <c r="A26" t="s">
        <v>1348</v>
      </c>
      <c r="B26" t="s">
        <v>1349</v>
      </c>
      <c r="C26" t="s">
        <v>1350</v>
      </c>
      <c r="D26" t="s">
        <v>139</v>
      </c>
      <c r="E26" s="16" t="s">
        <v>6069</v>
      </c>
      <c r="F26" t="s">
        <v>6068</v>
      </c>
      <c r="H26" t="s">
        <v>22</v>
      </c>
    </row>
    <row r="27" spans="1:8" x14ac:dyDescent="0.55000000000000004">
      <c r="A27" t="s">
        <v>1352</v>
      </c>
      <c r="B27" t="s">
        <v>1353</v>
      </c>
      <c r="C27" t="s">
        <v>1354</v>
      </c>
      <c r="D27" t="s">
        <v>112</v>
      </c>
      <c r="E27" s="16" t="s">
        <v>6069</v>
      </c>
      <c r="F27" t="s">
        <v>6068</v>
      </c>
      <c r="H27" t="s">
        <v>22</v>
      </c>
    </row>
    <row r="28" spans="1:8" x14ac:dyDescent="0.55000000000000004">
      <c r="A28" t="s">
        <v>1516</v>
      </c>
      <c r="B28" t="s">
        <v>1517</v>
      </c>
      <c r="C28" t="s">
        <v>1518</v>
      </c>
      <c r="D28" t="s">
        <v>112</v>
      </c>
      <c r="E28" s="16" t="s">
        <v>6069</v>
      </c>
      <c r="F28" t="s">
        <v>6068</v>
      </c>
      <c r="H28" t="s">
        <v>22</v>
      </c>
    </row>
    <row r="29" spans="1:8" x14ac:dyDescent="0.55000000000000004">
      <c r="A29" t="s">
        <v>6028</v>
      </c>
      <c r="B29" t="s">
        <v>1544</v>
      </c>
      <c r="C29" t="s">
        <v>1545</v>
      </c>
      <c r="D29" t="s">
        <v>119</v>
      </c>
      <c r="E29" s="16" t="s">
        <v>6069</v>
      </c>
      <c r="F29" t="s">
        <v>6068</v>
      </c>
      <c r="H29" t="s">
        <v>22</v>
      </c>
    </row>
    <row r="30" spans="1:8" x14ac:dyDescent="0.55000000000000004">
      <c r="A30" t="s">
        <v>6029</v>
      </c>
      <c r="B30" t="s">
        <v>1647</v>
      </c>
      <c r="C30" t="s">
        <v>1648</v>
      </c>
      <c r="D30" t="s">
        <v>119</v>
      </c>
      <c r="E30" s="16" t="s">
        <v>6069</v>
      </c>
      <c r="F30" t="s">
        <v>6068</v>
      </c>
      <c r="H30" t="s">
        <v>22</v>
      </c>
    </row>
    <row r="31" spans="1:8" x14ac:dyDescent="0.55000000000000004">
      <c r="A31" t="s">
        <v>6030</v>
      </c>
      <c r="B31" t="s">
        <v>1777</v>
      </c>
      <c r="C31" t="s">
        <v>1778</v>
      </c>
      <c r="D31" t="s">
        <v>119</v>
      </c>
      <c r="E31" s="16" t="s">
        <v>6069</v>
      </c>
      <c r="F31" t="s">
        <v>6068</v>
      </c>
      <c r="H31" t="s">
        <v>22</v>
      </c>
    </row>
    <row r="32" spans="1:8" x14ac:dyDescent="0.55000000000000004">
      <c r="A32" t="s">
        <v>1820</v>
      </c>
      <c r="B32" t="s">
        <v>1821</v>
      </c>
      <c r="C32" t="s">
        <v>1822</v>
      </c>
      <c r="D32" t="s">
        <v>139</v>
      </c>
      <c r="E32" s="16" t="s">
        <v>6069</v>
      </c>
      <c r="F32" t="s">
        <v>6068</v>
      </c>
      <c r="H32" t="s">
        <v>22</v>
      </c>
    </row>
    <row r="33" spans="1:8" x14ac:dyDescent="0.55000000000000004">
      <c r="A33" t="s">
        <v>1907</v>
      </c>
      <c r="B33" t="s">
        <v>1908</v>
      </c>
      <c r="C33" t="s">
        <v>1909</v>
      </c>
      <c r="D33" t="s">
        <v>112</v>
      </c>
      <c r="E33" s="16" t="s">
        <v>6069</v>
      </c>
      <c r="F33" t="s">
        <v>6068</v>
      </c>
      <c r="H33" t="s">
        <v>22</v>
      </c>
    </row>
    <row r="34" spans="1:8" x14ac:dyDescent="0.55000000000000004">
      <c r="A34" t="s">
        <v>1911</v>
      </c>
      <c r="B34" t="s">
        <v>1286</v>
      </c>
      <c r="C34" t="s">
        <v>1912</v>
      </c>
      <c r="D34" t="s">
        <v>112</v>
      </c>
      <c r="E34" s="16" t="s">
        <v>6069</v>
      </c>
      <c r="F34" t="s">
        <v>6068</v>
      </c>
      <c r="H34" t="s">
        <v>22</v>
      </c>
    </row>
    <row r="35" spans="1:8" x14ac:dyDescent="0.55000000000000004">
      <c r="A35" t="s">
        <v>6031</v>
      </c>
      <c r="B35" t="s">
        <v>1990</v>
      </c>
      <c r="C35" t="s">
        <v>1991</v>
      </c>
      <c r="D35" t="s">
        <v>119</v>
      </c>
      <c r="E35" s="16" t="s">
        <v>6069</v>
      </c>
      <c r="F35" t="s">
        <v>6068</v>
      </c>
      <c r="H35" t="s">
        <v>22</v>
      </c>
    </row>
    <row r="36" spans="1:8" x14ac:dyDescent="0.55000000000000004">
      <c r="A36" t="s">
        <v>6032</v>
      </c>
      <c r="B36" t="s">
        <v>2137</v>
      </c>
      <c r="C36" t="s">
        <v>2138</v>
      </c>
      <c r="D36" t="s">
        <v>119</v>
      </c>
      <c r="E36" s="16" t="s">
        <v>6069</v>
      </c>
      <c r="F36" t="s">
        <v>6068</v>
      </c>
      <c r="H36" t="s">
        <v>22</v>
      </c>
    </row>
    <row r="37" spans="1:8" x14ac:dyDescent="0.55000000000000004">
      <c r="A37" t="s">
        <v>2204</v>
      </c>
      <c r="B37" t="s">
        <v>2205</v>
      </c>
      <c r="C37" t="s">
        <v>2206</v>
      </c>
      <c r="D37" t="s">
        <v>139</v>
      </c>
      <c r="E37" s="16" t="s">
        <v>6069</v>
      </c>
      <c r="F37" t="s">
        <v>6068</v>
      </c>
      <c r="H37" t="s">
        <v>22</v>
      </c>
    </row>
    <row r="38" spans="1:8" x14ac:dyDescent="0.55000000000000004">
      <c r="A38" t="s">
        <v>2320</v>
      </c>
      <c r="B38" t="s">
        <v>2321</v>
      </c>
      <c r="C38" t="s">
        <v>2322</v>
      </c>
      <c r="D38" t="s">
        <v>139</v>
      </c>
      <c r="E38" s="16" t="s">
        <v>6069</v>
      </c>
      <c r="F38" t="s">
        <v>6068</v>
      </c>
      <c r="H38" t="s">
        <v>22</v>
      </c>
    </row>
    <row r="39" spans="1:8" x14ac:dyDescent="0.55000000000000004">
      <c r="A39" t="s">
        <v>2404</v>
      </c>
      <c r="B39" t="s">
        <v>2405</v>
      </c>
      <c r="C39" t="s">
        <v>2406</v>
      </c>
      <c r="D39" t="s">
        <v>217</v>
      </c>
      <c r="E39" s="16" t="s">
        <v>6069</v>
      </c>
      <c r="F39" t="s">
        <v>6068</v>
      </c>
      <c r="H39" t="s">
        <v>22</v>
      </c>
    </row>
    <row r="40" spans="1:8" x14ac:dyDescent="0.55000000000000004">
      <c r="A40" t="s">
        <v>2420</v>
      </c>
      <c r="B40" t="s">
        <v>2421</v>
      </c>
      <c r="C40" t="s">
        <v>2422</v>
      </c>
      <c r="D40" t="s">
        <v>139</v>
      </c>
      <c r="E40" s="16" t="s">
        <v>6069</v>
      </c>
      <c r="F40" t="s">
        <v>6068</v>
      </c>
      <c r="H40" t="s">
        <v>22</v>
      </c>
    </row>
    <row r="41" spans="1:8" x14ac:dyDescent="0.55000000000000004">
      <c r="A41" t="s">
        <v>2436</v>
      </c>
      <c r="B41" t="s">
        <v>2437</v>
      </c>
      <c r="C41" t="s">
        <v>2438</v>
      </c>
      <c r="D41" t="s">
        <v>112</v>
      </c>
      <c r="E41" s="16" t="s">
        <v>6069</v>
      </c>
      <c r="F41" t="s">
        <v>6068</v>
      </c>
      <c r="H41" t="s">
        <v>22</v>
      </c>
    </row>
    <row r="42" spans="1:8" x14ac:dyDescent="0.55000000000000004">
      <c r="A42" t="s">
        <v>6033</v>
      </c>
      <c r="B42" t="s">
        <v>2457</v>
      </c>
      <c r="C42" t="s">
        <v>2458</v>
      </c>
      <c r="D42" t="s">
        <v>119</v>
      </c>
      <c r="E42" s="16" t="s">
        <v>6069</v>
      </c>
      <c r="F42" t="s">
        <v>6068</v>
      </c>
      <c r="H42" t="s">
        <v>22</v>
      </c>
    </row>
    <row r="43" spans="1:8" x14ac:dyDescent="0.55000000000000004">
      <c r="A43" t="s">
        <v>2543</v>
      </c>
      <c r="B43" t="s">
        <v>2544</v>
      </c>
      <c r="C43" t="s">
        <v>2545</v>
      </c>
      <c r="D43" t="s">
        <v>112</v>
      </c>
      <c r="E43" s="16" t="s">
        <v>6069</v>
      </c>
      <c r="F43" t="s">
        <v>6068</v>
      </c>
      <c r="H43" t="s">
        <v>22</v>
      </c>
    </row>
    <row r="44" spans="1:8" x14ac:dyDescent="0.55000000000000004">
      <c r="A44" t="s">
        <v>2583</v>
      </c>
      <c r="B44" t="s">
        <v>2584</v>
      </c>
      <c r="C44" t="s">
        <v>2585</v>
      </c>
      <c r="D44" t="s">
        <v>139</v>
      </c>
      <c r="E44" s="16" t="s">
        <v>6069</v>
      </c>
      <c r="F44" t="s">
        <v>6068</v>
      </c>
      <c r="H44" t="s">
        <v>22</v>
      </c>
    </row>
    <row r="45" spans="1:8" x14ac:dyDescent="0.55000000000000004">
      <c r="A45" t="s">
        <v>6034</v>
      </c>
      <c r="B45" t="s">
        <v>1128</v>
      </c>
      <c r="C45" t="s">
        <v>2612</v>
      </c>
      <c r="D45" t="s">
        <v>119</v>
      </c>
      <c r="E45" s="16" t="s">
        <v>6069</v>
      </c>
      <c r="F45" t="s">
        <v>6068</v>
      </c>
      <c r="H45" t="s">
        <v>22</v>
      </c>
    </row>
    <row r="46" spans="1:8" x14ac:dyDescent="0.55000000000000004">
      <c r="A46" t="s">
        <v>2650</v>
      </c>
      <c r="B46" t="s">
        <v>2651</v>
      </c>
      <c r="C46" t="s">
        <v>2652</v>
      </c>
      <c r="D46" t="s">
        <v>139</v>
      </c>
      <c r="E46" s="16" t="s">
        <v>6069</v>
      </c>
      <c r="F46" t="s">
        <v>6068</v>
      </c>
      <c r="H46" t="s">
        <v>22</v>
      </c>
    </row>
    <row r="47" spans="1:8" x14ac:dyDescent="0.55000000000000004">
      <c r="A47" t="s">
        <v>6035</v>
      </c>
      <c r="B47" t="s">
        <v>2798</v>
      </c>
      <c r="C47" t="s">
        <v>2799</v>
      </c>
      <c r="D47" t="s">
        <v>119</v>
      </c>
      <c r="E47" s="16" t="s">
        <v>6069</v>
      </c>
      <c r="F47" t="s">
        <v>6068</v>
      </c>
      <c r="H47" t="s">
        <v>22</v>
      </c>
    </row>
    <row r="48" spans="1:8" x14ac:dyDescent="0.55000000000000004">
      <c r="A48" t="s">
        <v>2873</v>
      </c>
      <c r="B48" t="s">
        <v>2874</v>
      </c>
      <c r="C48" t="s">
        <v>2875</v>
      </c>
      <c r="D48" t="s">
        <v>139</v>
      </c>
      <c r="E48" s="16" t="s">
        <v>6069</v>
      </c>
      <c r="F48" t="s">
        <v>6068</v>
      </c>
      <c r="H48" t="s">
        <v>22</v>
      </c>
    </row>
    <row r="49" spans="1:8" x14ac:dyDescent="0.55000000000000004">
      <c r="A49" t="s">
        <v>3086</v>
      </c>
      <c r="B49" t="s">
        <v>3087</v>
      </c>
      <c r="C49" t="s">
        <v>3088</v>
      </c>
      <c r="D49" t="s">
        <v>217</v>
      </c>
      <c r="E49" s="16" t="s">
        <v>6069</v>
      </c>
      <c r="F49" t="s">
        <v>6068</v>
      </c>
      <c r="H49" t="s">
        <v>22</v>
      </c>
    </row>
    <row r="50" spans="1:8" x14ac:dyDescent="0.55000000000000004">
      <c r="A50" t="s">
        <v>2113</v>
      </c>
      <c r="B50" t="s">
        <v>3106</v>
      </c>
      <c r="C50" t="s">
        <v>3107</v>
      </c>
      <c r="D50" t="s">
        <v>217</v>
      </c>
      <c r="E50" s="16" t="s">
        <v>6069</v>
      </c>
      <c r="F50" t="s">
        <v>6068</v>
      </c>
      <c r="H50" t="s">
        <v>22</v>
      </c>
    </row>
    <row r="51" spans="1:8" x14ac:dyDescent="0.55000000000000004">
      <c r="A51" t="s">
        <v>3157</v>
      </c>
      <c r="B51" t="s">
        <v>3158</v>
      </c>
      <c r="C51" t="s">
        <v>3159</v>
      </c>
      <c r="D51" t="s">
        <v>112</v>
      </c>
      <c r="E51" s="16" t="s">
        <v>6069</v>
      </c>
      <c r="F51" t="s">
        <v>6068</v>
      </c>
      <c r="H51" t="s">
        <v>22</v>
      </c>
    </row>
    <row r="52" spans="1:8" x14ac:dyDescent="0.55000000000000004">
      <c r="A52" t="s">
        <v>3165</v>
      </c>
      <c r="B52" t="s">
        <v>3166</v>
      </c>
      <c r="C52" t="s">
        <v>3167</v>
      </c>
      <c r="D52" t="s">
        <v>112</v>
      </c>
      <c r="E52" s="16" t="s">
        <v>6069</v>
      </c>
      <c r="F52" t="s">
        <v>6068</v>
      </c>
      <c r="H52" t="s">
        <v>22</v>
      </c>
    </row>
    <row r="53" spans="1:8" x14ac:dyDescent="0.55000000000000004">
      <c r="A53" t="s">
        <v>3281</v>
      </c>
      <c r="B53" t="s">
        <v>3282</v>
      </c>
      <c r="C53" t="s">
        <v>3283</v>
      </c>
      <c r="D53" t="s">
        <v>217</v>
      </c>
      <c r="E53" s="16" t="s">
        <v>6069</v>
      </c>
      <c r="F53" t="s">
        <v>6068</v>
      </c>
      <c r="H53" t="s">
        <v>22</v>
      </c>
    </row>
    <row r="54" spans="1:8" x14ac:dyDescent="0.55000000000000004">
      <c r="A54" t="s">
        <v>3400</v>
      </c>
      <c r="B54" t="s">
        <v>3401</v>
      </c>
      <c r="C54" t="s">
        <v>3402</v>
      </c>
      <c r="D54" t="s">
        <v>112</v>
      </c>
      <c r="E54" s="16" t="s">
        <v>6069</v>
      </c>
      <c r="F54" t="s">
        <v>6068</v>
      </c>
      <c r="H54" t="s">
        <v>22</v>
      </c>
    </row>
    <row r="55" spans="1:8" x14ac:dyDescent="0.55000000000000004">
      <c r="A55" t="s">
        <v>3527</v>
      </c>
      <c r="B55" t="s">
        <v>3528</v>
      </c>
      <c r="C55" t="s">
        <v>3529</v>
      </c>
      <c r="D55" t="s">
        <v>139</v>
      </c>
      <c r="E55" s="16" t="s">
        <v>6069</v>
      </c>
      <c r="F55" t="s">
        <v>6068</v>
      </c>
      <c r="H55" t="s">
        <v>22</v>
      </c>
    </row>
    <row r="56" spans="1:8" x14ac:dyDescent="0.55000000000000004">
      <c r="A56" t="s">
        <v>6036</v>
      </c>
      <c r="B56" t="s">
        <v>3584</v>
      </c>
      <c r="C56" t="s">
        <v>3585</v>
      </c>
      <c r="D56" t="s">
        <v>119</v>
      </c>
      <c r="E56" s="16" t="s">
        <v>6069</v>
      </c>
      <c r="F56" t="s">
        <v>6068</v>
      </c>
      <c r="H56" t="s">
        <v>22</v>
      </c>
    </row>
    <row r="57" spans="1:8" x14ac:dyDescent="0.55000000000000004">
      <c r="A57" t="s">
        <v>3595</v>
      </c>
      <c r="B57" t="s">
        <v>3596</v>
      </c>
      <c r="C57" t="s">
        <v>3597</v>
      </c>
      <c r="D57" t="s">
        <v>217</v>
      </c>
      <c r="E57" s="16" t="s">
        <v>6069</v>
      </c>
      <c r="F57" t="s">
        <v>6068</v>
      </c>
      <c r="H57" t="s">
        <v>22</v>
      </c>
    </row>
    <row r="58" spans="1:8" x14ac:dyDescent="0.55000000000000004">
      <c r="A58" t="s">
        <v>3607</v>
      </c>
      <c r="B58" t="s">
        <v>3608</v>
      </c>
      <c r="C58" t="s">
        <v>3609</v>
      </c>
      <c r="D58" t="s">
        <v>217</v>
      </c>
      <c r="E58" s="16" t="s">
        <v>6069</v>
      </c>
      <c r="F58" t="s">
        <v>6068</v>
      </c>
      <c r="H58" t="s">
        <v>22</v>
      </c>
    </row>
    <row r="59" spans="1:8" x14ac:dyDescent="0.55000000000000004">
      <c r="A59" t="s">
        <v>3766</v>
      </c>
      <c r="B59" t="s">
        <v>3767</v>
      </c>
      <c r="C59" t="s">
        <v>3768</v>
      </c>
      <c r="D59" t="s">
        <v>217</v>
      </c>
      <c r="E59" s="16" t="s">
        <v>6069</v>
      </c>
      <c r="F59" t="s">
        <v>6068</v>
      </c>
      <c r="H59" t="s">
        <v>22</v>
      </c>
    </row>
    <row r="60" spans="1:8" x14ac:dyDescent="0.55000000000000004">
      <c r="A60" t="s">
        <v>3841</v>
      </c>
      <c r="B60" t="s">
        <v>3842</v>
      </c>
      <c r="C60" t="s">
        <v>3843</v>
      </c>
      <c r="D60" t="s">
        <v>217</v>
      </c>
      <c r="E60" s="16" t="s">
        <v>6069</v>
      </c>
      <c r="F60" t="s">
        <v>6068</v>
      </c>
      <c r="H60" t="s">
        <v>22</v>
      </c>
    </row>
    <row r="61" spans="1:8" x14ac:dyDescent="0.55000000000000004">
      <c r="A61" t="s">
        <v>6037</v>
      </c>
      <c r="B61" t="s">
        <v>3878</v>
      </c>
      <c r="C61" t="s">
        <v>3879</v>
      </c>
      <c r="D61" t="s">
        <v>119</v>
      </c>
      <c r="E61" s="16" t="s">
        <v>6069</v>
      </c>
      <c r="F61" t="s">
        <v>6068</v>
      </c>
      <c r="H61" t="s">
        <v>22</v>
      </c>
    </row>
    <row r="62" spans="1:8" x14ac:dyDescent="0.55000000000000004">
      <c r="A62" t="s">
        <v>4068</v>
      </c>
      <c r="B62" t="s">
        <v>4069</v>
      </c>
      <c r="C62" t="s">
        <v>4070</v>
      </c>
      <c r="D62" t="s">
        <v>139</v>
      </c>
      <c r="E62" s="16" t="s">
        <v>6069</v>
      </c>
      <c r="F62" t="s">
        <v>6068</v>
      </c>
      <c r="H62" t="s">
        <v>22</v>
      </c>
    </row>
    <row r="63" spans="1:8" x14ac:dyDescent="0.55000000000000004">
      <c r="A63" t="s">
        <v>4099</v>
      </c>
      <c r="B63" t="s">
        <v>4100</v>
      </c>
      <c r="C63" t="s">
        <v>4101</v>
      </c>
      <c r="D63" t="s">
        <v>139</v>
      </c>
      <c r="E63" s="16" t="s">
        <v>6069</v>
      </c>
      <c r="F63" t="s">
        <v>6068</v>
      </c>
      <c r="H63" t="s">
        <v>22</v>
      </c>
    </row>
    <row r="64" spans="1:8" x14ac:dyDescent="0.55000000000000004">
      <c r="A64" t="s">
        <v>4130</v>
      </c>
      <c r="B64" t="s">
        <v>4131</v>
      </c>
      <c r="C64" t="s">
        <v>4132</v>
      </c>
      <c r="D64" t="s">
        <v>217</v>
      </c>
      <c r="E64" s="16" t="s">
        <v>6069</v>
      </c>
      <c r="F64" t="s">
        <v>6068</v>
      </c>
      <c r="H64" t="s">
        <v>22</v>
      </c>
    </row>
    <row r="65" spans="1:8" x14ac:dyDescent="0.55000000000000004">
      <c r="A65" t="s">
        <v>1469</v>
      </c>
      <c r="B65" t="s">
        <v>4155</v>
      </c>
      <c r="C65" t="s">
        <v>4156</v>
      </c>
      <c r="D65" t="s">
        <v>119</v>
      </c>
      <c r="E65" s="16" t="s">
        <v>6069</v>
      </c>
      <c r="F65" t="s">
        <v>6068</v>
      </c>
      <c r="H65" t="s">
        <v>22</v>
      </c>
    </row>
    <row r="66" spans="1:8" x14ac:dyDescent="0.55000000000000004">
      <c r="A66" t="s">
        <v>515</v>
      </c>
      <c r="B66" t="s">
        <v>4187</v>
      </c>
      <c r="C66" t="s">
        <v>4188</v>
      </c>
      <c r="D66" t="s">
        <v>119</v>
      </c>
      <c r="E66" s="16" t="s">
        <v>6069</v>
      </c>
      <c r="F66" t="s">
        <v>6068</v>
      </c>
      <c r="H66" t="s">
        <v>22</v>
      </c>
    </row>
    <row r="67" spans="1:8" x14ac:dyDescent="0.55000000000000004">
      <c r="A67" t="s">
        <v>4256</v>
      </c>
      <c r="B67" t="s">
        <v>4257</v>
      </c>
      <c r="C67" t="s">
        <v>4258</v>
      </c>
      <c r="D67" t="s">
        <v>4260</v>
      </c>
      <c r="E67" s="16" t="s">
        <v>6069</v>
      </c>
      <c r="F67" t="s">
        <v>6068</v>
      </c>
      <c r="H67" t="s">
        <v>22</v>
      </c>
    </row>
    <row r="68" spans="1:8" x14ac:dyDescent="0.55000000000000004">
      <c r="A68" t="s">
        <v>4309</v>
      </c>
      <c r="B68" t="s">
        <v>4310</v>
      </c>
      <c r="C68" t="s">
        <v>4311</v>
      </c>
      <c r="D68" t="s">
        <v>112</v>
      </c>
      <c r="E68" s="16" t="s">
        <v>6069</v>
      </c>
      <c r="F68" t="s">
        <v>6068</v>
      </c>
      <c r="H68" t="s">
        <v>22</v>
      </c>
    </row>
    <row r="69" spans="1:8" x14ac:dyDescent="0.55000000000000004">
      <c r="A69" t="s">
        <v>4482</v>
      </c>
      <c r="B69" t="s">
        <v>2878</v>
      </c>
      <c r="C69" t="s">
        <v>4483</v>
      </c>
      <c r="D69" t="s">
        <v>112</v>
      </c>
      <c r="E69" s="16" t="s">
        <v>6069</v>
      </c>
      <c r="F69" t="s">
        <v>6068</v>
      </c>
      <c r="H69" t="s">
        <v>22</v>
      </c>
    </row>
    <row r="70" spans="1:8" x14ac:dyDescent="0.55000000000000004">
      <c r="A70" t="s">
        <v>4525</v>
      </c>
      <c r="B70" t="s">
        <v>4526</v>
      </c>
      <c r="C70" t="s">
        <v>4527</v>
      </c>
      <c r="D70" t="s">
        <v>217</v>
      </c>
      <c r="E70" s="16" t="s">
        <v>6069</v>
      </c>
      <c r="F70" t="s">
        <v>6068</v>
      </c>
      <c r="H70" t="s">
        <v>22</v>
      </c>
    </row>
    <row r="71" spans="1:8" x14ac:dyDescent="0.55000000000000004">
      <c r="A71" t="s">
        <v>6038</v>
      </c>
      <c r="B71" t="s">
        <v>4578</v>
      </c>
      <c r="C71" t="s">
        <v>4579</v>
      </c>
      <c r="D71" t="s">
        <v>119</v>
      </c>
      <c r="E71" s="16" t="s">
        <v>6069</v>
      </c>
      <c r="F71" t="s">
        <v>6068</v>
      </c>
      <c r="H71" t="s">
        <v>22</v>
      </c>
    </row>
    <row r="72" spans="1:8" x14ac:dyDescent="0.55000000000000004">
      <c r="A72" t="s">
        <v>4701</v>
      </c>
      <c r="B72" t="s">
        <v>4702</v>
      </c>
      <c r="C72" t="s">
        <v>4703</v>
      </c>
      <c r="D72" t="s">
        <v>112</v>
      </c>
      <c r="E72" s="16" t="s">
        <v>6069</v>
      </c>
      <c r="F72" t="s">
        <v>6068</v>
      </c>
      <c r="H72" t="s">
        <v>22</v>
      </c>
    </row>
    <row r="73" spans="1:8" x14ac:dyDescent="0.55000000000000004">
      <c r="A73" t="s">
        <v>6039</v>
      </c>
      <c r="B73" t="s">
        <v>4716</v>
      </c>
      <c r="C73" t="s">
        <v>4717</v>
      </c>
      <c r="D73" t="s">
        <v>119</v>
      </c>
      <c r="E73" s="16" t="s">
        <v>6069</v>
      </c>
      <c r="F73" t="s">
        <v>6068</v>
      </c>
      <c r="H73" t="s">
        <v>22</v>
      </c>
    </row>
    <row r="74" spans="1:8" x14ac:dyDescent="0.55000000000000004">
      <c r="A74" t="s">
        <v>6040</v>
      </c>
      <c r="B74" t="s">
        <v>4738</v>
      </c>
      <c r="C74" t="s">
        <v>4739</v>
      </c>
      <c r="D74" t="s">
        <v>119</v>
      </c>
      <c r="E74" s="16" t="s">
        <v>6069</v>
      </c>
      <c r="F74" t="s">
        <v>6068</v>
      </c>
      <c r="H74" t="s">
        <v>22</v>
      </c>
    </row>
    <row r="75" spans="1:8" x14ac:dyDescent="0.55000000000000004">
      <c r="A75" t="s">
        <v>4760</v>
      </c>
      <c r="B75" t="s">
        <v>4761</v>
      </c>
      <c r="C75" t="s">
        <v>4762</v>
      </c>
      <c r="D75" t="s">
        <v>217</v>
      </c>
      <c r="E75" s="16" t="s">
        <v>6069</v>
      </c>
      <c r="F75" t="s">
        <v>6068</v>
      </c>
      <c r="H75" t="s">
        <v>22</v>
      </c>
    </row>
    <row r="76" spans="1:8" x14ac:dyDescent="0.55000000000000004">
      <c r="A76" t="s">
        <v>2026</v>
      </c>
      <c r="B76" t="s">
        <v>4781</v>
      </c>
      <c r="C76" t="s">
        <v>4782</v>
      </c>
      <c r="D76" t="s">
        <v>119</v>
      </c>
      <c r="E76" s="16" t="s">
        <v>6069</v>
      </c>
      <c r="F76" t="s">
        <v>6068</v>
      </c>
      <c r="H76" t="s">
        <v>22</v>
      </c>
    </row>
    <row r="77" spans="1:8" x14ac:dyDescent="0.55000000000000004">
      <c r="A77" t="s">
        <v>4878</v>
      </c>
      <c r="B77" t="s">
        <v>4879</v>
      </c>
      <c r="C77" t="s">
        <v>4880</v>
      </c>
      <c r="D77" t="s">
        <v>112</v>
      </c>
      <c r="E77" s="16" t="s">
        <v>6069</v>
      </c>
      <c r="F77" t="s">
        <v>6068</v>
      </c>
      <c r="H77" t="s">
        <v>22</v>
      </c>
    </row>
    <row r="78" spans="1:8" x14ac:dyDescent="0.55000000000000004">
      <c r="A78" t="s">
        <v>4942</v>
      </c>
      <c r="B78" t="s">
        <v>4943</v>
      </c>
      <c r="C78" t="s">
        <v>4944</v>
      </c>
      <c r="D78" t="s">
        <v>217</v>
      </c>
      <c r="E78" s="16" t="s">
        <v>6069</v>
      </c>
      <c r="F78" t="s">
        <v>6068</v>
      </c>
      <c r="H78" t="s">
        <v>22</v>
      </c>
    </row>
    <row r="79" spans="1:8" x14ac:dyDescent="0.55000000000000004">
      <c r="A79" t="s">
        <v>5024</v>
      </c>
      <c r="B79" t="s">
        <v>5025</v>
      </c>
      <c r="C79" t="s">
        <v>5026</v>
      </c>
      <c r="D79" t="s">
        <v>217</v>
      </c>
      <c r="E79" s="16" t="s">
        <v>6069</v>
      </c>
      <c r="F79" t="s">
        <v>6068</v>
      </c>
      <c r="H79" t="s">
        <v>22</v>
      </c>
    </row>
    <row r="80" spans="1:8" x14ac:dyDescent="0.55000000000000004">
      <c r="A80" t="s">
        <v>5145</v>
      </c>
      <c r="B80" t="s">
        <v>5146</v>
      </c>
      <c r="C80" t="s">
        <v>5147</v>
      </c>
      <c r="D80" t="s">
        <v>217</v>
      </c>
      <c r="E80" s="16" t="s">
        <v>6069</v>
      </c>
      <c r="F80" t="s">
        <v>6068</v>
      </c>
      <c r="H80" t="s">
        <v>22</v>
      </c>
    </row>
    <row r="81" spans="1:8" x14ac:dyDescent="0.55000000000000004">
      <c r="A81" t="s">
        <v>5221</v>
      </c>
      <c r="B81" t="s">
        <v>4191</v>
      </c>
      <c r="C81" t="s">
        <v>5222</v>
      </c>
      <c r="D81" t="s">
        <v>139</v>
      </c>
      <c r="E81" s="16" t="s">
        <v>6069</v>
      </c>
      <c r="F81" t="s">
        <v>6068</v>
      </c>
      <c r="H81" t="s">
        <v>22</v>
      </c>
    </row>
    <row r="82" spans="1:8" x14ac:dyDescent="0.55000000000000004">
      <c r="A82" t="s">
        <v>5224</v>
      </c>
      <c r="B82" t="s">
        <v>5225</v>
      </c>
      <c r="C82" t="s">
        <v>5226</v>
      </c>
      <c r="D82" t="s">
        <v>112</v>
      </c>
      <c r="E82" s="16" t="s">
        <v>6069</v>
      </c>
      <c r="F82" t="s">
        <v>6068</v>
      </c>
      <c r="H82" t="s">
        <v>22</v>
      </c>
    </row>
    <row r="83" spans="1:8" x14ac:dyDescent="0.55000000000000004">
      <c r="A83" t="s">
        <v>5421</v>
      </c>
      <c r="B83" t="s">
        <v>5422</v>
      </c>
      <c r="C83" t="s">
        <v>5423</v>
      </c>
      <c r="D83" t="s">
        <v>139</v>
      </c>
      <c r="E83" s="16" t="s">
        <v>6069</v>
      </c>
      <c r="F83" t="s">
        <v>6068</v>
      </c>
      <c r="H83" t="s">
        <v>22</v>
      </c>
    </row>
    <row r="84" spans="1:8" x14ac:dyDescent="0.55000000000000004">
      <c r="A84" t="s">
        <v>5528</v>
      </c>
      <c r="B84" t="s">
        <v>5529</v>
      </c>
      <c r="C84" t="s">
        <v>5530</v>
      </c>
      <c r="D84" t="s">
        <v>217</v>
      </c>
      <c r="E84" s="16" t="s">
        <v>6069</v>
      </c>
      <c r="F84" t="s">
        <v>6068</v>
      </c>
      <c r="H84" t="s">
        <v>22</v>
      </c>
    </row>
    <row r="85" spans="1:8" x14ac:dyDescent="0.55000000000000004">
      <c r="A85" t="s">
        <v>6041</v>
      </c>
      <c r="B85" t="s">
        <v>5593</v>
      </c>
      <c r="C85" t="s">
        <v>5594</v>
      </c>
      <c r="D85" t="s">
        <v>119</v>
      </c>
      <c r="E85" s="16" t="s">
        <v>6069</v>
      </c>
      <c r="F85" t="s">
        <v>6068</v>
      </c>
      <c r="H85" t="s">
        <v>22</v>
      </c>
    </row>
    <row r="86" spans="1:8" x14ac:dyDescent="0.55000000000000004">
      <c r="A86" t="s">
        <v>6042</v>
      </c>
      <c r="B86" t="s">
        <v>5660</v>
      </c>
      <c r="C86" t="s">
        <v>5661</v>
      </c>
      <c r="D86" t="s">
        <v>119</v>
      </c>
      <c r="E86" s="16" t="s">
        <v>6069</v>
      </c>
      <c r="F86" t="s">
        <v>6068</v>
      </c>
      <c r="H86" t="s">
        <v>22</v>
      </c>
    </row>
    <row r="87" spans="1:8" x14ac:dyDescent="0.55000000000000004">
      <c r="A87" t="s">
        <v>5667</v>
      </c>
      <c r="B87" t="s">
        <v>5668</v>
      </c>
      <c r="C87" t="s">
        <v>5669</v>
      </c>
      <c r="D87" t="s">
        <v>112</v>
      </c>
      <c r="E87" s="16" t="s">
        <v>6069</v>
      </c>
      <c r="F87" t="s">
        <v>6068</v>
      </c>
      <c r="H87" t="s">
        <v>22</v>
      </c>
    </row>
    <row r="88" spans="1:8" x14ac:dyDescent="0.55000000000000004">
      <c r="A88" t="s">
        <v>5706</v>
      </c>
      <c r="B88" t="s">
        <v>5707</v>
      </c>
      <c r="C88" t="s">
        <v>5708</v>
      </c>
      <c r="D88" t="s">
        <v>112</v>
      </c>
      <c r="E88" s="16" t="s">
        <v>6069</v>
      </c>
      <c r="F88" t="s">
        <v>6068</v>
      </c>
      <c r="H88" t="s">
        <v>22</v>
      </c>
    </row>
    <row r="89" spans="1:8" x14ac:dyDescent="0.55000000000000004">
      <c r="A89" t="s">
        <v>5726</v>
      </c>
      <c r="B89" t="s">
        <v>5727</v>
      </c>
      <c r="C89" t="s">
        <v>5728</v>
      </c>
      <c r="D89" t="s">
        <v>217</v>
      </c>
      <c r="E89" s="16" t="s">
        <v>6069</v>
      </c>
      <c r="F89" t="s">
        <v>6068</v>
      </c>
      <c r="H89" t="s">
        <v>22</v>
      </c>
    </row>
    <row r="90" spans="1:8" x14ac:dyDescent="0.55000000000000004">
      <c r="A90" t="s">
        <v>6043</v>
      </c>
      <c r="B90" t="s">
        <v>5742</v>
      </c>
      <c r="C90" t="s">
        <v>5743</v>
      </c>
      <c r="D90" t="s">
        <v>119</v>
      </c>
      <c r="E90" s="16" t="s">
        <v>6069</v>
      </c>
      <c r="F90" t="s">
        <v>6068</v>
      </c>
      <c r="H90" t="s">
        <v>22</v>
      </c>
    </row>
    <row r="91" spans="1:8" x14ac:dyDescent="0.55000000000000004">
      <c r="A91" t="s">
        <v>5745</v>
      </c>
      <c r="B91" t="s">
        <v>5746</v>
      </c>
      <c r="C91" t="s">
        <v>5747</v>
      </c>
      <c r="D91" t="s">
        <v>217</v>
      </c>
      <c r="E91" s="16" t="s">
        <v>6069</v>
      </c>
      <c r="F91" t="s">
        <v>6068</v>
      </c>
      <c r="H91" t="s">
        <v>22</v>
      </c>
    </row>
    <row r="92" spans="1:8" x14ac:dyDescent="0.55000000000000004">
      <c r="A92" t="s">
        <v>5769</v>
      </c>
      <c r="B92" t="s">
        <v>5770</v>
      </c>
      <c r="C92" t="s">
        <v>5771</v>
      </c>
      <c r="D92" t="s">
        <v>112</v>
      </c>
      <c r="E92" s="16" t="s">
        <v>6069</v>
      </c>
      <c r="F92" t="s">
        <v>6068</v>
      </c>
      <c r="H92" t="s">
        <v>22</v>
      </c>
    </row>
  </sheetData>
  <conditionalFormatting sqref="F2:F1001">
    <cfRule type="cellIs" dxfId="10" priority="4" operator="equal">
      <formula>"Resolved"</formula>
    </cfRule>
    <cfRule type="cellIs" dxfId="9" priority="5" operator="equal">
      <formula>"Contacted"</formula>
    </cfRule>
    <cfRule type="cellIs" dxfId="8" priority="6" operator="equal">
      <formula>"Email Drafted"</formula>
    </cfRule>
  </conditionalFormatting>
  <conditionalFormatting sqref="H1:H1048576">
    <cfRule type="cellIs" dxfId="7" priority="2" operator="equal">
      <formula>"Yes"</formula>
    </cfRule>
    <cfRule type="cellIs" dxfId="6" priority="3" operator="equal">
      <formula>"No"</formula>
    </cfRule>
  </conditionalFormatting>
  <conditionalFormatting sqref="F2:F1048576">
    <cfRule type="cellIs" dxfId="5" priority="1" operator="equal">
      <formula>"Not Contacted"</formula>
    </cfRule>
  </conditionalFormatting>
  <dataValidations count="2">
    <dataValidation type="list" allowBlank="1" showInputMessage="1" showErrorMessage="1" sqref="F2:F1000" xr:uid="{C35A531A-5688-4E11-A8C3-B7D571805F57}">
      <formula1>"Not Contacted,Email Drafted,Contacted,Resolved"</formula1>
    </dataValidation>
    <dataValidation type="list" allowBlank="1" showInputMessage="1" showErrorMessage="1" sqref="H2:H501" xr:uid="{814517F1-DC03-4961-BA23-EBCFD95A93DF}">
      <formula1>"No,Yes"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2" r:id="rId3" name="Button 4">
              <controlPr defaultSize="0" print="0" autoFill="0" autoPict="0" macro="[0]!DraftSingleEmail">
                <anchor moveWithCells="1">
                  <from>
                    <xdr:col>4</xdr:col>
                    <xdr:colOff>788670</xdr:colOff>
                    <xdr:row>0</xdr:row>
                    <xdr:rowOff>7620</xdr:rowOff>
                  </from>
                  <to>
                    <xdr:col>4</xdr:col>
                    <xdr:colOff>1905000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4" name="Button 5">
              <controlPr defaultSize="0" print="0" autoFill="0" autoPict="0" macro="[0]!DraftAllMissingEmails">
                <anchor moveWithCells="1">
                  <from>
                    <xdr:col>9</xdr:col>
                    <xdr:colOff>3810</xdr:colOff>
                    <xdr:row>2</xdr:row>
                    <xdr:rowOff>0</xdr:rowOff>
                  </from>
                  <to>
                    <xdr:col>10</xdr:col>
                    <xdr:colOff>609600</xdr:colOff>
                    <xdr:row>4</xdr:row>
                    <xdr:rowOff>102870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A01233-8780-40ED-A17D-44B27233DB5B}">
  <sheetPr>
    <tabColor theme="5" tint="-0.499984740745262"/>
  </sheetPr>
  <dimension ref="A1:D64"/>
  <sheetViews>
    <sheetView zoomScale="89" zoomScaleNormal="89" workbookViewId="0">
      <selection activeCell="C22" sqref="C22"/>
    </sheetView>
  </sheetViews>
  <sheetFormatPr defaultRowHeight="14.4" x14ac:dyDescent="0.55000000000000004"/>
  <cols>
    <col min="1" max="1" width="16.47265625" bestFit="1" customWidth="1"/>
    <col min="2" max="2" width="16" bestFit="1" customWidth="1"/>
    <col min="3" max="3" width="25.9453125" bestFit="1" customWidth="1"/>
    <col min="4" max="4" width="19.578125" bestFit="1" customWidth="1"/>
  </cols>
  <sheetData>
    <row r="1" spans="1:4" x14ac:dyDescent="0.55000000000000004">
      <c r="A1" t="s">
        <v>0</v>
      </c>
      <c r="B1" t="s">
        <v>5</v>
      </c>
      <c r="C1" t="s">
        <v>6064</v>
      </c>
      <c r="D1" t="s">
        <v>6062</v>
      </c>
    </row>
    <row r="2" spans="1:4" x14ac:dyDescent="0.55000000000000004">
      <c r="A2" t="s">
        <v>107</v>
      </c>
      <c r="B2" t="s">
        <v>109</v>
      </c>
      <c r="C2" t="s">
        <v>110</v>
      </c>
      <c r="D2" t="s">
        <v>1</v>
      </c>
    </row>
    <row r="3" spans="1:4" x14ac:dyDescent="0.55000000000000004">
      <c r="A3" t="s">
        <v>135</v>
      </c>
      <c r="B3" t="s">
        <v>136</v>
      </c>
      <c r="C3" t="s">
        <v>137</v>
      </c>
      <c r="D3" t="s">
        <v>139</v>
      </c>
    </row>
    <row r="4" spans="1:4" x14ac:dyDescent="0.55000000000000004">
      <c r="A4" t="s">
        <v>212</v>
      </c>
      <c r="B4" t="s">
        <v>214</v>
      </c>
      <c r="C4" t="s">
        <v>215</v>
      </c>
      <c r="D4" t="s">
        <v>2</v>
      </c>
    </row>
    <row r="5" spans="1:4" x14ac:dyDescent="0.55000000000000004">
      <c r="A5" t="s">
        <v>238</v>
      </c>
      <c r="B5" t="s">
        <v>239</v>
      </c>
      <c r="C5" t="s">
        <v>240</v>
      </c>
      <c r="D5" t="s">
        <v>139</v>
      </c>
    </row>
    <row r="6" spans="1:4" x14ac:dyDescent="0.55000000000000004">
      <c r="A6" t="s">
        <v>299</v>
      </c>
      <c r="B6" t="s">
        <v>301</v>
      </c>
      <c r="C6" t="s">
        <v>302</v>
      </c>
      <c r="D6" t="s">
        <v>1</v>
      </c>
    </row>
    <row r="7" spans="1:4" x14ac:dyDescent="0.55000000000000004">
      <c r="A7" t="s">
        <v>368</v>
      </c>
      <c r="B7" t="s">
        <v>369</v>
      </c>
      <c r="C7" t="s">
        <v>370</v>
      </c>
      <c r="D7" t="s">
        <v>139</v>
      </c>
    </row>
    <row r="8" spans="1:4" x14ac:dyDescent="0.55000000000000004">
      <c r="A8" t="s">
        <v>380</v>
      </c>
      <c r="B8" t="s">
        <v>381</v>
      </c>
      <c r="C8" t="s">
        <v>382</v>
      </c>
      <c r="D8" t="s">
        <v>2</v>
      </c>
    </row>
    <row r="9" spans="1:4" x14ac:dyDescent="0.55000000000000004">
      <c r="A9" t="s">
        <v>627</v>
      </c>
      <c r="B9" t="s">
        <v>628</v>
      </c>
      <c r="C9" t="s">
        <v>629</v>
      </c>
      <c r="D9" t="s">
        <v>139</v>
      </c>
    </row>
    <row r="10" spans="1:4" x14ac:dyDescent="0.55000000000000004">
      <c r="A10" t="s">
        <v>675</v>
      </c>
      <c r="B10" t="s">
        <v>676</v>
      </c>
      <c r="C10" t="s">
        <v>677</v>
      </c>
      <c r="D10" t="s">
        <v>139</v>
      </c>
    </row>
    <row r="11" spans="1:4" x14ac:dyDescent="0.55000000000000004">
      <c r="A11" t="s">
        <v>752</v>
      </c>
      <c r="B11" t="s">
        <v>753</v>
      </c>
      <c r="C11" t="s">
        <v>754</v>
      </c>
      <c r="D11" t="s">
        <v>139</v>
      </c>
    </row>
    <row r="12" spans="1:4" x14ac:dyDescent="0.55000000000000004">
      <c r="A12" t="s">
        <v>865</v>
      </c>
      <c r="B12" t="s">
        <v>866</v>
      </c>
      <c r="C12" t="s">
        <v>867</v>
      </c>
      <c r="D12" t="s">
        <v>2</v>
      </c>
    </row>
    <row r="13" spans="1:4" x14ac:dyDescent="0.55000000000000004">
      <c r="A13" t="s">
        <v>897</v>
      </c>
      <c r="B13" t="s">
        <v>898</v>
      </c>
      <c r="C13" t="s">
        <v>899</v>
      </c>
      <c r="D13" t="s">
        <v>1</v>
      </c>
    </row>
    <row r="14" spans="1:4" x14ac:dyDescent="0.55000000000000004">
      <c r="A14" t="s">
        <v>1031</v>
      </c>
      <c r="B14" t="s">
        <v>1032</v>
      </c>
      <c r="C14" t="s">
        <v>1033</v>
      </c>
      <c r="D14" t="s">
        <v>139</v>
      </c>
    </row>
    <row r="15" spans="1:4" x14ac:dyDescent="0.55000000000000004">
      <c r="A15" t="s">
        <v>1055</v>
      </c>
      <c r="B15" t="s">
        <v>1056</v>
      </c>
      <c r="C15" t="s">
        <v>1057</v>
      </c>
      <c r="D15" t="s">
        <v>139</v>
      </c>
    </row>
    <row r="16" spans="1:4" x14ac:dyDescent="0.55000000000000004">
      <c r="A16" t="s">
        <v>1194</v>
      </c>
      <c r="B16" t="s">
        <v>1195</v>
      </c>
      <c r="C16" t="s">
        <v>1196</v>
      </c>
      <c r="D16" t="s">
        <v>139</v>
      </c>
    </row>
    <row r="17" spans="1:4" x14ac:dyDescent="0.55000000000000004">
      <c r="A17" t="s">
        <v>1250</v>
      </c>
      <c r="B17" t="s">
        <v>1251</v>
      </c>
      <c r="C17" t="s">
        <v>1252</v>
      </c>
      <c r="D17" t="s">
        <v>2</v>
      </c>
    </row>
    <row r="18" spans="1:4" x14ac:dyDescent="0.55000000000000004">
      <c r="A18" t="s">
        <v>1348</v>
      </c>
      <c r="B18" t="s">
        <v>1349</v>
      </c>
      <c r="C18" t="s">
        <v>1350</v>
      </c>
      <c r="D18" t="s">
        <v>139</v>
      </c>
    </row>
    <row r="19" spans="1:4" x14ac:dyDescent="0.55000000000000004">
      <c r="A19" t="s">
        <v>1352</v>
      </c>
      <c r="B19" t="s">
        <v>1353</v>
      </c>
      <c r="C19" t="s">
        <v>1354</v>
      </c>
      <c r="D19" t="s">
        <v>1</v>
      </c>
    </row>
    <row r="20" spans="1:4" x14ac:dyDescent="0.55000000000000004">
      <c r="A20" t="s">
        <v>1516</v>
      </c>
      <c r="B20" t="s">
        <v>1517</v>
      </c>
      <c r="C20" t="s">
        <v>1518</v>
      </c>
      <c r="D20" t="s">
        <v>1</v>
      </c>
    </row>
    <row r="21" spans="1:4" x14ac:dyDescent="0.55000000000000004">
      <c r="A21" t="s">
        <v>1820</v>
      </c>
      <c r="B21" t="s">
        <v>1821</v>
      </c>
      <c r="C21" t="s">
        <v>1822</v>
      </c>
      <c r="D21" t="s">
        <v>139</v>
      </c>
    </row>
    <row r="22" spans="1:4" x14ac:dyDescent="0.55000000000000004">
      <c r="A22" t="s">
        <v>1907</v>
      </c>
      <c r="B22" t="s">
        <v>1908</v>
      </c>
      <c r="C22" t="s">
        <v>1909</v>
      </c>
      <c r="D22" t="s">
        <v>1</v>
      </c>
    </row>
    <row r="23" spans="1:4" x14ac:dyDescent="0.55000000000000004">
      <c r="A23" t="s">
        <v>1911</v>
      </c>
      <c r="B23" t="s">
        <v>1286</v>
      </c>
      <c r="C23" t="s">
        <v>1912</v>
      </c>
      <c r="D23" t="s">
        <v>1</v>
      </c>
    </row>
    <row r="24" spans="1:4" x14ac:dyDescent="0.55000000000000004">
      <c r="A24" t="s">
        <v>2204</v>
      </c>
      <c r="B24" t="s">
        <v>2205</v>
      </c>
      <c r="C24" t="s">
        <v>2206</v>
      </c>
      <c r="D24" t="s">
        <v>139</v>
      </c>
    </row>
    <row r="25" spans="1:4" x14ac:dyDescent="0.55000000000000004">
      <c r="A25" t="s">
        <v>2320</v>
      </c>
      <c r="B25" t="s">
        <v>2321</v>
      </c>
      <c r="C25" t="s">
        <v>2322</v>
      </c>
      <c r="D25" t="s">
        <v>139</v>
      </c>
    </row>
    <row r="26" spans="1:4" x14ac:dyDescent="0.55000000000000004">
      <c r="A26" t="s">
        <v>2404</v>
      </c>
      <c r="B26" t="s">
        <v>2405</v>
      </c>
      <c r="C26" t="s">
        <v>2406</v>
      </c>
      <c r="D26" t="s">
        <v>2</v>
      </c>
    </row>
    <row r="27" spans="1:4" x14ac:dyDescent="0.55000000000000004">
      <c r="A27" t="s">
        <v>2420</v>
      </c>
      <c r="B27" t="s">
        <v>2421</v>
      </c>
      <c r="C27" t="s">
        <v>2422</v>
      </c>
      <c r="D27" t="s">
        <v>139</v>
      </c>
    </row>
    <row r="28" spans="1:4" x14ac:dyDescent="0.55000000000000004">
      <c r="A28" t="s">
        <v>2436</v>
      </c>
      <c r="B28" t="s">
        <v>2437</v>
      </c>
      <c r="C28" t="s">
        <v>2438</v>
      </c>
      <c r="D28" t="s">
        <v>1</v>
      </c>
    </row>
    <row r="29" spans="1:4" x14ac:dyDescent="0.55000000000000004">
      <c r="A29" t="s">
        <v>2543</v>
      </c>
      <c r="B29" t="s">
        <v>2544</v>
      </c>
      <c r="C29" t="s">
        <v>2545</v>
      </c>
      <c r="D29" t="s">
        <v>1</v>
      </c>
    </row>
    <row r="30" spans="1:4" x14ac:dyDescent="0.55000000000000004">
      <c r="A30" t="s">
        <v>2583</v>
      </c>
      <c r="B30" t="s">
        <v>2584</v>
      </c>
      <c r="C30" t="s">
        <v>2585</v>
      </c>
      <c r="D30" t="s">
        <v>139</v>
      </c>
    </row>
    <row r="31" spans="1:4" x14ac:dyDescent="0.55000000000000004">
      <c r="A31" t="s">
        <v>2650</v>
      </c>
      <c r="B31" t="s">
        <v>2651</v>
      </c>
      <c r="C31" t="s">
        <v>2652</v>
      </c>
      <c r="D31" t="s">
        <v>139</v>
      </c>
    </row>
    <row r="32" spans="1:4" x14ac:dyDescent="0.55000000000000004">
      <c r="A32" t="s">
        <v>2873</v>
      </c>
      <c r="B32" t="s">
        <v>2874</v>
      </c>
      <c r="C32" t="s">
        <v>2875</v>
      </c>
      <c r="D32" t="s">
        <v>139</v>
      </c>
    </row>
    <row r="33" spans="1:4" x14ac:dyDescent="0.55000000000000004">
      <c r="A33" t="s">
        <v>3086</v>
      </c>
      <c r="B33" t="s">
        <v>3087</v>
      </c>
      <c r="C33" t="s">
        <v>3088</v>
      </c>
      <c r="D33" t="s">
        <v>2</v>
      </c>
    </row>
    <row r="34" spans="1:4" x14ac:dyDescent="0.55000000000000004">
      <c r="A34" t="s">
        <v>2113</v>
      </c>
      <c r="B34" t="s">
        <v>3106</v>
      </c>
      <c r="C34" t="s">
        <v>3107</v>
      </c>
      <c r="D34" t="s">
        <v>2</v>
      </c>
    </row>
    <row r="35" spans="1:4" x14ac:dyDescent="0.55000000000000004">
      <c r="A35" t="s">
        <v>3157</v>
      </c>
      <c r="B35" t="s">
        <v>3158</v>
      </c>
      <c r="C35" t="s">
        <v>3159</v>
      </c>
      <c r="D35" t="s">
        <v>1</v>
      </c>
    </row>
    <row r="36" spans="1:4" x14ac:dyDescent="0.55000000000000004">
      <c r="A36" t="s">
        <v>3165</v>
      </c>
      <c r="B36" t="s">
        <v>3166</v>
      </c>
      <c r="C36" t="s">
        <v>3167</v>
      </c>
      <c r="D36" t="s">
        <v>1</v>
      </c>
    </row>
    <row r="37" spans="1:4" x14ac:dyDescent="0.55000000000000004">
      <c r="A37" t="s">
        <v>3281</v>
      </c>
      <c r="B37" t="s">
        <v>3282</v>
      </c>
      <c r="C37" t="s">
        <v>3283</v>
      </c>
      <c r="D37" t="s">
        <v>2</v>
      </c>
    </row>
    <row r="38" spans="1:4" x14ac:dyDescent="0.55000000000000004">
      <c r="A38" t="s">
        <v>3400</v>
      </c>
      <c r="B38" t="s">
        <v>3401</v>
      </c>
      <c r="C38" t="s">
        <v>3402</v>
      </c>
      <c r="D38" t="s">
        <v>1</v>
      </c>
    </row>
    <row r="39" spans="1:4" x14ac:dyDescent="0.55000000000000004">
      <c r="A39" t="s">
        <v>3527</v>
      </c>
      <c r="B39" t="s">
        <v>3528</v>
      </c>
      <c r="C39" t="s">
        <v>3529</v>
      </c>
      <c r="D39" t="s">
        <v>139</v>
      </c>
    </row>
    <row r="40" spans="1:4" x14ac:dyDescent="0.55000000000000004">
      <c r="A40" t="s">
        <v>3607</v>
      </c>
      <c r="B40" t="s">
        <v>3608</v>
      </c>
      <c r="C40" t="s">
        <v>3609</v>
      </c>
      <c r="D40" t="s">
        <v>2</v>
      </c>
    </row>
    <row r="41" spans="1:4" x14ac:dyDescent="0.55000000000000004">
      <c r="A41" t="s">
        <v>3766</v>
      </c>
      <c r="B41" t="s">
        <v>3767</v>
      </c>
      <c r="C41" t="s">
        <v>3768</v>
      </c>
      <c r="D41" t="s">
        <v>2</v>
      </c>
    </row>
    <row r="42" spans="1:4" x14ac:dyDescent="0.55000000000000004">
      <c r="A42" t="s">
        <v>3841</v>
      </c>
      <c r="B42" t="s">
        <v>3842</v>
      </c>
      <c r="C42" t="s">
        <v>3843</v>
      </c>
      <c r="D42" t="s">
        <v>2</v>
      </c>
    </row>
    <row r="43" spans="1:4" x14ac:dyDescent="0.55000000000000004">
      <c r="A43" t="s">
        <v>4068</v>
      </c>
      <c r="B43" t="s">
        <v>4069</v>
      </c>
      <c r="C43" t="s">
        <v>4070</v>
      </c>
      <c r="D43" t="s">
        <v>139</v>
      </c>
    </row>
    <row r="44" spans="1:4" x14ac:dyDescent="0.55000000000000004">
      <c r="A44" t="s">
        <v>4099</v>
      </c>
      <c r="B44" t="s">
        <v>4100</v>
      </c>
      <c r="C44" t="s">
        <v>4101</v>
      </c>
      <c r="D44" t="s">
        <v>139</v>
      </c>
    </row>
    <row r="45" spans="1:4" x14ac:dyDescent="0.55000000000000004">
      <c r="A45" t="s">
        <v>4130</v>
      </c>
      <c r="B45" t="s">
        <v>4131</v>
      </c>
      <c r="C45" t="s">
        <v>4132</v>
      </c>
      <c r="D45" t="s">
        <v>2</v>
      </c>
    </row>
    <row r="46" spans="1:4" x14ac:dyDescent="0.55000000000000004">
      <c r="A46" t="s">
        <v>4256</v>
      </c>
      <c r="B46" t="s">
        <v>4257</v>
      </c>
      <c r="C46" t="s">
        <v>4258</v>
      </c>
      <c r="D46" t="s">
        <v>2</v>
      </c>
    </row>
    <row r="47" spans="1:4" x14ac:dyDescent="0.55000000000000004">
      <c r="A47" t="s">
        <v>4309</v>
      </c>
      <c r="B47" t="s">
        <v>4310</v>
      </c>
      <c r="C47" t="s">
        <v>4311</v>
      </c>
      <c r="D47" t="s">
        <v>1</v>
      </c>
    </row>
    <row r="48" spans="1:4" x14ac:dyDescent="0.55000000000000004">
      <c r="A48" t="s">
        <v>4482</v>
      </c>
      <c r="B48" t="s">
        <v>2878</v>
      </c>
      <c r="C48" t="s">
        <v>4483</v>
      </c>
      <c r="D48" t="s">
        <v>1</v>
      </c>
    </row>
    <row r="49" spans="1:4" x14ac:dyDescent="0.55000000000000004">
      <c r="A49" t="s">
        <v>4525</v>
      </c>
      <c r="B49" t="s">
        <v>4526</v>
      </c>
      <c r="C49" t="s">
        <v>4527</v>
      </c>
      <c r="D49" t="s">
        <v>2</v>
      </c>
    </row>
    <row r="50" spans="1:4" x14ac:dyDescent="0.55000000000000004">
      <c r="A50" t="s">
        <v>4701</v>
      </c>
      <c r="B50" t="s">
        <v>4702</v>
      </c>
      <c r="C50" t="s">
        <v>4703</v>
      </c>
      <c r="D50" t="s">
        <v>1</v>
      </c>
    </row>
    <row r="51" spans="1:4" x14ac:dyDescent="0.55000000000000004">
      <c r="A51" t="s">
        <v>4760</v>
      </c>
      <c r="B51" t="s">
        <v>4761</v>
      </c>
      <c r="C51" t="s">
        <v>4762</v>
      </c>
      <c r="D51" t="s">
        <v>2</v>
      </c>
    </row>
    <row r="52" spans="1:4" x14ac:dyDescent="0.55000000000000004">
      <c r="A52" t="s">
        <v>4878</v>
      </c>
      <c r="B52" t="s">
        <v>4879</v>
      </c>
      <c r="C52" t="s">
        <v>4880</v>
      </c>
      <c r="D52" t="s">
        <v>1</v>
      </c>
    </row>
    <row r="53" spans="1:4" x14ac:dyDescent="0.55000000000000004">
      <c r="A53" t="s">
        <v>4942</v>
      </c>
      <c r="B53" t="s">
        <v>4943</v>
      </c>
      <c r="C53" t="s">
        <v>4944</v>
      </c>
      <c r="D53" t="s">
        <v>2</v>
      </c>
    </row>
    <row r="54" spans="1:4" x14ac:dyDescent="0.55000000000000004">
      <c r="A54" t="s">
        <v>5024</v>
      </c>
      <c r="B54" t="s">
        <v>5025</v>
      </c>
      <c r="C54" t="s">
        <v>5026</v>
      </c>
      <c r="D54" t="s">
        <v>2</v>
      </c>
    </row>
    <row r="55" spans="1:4" x14ac:dyDescent="0.55000000000000004">
      <c r="A55" t="s">
        <v>5145</v>
      </c>
      <c r="B55" t="s">
        <v>5146</v>
      </c>
      <c r="C55" t="s">
        <v>5147</v>
      </c>
      <c r="D55" t="s">
        <v>2</v>
      </c>
    </row>
    <row r="56" spans="1:4" x14ac:dyDescent="0.55000000000000004">
      <c r="A56" t="s">
        <v>5221</v>
      </c>
      <c r="B56" t="s">
        <v>4191</v>
      </c>
      <c r="C56" t="s">
        <v>5222</v>
      </c>
      <c r="D56" t="s">
        <v>139</v>
      </c>
    </row>
    <row r="57" spans="1:4" x14ac:dyDescent="0.55000000000000004">
      <c r="A57" t="s">
        <v>5224</v>
      </c>
      <c r="B57" t="s">
        <v>5225</v>
      </c>
      <c r="C57" t="s">
        <v>5226</v>
      </c>
      <c r="D57" t="s">
        <v>1</v>
      </c>
    </row>
    <row r="58" spans="1:4" x14ac:dyDescent="0.55000000000000004">
      <c r="A58" t="s">
        <v>5421</v>
      </c>
      <c r="B58" t="s">
        <v>5422</v>
      </c>
      <c r="C58" t="s">
        <v>5423</v>
      </c>
      <c r="D58" t="s">
        <v>139</v>
      </c>
    </row>
    <row r="59" spans="1:4" x14ac:dyDescent="0.55000000000000004">
      <c r="A59" t="s">
        <v>5528</v>
      </c>
      <c r="B59" t="s">
        <v>5529</v>
      </c>
      <c r="C59" t="s">
        <v>5530</v>
      </c>
      <c r="D59" t="s">
        <v>2</v>
      </c>
    </row>
    <row r="60" spans="1:4" x14ac:dyDescent="0.55000000000000004">
      <c r="A60" t="s">
        <v>5667</v>
      </c>
      <c r="B60" t="s">
        <v>5668</v>
      </c>
      <c r="C60" t="s">
        <v>5669</v>
      </c>
      <c r="D60" t="s">
        <v>1</v>
      </c>
    </row>
    <row r="61" spans="1:4" x14ac:dyDescent="0.55000000000000004">
      <c r="A61" t="s">
        <v>5706</v>
      </c>
      <c r="B61" t="s">
        <v>5707</v>
      </c>
      <c r="C61" t="s">
        <v>5708</v>
      </c>
      <c r="D61" t="s">
        <v>1</v>
      </c>
    </row>
    <row r="62" spans="1:4" x14ac:dyDescent="0.55000000000000004">
      <c r="A62" t="s">
        <v>5726</v>
      </c>
      <c r="B62" t="s">
        <v>5727</v>
      </c>
      <c r="C62" t="s">
        <v>5728</v>
      </c>
      <c r="D62" t="s">
        <v>2</v>
      </c>
    </row>
    <row r="63" spans="1:4" x14ac:dyDescent="0.55000000000000004">
      <c r="A63" t="s">
        <v>5745</v>
      </c>
      <c r="B63" t="s">
        <v>5746</v>
      </c>
      <c r="C63" t="s">
        <v>5747</v>
      </c>
      <c r="D63" t="s">
        <v>2</v>
      </c>
    </row>
    <row r="64" spans="1:4" x14ac:dyDescent="0.55000000000000004">
      <c r="A64" t="s">
        <v>5769</v>
      </c>
      <c r="B64" t="s">
        <v>5770</v>
      </c>
      <c r="C64" t="s">
        <v>5771</v>
      </c>
      <c r="D64" t="s">
        <v>1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162B77-7070-4777-8B9A-75BAEDC9226D}">
  <sheetPr codeName="Sheet9">
    <tabColor theme="6"/>
  </sheetPr>
  <dimension ref="A1:I1"/>
  <sheetViews>
    <sheetView workbookViewId="0"/>
  </sheetViews>
  <sheetFormatPr defaultRowHeight="14.4" x14ac:dyDescent="0.55000000000000004"/>
  <cols>
    <col min="1" max="1" width="13.47265625" bestFit="1" customWidth="1"/>
    <col min="2" max="2" width="22.734375" bestFit="1" customWidth="1"/>
    <col min="3" max="3" width="12.83984375" bestFit="1" customWidth="1"/>
    <col min="4" max="4" width="16.3125" bestFit="1" customWidth="1"/>
    <col min="5" max="5" width="16.47265625" bestFit="1" customWidth="1"/>
    <col min="6" max="6" width="12.734375" bestFit="1" customWidth="1"/>
    <col min="7" max="7" width="16.3671875" bestFit="1" customWidth="1"/>
    <col min="8" max="8" width="13.89453125" bestFit="1" customWidth="1"/>
    <col min="9" max="9" width="17.83984375" bestFit="1" customWidth="1"/>
  </cols>
  <sheetData>
    <row r="1" spans="1:9" x14ac:dyDescent="0.55000000000000004">
      <c r="A1" t="s">
        <v>6070</v>
      </c>
      <c r="B1" t="s">
        <v>9</v>
      </c>
      <c r="C1" t="s">
        <v>6081</v>
      </c>
      <c r="D1" t="s">
        <v>6064</v>
      </c>
      <c r="E1" t="s">
        <v>0</v>
      </c>
      <c r="F1" t="s">
        <v>6082</v>
      </c>
      <c r="G1" t="s">
        <v>6072</v>
      </c>
      <c r="H1" t="s">
        <v>6073</v>
      </c>
      <c r="I1" t="s">
        <v>6074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9922E9-9CFE-460C-A73B-6B9FCAFC7F37}">
  <sheetPr codeName="Sheet10">
    <tabColor theme="6"/>
  </sheetPr>
  <dimension ref="A1:I3"/>
  <sheetViews>
    <sheetView zoomScale="103" zoomScaleNormal="68" workbookViewId="0">
      <selection activeCell="B3" sqref="B3"/>
    </sheetView>
  </sheetViews>
  <sheetFormatPr defaultRowHeight="14.4" x14ac:dyDescent="0.55000000000000004"/>
  <cols>
    <col min="1" max="1" width="14.578125" customWidth="1"/>
    <col min="2" max="2" width="14.26171875" customWidth="1"/>
    <col min="3" max="3" width="15.83984375" customWidth="1"/>
    <col min="4" max="4" width="16" customWidth="1"/>
    <col min="5" max="5" width="17.26171875" customWidth="1"/>
    <col min="6" max="6" width="15.89453125" customWidth="1"/>
    <col min="7" max="7" width="17.578125" customWidth="1"/>
    <col min="8" max="8" width="17.3671875" customWidth="1"/>
    <col min="9" max="9" width="16.3671875" customWidth="1"/>
  </cols>
  <sheetData>
    <row r="1" spans="1:9" x14ac:dyDescent="0.55000000000000004">
      <c r="A1" t="s">
        <v>6070</v>
      </c>
      <c r="B1" t="s">
        <v>9</v>
      </c>
      <c r="C1" t="s">
        <v>6081</v>
      </c>
      <c r="D1" t="s">
        <v>6064</v>
      </c>
      <c r="E1" t="s">
        <v>0</v>
      </c>
      <c r="F1" t="s">
        <v>6082</v>
      </c>
      <c r="G1" t="s">
        <v>6072</v>
      </c>
      <c r="H1" t="s">
        <v>6073</v>
      </c>
      <c r="I1" t="s">
        <v>6074</v>
      </c>
    </row>
    <row r="2" spans="1:9" x14ac:dyDescent="0.55000000000000004">
      <c r="A2" t="s">
        <v>6088</v>
      </c>
      <c r="B2" s="4">
        <v>46098.921620370369</v>
      </c>
      <c r="C2" t="s">
        <v>6089</v>
      </c>
      <c r="D2" t="s">
        <v>3597</v>
      </c>
      <c r="E2" t="s">
        <v>3595</v>
      </c>
      <c r="F2" t="s">
        <v>2</v>
      </c>
      <c r="G2" t="s">
        <v>248</v>
      </c>
      <c r="H2" t="s">
        <v>6087</v>
      </c>
      <c r="I2" t="s">
        <v>6090</v>
      </c>
    </row>
    <row r="3" spans="1:9" x14ac:dyDescent="0.55000000000000004">
      <c r="A3" t="s">
        <v>6091</v>
      </c>
      <c r="B3" s="4">
        <v>46098.941851851851</v>
      </c>
      <c r="C3" t="s">
        <v>6089</v>
      </c>
      <c r="D3" t="s">
        <v>1029</v>
      </c>
      <c r="E3" t="s">
        <v>1027</v>
      </c>
      <c r="F3" t="s">
        <v>1</v>
      </c>
      <c r="G3">
        <v>185902</v>
      </c>
      <c r="H3" t="s">
        <v>6087</v>
      </c>
      <c r="I3" t="s">
        <v>6090</v>
      </c>
    </row>
  </sheetData>
  <dataValidations count="4">
    <dataValidation allowBlank="1" showInputMessage="1" showErrorMessage="1" promptTitle="Response ID" prompt="Unique identifier of submission." sqref="A1" xr:uid="{32D4F38A-AE9D-4D7A-950B-F787A90832EE}"/>
    <dataValidation allowBlank="1" showInputMessage="1" showErrorMessage="1" promptTitle="Submission Timestamp" prompt="Time of submission." sqref="B1" xr:uid="{D1C1F9AC-4E1D-48E1-81B1-6DC9B5D2F63D}"/>
    <dataValidation allowBlank="1" showInputMessage="1" showErrorMessage="1" promptTitle="Employee Email" prompt="Matching (identifier) key." sqref="D1" xr:uid="{92797729-F167-4972-9497-18FD664EBF86}"/>
    <dataValidation allowBlank="1" showInputMessage="1" showErrorMessage="1" promptTitle="Target Field" prompt="Field to be corrected/filled at submission." sqref="F1" xr:uid="{DD1FA9D2-C47B-43BF-9440-5512B926B416}"/>
  </dataValidations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038DDE-D1AD-4CA3-B789-DFC476D9817E}">
  <sheetPr>
    <tabColor theme="6"/>
  </sheetPr>
  <dimension ref="A1:B2"/>
  <sheetViews>
    <sheetView workbookViewId="0"/>
  </sheetViews>
  <sheetFormatPr defaultRowHeight="14.4" x14ac:dyDescent="0.55000000000000004"/>
  <cols>
    <col min="1" max="1" width="17.20703125" bestFit="1" customWidth="1"/>
    <col min="2" max="2" width="22.83984375" bestFit="1" customWidth="1"/>
  </cols>
  <sheetData>
    <row r="1" spans="1:2" x14ac:dyDescent="0.55000000000000004">
      <c r="A1" t="s">
        <v>6064</v>
      </c>
      <c r="B1" t="s">
        <v>6080</v>
      </c>
    </row>
    <row r="2" spans="1:2" x14ac:dyDescent="0.55000000000000004">
      <c r="A2" t="s">
        <v>1029</v>
      </c>
      <c r="B2">
        <v>185902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298C19-A5E6-4FC5-9659-02E1D64DBD0E}">
  <sheetPr>
    <tabColor theme="6"/>
  </sheetPr>
  <dimension ref="A1:B2"/>
  <sheetViews>
    <sheetView workbookViewId="0">
      <selection activeCell="A24" sqref="A24"/>
    </sheetView>
  </sheetViews>
  <sheetFormatPr defaultRowHeight="14.4" x14ac:dyDescent="0.55000000000000004"/>
  <cols>
    <col min="1" max="1" width="23" bestFit="1" customWidth="1"/>
    <col min="2" max="2" width="22.1015625" bestFit="1" customWidth="1"/>
  </cols>
  <sheetData>
    <row r="1" spans="1:2" x14ac:dyDescent="0.55000000000000004">
      <c r="A1" t="s">
        <v>6064</v>
      </c>
      <c r="B1" t="s">
        <v>6079</v>
      </c>
    </row>
    <row r="2" spans="1:2" x14ac:dyDescent="0.55000000000000004">
      <c r="A2" t="s">
        <v>3597</v>
      </c>
      <c r="B2" t="s">
        <v>248</v>
      </c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C3993D-C5B0-4DD6-9E7E-1E0BA098D825}">
  <sheetPr>
    <tabColor theme="9"/>
  </sheetPr>
  <dimension ref="A1:C3"/>
  <sheetViews>
    <sheetView workbookViewId="0"/>
  </sheetViews>
  <sheetFormatPr defaultRowHeight="14.4" x14ac:dyDescent="0.55000000000000004"/>
  <cols>
    <col min="1" max="1" width="23" bestFit="1" customWidth="1"/>
    <col min="2" max="2" width="12.734375" bestFit="1" customWidth="1"/>
    <col min="3" max="3" width="16.3671875" bestFit="1" customWidth="1"/>
  </cols>
  <sheetData>
    <row r="1" spans="1:3" x14ac:dyDescent="0.55000000000000004">
      <c r="A1" t="s">
        <v>6064</v>
      </c>
      <c r="B1" t="s">
        <v>6082</v>
      </c>
      <c r="C1" t="s">
        <v>6072</v>
      </c>
    </row>
    <row r="2" spans="1:3" x14ac:dyDescent="0.55000000000000004">
      <c r="A2" t="s">
        <v>1029</v>
      </c>
      <c r="B2" t="s">
        <v>1</v>
      </c>
      <c r="C2">
        <v>185902</v>
      </c>
    </row>
    <row r="3" spans="1:3" x14ac:dyDescent="0.55000000000000004">
      <c r="A3" t="s">
        <v>3597</v>
      </c>
      <c r="B3" t="s">
        <v>2</v>
      </c>
      <c r="C3" t="s">
        <v>248</v>
      </c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7770AB-2013-4A9F-957D-EB97E9D1D0B9}">
  <sheetPr>
    <tabColor theme="8" tint="-0.499984740745262"/>
  </sheetPr>
  <dimension ref="A1:K1501"/>
  <sheetViews>
    <sheetView topLeftCell="I346" workbookViewId="0">
      <selection activeCell="C364" sqref="C364"/>
    </sheetView>
  </sheetViews>
  <sheetFormatPr defaultRowHeight="14.4" x14ac:dyDescent="0.55000000000000004"/>
  <cols>
    <col min="1" max="1" width="21.05078125" bestFit="1" customWidth="1"/>
    <col min="2" max="2" width="13.68359375" bestFit="1" customWidth="1"/>
    <col min="3" max="3" width="34.5234375" bestFit="1" customWidth="1"/>
    <col min="4" max="4" width="20.5234375" bestFit="1" customWidth="1"/>
    <col min="5" max="5" width="17.9453125" bestFit="1" customWidth="1"/>
    <col min="6" max="6" width="28.68359375" bestFit="1" customWidth="1"/>
    <col min="7" max="7" width="21.3671875" bestFit="1" customWidth="1"/>
    <col min="8" max="8" width="22.734375" bestFit="1" customWidth="1"/>
    <col min="9" max="9" width="33.68359375" bestFit="1" customWidth="1"/>
    <col min="10" max="10" width="12.578125" bestFit="1" customWidth="1"/>
    <col min="11" max="11" width="13.26171875" bestFit="1" customWidth="1"/>
  </cols>
  <sheetData>
    <row r="1" spans="1:11" x14ac:dyDescent="0.55000000000000004">
      <c r="A1" t="s">
        <v>0</v>
      </c>
      <c r="B1" t="s">
        <v>3</v>
      </c>
      <c r="C1" t="s">
        <v>4</v>
      </c>
      <c r="D1" t="s">
        <v>5</v>
      </c>
      <c r="E1" t="s">
        <v>6</v>
      </c>
      <c r="F1" t="s">
        <v>7</v>
      </c>
      <c r="G1" t="s">
        <v>8</v>
      </c>
      <c r="H1" t="s">
        <v>9</v>
      </c>
      <c r="I1" t="s">
        <v>10</v>
      </c>
      <c r="J1" t="s">
        <v>2</v>
      </c>
      <c r="K1" t="s">
        <v>1</v>
      </c>
    </row>
    <row r="2" spans="1:11" x14ac:dyDescent="0.55000000000000004">
      <c r="A2" t="s">
        <v>11</v>
      </c>
      <c r="B2" s="4">
        <v>45879</v>
      </c>
      <c r="C2" t="s">
        <v>13</v>
      </c>
      <c r="D2" t="s">
        <v>14</v>
      </c>
      <c r="E2" t="s">
        <v>15</v>
      </c>
      <c r="F2" t="s">
        <v>16</v>
      </c>
      <c r="G2" t="s">
        <v>17</v>
      </c>
      <c r="H2" s="4">
        <v>46087.812591678237</v>
      </c>
      <c r="J2" t="s">
        <v>37</v>
      </c>
      <c r="K2">
        <v>101303</v>
      </c>
    </row>
    <row r="3" spans="1:11" x14ac:dyDescent="0.55000000000000004">
      <c r="A3" t="s">
        <v>18</v>
      </c>
      <c r="B3" s="4">
        <v>45846</v>
      </c>
      <c r="C3" t="s">
        <v>20</v>
      </c>
      <c r="D3" t="s">
        <v>21</v>
      </c>
      <c r="E3" t="s">
        <v>22</v>
      </c>
      <c r="F3" t="s">
        <v>23</v>
      </c>
      <c r="G3" t="s">
        <v>24</v>
      </c>
      <c r="H3" s="4">
        <v>46090.350091678243</v>
      </c>
      <c r="J3" t="s">
        <v>19</v>
      </c>
      <c r="K3">
        <v>100397</v>
      </c>
    </row>
    <row r="4" spans="1:11" x14ac:dyDescent="0.55000000000000004">
      <c r="A4" t="s">
        <v>25</v>
      </c>
      <c r="B4" s="4">
        <v>45847</v>
      </c>
      <c r="C4" t="s">
        <v>27</v>
      </c>
      <c r="D4" t="s">
        <v>28</v>
      </c>
      <c r="E4" t="s">
        <v>15</v>
      </c>
      <c r="F4" t="s">
        <v>29</v>
      </c>
      <c r="G4" t="s">
        <v>30</v>
      </c>
      <c r="H4" s="4">
        <v>46058.810508344905</v>
      </c>
      <c r="J4" t="s">
        <v>19</v>
      </c>
      <c r="K4">
        <v>100386</v>
      </c>
    </row>
    <row r="5" spans="1:11" x14ac:dyDescent="0.55000000000000004">
      <c r="A5" t="s">
        <v>31</v>
      </c>
      <c r="B5" s="4">
        <v>45746</v>
      </c>
      <c r="C5" t="s">
        <v>20</v>
      </c>
      <c r="D5" t="s">
        <v>33</v>
      </c>
      <c r="E5" t="s">
        <v>22</v>
      </c>
      <c r="F5" t="s">
        <v>34</v>
      </c>
      <c r="G5" t="s">
        <v>35</v>
      </c>
      <c r="H5" s="4">
        <v>46076.247313912034</v>
      </c>
      <c r="J5" t="s">
        <v>248</v>
      </c>
      <c r="K5">
        <v>100549</v>
      </c>
    </row>
    <row r="6" spans="1:11" x14ac:dyDescent="0.55000000000000004">
      <c r="A6" t="s">
        <v>36</v>
      </c>
      <c r="B6" s="4">
        <v>45824</v>
      </c>
      <c r="C6" t="s">
        <v>38</v>
      </c>
      <c r="D6" t="s">
        <v>39</v>
      </c>
      <c r="E6" t="s">
        <v>22</v>
      </c>
      <c r="F6" t="s">
        <v>40</v>
      </c>
      <c r="G6" t="s">
        <v>41</v>
      </c>
      <c r="H6" s="4">
        <v>46093.544536134257</v>
      </c>
      <c r="J6" t="s">
        <v>37</v>
      </c>
      <c r="K6">
        <v>100597</v>
      </c>
    </row>
    <row r="7" spans="1:11" x14ac:dyDescent="0.55000000000000004">
      <c r="A7" t="s">
        <v>42</v>
      </c>
      <c r="B7" s="4">
        <v>45778</v>
      </c>
      <c r="C7" t="s">
        <v>43</v>
      </c>
      <c r="D7" t="s">
        <v>44</v>
      </c>
      <c r="E7" t="s">
        <v>22</v>
      </c>
      <c r="F7" t="s">
        <v>45</v>
      </c>
      <c r="G7" t="s">
        <v>46</v>
      </c>
      <c r="H7" s="4">
        <v>46068.2612028125</v>
      </c>
      <c r="J7" t="s">
        <v>37</v>
      </c>
      <c r="K7">
        <v>101113</v>
      </c>
    </row>
    <row r="8" spans="1:11" x14ac:dyDescent="0.55000000000000004">
      <c r="A8" t="s">
        <v>47</v>
      </c>
      <c r="B8" s="4">
        <v>45921</v>
      </c>
      <c r="C8" t="s">
        <v>49</v>
      </c>
      <c r="D8" t="s">
        <v>50</v>
      </c>
      <c r="E8" t="s">
        <v>15</v>
      </c>
      <c r="F8" t="s">
        <v>51</v>
      </c>
      <c r="G8" t="s">
        <v>52</v>
      </c>
      <c r="H8" s="4">
        <v>46094.525091701391</v>
      </c>
      <c r="J8" t="s">
        <v>533</v>
      </c>
      <c r="K8">
        <v>101365</v>
      </c>
    </row>
    <row r="9" spans="1:11" x14ac:dyDescent="0.55000000000000004">
      <c r="A9" t="s">
        <v>53</v>
      </c>
      <c r="B9" s="4">
        <v>46118</v>
      </c>
      <c r="C9" t="s">
        <v>13</v>
      </c>
      <c r="D9" t="s">
        <v>54</v>
      </c>
      <c r="E9" t="s">
        <v>22</v>
      </c>
      <c r="F9" t="s">
        <v>55</v>
      </c>
      <c r="G9" t="s">
        <v>56</v>
      </c>
      <c r="H9" s="4">
        <v>46055.143148148149</v>
      </c>
      <c r="J9" t="s">
        <v>533</v>
      </c>
      <c r="K9">
        <v>100134</v>
      </c>
    </row>
    <row r="10" spans="1:11" x14ac:dyDescent="0.55000000000000004">
      <c r="A10" t="s">
        <v>57</v>
      </c>
      <c r="B10" s="4">
        <v>46042</v>
      </c>
      <c r="C10" t="s">
        <v>58</v>
      </c>
      <c r="D10" t="s">
        <v>59</v>
      </c>
      <c r="E10" t="s">
        <v>15</v>
      </c>
      <c r="F10" t="s">
        <v>60</v>
      </c>
      <c r="G10" t="s">
        <v>61</v>
      </c>
      <c r="H10" s="4">
        <v>46065.584119490741</v>
      </c>
      <c r="J10" t="s">
        <v>19</v>
      </c>
      <c r="K10">
        <v>101117</v>
      </c>
    </row>
    <row r="11" spans="1:11" x14ac:dyDescent="0.55000000000000004">
      <c r="A11" t="s">
        <v>62</v>
      </c>
      <c r="B11" s="4">
        <v>45952</v>
      </c>
      <c r="C11" t="s">
        <v>20</v>
      </c>
      <c r="D11" t="s">
        <v>64</v>
      </c>
      <c r="E11" t="s">
        <v>22</v>
      </c>
      <c r="F11" t="s">
        <v>65</v>
      </c>
      <c r="G11" t="s">
        <v>66</v>
      </c>
      <c r="H11" s="4">
        <v>46063.797313935182</v>
      </c>
      <c r="J11" t="s">
        <v>68</v>
      </c>
      <c r="K11">
        <v>101164</v>
      </c>
    </row>
    <row r="12" spans="1:11" x14ac:dyDescent="0.55000000000000004">
      <c r="A12" t="s">
        <v>67</v>
      </c>
      <c r="B12" s="4">
        <v>45755</v>
      </c>
      <c r="C12" t="s">
        <v>69</v>
      </c>
      <c r="D12" t="s">
        <v>70</v>
      </c>
      <c r="E12" t="s">
        <v>15</v>
      </c>
      <c r="F12" t="s">
        <v>71</v>
      </c>
      <c r="G12" t="s">
        <v>72</v>
      </c>
      <c r="H12" s="4">
        <v>46097.455647268522</v>
      </c>
      <c r="J12" t="s">
        <v>68</v>
      </c>
      <c r="K12">
        <v>100213</v>
      </c>
    </row>
    <row r="13" spans="1:11" x14ac:dyDescent="0.55000000000000004">
      <c r="A13" t="s">
        <v>73</v>
      </c>
      <c r="B13" s="4">
        <v>45840</v>
      </c>
      <c r="C13" t="s">
        <v>20</v>
      </c>
      <c r="D13" t="s">
        <v>74</v>
      </c>
      <c r="E13" t="s">
        <v>22</v>
      </c>
      <c r="F13" t="s">
        <v>75</v>
      </c>
      <c r="G13" t="s">
        <v>76</v>
      </c>
      <c r="H13" s="4">
        <v>46077.575786168978</v>
      </c>
      <c r="J13" t="s">
        <v>68</v>
      </c>
      <c r="K13">
        <v>101181</v>
      </c>
    </row>
    <row r="14" spans="1:11" x14ac:dyDescent="0.55000000000000004">
      <c r="A14" t="s">
        <v>77</v>
      </c>
      <c r="B14" s="4">
        <v>45986</v>
      </c>
      <c r="C14" t="s">
        <v>43</v>
      </c>
      <c r="D14" t="s">
        <v>78</v>
      </c>
      <c r="E14" t="s">
        <v>22</v>
      </c>
      <c r="F14" t="s">
        <v>79</v>
      </c>
      <c r="G14" t="s">
        <v>80</v>
      </c>
      <c r="H14" s="4">
        <v>46063.418841724539</v>
      </c>
      <c r="J14" t="s">
        <v>37</v>
      </c>
      <c r="K14">
        <v>100789</v>
      </c>
    </row>
    <row r="15" spans="1:11" x14ac:dyDescent="0.55000000000000004">
      <c r="A15" t="s">
        <v>81</v>
      </c>
      <c r="B15" s="4">
        <v>46018</v>
      </c>
      <c r="C15" t="s">
        <v>83</v>
      </c>
      <c r="D15" t="s">
        <v>84</v>
      </c>
      <c r="E15" t="s">
        <v>15</v>
      </c>
      <c r="F15" t="s">
        <v>85</v>
      </c>
      <c r="G15" t="s">
        <v>86</v>
      </c>
      <c r="H15" s="4">
        <v>46070.719536180557</v>
      </c>
      <c r="J15" t="s">
        <v>19</v>
      </c>
      <c r="K15">
        <v>100760</v>
      </c>
    </row>
    <row r="16" spans="1:11" x14ac:dyDescent="0.55000000000000004">
      <c r="A16" t="s">
        <v>87</v>
      </c>
      <c r="B16" s="4">
        <v>45771</v>
      </c>
      <c r="C16" t="s">
        <v>89</v>
      </c>
      <c r="D16" t="s">
        <v>90</v>
      </c>
      <c r="E16" t="s">
        <v>22</v>
      </c>
      <c r="F16" t="s">
        <v>91</v>
      </c>
      <c r="G16" t="s">
        <v>92</v>
      </c>
      <c r="H16" s="4">
        <v>46051.835508402779</v>
      </c>
      <c r="J16" t="s">
        <v>179</v>
      </c>
      <c r="K16">
        <v>100510</v>
      </c>
    </row>
    <row r="17" spans="1:11" x14ac:dyDescent="0.55000000000000004">
      <c r="A17" t="s">
        <v>93</v>
      </c>
      <c r="B17" s="4">
        <v>45880</v>
      </c>
      <c r="C17" t="s">
        <v>69</v>
      </c>
      <c r="D17" t="s">
        <v>95</v>
      </c>
      <c r="E17" t="s">
        <v>15</v>
      </c>
      <c r="F17" t="s">
        <v>96</v>
      </c>
      <c r="G17" t="s">
        <v>97</v>
      </c>
      <c r="H17" s="4">
        <v>46077.502175069443</v>
      </c>
      <c r="J17" t="s">
        <v>179</v>
      </c>
      <c r="K17">
        <v>100444</v>
      </c>
    </row>
    <row r="18" spans="1:11" x14ac:dyDescent="0.55000000000000004">
      <c r="A18" t="s">
        <v>98</v>
      </c>
      <c r="B18" s="4">
        <v>45967</v>
      </c>
      <c r="C18" t="s">
        <v>83</v>
      </c>
      <c r="D18" t="s">
        <v>100</v>
      </c>
      <c r="E18" t="s">
        <v>15</v>
      </c>
      <c r="F18" t="s">
        <v>101</v>
      </c>
      <c r="G18" t="s">
        <v>102</v>
      </c>
      <c r="H18" s="4">
        <v>46082.126480636573</v>
      </c>
      <c r="J18" t="s">
        <v>19</v>
      </c>
      <c r="K18">
        <v>100705</v>
      </c>
    </row>
    <row r="19" spans="1:11" x14ac:dyDescent="0.55000000000000004">
      <c r="A19" t="s">
        <v>103</v>
      </c>
      <c r="B19" s="4">
        <v>45937</v>
      </c>
      <c r="C19" t="s">
        <v>83</v>
      </c>
      <c r="D19" t="s">
        <v>104</v>
      </c>
      <c r="E19" t="s">
        <v>22</v>
      </c>
      <c r="F19" t="s">
        <v>105</v>
      </c>
      <c r="G19" t="s">
        <v>106</v>
      </c>
      <c r="H19" s="4">
        <v>46083.272313969908</v>
      </c>
      <c r="J19" t="s">
        <v>19</v>
      </c>
      <c r="K19">
        <v>101007</v>
      </c>
    </row>
    <row r="20" spans="1:11" x14ac:dyDescent="0.55000000000000004">
      <c r="A20" t="s">
        <v>107</v>
      </c>
      <c r="B20" s="4">
        <v>45771</v>
      </c>
      <c r="C20" t="s">
        <v>108</v>
      </c>
      <c r="D20" t="s">
        <v>109</v>
      </c>
      <c r="E20" t="s">
        <v>22</v>
      </c>
      <c r="F20" t="s">
        <v>110</v>
      </c>
      <c r="G20" t="s">
        <v>111</v>
      </c>
      <c r="H20" s="4">
        <v>46074.828563981479</v>
      </c>
      <c r="I20" t="s">
        <v>112</v>
      </c>
      <c r="J20" t="s">
        <v>533</v>
      </c>
    </row>
    <row r="21" spans="1:11" x14ac:dyDescent="0.55000000000000004">
      <c r="A21" t="s">
        <v>3957</v>
      </c>
      <c r="B21" s="4">
        <v>45852</v>
      </c>
      <c r="C21" t="s">
        <v>115</v>
      </c>
      <c r="D21" t="s">
        <v>116</v>
      </c>
      <c r="E21" t="s">
        <v>22</v>
      </c>
      <c r="F21" t="s">
        <v>117</v>
      </c>
      <c r="G21" t="s">
        <v>118</v>
      </c>
      <c r="H21" s="4">
        <v>46085.499397314816</v>
      </c>
      <c r="I21" t="s">
        <v>119</v>
      </c>
      <c r="J21" t="s">
        <v>533</v>
      </c>
      <c r="K21">
        <v>100632</v>
      </c>
    </row>
    <row r="22" spans="1:11" x14ac:dyDescent="0.55000000000000004">
      <c r="A22" t="s">
        <v>120</v>
      </c>
      <c r="B22" s="4">
        <v>45810</v>
      </c>
      <c r="C22" t="s">
        <v>121</v>
      </c>
      <c r="D22" t="s">
        <v>122</v>
      </c>
      <c r="E22" t="s">
        <v>22</v>
      </c>
      <c r="F22" t="s">
        <v>123</v>
      </c>
      <c r="G22" t="s">
        <v>124</v>
      </c>
      <c r="H22" s="4">
        <v>46060.922313981479</v>
      </c>
      <c r="J22" t="s">
        <v>19</v>
      </c>
      <c r="K22">
        <v>101425</v>
      </c>
    </row>
    <row r="23" spans="1:11" x14ac:dyDescent="0.55000000000000004">
      <c r="A23" t="s">
        <v>125</v>
      </c>
      <c r="B23" s="4">
        <v>46080</v>
      </c>
      <c r="C23" t="s">
        <v>126</v>
      </c>
      <c r="D23" t="s">
        <v>127</v>
      </c>
      <c r="E23" t="s">
        <v>22</v>
      </c>
      <c r="F23" t="s">
        <v>128</v>
      </c>
      <c r="G23" t="s">
        <v>129</v>
      </c>
      <c r="H23" s="4">
        <v>46088.120925104166</v>
      </c>
      <c r="J23" t="s">
        <v>179</v>
      </c>
      <c r="K23">
        <v>100550</v>
      </c>
    </row>
    <row r="24" spans="1:11" x14ac:dyDescent="0.55000000000000004">
      <c r="A24" t="s">
        <v>130</v>
      </c>
      <c r="B24" s="4">
        <v>45972</v>
      </c>
      <c r="C24" t="s">
        <v>49</v>
      </c>
      <c r="D24" t="s">
        <v>132</v>
      </c>
      <c r="E24" t="s">
        <v>22</v>
      </c>
      <c r="F24" t="s">
        <v>133</v>
      </c>
      <c r="G24" t="s">
        <v>134</v>
      </c>
      <c r="H24" s="4">
        <v>46060.666063993056</v>
      </c>
      <c r="J24" t="s">
        <v>37</v>
      </c>
      <c r="K24">
        <v>100068</v>
      </c>
    </row>
    <row r="25" spans="1:11" x14ac:dyDescent="0.55000000000000004">
      <c r="A25" t="s">
        <v>135</v>
      </c>
      <c r="B25" s="4">
        <v>45991</v>
      </c>
      <c r="C25" t="s">
        <v>20</v>
      </c>
      <c r="D25" t="s">
        <v>136</v>
      </c>
      <c r="E25" t="s">
        <v>22</v>
      </c>
      <c r="F25" t="s">
        <v>137</v>
      </c>
      <c r="G25" t="s">
        <v>138</v>
      </c>
      <c r="H25" s="4">
        <v>46069.692452881944</v>
      </c>
      <c r="I25" t="s">
        <v>139</v>
      </c>
      <c r="J25" t="s">
        <v>68</v>
      </c>
      <c r="K25">
        <v>100226</v>
      </c>
    </row>
    <row r="26" spans="1:11" x14ac:dyDescent="0.55000000000000004">
      <c r="A26" t="s">
        <v>140</v>
      </c>
      <c r="B26" s="4">
        <v>45920</v>
      </c>
      <c r="C26" t="s">
        <v>141</v>
      </c>
      <c r="D26" t="s">
        <v>142</v>
      </c>
      <c r="E26" t="s">
        <v>22</v>
      </c>
      <c r="F26" t="s">
        <v>143</v>
      </c>
      <c r="G26" t="s">
        <v>144</v>
      </c>
      <c r="H26" s="4">
        <v>46067.920925115737</v>
      </c>
      <c r="J26" t="s">
        <v>37</v>
      </c>
      <c r="K26">
        <v>100558</v>
      </c>
    </row>
    <row r="27" spans="1:11" x14ac:dyDescent="0.55000000000000004">
      <c r="A27" t="s">
        <v>145</v>
      </c>
      <c r="B27" s="4">
        <v>46137</v>
      </c>
      <c r="C27" t="s">
        <v>121</v>
      </c>
      <c r="D27" t="s">
        <v>147</v>
      </c>
      <c r="E27" t="s">
        <v>22</v>
      </c>
      <c r="F27" t="s">
        <v>148</v>
      </c>
      <c r="G27" t="s">
        <v>149</v>
      </c>
      <c r="H27" s="4">
        <v>46059.069536226853</v>
      </c>
      <c r="J27" t="s">
        <v>19</v>
      </c>
      <c r="K27">
        <v>100762</v>
      </c>
    </row>
    <row r="28" spans="1:11" x14ac:dyDescent="0.55000000000000004">
      <c r="A28" t="s">
        <v>150</v>
      </c>
      <c r="B28" s="4">
        <v>45809</v>
      </c>
      <c r="C28" t="s">
        <v>69</v>
      </c>
      <c r="D28" t="s">
        <v>151</v>
      </c>
      <c r="E28" t="s">
        <v>15</v>
      </c>
      <c r="F28" t="s">
        <v>152</v>
      </c>
      <c r="G28" t="s">
        <v>153</v>
      </c>
      <c r="H28" s="4">
        <v>46076.626480682869</v>
      </c>
      <c r="J28" t="s">
        <v>19</v>
      </c>
      <c r="K28">
        <v>101289</v>
      </c>
    </row>
    <row r="29" spans="1:11" x14ac:dyDescent="0.55000000000000004">
      <c r="A29" t="s">
        <v>154</v>
      </c>
      <c r="B29" s="4">
        <v>46062</v>
      </c>
      <c r="C29" t="s">
        <v>155</v>
      </c>
      <c r="D29" t="s">
        <v>156</v>
      </c>
      <c r="E29" t="s">
        <v>15</v>
      </c>
      <c r="F29" t="s">
        <v>157</v>
      </c>
      <c r="G29" t="s">
        <v>158</v>
      </c>
      <c r="H29" s="4">
        <v>46052.12370290509</v>
      </c>
      <c r="J29" t="s">
        <v>19</v>
      </c>
      <c r="K29">
        <v>100640</v>
      </c>
    </row>
    <row r="30" spans="1:11" x14ac:dyDescent="0.55000000000000004">
      <c r="A30" t="s">
        <v>159</v>
      </c>
      <c r="B30" s="4">
        <v>46000</v>
      </c>
      <c r="C30" t="s">
        <v>160</v>
      </c>
      <c r="D30" t="s">
        <v>161</v>
      </c>
      <c r="E30" t="s">
        <v>22</v>
      </c>
      <c r="F30" t="s">
        <v>162</v>
      </c>
      <c r="G30" t="s">
        <v>163</v>
      </c>
      <c r="H30" s="4">
        <v>46079.195230682868</v>
      </c>
      <c r="J30" t="s">
        <v>179</v>
      </c>
      <c r="K30">
        <v>100133</v>
      </c>
    </row>
    <row r="31" spans="1:11" x14ac:dyDescent="0.55000000000000004">
      <c r="A31" t="s">
        <v>164</v>
      </c>
      <c r="B31" s="4">
        <v>46128</v>
      </c>
      <c r="C31" t="s">
        <v>27</v>
      </c>
      <c r="D31" t="s">
        <v>165</v>
      </c>
      <c r="E31" t="s">
        <v>15</v>
      </c>
      <c r="F31" t="s">
        <v>166</v>
      </c>
      <c r="G31" t="s">
        <v>167</v>
      </c>
      <c r="H31" s="4">
        <v>46056.825786250003</v>
      </c>
      <c r="J31" t="s">
        <v>179</v>
      </c>
      <c r="K31">
        <v>100315</v>
      </c>
    </row>
    <row r="32" spans="1:11" x14ac:dyDescent="0.55000000000000004">
      <c r="A32" t="s">
        <v>168</v>
      </c>
      <c r="B32" s="4">
        <v>45765</v>
      </c>
      <c r="C32" t="s">
        <v>170</v>
      </c>
      <c r="D32" t="s">
        <v>171</v>
      </c>
      <c r="E32" t="s">
        <v>22</v>
      </c>
      <c r="F32" t="s">
        <v>172</v>
      </c>
      <c r="G32" t="s">
        <v>173</v>
      </c>
      <c r="H32" s="4">
        <v>46079.387591805556</v>
      </c>
      <c r="J32" t="s">
        <v>68</v>
      </c>
      <c r="K32">
        <v>100346</v>
      </c>
    </row>
    <row r="33" spans="1:11" x14ac:dyDescent="0.55000000000000004">
      <c r="A33" t="s">
        <v>174</v>
      </c>
      <c r="B33" s="4">
        <v>45808</v>
      </c>
      <c r="C33" t="s">
        <v>170</v>
      </c>
      <c r="D33" t="s">
        <v>175</v>
      </c>
      <c r="E33" t="s">
        <v>15</v>
      </c>
      <c r="F33" t="s">
        <v>176</v>
      </c>
      <c r="G33" t="s">
        <v>177</v>
      </c>
      <c r="H33" s="4">
        <v>46075.304952928243</v>
      </c>
      <c r="J33" t="s">
        <v>19</v>
      </c>
      <c r="K33">
        <v>100373</v>
      </c>
    </row>
    <row r="34" spans="1:11" x14ac:dyDescent="0.55000000000000004">
      <c r="A34" t="s">
        <v>178</v>
      </c>
      <c r="B34" s="4">
        <v>45798</v>
      </c>
      <c r="C34" t="s">
        <v>13</v>
      </c>
      <c r="D34" t="s">
        <v>180</v>
      </c>
      <c r="E34" t="s">
        <v>22</v>
      </c>
      <c r="F34" t="s">
        <v>181</v>
      </c>
      <c r="G34" t="s">
        <v>182</v>
      </c>
      <c r="H34" s="4">
        <v>46056.279258483795</v>
      </c>
      <c r="J34" t="s">
        <v>179</v>
      </c>
      <c r="K34">
        <v>100294</v>
      </c>
    </row>
    <row r="35" spans="1:11" x14ac:dyDescent="0.55000000000000004">
      <c r="A35" t="s">
        <v>183</v>
      </c>
      <c r="B35" s="4">
        <v>46075</v>
      </c>
      <c r="C35" t="s">
        <v>184</v>
      </c>
      <c r="D35" t="s">
        <v>185</v>
      </c>
      <c r="E35" t="s">
        <v>22</v>
      </c>
      <c r="F35" t="s">
        <v>186</v>
      </c>
      <c r="G35" t="s">
        <v>187</v>
      </c>
      <c r="H35" s="4">
        <v>46065.231341817132</v>
      </c>
      <c r="J35" t="s">
        <v>533</v>
      </c>
      <c r="K35">
        <v>101441</v>
      </c>
    </row>
    <row r="36" spans="1:11" x14ac:dyDescent="0.55000000000000004">
      <c r="A36" t="s">
        <v>188</v>
      </c>
      <c r="B36" s="4">
        <v>45917</v>
      </c>
      <c r="C36" t="s">
        <v>189</v>
      </c>
      <c r="D36" t="s">
        <v>190</v>
      </c>
      <c r="E36" t="s">
        <v>22</v>
      </c>
      <c r="F36" t="s">
        <v>191</v>
      </c>
      <c r="G36" t="s">
        <v>192</v>
      </c>
      <c r="H36" s="4">
        <v>46066.47300849537</v>
      </c>
      <c r="J36" t="s">
        <v>37</v>
      </c>
      <c r="K36">
        <v>100526</v>
      </c>
    </row>
    <row r="37" spans="1:11" x14ac:dyDescent="0.55000000000000004">
      <c r="A37" t="s">
        <v>193</v>
      </c>
      <c r="B37" s="4">
        <v>45802</v>
      </c>
      <c r="C37" t="s">
        <v>155</v>
      </c>
      <c r="D37" t="s">
        <v>195</v>
      </c>
      <c r="E37" t="s">
        <v>22</v>
      </c>
      <c r="F37" t="s">
        <v>196</v>
      </c>
      <c r="G37" t="s">
        <v>197</v>
      </c>
      <c r="H37" s="4">
        <v>46091.024397384259</v>
      </c>
      <c r="J37" t="s">
        <v>248</v>
      </c>
      <c r="K37">
        <v>101212</v>
      </c>
    </row>
    <row r="38" spans="1:11" x14ac:dyDescent="0.55000000000000004">
      <c r="A38" t="s">
        <v>198</v>
      </c>
      <c r="B38" s="4">
        <v>46110</v>
      </c>
      <c r="C38" t="s">
        <v>199</v>
      </c>
      <c r="D38" t="s">
        <v>200</v>
      </c>
      <c r="E38" t="s">
        <v>22</v>
      </c>
      <c r="F38" t="s">
        <v>201</v>
      </c>
      <c r="G38" t="s">
        <v>202</v>
      </c>
      <c r="H38" s="4">
        <v>46088.515369618057</v>
      </c>
      <c r="J38" t="s">
        <v>19</v>
      </c>
      <c r="K38">
        <v>101062</v>
      </c>
    </row>
    <row r="39" spans="1:11" x14ac:dyDescent="0.55000000000000004">
      <c r="A39" t="s">
        <v>203</v>
      </c>
      <c r="B39" s="4">
        <v>46157</v>
      </c>
      <c r="C39" t="s">
        <v>43</v>
      </c>
      <c r="D39" t="s">
        <v>204</v>
      </c>
      <c r="E39" t="s">
        <v>15</v>
      </c>
      <c r="F39" t="s">
        <v>205</v>
      </c>
      <c r="G39" t="s">
        <v>206</v>
      </c>
      <c r="H39" s="4">
        <v>46071.227869618058</v>
      </c>
      <c r="J39" t="s">
        <v>533</v>
      </c>
      <c r="K39">
        <v>100383</v>
      </c>
    </row>
    <row r="40" spans="1:11" x14ac:dyDescent="0.55000000000000004">
      <c r="A40" t="s">
        <v>207</v>
      </c>
      <c r="B40" s="4">
        <v>45959</v>
      </c>
      <c r="C40" t="s">
        <v>208</v>
      </c>
      <c r="D40" t="s">
        <v>209</v>
      </c>
      <c r="E40" t="s">
        <v>15</v>
      </c>
      <c r="F40" t="s">
        <v>210</v>
      </c>
      <c r="G40" t="s">
        <v>211</v>
      </c>
      <c r="H40" s="4">
        <v>46078.079258506943</v>
      </c>
      <c r="J40" t="s">
        <v>248</v>
      </c>
      <c r="K40">
        <v>101082</v>
      </c>
    </row>
    <row r="41" spans="1:11" x14ac:dyDescent="0.55000000000000004">
      <c r="A41" t="s">
        <v>212</v>
      </c>
      <c r="B41" s="4">
        <v>45920</v>
      </c>
      <c r="C41" t="s">
        <v>213</v>
      </c>
      <c r="D41" t="s">
        <v>214</v>
      </c>
      <c r="E41" t="s">
        <v>22</v>
      </c>
      <c r="F41" t="s">
        <v>215</v>
      </c>
      <c r="G41" t="s">
        <v>216</v>
      </c>
      <c r="H41" s="4">
        <v>46073.031341851849</v>
      </c>
      <c r="I41" t="s">
        <v>217</v>
      </c>
      <c r="K41">
        <v>100701</v>
      </c>
    </row>
    <row r="42" spans="1:11" x14ac:dyDescent="0.55000000000000004">
      <c r="A42" t="s">
        <v>218</v>
      </c>
      <c r="B42" s="4">
        <v>45946</v>
      </c>
      <c r="C42" t="s">
        <v>115</v>
      </c>
      <c r="D42" t="s">
        <v>219</v>
      </c>
      <c r="E42" t="s">
        <v>15</v>
      </c>
      <c r="F42" t="s">
        <v>220</v>
      </c>
      <c r="G42" t="s">
        <v>221</v>
      </c>
      <c r="H42" s="4">
        <v>46081.672314074072</v>
      </c>
      <c r="J42" t="s">
        <v>19</v>
      </c>
      <c r="K42">
        <v>100405</v>
      </c>
    </row>
    <row r="43" spans="1:11" x14ac:dyDescent="0.55000000000000004">
      <c r="A43" t="s">
        <v>222</v>
      </c>
      <c r="B43" s="4">
        <v>45922</v>
      </c>
      <c r="C43" t="s">
        <v>184</v>
      </c>
      <c r="D43" t="s">
        <v>223</v>
      </c>
      <c r="E43" t="s">
        <v>22</v>
      </c>
      <c r="F43" t="s">
        <v>224</v>
      </c>
      <c r="G43" t="s">
        <v>225</v>
      </c>
      <c r="H43" s="4">
        <v>46092.518147407405</v>
      </c>
      <c r="J43" t="s">
        <v>19</v>
      </c>
      <c r="K43">
        <v>100876</v>
      </c>
    </row>
    <row r="44" spans="1:11" x14ac:dyDescent="0.55000000000000004">
      <c r="A44" t="s">
        <v>226</v>
      </c>
      <c r="B44" s="4">
        <v>45962</v>
      </c>
      <c r="C44" t="s">
        <v>121</v>
      </c>
      <c r="D44" t="s">
        <v>227</v>
      </c>
      <c r="E44" t="s">
        <v>15</v>
      </c>
      <c r="F44" t="s">
        <v>228</v>
      </c>
      <c r="G44" t="s">
        <v>229</v>
      </c>
      <c r="H44" s="4">
        <v>46069.249397418978</v>
      </c>
      <c r="J44" t="s">
        <v>248</v>
      </c>
      <c r="K44">
        <v>101409</v>
      </c>
    </row>
    <row r="45" spans="1:11" x14ac:dyDescent="0.55000000000000004">
      <c r="A45" t="s">
        <v>230</v>
      </c>
      <c r="B45" s="4">
        <v>45944</v>
      </c>
      <c r="C45" t="s">
        <v>69</v>
      </c>
      <c r="D45" t="s">
        <v>231</v>
      </c>
      <c r="E45" t="s">
        <v>22</v>
      </c>
      <c r="F45" t="s">
        <v>232</v>
      </c>
      <c r="G45" t="s">
        <v>233</v>
      </c>
      <c r="H45" s="4">
        <v>46082.19731408565</v>
      </c>
      <c r="J45" t="s">
        <v>37</v>
      </c>
      <c r="K45">
        <v>100434</v>
      </c>
    </row>
    <row r="46" spans="1:11" x14ac:dyDescent="0.55000000000000004">
      <c r="A46" t="s">
        <v>234</v>
      </c>
      <c r="B46" s="4">
        <v>45923</v>
      </c>
      <c r="C46" t="s">
        <v>155</v>
      </c>
      <c r="D46" t="s">
        <v>235</v>
      </c>
      <c r="E46" t="s">
        <v>22</v>
      </c>
      <c r="F46" t="s">
        <v>236</v>
      </c>
      <c r="G46" t="s">
        <v>237</v>
      </c>
      <c r="H46" s="4">
        <v>46090.821619652779</v>
      </c>
      <c r="J46" t="s">
        <v>37</v>
      </c>
      <c r="K46">
        <v>101008</v>
      </c>
    </row>
    <row r="47" spans="1:11" x14ac:dyDescent="0.55000000000000004">
      <c r="A47" t="s">
        <v>238</v>
      </c>
      <c r="B47" s="4">
        <v>46137</v>
      </c>
      <c r="C47" t="s">
        <v>115</v>
      </c>
      <c r="D47" t="s">
        <v>239</v>
      </c>
      <c r="E47" t="s">
        <v>15</v>
      </c>
      <c r="F47" t="s">
        <v>240</v>
      </c>
      <c r="G47" t="s">
        <v>241</v>
      </c>
      <c r="H47" s="4">
        <v>46079.074397430559</v>
      </c>
      <c r="I47" t="s">
        <v>139</v>
      </c>
      <c r="J47" t="s">
        <v>68</v>
      </c>
      <c r="K47">
        <v>101095</v>
      </c>
    </row>
    <row r="48" spans="1:11" x14ac:dyDescent="0.55000000000000004">
      <c r="A48" t="s">
        <v>242</v>
      </c>
      <c r="B48" s="4">
        <v>46120</v>
      </c>
      <c r="C48" t="s">
        <v>243</v>
      </c>
      <c r="D48" t="s">
        <v>244</v>
      </c>
      <c r="E48" t="s">
        <v>15</v>
      </c>
      <c r="F48" t="s">
        <v>245</v>
      </c>
      <c r="G48" t="s">
        <v>246</v>
      </c>
      <c r="H48" s="4">
        <v>46096.382036319446</v>
      </c>
      <c r="J48" t="s">
        <v>533</v>
      </c>
      <c r="K48">
        <v>100391</v>
      </c>
    </row>
    <row r="49" spans="1:11" x14ac:dyDescent="0.55000000000000004">
      <c r="A49" t="s">
        <v>247</v>
      </c>
      <c r="B49" s="4">
        <v>45808</v>
      </c>
      <c r="C49" t="s">
        <v>213</v>
      </c>
      <c r="D49" t="s">
        <v>249</v>
      </c>
      <c r="E49" t="s">
        <v>15</v>
      </c>
      <c r="F49" t="s">
        <v>250</v>
      </c>
      <c r="G49" t="s">
        <v>251</v>
      </c>
      <c r="H49" s="4">
        <v>46079.40842521991</v>
      </c>
      <c r="J49" t="s">
        <v>248</v>
      </c>
      <c r="K49">
        <v>100297</v>
      </c>
    </row>
    <row r="50" spans="1:11" x14ac:dyDescent="0.55000000000000004">
      <c r="A50" t="s">
        <v>252</v>
      </c>
      <c r="B50" s="4">
        <v>45794</v>
      </c>
      <c r="C50" t="s">
        <v>115</v>
      </c>
      <c r="D50" t="s">
        <v>253</v>
      </c>
      <c r="E50" t="s">
        <v>22</v>
      </c>
      <c r="F50" t="s">
        <v>254</v>
      </c>
      <c r="G50" t="s">
        <v>255</v>
      </c>
      <c r="H50" s="4">
        <v>46056.86050855324</v>
      </c>
      <c r="J50" t="s">
        <v>68</v>
      </c>
      <c r="K50">
        <v>100157</v>
      </c>
    </row>
    <row r="51" spans="1:11" x14ac:dyDescent="0.55000000000000004">
      <c r="A51" t="s">
        <v>256</v>
      </c>
      <c r="B51" s="4">
        <v>45764</v>
      </c>
      <c r="C51" t="s">
        <v>69</v>
      </c>
      <c r="D51" t="s">
        <v>257</v>
      </c>
      <c r="E51" t="s">
        <v>15</v>
      </c>
      <c r="F51" t="s">
        <v>258</v>
      </c>
      <c r="G51" t="s">
        <v>259</v>
      </c>
      <c r="H51" s="4">
        <v>46057.01328634259</v>
      </c>
      <c r="J51" t="s">
        <v>179</v>
      </c>
      <c r="K51">
        <v>100933</v>
      </c>
    </row>
    <row r="52" spans="1:11" x14ac:dyDescent="0.55000000000000004">
      <c r="A52" t="s">
        <v>260</v>
      </c>
      <c r="B52" s="4">
        <v>45855</v>
      </c>
      <c r="C52" t="s">
        <v>208</v>
      </c>
      <c r="D52" t="s">
        <v>261</v>
      </c>
      <c r="E52" t="s">
        <v>15</v>
      </c>
      <c r="F52" t="s">
        <v>262</v>
      </c>
      <c r="G52" t="s">
        <v>263</v>
      </c>
      <c r="H52" s="4">
        <v>46058.244536342594</v>
      </c>
      <c r="J52" t="s">
        <v>19</v>
      </c>
      <c r="K52">
        <v>101122</v>
      </c>
    </row>
    <row r="53" spans="1:11" x14ac:dyDescent="0.55000000000000004">
      <c r="A53" t="s">
        <v>264</v>
      </c>
      <c r="B53" s="4">
        <v>46024</v>
      </c>
      <c r="C53" t="s">
        <v>265</v>
      </c>
      <c r="D53" t="s">
        <v>266</v>
      </c>
      <c r="E53" t="s">
        <v>22</v>
      </c>
      <c r="F53" t="s">
        <v>267</v>
      </c>
      <c r="G53" t="s">
        <v>268</v>
      </c>
      <c r="H53" s="4">
        <v>46092.998008564813</v>
      </c>
      <c r="J53" t="s">
        <v>248</v>
      </c>
      <c r="K53">
        <v>100879</v>
      </c>
    </row>
    <row r="54" spans="1:11" x14ac:dyDescent="0.55000000000000004">
      <c r="A54" t="s">
        <v>269</v>
      </c>
      <c r="B54" s="4">
        <v>45991</v>
      </c>
      <c r="C54" t="s">
        <v>270</v>
      </c>
      <c r="D54" t="s">
        <v>271</v>
      </c>
      <c r="E54" t="s">
        <v>22</v>
      </c>
      <c r="F54" t="s">
        <v>272</v>
      </c>
      <c r="G54" t="s">
        <v>273</v>
      </c>
      <c r="H54" s="4">
        <v>46094.842453020836</v>
      </c>
      <c r="J54" t="s">
        <v>19</v>
      </c>
      <c r="K54">
        <v>100182</v>
      </c>
    </row>
    <row r="55" spans="1:11" x14ac:dyDescent="0.55000000000000004">
      <c r="A55" t="s">
        <v>274</v>
      </c>
      <c r="B55" s="4">
        <v>45923</v>
      </c>
      <c r="C55" t="s">
        <v>141</v>
      </c>
      <c r="D55" t="s">
        <v>275</v>
      </c>
      <c r="E55" t="s">
        <v>22</v>
      </c>
      <c r="F55" t="s">
        <v>276</v>
      </c>
      <c r="G55" t="s">
        <v>277</v>
      </c>
      <c r="H55" s="4">
        <v>46093.255647465281</v>
      </c>
      <c r="J55" t="s">
        <v>179</v>
      </c>
      <c r="K55">
        <v>101357</v>
      </c>
    </row>
    <row r="56" spans="1:11" x14ac:dyDescent="0.55000000000000004">
      <c r="A56" t="s">
        <v>278</v>
      </c>
      <c r="B56" s="4">
        <v>46107</v>
      </c>
      <c r="C56" t="s">
        <v>13</v>
      </c>
      <c r="D56" t="s">
        <v>279</v>
      </c>
      <c r="E56" t="s">
        <v>15</v>
      </c>
      <c r="F56" t="s">
        <v>280</v>
      </c>
      <c r="G56" t="s">
        <v>281</v>
      </c>
      <c r="H56" s="4">
        <v>46095.245230810186</v>
      </c>
      <c r="J56" t="s">
        <v>248</v>
      </c>
      <c r="K56">
        <v>100513</v>
      </c>
    </row>
    <row r="57" spans="1:11" x14ac:dyDescent="0.55000000000000004">
      <c r="A57" t="s">
        <v>282</v>
      </c>
      <c r="B57" s="4">
        <v>45905</v>
      </c>
      <c r="C57" t="s">
        <v>43</v>
      </c>
      <c r="D57" t="s">
        <v>283</v>
      </c>
      <c r="E57" t="s">
        <v>15</v>
      </c>
      <c r="F57" t="s">
        <v>284</v>
      </c>
      <c r="G57" t="s">
        <v>285</v>
      </c>
      <c r="H57" s="4">
        <v>46089.656341921298</v>
      </c>
      <c r="J57" t="s">
        <v>19</v>
      </c>
      <c r="K57">
        <v>101229</v>
      </c>
    </row>
    <row r="58" spans="1:11" x14ac:dyDescent="0.55000000000000004">
      <c r="A58" t="s">
        <v>286</v>
      </c>
      <c r="B58" s="4">
        <v>45750</v>
      </c>
      <c r="C58" t="s">
        <v>265</v>
      </c>
      <c r="D58" t="s">
        <v>287</v>
      </c>
      <c r="E58" t="s">
        <v>15</v>
      </c>
      <c r="F58" t="s">
        <v>288</v>
      </c>
      <c r="G58" t="s">
        <v>289</v>
      </c>
      <c r="H58" s="4">
        <v>46095.297314143521</v>
      </c>
      <c r="J58" t="s">
        <v>179</v>
      </c>
      <c r="K58">
        <v>100374</v>
      </c>
    </row>
    <row r="59" spans="1:11" x14ac:dyDescent="0.55000000000000004">
      <c r="A59" t="s">
        <v>290</v>
      </c>
      <c r="B59" s="4">
        <v>45995</v>
      </c>
      <c r="C59" t="s">
        <v>89</v>
      </c>
      <c r="D59" t="s">
        <v>291</v>
      </c>
      <c r="E59" t="s">
        <v>22</v>
      </c>
      <c r="F59" t="s">
        <v>292</v>
      </c>
      <c r="G59" t="s">
        <v>293</v>
      </c>
      <c r="H59" s="4">
        <v>46094.826480821757</v>
      </c>
      <c r="J59" t="s">
        <v>68</v>
      </c>
      <c r="K59">
        <v>101141</v>
      </c>
    </row>
    <row r="60" spans="1:11" x14ac:dyDescent="0.55000000000000004">
      <c r="A60" t="s">
        <v>294</v>
      </c>
      <c r="B60" s="4">
        <v>45878</v>
      </c>
      <c r="C60" t="s">
        <v>295</v>
      </c>
      <c r="D60" t="s">
        <v>296</v>
      </c>
      <c r="E60" t="s">
        <v>22</v>
      </c>
      <c r="F60" t="s">
        <v>297</v>
      </c>
      <c r="G60" t="s">
        <v>298</v>
      </c>
      <c r="H60" s="4">
        <v>46090.22300859954</v>
      </c>
      <c r="J60" t="s">
        <v>248</v>
      </c>
      <c r="K60">
        <v>100307</v>
      </c>
    </row>
    <row r="61" spans="1:11" x14ac:dyDescent="0.55000000000000004">
      <c r="A61" t="s">
        <v>299</v>
      </c>
      <c r="B61" s="4">
        <v>45936</v>
      </c>
      <c r="C61" t="s">
        <v>300</v>
      </c>
      <c r="D61" t="s">
        <v>301</v>
      </c>
      <c r="E61" t="s">
        <v>15</v>
      </c>
      <c r="F61" t="s">
        <v>302</v>
      </c>
      <c r="G61" t="s">
        <v>303</v>
      </c>
      <c r="H61" s="4">
        <v>46065.7618975</v>
      </c>
      <c r="I61" t="s">
        <v>112</v>
      </c>
      <c r="J61" t="s">
        <v>179</v>
      </c>
    </row>
    <row r="62" spans="1:11" x14ac:dyDescent="0.55000000000000004">
      <c r="A62" t="s">
        <v>304</v>
      </c>
      <c r="B62" s="4">
        <v>45920</v>
      </c>
      <c r="C62" t="s">
        <v>83</v>
      </c>
      <c r="D62" t="s">
        <v>305</v>
      </c>
      <c r="E62" t="s">
        <v>15</v>
      </c>
      <c r="F62" t="s">
        <v>306</v>
      </c>
      <c r="G62" t="s">
        <v>307</v>
      </c>
      <c r="H62" s="4">
        <v>46069.88967527778</v>
      </c>
      <c r="J62" t="s">
        <v>19</v>
      </c>
      <c r="K62">
        <v>100491</v>
      </c>
    </row>
    <row r="63" spans="1:11" x14ac:dyDescent="0.55000000000000004">
      <c r="A63" t="s">
        <v>308</v>
      </c>
      <c r="B63" s="4">
        <v>46011</v>
      </c>
      <c r="C63" t="s">
        <v>295</v>
      </c>
      <c r="D63" t="s">
        <v>309</v>
      </c>
      <c r="E63" t="s">
        <v>15</v>
      </c>
      <c r="F63" t="s">
        <v>310</v>
      </c>
      <c r="G63" t="s">
        <v>311</v>
      </c>
      <c r="H63" s="4">
        <v>46076.806341944444</v>
      </c>
      <c r="J63" t="s">
        <v>533</v>
      </c>
      <c r="K63">
        <v>101319</v>
      </c>
    </row>
    <row r="64" spans="1:11" x14ac:dyDescent="0.55000000000000004">
      <c r="A64" t="s">
        <v>312</v>
      </c>
      <c r="B64" s="4">
        <v>45888</v>
      </c>
      <c r="C64" t="s">
        <v>89</v>
      </c>
      <c r="D64" t="s">
        <v>313</v>
      </c>
      <c r="E64" t="s">
        <v>15</v>
      </c>
      <c r="F64" t="s">
        <v>314</v>
      </c>
      <c r="G64" t="s">
        <v>315</v>
      </c>
      <c r="H64" s="4">
        <v>46053.114675289355</v>
      </c>
      <c r="J64" t="s">
        <v>68</v>
      </c>
      <c r="K64">
        <v>100722</v>
      </c>
    </row>
    <row r="65" spans="1:11" x14ac:dyDescent="0.55000000000000004">
      <c r="A65" t="s">
        <v>316</v>
      </c>
      <c r="B65" s="4">
        <v>45960</v>
      </c>
      <c r="C65" t="s">
        <v>317</v>
      </c>
      <c r="D65" t="s">
        <v>318</v>
      </c>
      <c r="E65" t="s">
        <v>22</v>
      </c>
      <c r="F65" t="s">
        <v>319</v>
      </c>
      <c r="G65" t="s">
        <v>320</v>
      </c>
      <c r="H65" s="4">
        <v>46058.127869733798</v>
      </c>
      <c r="J65" t="s">
        <v>68</v>
      </c>
      <c r="K65">
        <v>101401</v>
      </c>
    </row>
    <row r="66" spans="1:11" x14ac:dyDescent="0.55000000000000004">
      <c r="A66" t="s">
        <v>321</v>
      </c>
      <c r="B66" s="4">
        <v>46059</v>
      </c>
      <c r="C66" t="s">
        <v>155</v>
      </c>
      <c r="D66" t="s">
        <v>322</v>
      </c>
      <c r="E66" t="s">
        <v>22</v>
      </c>
      <c r="F66" t="s">
        <v>323</v>
      </c>
      <c r="G66" t="s">
        <v>324</v>
      </c>
      <c r="H66" s="4">
        <v>46074.016758634258</v>
      </c>
      <c r="J66" t="s">
        <v>248</v>
      </c>
      <c r="K66">
        <v>100098</v>
      </c>
    </row>
    <row r="67" spans="1:11" x14ac:dyDescent="0.55000000000000004">
      <c r="A67" t="s">
        <v>325</v>
      </c>
      <c r="B67" s="4">
        <v>45747</v>
      </c>
      <c r="C67" t="s">
        <v>38</v>
      </c>
      <c r="D67" t="s">
        <v>326</v>
      </c>
      <c r="E67" t="s">
        <v>22</v>
      </c>
      <c r="F67" t="s">
        <v>327</v>
      </c>
      <c r="G67" t="s">
        <v>328</v>
      </c>
      <c r="H67" s="4">
        <v>46095.566758634261</v>
      </c>
      <c r="J67" t="s">
        <v>533</v>
      </c>
      <c r="K67">
        <v>100682</v>
      </c>
    </row>
    <row r="68" spans="1:11" x14ac:dyDescent="0.55000000000000004">
      <c r="A68" t="s">
        <v>329</v>
      </c>
      <c r="B68" s="4">
        <v>45852</v>
      </c>
      <c r="C68" t="s">
        <v>300</v>
      </c>
      <c r="D68" t="s">
        <v>330</v>
      </c>
      <c r="E68" t="s">
        <v>15</v>
      </c>
      <c r="F68" t="s">
        <v>331</v>
      </c>
      <c r="G68" t="s">
        <v>332</v>
      </c>
      <c r="H68" s="4">
        <v>46059.527869745369</v>
      </c>
      <c r="J68" t="s">
        <v>37</v>
      </c>
      <c r="K68">
        <v>100602</v>
      </c>
    </row>
    <row r="69" spans="1:11" x14ac:dyDescent="0.55000000000000004">
      <c r="A69" t="s">
        <v>333</v>
      </c>
      <c r="B69" s="4">
        <v>45921</v>
      </c>
      <c r="C69" t="s">
        <v>334</v>
      </c>
      <c r="D69" t="s">
        <v>335</v>
      </c>
      <c r="E69" t="s">
        <v>15</v>
      </c>
      <c r="F69" t="s">
        <v>336</v>
      </c>
      <c r="G69" t="s">
        <v>337</v>
      </c>
      <c r="H69" s="4">
        <v>46064.224397534723</v>
      </c>
      <c r="J69" t="s">
        <v>179</v>
      </c>
      <c r="K69">
        <v>101162</v>
      </c>
    </row>
    <row r="70" spans="1:11" x14ac:dyDescent="0.55000000000000004">
      <c r="A70" t="s">
        <v>338</v>
      </c>
      <c r="B70" s="4">
        <v>45892</v>
      </c>
      <c r="C70" t="s">
        <v>199</v>
      </c>
      <c r="D70" t="s">
        <v>339</v>
      </c>
      <c r="E70" t="s">
        <v>15</v>
      </c>
      <c r="F70" t="s">
        <v>340</v>
      </c>
      <c r="G70" t="s">
        <v>341</v>
      </c>
      <c r="H70" s="4">
        <v>46086.036203090276</v>
      </c>
      <c r="J70" t="s">
        <v>179</v>
      </c>
      <c r="K70">
        <v>100132</v>
      </c>
    </row>
    <row r="71" spans="1:11" x14ac:dyDescent="0.55000000000000004">
      <c r="A71" t="s">
        <v>342</v>
      </c>
      <c r="B71" s="4">
        <v>45930</v>
      </c>
      <c r="C71" t="s">
        <v>343</v>
      </c>
      <c r="D71" t="s">
        <v>344</v>
      </c>
      <c r="E71" t="s">
        <v>22</v>
      </c>
      <c r="F71" t="s">
        <v>345</v>
      </c>
      <c r="G71" t="s">
        <v>346</v>
      </c>
      <c r="H71" s="4">
        <v>46083.875786435186</v>
      </c>
      <c r="J71" t="s">
        <v>19</v>
      </c>
      <c r="K71">
        <v>100608</v>
      </c>
    </row>
    <row r="72" spans="1:11" x14ac:dyDescent="0.55000000000000004">
      <c r="A72" t="s">
        <v>347</v>
      </c>
      <c r="B72" s="4">
        <v>46087</v>
      </c>
      <c r="C72" t="s">
        <v>265</v>
      </c>
      <c r="D72" t="s">
        <v>348</v>
      </c>
      <c r="E72" t="s">
        <v>15</v>
      </c>
      <c r="F72" t="s">
        <v>349</v>
      </c>
      <c r="G72" t="s">
        <v>350</v>
      </c>
      <c r="H72" s="4">
        <v>46093.103564212965</v>
      </c>
      <c r="J72" t="s">
        <v>68</v>
      </c>
      <c r="K72">
        <v>101331</v>
      </c>
    </row>
    <row r="73" spans="1:11" x14ac:dyDescent="0.55000000000000004">
      <c r="A73" t="s">
        <v>351</v>
      </c>
      <c r="B73" s="4">
        <v>46097</v>
      </c>
      <c r="C73" t="s">
        <v>295</v>
      </c>
      <c r="D73" t="s">
        <v>352</v>
      </c>
      <c r="E73" t="s">
        <v>22</v>
      </c>
      <c r="F73" t="s">
        <v>353</v>
      </c>
      <c r="G73" t="s">
        <v>354</v>
      </c>
      <c r="H73" s="4">
        <v>46052.654258668983</v>
      </c>
      <c r="J73" t="s">
        <v>533</v>
      </c>
      <c r="K73">
        <v>100845</v>
      </c>
    </row>
    <row r="74" spans="1:11" x14ac:dyDescent="0.55000000000000004">
      <c r="A74" t="s">
        <v>355</v>
      </c>
      <c r="B74" s="4">
        <v>46009</v>
      </c>
      <c r="C74" t="s">
        <v>356</v>
      </c>
      <c r="D74" t="s">
        <v>357</v>
      </c>
      <c r="E74" t="s">
        <v>15</v>
      </c>
      <c r="F74" t="s">
        <v>358</v>
      </c>
      <c r="G74" t="s">
        <v>359</v>
      </c>
      <c r="H74" s="4">
        <v>46074.023008668984</v>
      </c>
      <c r="J74" t="s">
        <v>19</v>
      </c>
      <c r="K74">
        <v>100547</v>
      </c>
    </row>
    <row r="75" spans="1:11" x14ac:dyDescent="0.55000000000000004">
      <c r="A75" t="s">
        <v>360</v>
      </c>
      <c r="B75" s="4">
        <v>45794</v>
      </c>
      <c r="C75" t="s">
        <v>115</v>
      </c>
      <c r="D75" t="s">
        <v>361</v>
      </c>
      <c r="E75" t="s">
        <v>15</v>
      </c>
      <c r="F75" t="s">
        <v>362</v>
      </c>
      <c r="G75" t="s">
        <v>363</v>
      </c>
      <c r="H75" s="4">
        <v>46066.709119780091</v>
      </c>
      <c r="J75" t="s">
        <v>248</v>
      </c>
      <c r="K75">
        <v>100359</v>
      </c>
    </row>
    <row r="76" spans="1:11" x14ac:dyDescent="0.55000000000000004">
      <c r="A76" t="s">
        <v>364</v>
      </c>
      <c r="B76" s="4">
        <v>46015</v>
      </c>
      <c r="C76" t="s">
        <v>208</v>
      </c>
      <c r="D76" t="s">
        <v>365</v>
      </c>
      <c r="E76" t="s">
        <v>15</v>
      </c>
      <c r="F76" t="s">
        <v>366</v>
      </c>
      <c r="G76" t="s">
        <v>367</v>
      </c>
      <c r="H76" s="4">
        <v>46093.306342013886</v>
      </c>
      <c r="J76" t="s">
        <v>68</v>
      </c>
      <c r="K76">
        <v>101068</v>
      </c>
    </row>
    <row r="77" spans="1:11" x14ac:dyDescent="0.55000000000000004">
      <c r="A77" t="s">
        <v>368</v>
      </c>
      <c r="B77" s="4">
        <v>46099</v>
      </c>
      <c r="C77" t="s">
        <v>213</v>
      </c>
      <c r="D77" t="s">
        <v>369</v>
      </c>
      <c r="E77" t="s">
        <v>22</v>
      </c>
      <c r="F77" t="s">
        <v>370</v>
      </c>
      <c r="G77" t="s">
        <v>371</v>
      </c>
      <c r="H77" s="4">
        <v>46061.641064236108</v>
      </c>
      <c r="I77" t="s">
        <v>139</v>
      </c>
      <c r="J77" t="s">
        <v>179</v>
      </c>
      <c r="K77">
        <v>100635</v>
      </c>
    </row>
    <row r="78" spans="1:11" x14ac:dyDescent="0.55000000000000004">
      <c r="A78" t="s">
        <v>372</v>
      </c>
      <c r="B78" s="4">
        <v>45894</v>
      </c>
      <c r="C78" t="s">
        <v>270</v>
      </c>
      <c r="D78" t="s">
        <v>373</v>
      </c>
      <c r="E78" t="s">
        <v>22</v>
      </c>
      <c r="F78" t="s">
        <v>374</v>
      </c>
      <c r="G78" t="s">
        <v>375</v>
      </c>
      <c r="H78" s="4">
        <v>46088.961897569447</v>
      </c>
      <c r="J78" t="s">
        <v>533</v>
      </c>
      <c r="K78">
        <v>100354</v>
      </c>
    </row>
    <row r="79" spans="1:11" x14ac:dyDescent="0.55000000000000004">
      <c r="A79" t="s">
        <v>376</v>
      </c>
      <c r="B79" s="4">
        <v>45825</v>
      </c>
      <c r="C79" t="s">
        <v>69</v>
      </c>
      <c r="D79" t="s">
        <v>377</v>
      </c>
      <c r="E79" t="s">
        <v>15</v>
      </c>
      <c r="F79" t="s">
        <v>378</v>
      </c>
      <c r="G79" t="s">
        <v>379</v>
      </c>
      <c r="H79" s="4">
        <v>46090.009119803239</v>
      </c>
      <c r="J79" t="s">
        <v>19</v>
      </c>
      <c r="K79">
        <v>100977</v>
      </c>
    </row>
    <row r="80" spans="1:11" x14ac:dyDescent="0.55000000000000004">
      <c r="A80" t="s">
        <v>380</v>
      </c>
      <c r="B80" s="4">
        <v>45887</v>
      </c>
      <c r="C80" t="s">
        <v>115</v>
      </c>
      <c r="D80" t="s">
        <v>381</v>
      </c>
      <c r="E80" t="s">
        <v>22</v>
      </c>
      <c r="F80" t="s">
        <v>382</v>
      </c>
      <c r="G80" t="s">
        <v>383</v>
      </c>
      <c r="H80" s="4">
        <v>46052.42578646991</v>
      </c>
      <c r="I80" t="s">
        <v>217</v>
      </c>
      <c r="K80">
        <v>101358</v>
      </c>
    </row>
    <row r="81" spans="1:11" x14ac:dyDescent="0.55000000000000004">
      <c r="A81" t="s">
        <v>384</v>
      </c>
      <c r="B81" s="4">
        <v>45997</v>
      </c>
      <c r="C81" t="s">
        <v>295</v>
      </c>
      <c r="D81" t="s">
        <v>385</v>
      </c>
      <c r="E81" t="s">
        <v>15</v>
      </c>
      <c r="F81" t="s">
        <v>386</v>
      </c>
      <c r="G81" t="s">
        <v>387</v>
      </c>
      <c r="H81" s="4">
        <v>46056.962592037038</v>
      </c>
      <c r="J81" t="s">
        <v>68</v>
      </c>
      <c r="K81">
        <v>100950</v>
      </c>
    </row>
    <row r="82" spans="1:11" x14ac:dyDescent="0.55000000000000004">
      <c r="A82" t="s">
        <v>388</v>
      </c>
      <c r="B82" s="4">
        <v>45796</v>
      </c>
      <c r="C82" t="s">
        <v>343</v>
      </c>
      <c r="D82" t="s">
        <v>389</v>
      </c>
      <c r="E82" t="s">
        <v>15</v>
      </c>
      <c r="F82" t="s">
        <v>390</v>
      </c>
      <c r="G82" t="s">
        <v>391</v>
      </c>
      <c r="H82" s="4">
        <v>46059.920230925927</v>
      </c>
      <c r="J82" t="s">
        <v>248</v>
      </c>
      <c r="K82">
        <v>100780</v>
      </c>
    </row>
    <row r="83" spans="1:11" x14ac:dyDescent="0.55000000000000004">
      <c r="A83" t="s">
        <v>392</v>
      </c>
      <c r="B83" s="4">
        <v>45819</v>
      </c>
      <c r="C83" t="s">
        <v>126</v>
      </c>
      <c r="D83" t="s">
        <v>393</v>
      </c>
      <c r="E83" t="s">
        <v>15</v>
      </c>
      <c r="F83" t="s">
        <v>394</v>
      </c>
      <c r="G83" t="s">
        <v>395</v>
      </c>
      <c r="H83" s="4">
        <v>46096.630647592596</v>
      </c>
      <c r="J83" t="s">
        <v>533</v>
      </c>
      <c r="K83">
        <v>100368</v>
      </c>
    </row>
    <row r="84" spans="1:11" x14ac:dyDescent="0.55000000000000004">
      <c r="A84" t="s">
        <v>396</v>
      </c>
      <c r="B84" s="4">
        <v>46060</v>
      </c>
      <c r="C84" t="s">
        <v>208</v>
      </c>
      <c r="D84" t="s">
        <v>397</v>
      </c>
      <c r="E84" t="s">
        <v>15</v>
      </c>
      <c r="F84" t="s">
        <v>398</v>
      </c>
      <c r="G84" t="s">
        <v>399</v>
      </c>
      <c r="H84" s="4">
        <v>46065.854258715277</v>
      </c>
      <c r="J84" t="s">
        <v>37</v>
      </c>
      <c r="K84">
        <v>101470</v>
      </c>
    </row>
    <row r="85" spans="1:11" x14ac:dyDescent="0.55000000000000004">
      <c r="A85" t="s">
        <v>400</v>
      </c>
      <c r="B85" s="4">
        <v>45880</v>
      </c>
      <c r="C85" t="s">
        <v>208</v>
      </c>
      <c r="D85" t="s">
        <v>401</v>
      </c>
      <c r="E85" t="s">
        <v>22</v>
      </c>
      <c r="F85" t="s">
        <v>402</v>
      </c>
      <c r="G85" t="s">
        <v>403</v>
      </c>
      <c r="H85" s="4">
        <v>46078.101480937497</v>
      </c>
      <c r="J85" t="s">
        <v>19</v>
      </c>
      <c r="K85">
        <v>101467</v>
      </c>
    </row>
    <row r="86" spans="1:11" x14ac:dyDescent="0.55000000000000004">
      <c r="A86" t="s">
        <v>404</v>
      </c>
      <c r="B86" s="4">
        <v>46084</v>
      </c>
      <c r="C86" t="s">
        <v>115</v>
      </c>
      <c r="D86" t="s">
        <v>405</v>
      </c>
      <c r="E86" t="s">
        <v>22</v>
      </c>
      <c r="F86" t="s">
        <v>406</v>
      </c>
      <c r="G86" t="s">
        <v>407</v>
      </c>
      <c r="H86" s="4">
        <v>46071.057730949076</v>
      </c>
      <c r="J86" t="s">
        <v>37</v>
      </c>
      <c r="K86">
        <v>100754</v>
      </c>
    </row>
    <row r="87" spans="1:11" x14ac:dyDescent="0.55000000000000004">
      <c r="A87" t="s">
        <v>408</v>
      </c>
      <c r="B87" s="4">
        <v>45836</v>
      </c>
      <c r="C87" t="s">
        <v>409</v>
      </c>
      <c r="D87" t="s">
        <v>410</v>
      </c>
      <c r="E87" t="s">
        <v>22</v>
      </c>
      <c r="F87" t="s">
        <v>411</v>
      </c>
      <c r="G87" t="s">
        <v>412</v>
      </c>
      <c r="H87" s="4">
        <v>46052.2924531713</v>
      </c>
      <c r="J87" t="s">
        <v>179</v>
      </c>
      <c r="K87">
        <v>101102</v>
      </c>
    </row>
    <row r="88" spans="1:11" x14ac:dyDescent="0.55000000000000004">
      <c r="A88" t="s">
        <v>413</v>
      </c>
      <c r="B88" s="4">
        <v>45936</v>
      </c>
      <c r="C88" t="s">
        <v>20</v>
      </c>
      <c r="D88" t="s">
        <v>414</v>
      </c>
      <c r="E88" t="s">
        <v>15</v>
      </c>
      <c r="F88" t="s">
        <v>415</v>
      </c>
      <c r="G88" t="s">
        <v>416</v>
      </c>
      <c r="H88" s="4">
        <v>46077.402175393516</v>
      </c>
      <c r="J88" t="s">
        <v>68</v>
      </c>
      <c r="K88">
        <v>101294</v>
      </c>
    </row>
    <row r="89" spans="1:11" x14ac:dyDescent="0.55000000000000004">
      <c r="A89" t="s">
        <v>417</v>
      </c>
      <c r="B89" s="4">
        <v>45794</v>
      </c>
      <c r="C89" t="s">
        <v>418</v>
      </c>
      <c r="D89" t="s">
        <v>419</v>
      </c>
      <c r="E89" t="s">
        <v>15</v>
      </c>
      <c r="F89" t="s">
        <v>420</v>
      </c>
      <c r="G89" t="s">
        <v>421</v>
      </c>
      <c r="H89" s="4">
        <v>46091.674397627314</v>
      </c>
      <c r="J89" t="s">
        <v>179</v>
      </c>
      <c r="K89">
        <v>100400</v>
      </c>
    </row>
    <row r="90" spans="1:11" x14ac:dyDescent="0.55000000000000004">
      <c r="A90" t="s">
        <v>422</v>
      </c>
      <c r="B90" s="4">
        <v>45928</v>
      </c>
      <c r="C90" t="s">
        <v>43</v>
      </c>
      <c r="D90" t="s">
        <v>423</v>
      </c>
      <c r="E90" t="s">
        <v>22</v>
      </c>
      <c r="F90" t="s">
        <v>424</v>
      </c>
      <c r="G90" t="s">
        <v>425</v>
      </c>
      <c r="H90" s="4">
        <v>46061.301480960647</v>
      </c>
      <c r="J90" t="s">
        <v>68</v>
      </c>
      <c r="K90">
        <v>100961</v>
      </c>
    </row>
    <row r="91" spans="1:11" x14ac:dyDescent="0.55000000000000004">
      <c r="A91" t="s">
        <v>426</v>
      </c>
      <c r="B91" s="4">
        <v>46122</v>
      </c>
      <c r="C91" t="s">
        <v>69</v>
      </c>
      <c r="D91" t="s">
        <v>427</v>
      </c>
      <c r="E91" t="s">
        <v>22</v>
      </c>
      <c r="F91" t="s">
        <v>428</v>
      </c>
      <c r="G91" t="s">
        <v>429</v>
      </c>
      <c r="H91" s="4">
        <v>46066.307730972221</v>
      </c>
      <c r="J91" t="s">
        <v>248</v>
      </c>
      <c r="K91">
        <v>100520</v>
      </c>
    </row>
    <row r="92" spans="1:11" x14ac:dyDescent="0.55000000000000004">
      <c r="A92" t="s">
        <v>430</v>
      </c>
      <c r="B92" s="4">
        <v>45743</v>
      </c>
      <c r="C92" t="s">
        <v>69</v>
      </c>
      <c r="D92" t="s">
        <v>431</v>
      </c>
      <c r="E92" t="s">
        <v>22</v>
      </c>
      <c r="F92" t="s">
        <v>432</v>
      </c>
      <c r="G92" t="s">
        <v>433</v>
      </c>
      <c r="H92" s="4">
        <v>46082.440369861113</v>
      </c>
      <c r="J92" t="s">
        <v>19</v>
      </c>
      <c r="K92">
        <v>101254</v>
      </c>
    </row>
    <row r="93" spans="1:11" x14ac:dyDescent="0.55000000000000004">
      <c r="A93" t="s">
        <v>434</v>
      </c>
      <c r="B93" s="4">
        <v>45912</v>
      </c>
      <c r="C93" t="s">
        <v>155</v>
      </c>
      <c r="D93" t="s">
        <v>435</v>
      </c>
      <c r="E93" t="s">
        <v>22</v>
      </c>
      <c r="F93" t="s">
        <v>436</v>
      </c>
      <c r="G93" t="s">
        <v>437</v>
      </c>
      <c r="H93" s="4">
        <v>46065.896619861109</v>
      </c>
      <c r="J93" t="s">
        <v>19</v>
      </c>
      <c r="K93">
        <v>101230</v>
      </c>
    </row>
    <row r="94" spans="1:11" x14ac:dyDescent="0.55000000000000004">
      <c r="A94" t="s">
        <v>438</v>
      </c>
      <c r="B94" s="4">
        <v>45878</v>
      </c>
      <c r="C94" t="s">
        <v>243</v>
      </c>
      <c r="D94" t="s">
        <v>439</v>
      </c>
      <c r="E94" t="s">
        <v>15</v>
      </c>
      <c r="F94" t="s">
        <v>440</v>
      </c>
      <c r="G94" t="s">
        <v>441</v>
      </c>
      <c r="H94" s="4">
        <v>46081.225786539355</v>
      </c>
      <c r="J94" t="s">
        <v>19</v>
      </c>
      <c r="K94">
        <v>100353</v>
      </c>
    </row>
    <row r="95" spans="1:11" x14ac:dyDescent="0.55000000000000004">
      <c r="A95" t="s">
        <v>442</v>
      </c>
      <c r="B95" s="4">
        <v>45919</v>
      </c>
      <c r="C95" t="s">
        <v>69</v>
      </c>
      <c r="D95" t="s">
        <v>443</v>
      </c>
      <c r="E95" t="s">
        <v>15</v>
      </c>
      <c r="F95" t="s">
        <v>444</v>
      </c>
      <c r="G95" t="s">
        <v>445</v>
      </c>
      <c r="H95" s="4">
        <v>46060.947314317127</v>
      </c>
      <c r="J95" t="s">
        <v>179</v>
      </c>
      <c r="K95">
        <v>100616</v>
      </c>
    </row>
    <row r="96" spans="1:11" x14ac:dyDescent="0.55000000000000004">
      <c r="A96" t="s">
        <v>446</v>
      </c>
      <c r="B96" s="4">
        <v>45917</v>
      </c>
      <c r="C96" t="s">
        <v>83</v>
      </c>
      <c r="D96" t="s">
        <v>447</v>
      </c>
      <c r="E96" t="s">
        <v>22</v>
      </c>
      <c r="F96" t="s">
        <v>448</v>
      </c>
      <c r="G96" t="s">
        <v>449</v>
      </c>
      <c r="H96" s="4">
        <v>46062.348703217591</v>
      </c>
      <c r="J96" t="s">
        <v>248</v>
      </c>
      <c r="K96">
        <v>100990</v>
      </c>
    </row>
    <row r="97" spans="1:11" x14ac:dyDescent="0.55000000000000004">
      <c r="A97" t="s">
        <v>450</v>
      </c>
      <c r="B97" s="4">
        <v>46080</v>
      </c>
      <c r="C97" t="s">
        <v>108</v>
      </c>
      <c r="D97" t="s">
        <v>451</v>
      </c>
      <c r="E97" t="s">
        <v>22</v>
      </c>
      <c r="F97" t="s">
        <v>452</v>
      </c>
      <c r="G97" t="s">
        <v>453</v>
      </c>
      <c r="H97" s="4">
        <v>46074.263980995369</v>
      </c>
      <c r="J97" t="s">
        <v>19</v>
      </c>
      <c r="K97">
        <v>100993</v>
      </c>
    </row>
    <row r="98" spans="1:11" x14ac:dyDescent="0.55000000000000004">
      <c r="A98" t="s">
        <v>454</v>
      </c>
      <c r="B98" s="4">
        <v>45919</v>
      </c>
      <c r="C98" t="s">
        <v>115</v>
      </c>
      <c r="D98" t="s">
        <v>455</v>
      </c>
      <c r="E98" t="s">
        <v>22</v>
      </c>
      <c r="F98" t="s">
        <v>456</v>
      </c>
      <c r="G98" t="s">
        <v>457</v>
      </c>
      <c r="H98" s="4">
        <v>46065.688980995372</v>
      </c>
      <c r="J98" t="s">
        <v>19</v>
      </c>
      <c r="K98">
        <v>100243</v>
      </c>
    </row>
    <row r="99" spans="1:11" x14ac:dyDescent="0.55000000000000004">
      <c r="A99" t="s">
        <v>458</v>
      </c>
      <c r="B99" s="4">
        <v>45751</v>
      </c>
      <c r="C99" t="s">
        <v>317</v>
      </c>
      <c r="D99" t="s">
        <v>459</v>
      </c>
      <c r="E99" t="s">
        <v>22</v>
      </c>
      <c r="F99" t="s">
        <v>460</v>
      </c>
      <c r="G99" t="s">
        <v>461</v>
      </c>
      <c r="H99" s="4">
        <v>46067.007731006946</v>
      </c>
      <c r="J99" t="s">
        <v>37</v>
      </c>
      <c r="K99">
        <v>100675</v>
      </c>
    </row>
    <row r="100" spans="1:11" x14ac:dyDescent="0.55000000000000004">
      <c r="A100" t="s">
        <v>462</v>
      </c>
      <c r="B100" s="4">
        <v>45808</v>
      </c>
      <c r="C100" t="s">
        <v>160</v>
      </c>
      <c r="D100" t="s">
        <v>463</v>
      </c>
      <c r="E100" t="s">
        <v>22</v>
      </c>
      <c r="F100" t="s">
        <v>464</v>
      </c>
      <c r="G100" t="s">
        <v>465</v>
      </c>
      <c r="H100" s="4">
        <v>46087.187592118054</v>
      </c>
      <c r="J100" t="s">
        <v>179</v>
      </c>
      <c r="K100">
        <v>100347</v>
      </c>
    </row>
    <row r="101" spans="1:11" x14ac:dyDescent="0.55000000000000004">
      <c r="A101" t="s">
        <v>466</v>
      </c>
      <c r="B101" s="4">
        <v>46110</v>
      </c>
      <c r="C101" t="s">
        <v>467</v>
      </c>
      <c r="D101" t="s">
        <v>468</v>
      </c>
      <c r="E101" t="s">
        <v>22</v>
      </c>
      <c r="F101" t="s">
        <v>469</v>
      </c>
      <c r="G101" t="s">
        <v>470</v>
      </c>
      <c r="H101" s="4">
        <v>46051.945925462962</v>
      </c>
      <c r="J101" t="s">
        <v>19</v>
      </c>
      <c r="K101">
        <v>100793</v>
      </c>
    </row>
    <row r="102" spans="1:11" x14ac:dyDescent="0.55000000000000004">
      <c r="A102" t="s">
        <v>6022</v>
      </c>
      <c r="B102" s="4">
        <v>45975</v>
      </c>
      <c r="C102" t="s">
        <v>20</v>
      </c>
      <c r="D102" t="s">
        <v>472</v>
      </c>
      <c r="E102" t="s">
        <v>22</v>
      </c>
      <c r="F102" t="s">
        <v>473</v>
      </c>
      <c r="G102" t="s">
        <v>474</v>
      </c>
      <c r="H102" s="4">
        <v>46054.590369907404</v>
      </c>
      <c r="I102" t="s">
        <v>119</v>
      </c>
      <c r="J102" t="s">
        <v>68</v>
      </c>
      <c r="K102">
        <v>101227</v>
      </c>
    </row>
    <row r="103" spans="1:11" x14ac:dyDescent="0.55000000000000004">
      <c r="A103" t="s">
        <v>475</v>
      </c>
      <c r="B103" s="4">
        <v>46030</v>
      </c>
      <c r="C103" t="s">
        <v>141</v>
      </c>
      <c r="D103" t="s">
        <v>476</v>
      </c>
      <c r="E103" t="s">
        <v>22</v>
      </c>
      <c r="F103" t="s">
        <v>477</v>
      </c>
      <c r="G103" t="s">
        <v>478</v>
      </c>
      <c r="H103" s="4">
        <v>46080.813981018517</v>
      </c>
      <c r="J103" t="s">
        <v>179</v>
      </c>
      <c r="K103">
        <v>100192</v>
      </c>
    </row>
    <row r="104" spans="1:11" x14ac:dyDescent="0.55000000000000004">
      <c r="A104" t="s">
        <v>479</v>
      </c>
      <c r="B104" s="4">
        <v>46027</v>
      </c>
      <c r="C104" t="s">
        <v>317</v>
      </c>
      <c r="D104" t="s">
        <v>480</v>
      </c>
      <c r="E104" t="s">
        <v>15</v>
      </c>
      <c r="F104" t="s">
        <v>481</v>
      </c>
      <c r="G104" t="s">
        <v>482</v>
      </c>
      <c r="H104" s="4">
        <v>46060.063286585646</v>
      </c>
      <c r="J104" t="s">
        <v>19</v>
      </c>
      <c r="K104">
        <v>100214</v>
      </c>
    </row>
    <row r="105" spans="1:11" x14ac:dyDescent="0.55000000000000004">
      <c r="A105" t="s">
        <v>483</v>
      </c>
      <c r="B105" s="4">
        <v>46000</v>
      </c>
      <c r="C105" t="s">
        <v>213</v>
      </c>
      <c r="D105" t="s">
        <v>484</v>
      </c>
      <c r="E105" t="s">
        <v>15</v>
      </c>
      <c r="F105" t="s">
        <v>485</v>
      </c>
      <c r="G105" t="s">
        <v>486</v>
      </c>
      <c r="H105" s="4">
        <v>46054.401481030094</v>
      </c>
      <c r="J105" t="s">
        <v>533</v>
      </c>
      <c r="K105">
        <v>101315</v>
      </c>
    </row>
    <row r="106" spans="1:11" x14ac:dyDescent="0.55000000000000004">
      <c r="A106" t="s">
        <v>487</v>
      </c>
      <c r="B106" s="4">
        <v>46025</v>
      </c>
      <c r="C106" t="s">
        <v>108</v>
      </c>
      <c r="D106" t="s">
        <v>488</v>
      </c>
      <c r="E106" t="s">
        <v>22</v>
      </c>
      <c r="F106" t="s">
        <v>489</v>
      </c>
      <c r="G106" t="s">
        <v>490</v>
      </c>
      <c r="H106" s="4">
        <v>46077.150786585647</v>
      </c>
      <c r="J106" t="s">
        <v>37</v>
      </c>
      <c r="K106">
        <v>101311</v>
      </c>
    </row>
    <row r="107" spans="1:11" x14ac:dyDescent="0.55000000000000004">
      <c r="A107" t="s">
        <v>491</v>
      </c>
      <c r="B107" s="4">
        <v>45943</v>
      </c>
      <c r="C107" t="s">
        <v>43</v>
      </c>
      <c r="D107" t="s">
        <v>81</v>
      </c>
      <c r="E107" t="s">
        <v>15</v>
      </c>
      <c r="F107" t="s">
        <v>492</v>
      </c>
      <c r="G107" t="s">
        <v>493</v>
      </c>
      <c r="H107" s="4">
        <v>46052.550092152778</v>
      </c>
      <c r="J107" t="s">
        <v>533</v>
      </c>
      <c r="K107">
        <v>100492</v>
      </c>
    </row>
    <row r="108" spans="1:11" x14ac:dyDescent="0.55000000000000004">
      <c r="A108" t="s">
        <v>494</v>
      </c>
      <c r="B108" s="4">
        <v>45838</v>
      </c>
      <c r="C108" t="s">
        <v>495</v>
      </c>
      <c r="D108" t="s">
        <v>496</v>
      </c>
      <c r="E108" t="s">
        <v>22</v>
      </c>
      <c r="F108" t="s">
        <v>497</v>
      </c>
      <c r="G108" t="s">
        <v>498</v>
      </c>
      <c r="H108" s="4">
        <v>46086.092453263889</v>
      </c>
      <c r="J108" t="s">
        <v>19</v>
      </c>
      <c r="K108">
        <v>100385</v>
      </c>
    </row>
    <row r="109" spans="1:11" x14ac:dyDescent="0.55000000000000004">
      <c r="A109" t="s">
        <v>499</v>
      </c>
      <c r="B109" s="4">
        <v>45907</v>
      </c>
      <c r="C109" t="s">
        <v>300</v>
      </c>
      <c r="D109" t="s">
        <v>500</v>
      </c>
      <c r="E109" t="s">
        <v>15</v>
      </c>
      <c r="F109" t="s">
        <v>501</v>
      </c>
      <c r="G109" t="s">
        <v>502</v>
      </c>
      <c r="H109" s="4">
        <v>46082.34939771991</v>
      </c>
      <c r="J109" t="s">
        <v>19</v>
      </c>
      <c r="K109">
        <v>100084</v>
      </c>
    </row>
    <row r="110" spans="1:11" x14ac:dyDescent="0.55000000000000004">
      <c r="A110" t="s">
        <v>503</v>
      </c>
      <c r="B110" s="4">
        <v>45884</v>
      </c>
      <c r="C110" t="s">
        <v>20</v>
      </c>
      <c r="D110" t="s">
        <v>504</v>
      </c>
      <c r="E110" t="s">
        <v>22</v>
      </c>
      <c r="F110" t="s">
        <v>505</v>
      </c>
      <c r="G110" t="s">
        <v>506</v>
      </c>
      <c r="H110" s="4">
        <v>46052.451481053242</v>
      </c>
      <c r="J110" t="s">
        <v>19</v>
      </c>
      <c r="K110">
        <v>100805</v>
      </c>
    </row>
    <row r="111" spans="1:11" x14ac:dyDescent="0.55000000000000004">
      <c r="A111" t="s">
        <v>507</v>
      </c>
      <c r="B111" s="4">
        <v>45894</v>
      </c>
      <c r="C111" t="s">
        <v>467</v>
      </c>
      <c r="D111" t="s">
        <v>508</v>
      </c>
      <c r="E111" t="s">
        <v>22</v>
      </c>
      <c r="F111" t="s">
        <v>509</v>
      </c>
      <c r="G111" t="s">
        <v>510</v>
      </c>
      <c r="H111" s="4">
        <v>46079.573008831016</v>
      </c>
      <c r="J111" t="s">
        <v>19</v>
      </c>
      <c r="K111">
        <v>100733</v>
      </c>
    </row>
    <row r="112" spans="1:11" x14ac:dyDescent="0.55000000000000004">
      <c r="A112" t="s">
        <v>511</v>
      </c>
      <c r="B112" s="4">
        <v>46078</v>
      </c>
      <c r="C112" t="s">
        <v>300</v>
      </c>
      <c r="D112" t="s">
        <v>512</v>
      </c>
      <c r="E112" t="s">
        <v>15</v>
      </c>
      <c r="F112" t="s">
        <v>513</v>
      </c>
      <c r="G112" t="s">
        <v>514</v>
      </c>
      <c r="H112" s="4">
        <v>46079.686203287034</v>
      </c>
      <c r="J112" t="s">
        <v>19</v>
      </c>
      <c r="K112">
        <v>101032</v>
      </c>
    </row>
    <row r="113" spans="1:11" x14ac:dyDescent="0.55000000000000004">
      <c r="A113" t="s">
        <v>515</v>
      </c>
      <c r="B113" s="4">
        <v>46097</v>
      </c>
      <c r="C113" t="s">
        <v>20</v>
      </c>
      <c r="D113" t="s">
        <v>516</v>
      </c>
      <c r="E113" t="s">
        <v>22</v>
      </c>
      <c r="F113" t="s">
        <v>517</v>
      </c>
      <c r="G113" t="s">
        <v>518</v>
      </c>
      <c r="H113" s="4">
        <v>46056.381342175926</v>
      </c>
      <c r="J113" t="s">
        <v>68</v>
      </c>
      <c r="K113">
        <v>101442</v>
      </c>
    </row>
    <row r="114" spans="1:11" x14ac:dyDescent="0.55000000000000004">
      <c r="A114" t="s">
        <v>519</v>
      </c>
      <c r="B114" s="4">
        <v>45841</v>
      </c>
      <c r="C114" t="s">
        <v>38</v>
      </c>
      <c r="D114" t="s">
        <v>520</v>
      </c>
      <c r="E114" t="s">
        <v>22</v>
      </c>
      <c r="F114" t="s">
        <v>521</v>
      </c>
      <c r="G114" t="s">
        <v>522</v>
      </c>
      <c r="H114" s="4">
        <v>46061.756342187502</v>
      </c>
      <c r="J114" t="s">
        <v>19</v>
      </c>
      <c r="K114">
        <v>100544</v>
      </c>
    </row>
    <row r="115" spans="1:11" x14ac:dyDescent="0.55000000000000004">
      <c r="A115" t="s">
        <v>523</v>
      </c>
      <c r="B115" s="4">
        <v>45802</v>
      </c>
      <c r="C115" t="s">
        <v>38</v>
      </c>
      <c r="D115" t="s">
        <v>524</v>
      </c>
      <c r="E115" t="s">
        <v>15</v>
      </c>
      <c r="F115" t="s">
        <v>525</v>
      </c>
      <c r="G115" t="s">
        <v>526</v>
      </c>
      <c r="H115" s="4">
        <v>46082.674397743052</v>
      </c>
      <c r="J115" t="s">
        <v>248</v>
      </c>
      <c r="K115">
        <v>100184</v>
      </c>
    </row>
    <row r="116" spans="1:11" x14ac:dyDescent="0.55000000000000004">
      <c r="A116" t="s">
        <v>527</v>
      </c>
      <c r="B116" s="4">
        <v>45847</v>
      </c>
      <c r="C116" t="s">
        <v>528</v>
      </c>
      <c r="D116" t="s">
        <v>529</v>
      </c>
      <c r="E116" t="s">
        <v>22</v>
      </c>
      <c r="F116" t="s">
        <v>530</v>
      </c>
      <c r="G116" t="s">
        <v>531</v>
      </c>
      <c r="H116" s="4">
        <v>46076.074397743054</v>
      </c>
      <c r="J116" t="s">
        <v>19</v>
      </c>
      <c r="K116">
        <v>101014</v>
      </c>
    </row>
    <row r="117" spans="1:11" x14ac:dyDescent="0.55000000000000004">
      <c r="A117" t="s">
        <v>532</v>
      </c>
      <c r="B117" s="4">
        <v>46080</v>
      </c>
      <c r="C117" t="s">
        <v>155</v>
      </c>
      <c r="D117" t="s">
        <v>534</v>
      </c>
      <c r="E117" t="s">
        <v>15</v>
      </c>
      <c r="F117" t="s">
        <v>535</v>
      </c>
      <c r="G117" t="s">
        <v>536</v>
      </c>
      <c r="H117" s="4">
        <v>46070.817453310185</v>
      </c>
      <c r="J117" t="s">
        <v>533</v>
      </c>
      <c r="K117">
        <v>100945</v>
      </c>
    </row>
    <row r="118" spans="1:11" x14ac:dyDescent="0.55000000000000004">
      <c r="A118" t="s">
        <v>537</v>
      </c>
      <c r="B118" s="4">
        <v>45976</v>
      </c>
      <c r="C118" t="s">
        <v>160</v>
      </c>
      <c r="D118" t="s">
        <v>538</v>
      </c>
      <c r="E118" t="s">
        <v>22</v>
      </c>
      <c r="F118" t="s">
        <v>539</v>
      </c>
      <c r="G118" t="s">
        <v>540</v>
      </c>
      <c r="H118" s="4">
        <v>46056.661897754631</v>
      </c>
      <c r="J118" t="s">
        <v>19</v>
      </c>
      <c r="K118">
        <v>100454</v>
      </c>
    </row>
    <row r="119" spans="1:11" x14ac:dyDescent="0.55000000000000004">
      <c r="A119" t="s">
        <v>541</v>
      </c>
      <c r="B119" s="4">
        <v>46065</v>
      </c>
      <c r="C119" t="s">
        <v>528</v>
      </c>
      <c r="D119" t="s">
        <v>542</v>
      </c>
      <c r="E119" t="s">
        <v>15</v>
      </c>
      <c r="F119" t="s">
        <v>543</v>
      </c>
      <c r="G119" t="s">
        <v>544</v>
      </c>
      <c r="H119" s="4">
        <v>46071.495925543983</v>
      </c>
      <c r="J119" t="s">
        <v>37</v>
      </c>
      <c r="K119">
        <v>101156</v>
      </c>
    </row>
    <row r="120" spans="1:11" x14ac:dyDescent="0.55000000000000004">
      <c r="A120" t="s">
        <v>545</v>
      </c>
      <c r="B120" s="4">
        <v>45935</v>
      </c>
      <c r="C120" t="s">
        <v>356</v>
      </c>
      <c r="D120" t="s">
        <v>546</v>
      </c>
      <c r="E120" t="s">
        <v>15</v>
      </c>
      <c r="F120" t="s">
        <v>547</v>
      </c>
      <c r="G120" t="s">
        <v>548</v>
      </c>
      <c r="H120" s="4">
        <v>46097.321619988426</v>
      </c>
      <c r="J120" t="s">
        <v>37</v>
      </c>
      <c r="K120">
        <v>100835</v>
      </c>
    </row>
    <row r="121" spans="1:11" x14ac:dyDescent="0.55000000000000004">
      <c r="A121" t="s">
        <v>549</v>
      </c>
      <c r="B121" s="4">
        <v>46040</v>
      </c>
      <c r="C121" t="s">
        <v>20</v>
      </c>
      <c r="D121" t="s">
        <v>550</v>
      </c>
      <c r="E121" t="s">
        <v>22</v>
      </c>
      <c r="F121" t="s">
        <v>551</v>
      </c>
      <c r="G121" t="s">
        <v>552</v>
      </c>
      <c r="H121" s="4">
        <v>46067.834119988423</v>
      </c>
      <c r="J121" t="s">
        <v>19</v>
      </c>
      <c r="K121">
        <v>101095</v>
      </c>
    </row>
    <row r="122" spans="1:11" x14ac:dyDescent="0.55000000000000004">
      <c r="A122" t="s">
        <v>553</v>
      </c>
      <c r="B122" s="4">
        <v>46000</v>
      </c>
      <c r="C122" t="s">
        <v>409</v>
      </c>
      <c r="D122" t="s">
        <v>554</v>
      </c>
      <c r="E122" t="s">
        <v>22</v>
      </c>
      <c r="F122" t="s">
        <v>555</v>
      </c>
      <c r="G122" t="s">
        <v>556</v>
      </c>
      <c r="H122" s="4">
        <v>46080.472314444443</v>
      </c>
      <c r="J122" t="s">
        <v>19</v>
      </c>
      <c r="K122">
        <v>100100</v>
      </c>
    </row>
    <row r="123" spans="1:11" x14ac:dyDescent="0.55000000000000004">
      <c r="A123" t="s">
        <v>557</v>
      </c>
      <c r="B123" s="4">
        <v>45901</v>
      </c>
      <c r="C123" t="s">
        <v>317</v>
      </c>
      <c r="D123" t="s">
        <v>558</v>
      </c>
      <c r="E123" t="s">
        <v>22</v>
      </c>
      <c r="F123" t="s">
        <v>559</v>
      </c>
      <c r="G123" t="s">
        <v>560</v>
      </c>
      <c r="H123" s="4">
        <v>46056.380647777776</v>
      </c>
      <c r="J123" t="s">
        <v>533</v>
      </c>
      <c r="K123">
        <v>100654</v>
      </c>
    </row>
    <row r="124" spans="1:11" x14ac:dyDescent="0.55000000000000004">
      <c r="A124" t="s">
        <v>561</v>
      </c>
      <c r="B124" s="4">
        <v>45739</v>
      </c>
      <c r="C124" t="s">
        <v>562</v>
      </c>
      <c r="D124" t="s">
        <v>563</v>
      </c>
      <c r="E124" t="s">
        <v>15</v>
      </c>
      <c r="F124" t="s">
        <v>564</v>
      </c>
      <c r="G124" t="s">
        <v>565</v>
      </c>
      <c r="H124" s="4">
        <v>46057.837592233795</v>
      </c>
      <c r="J124" t="s">
        <v>533</v>
      </c>
      <c r="K124">
        <v>100181</v>
      </c>
    </row>
    <row r="125" spans="1:11" x14ac:dyDescent="0.55000000000000004">
      <c r="A125" t="s">
        <v>566</v>
      </c>
      <c r="B125" s="4">
        <v>46155</v>
      </c>
      <c r="C125" t="s">
        <v>467</v>
      </c>
      <c r="D125" t="s">
        <v>567</v>
      </c>
      <c r="E125" t="s">
        <v>15</v>
      </c>
      <c r="F125" t="s">
        <v>568</v>
      </c>
      <c r="G125" t="s">
        <v>569</v>
      </c>
      <c r="H125" s="4">
        <v>46071.794536678244</v>
      </c>
      <c r="J125" t="s">
        <v>179</v>
      </c>
      <c r="K125">
        <v>100402</v>
      </c>
    </row>
    <row r="126" spans="1:11" x14ac:dyDescent="0.55000000000000004">
      <c r="A126" t="s">
        <v>6023</v>
      </c>
      <c r="B126" s="4">
        <v>45826</v>
      </c>
      <c r="C126" t="s">
        <v>69</v>
      </c>
      <c r="D126" t="s">
        <v>571</v>
      </c>
      <c r="E126" t="s">
        <v>22</v>
      </c>
      <c r="F126" t="s">
        <v>572</v>
      </c>
      <c r="G126" t="s">
        <v>573</v>
      </c>
      <c r="H126" s="4">
        <v>46082.736897789349</v>
      </c>
      <c r="I126" t="s">
        <v>119</v>
      </c>
      <c r="J126" t="s">
        <v>533</v>
      </c>
      <c r="K126">
        <v>100794</v>
      </c>
    </row>
    <row r="127" spans="1:11" x14ac:dyDescent="0.55000000000000004">
      <c r="A127" t="s">
        <v>574</v>
      </c>
      <c r="B127" s="4">
        <v>45928</v>
      </c>
      <c r="C127" t="s">
        <v>69</v>
      </c>
      <c r="D127" t="s">
        <v>575</v>
      </c>
      <c r="E127" t="s">
        <v>22</v>
      </c>
      <c r="F127" t="s">
        <v>576</v>
      </c>
      <c r="G127" t="s">
        <v>577</v>
      </c>
      <c r="H127" s="4">
        <v>46076.316758912035</v>
      </c>
      <c r="J127" t="s">
        <v>248</v>
      </c>
      <c r="K127">
        <v>100111</v>
      </c>
    </row>
    <row r="128" spans="1:11" x14ac:dyDescent="0.55000000000000004">
      <c r="A128" t="s">
        <v>6024</v>
      </c>
      <c r="B128" s="4">
        <v>46102</v>
      </c>
      <c r="C128" t="s">
        <v>343</v>
      </c>
      <c r="D128" t="s">
        <v>579</v>
      </c>
      <c r="E128" t="s">
        <v>15</v>
      </c>
      <c r="F128" t="s">
        <v>580</v>
      </c>
      <c r="G128" t="s">
        <v>581</v>
      </c>
      <c r="H128" s="4">
        <v>46093.796620023146</v>
      </c>
      <c r="I128" t="s">
        <v>119</v>
      </c>
      <c r="J128" t="s">
        <v>19</v>
      </c>
      <c r="K128">
        <v>100187</v>
      </c>
    </row>
    <row r="129" spans="1:11" x14ac:dyDescent="0.55000000000000004">
      <c r="A129" t="s">
        <v>582</v>
      </c>
      <c r="B129" s="4">
        <v>45970</v>
      </c>
      <c r="C129" t="s">
        <v>418</v>
      </c>
      <c r="D129" t="s">
        <v>583</v>
      </c>
      <c r="E129" t="s">
        <v>22</v>
      </c>
      <c r="F129" t="s">
        <v>584</v>
      </c>
      <c r="G129" t="s">
        <v>585</v>
      </c>
      <c r="H129" s="4">
        <v>46053.579258912039</v>
      </c>
      <c r="J129" t="s">
        <v>533</v>
      </c>
      <c r="K129">
        <v>101211</v>
      </c>
    </row>
    <row r="130" spans="1:11" x14ac:dyDescent="0.55000000000000004">
      <c r="A130" t="s">
        <v>586</v>
      </c>
      <c r="B130" s="4">
        <v>45920</v>
      </c>
      <c r="C130" t="s">
        <v>587</v>
      </c>
      <c r="D130" t="s">
        <v>588</v>
      </c>
      <c r="E130" t="s">
        <v>22</v>
      </c>
      <c r="F130" t="s">
        <v>589</v>
      </c>
      <c r="G130" t="s">
        <v>590</v>
      </c>
      <c r="H130" s="4">
        <v>46088.099397812497</v>
      </c>
      <c r="J130" t="s">
        <v>68</v>
      </c>
      <c r="K130">
        <v>101244</v>
      </c>
    </row>
    <row r="131" spans="1:11" x14ac:dyDescent="0.55000000000000004">
      <c r="A131" t="s">
        <v>591</v>
      </c>
      <c r="B131" s="4">
        <v>45923</v>
      </c>
      <c r="C131" t="s">
        <v>27</v>
      </c>
      <c r="D131" t="s">
        <v>592</v>
      </c>
      <c r="E131" t="s">
        <v>22</v>
      </c>
      <c r="F131" t="s">
        <v>593</v>
      </c>
      <c r="G131" t="s">
        <v>594</v>
      </c>
      <c r="H131" s="4">
        <v>46062.801481145834</v>
      </c>
      <c r="J131" t="s">
        <v>19</v>
      </c>
      <c r="K131">
        <v>101193</v>
      </c>
    </row>
    <row r="132" spans="1:11" x14ac:dyDescent="0.55000000000000004">
      <c r="A132" t="s">
        <v>595</v>
      </c>
      <c r="B132" s="4">
        <v>46122</v>
      </c>
      <c r="C132" t="s">
        <v>317</v>
      </c>
      <c r="D132" t="s">
        <v>596</v>
      </c>
      <c r="E132" t="s">
        <v>15</v>
      </c>
      <c r="F132" t="s">
        <v>597</v>
      </c>
      <c r="G132" t="s">
        <v>598</v>
      </c>
      <c r="H132" s="4">
        <v>46064.111203379631</v>
      </c>
      <c r="J132" t="s">
        <v>248</v>
      </c>
      <c r="K132">
        <v>101281</v>
      </c>
    </row>
    <row r="133" spans="1:11" x14ac:dyDescent="0.55000000000000004">
      <c r="A133" t="s">
        <v>599</v>
      </c>
      <c r="B133" s="4">
        <v>46092</v>
      </c>
      <c r="C133" t="s">
        <v>170</v>
      </c>
      <c r="D133" t="s">
        <v>600</v>
      </c>
      <c r="E133" t="s">
        <v>15</v>
      </c>
      <c r="F133" t="s">
        <v>601</v>
      </c>
      <c r="G133" t="s">
        <v>602</v>
      </c>
      <c r="H133" s="4">
        <v>46093.967453379628</v>
      </c>
      <c r="J133" t="s">
        <v>19</v>
      </c>
      <c r="K133">
        <v>100032</v>
      </c>
    </row>
    <row r="134" spans="1:11" x14ac:dyDescent="0.55000000000000004">
      <c r="A134" t="s">
        <v>603</v>
      </c>
      <c r="B134" s="4">
        <v>45835</v>
      </c>
      <c r="C134" t="s">
        <v>587</v>
      </c>
      <c r="D134" t="s">
        <v>604</v>
      </c>
      <c r="E134" t="s">
        <v>22</v>
      </c>
      <c r="F134" t="s">
        <v>605</v>
      </c>
      <c r="G134" t="s">
        <v>606</v>
      </c>
      <c r="H134" s="4">
        <v>46064.118147824076</v>
      </c>
      <c r="J134" t="s">
        <v>19</v>
      </c>
      <c r="K134">
        <v>101494</v>
      </c>
    </row>
    <row r="135" spans="1:11" x14ac:dyDescent="0.55000000000000004">
      <c r="A135" t="s">
        <v>607</v>
      </c>
      <c r="B135" s="4">
        <v>46080</v>
      </c>
      <c r="C135" t="s">
        <v>317</v>
      </c>
      <c r="D135" t="s">
        <v>608</v>
      </c>
      <c r="E135" t="s">
        <v>22</v>
      </c>
      <c r="F135" t="s">
        <v>609</v>
      </c>
      <c r="G135" t="s">
        <v>610</v>
      </c>
      <c r="H135" s="4">
        <v>46092.020231168979</v>
      </c>
      <c r="J135" t="s">
        <v>533</v>
      </c>
      <c r="K135">
        <v>100325</v>
      </c>
    </row>
    <row r="136" spans="1:11" x14ac:dyDescent="0.55000000000000004">
      <c r="A136" t="s">
        <v>611</v>
      </c>
      <c r="B136" s="4">
        <v>46146</v>
      </c>
      <c r="C136" t="s">
        <v>69</v>
      </c>
      <c r="D136" t="s">
        <v>612</v>
      </c>
      <c r="E136" t="s">
        <v>15</v>
      </c>
      <c r="F136" t="s">
        <v>613</v>
      </c>
      <c r="G136" t="s">
        <v>614</v>
      </c>
      <c r="H136" s="4">
        <v>46065.155647835651</v>
      </c>
      <c r="J136" t="s">
        <v>179</v>
      </c>
      <c r="K136">
        <v>101033</v>
      </c>
    </row>
    <row r="137" spans="1:11" x14ac:dyDescent="0.55000000000000004">
      <c r="A137" t="s">
        <v>615</v>
      </c>
      <c r="B137" s="4">
        <v>46020</v>
      </c>
      <c r="C137" t="s">
        <v>38</v>
      </c>
      <c r="D137" t="s">
        <v>616</v>
      </c>
      <c r="E137" t="s">
        <v>22</v>
      </c>
      <c r="F137" t="s">
        <v>617</v>
      </c>
      <c r="G137" t="s">
        <v>618</v>
      </c>
      <c r="H137" s="4">
        <v>46054.307731180554</v>
      </c>
      <c r="J137" t="s">
        <v>179</v>
      </c>
      <c r="K137">
        <v>100951</v>
      </c>
    </row>
    <row r="138" spans="1:11" x14ac:dyDescent="0.55000000000000004">
      <c r="A138" t="s">
        <v>619</v>
      </c>
      <c r="B138" s="4">
        <v>45934</v>
      </c>
      <c r="C138" t="s">
        <v>265</v>
      </c>
      <c r="D138" t="s">
        <v>620</v>
      </c>
      <c r="E138" t="s">
        <v>15</v>
      </c>
      <c r="F138" t="s">
        <v>621</v>
      </c>
      <c r="G138" t="s">
        <v>622</v>
      </c>
      <c r="H138" s="4">
        <v>46095.143842291669</v>
      </c>
      <c r="J138" t="s">
        <v>37</v>
      </c>
      <c r="K138">
        <v>100623</v>
      </c>
    </row>
    <row r="139" spans="1:11" x14ac:dyDescent="0.55000000000000004">
      <c r="A139" t="s">
        <v>623</v>
      </c>
      <c r="B139" s="4">
        <v>46090</v>
      </c>
      <c r="C139" t="s">
        <v>38</v>
      </c>
      <c r="D139" t="s">
        <v>624</v>
      </c>
      <c r="E139" t="s">
        <v>15</v>
      </c>
      <c r="F139" t="s">
        <v>625</v>
      </c>
      <c r="G139" t="s">
        <v>626</v>
      </c>
      <c r="H139" s="4">
        <v>46093.075092291663</v>
      </c>
      <c r="J139" t="s">
        <v>68</v>
      </c>
      <c r="K139">
        <v>100562</v>
      </c>
    </row>
    <row r="140" spans="1:11" x14ac:dyDescent="0.55000000000000004">
      <c r="A140" t="s">
        <v>627</v>
      </c>
      <c r="B140" s="4">
        <v>45878</v>
      </c>
      <c r="C140" t="s">
        <v>189</v>
      </c>
      <c r="D140" t="s">
        <v>628</v>
      </c>
      <c r="E140" t="s">
        <v>22</v>
      </c>
      <c r="F140" t="s">
        <v>629</v>
      </c>
      <c r="G140" t="s">
        <v>630</v>
      </c>
      <c r="H140" s="4">
        <v>46074.202175636572</v>
      </c>
      <c r="I140" t="s">
        <v>139</v>
      </c>
      <c r="J140" t="s">
        <v>37</v>
      </c>
      <c r="K140">
        <v>100010</v>
      </c>
    </row>
    <row r="141" spans="1:11" x14ac:dyDescent="0.55000000000000004">
      <c r="A141" t="s">
        <v>631</v>
      </c>
      <c r="B141" s="4">
        <v>45925</v>
      </c>
      <c r="C141" t="s">
        <v>170</v>
      </c>
      <c r="D141" t="s">
        <v>632</v>
      </c>
      <c r="E141" t="s">
        <v>15</v>
      </c>
      <c r="F141" t="s">
        <v>633</v>
      </c>
      <c r="G141" t="s">
        <v>634</v>
      </c>
      <c r="H141" s="4">
        <v>46056.251481192128</v>
      </c>
      <c r="J141" t="s">
        <v>179</v>
      </c>
      <c r="K141">
        <v>100588</v>
      </c>
    </row>
    <row r="142" spans="1:11" x14ac:dyDescent="0.55000000000000004">
      <c r="A142" t="s">
        <v>635</v>
      </c>
      <c r="B142" s="4">
        <v>45823</v>
      </c>
      <c r="C142" t="s">
        <v>43</v>
      </c>
      <c r="D142" t="s">
        <v>636</v>
      </c>
      <c r="E142" t="s">
        <v>15</v>
      </c>
      <c r="F142" t="s">
        <v>637</v>
      </c>
      <c r="G142" t="s">
        <v>638</v>
      </c>
      <c r="H142" s="4">
        <v>46097.713981203706</v>
      </c>
      <c r="J142" t="s">
        <v>533</v>
      </c>
      <c r="K142">
        <v>101176</v>
      </c>
    </row>
    <row r="143" spans="1:11" x14ac:dyDescent="0.55000000000000004">
      <c r="A143" t="s">
        <v>639</v>
      </c>
      <c r="B143" s="4">
        <v>45969</v>
      </c>
      <c r="C143" t="s">
        <v>213</v>
      </c>
      <c r="D143" t="s">
        <v>640</v>
      </c>
      <c r="E143" t="s">
        <v>22</v>
      </c>
      <c r="F143" t="s">
        <v>641</v>
      </c>
      <c r="G143" t="s">
        <v>642</v>
      </c>
      <c r="H143" s="4">
        <v>46083.394536759261</v>
      </c>
      <c r="J143" t="s">
        <v>68</v>
      </c>
      <c r="K143">
        <v>101114</v>
      </c>
    </row>
    <row r="144" spans="1:11" x14ac:dyDescent="0.55000000000000004">
      <c r="A144" t="s">
        <v>643</v>
      </c>
      <c r="B144" s="4">
        <v>45909</v>
      </c>
      <c r="C144" t="s">
        <v>20</v>
      </c>
      <c r="D144" t="s">
        <v>644</v>
      </c>
      <c r="E144" t="s">
        <v>15</v>
      </c>
      <c r="F144" t="s">
        <v>645</v>
      </c>
      <c r="G144" t="s">
        <v>646</v>
      </c>
      <c r="H144" s="4">
        <v>46090.700786759262</v>
      </c>
      <c r="J144" t="s">
        <v>179</v>
      </c>
      <c r="K144">
        <v>100581</v>
      </c>
    </row>
    <row r="145" spans="1:11" x14ac:dyDescent="0.55000000000000004">
      <c r="A145" t="s">
        <v>647</v>
      </c>
      <c r="B145" s="4">
        <v>46046</v>
      </c>
      <c r="C145" t="s">
        <v>115</v>
      </c>
      <c r="D145" t="s">
        <v>648</v>
      </c>
      <c r="E145" t="s">
        <v>15</v>
      </c>
      <c r="F145" t="s">
        <v>649</v>
      </c>
      <c r="G145" t="s">
        <v>650</v>
      </c>
      <c r="H145" s="4">
        <v>46093.602870104165</v>
      </c>
      <c r="J145" t="s">
        <v>179</v>
      </c>
      <c r="K145">
        <v>100015</v>
      </c>
    </row>
    <row r="146" spans="1:11" x14ac:dyDescent="0.55000000000000004">
      <c r="A146" t="s">
        <v>651</v>
      </c>
      <c r="B146" s="4">
        <v>45749</v>
      </c>
      <c r="C146" t="s">
        <v>170</v>
      </c>
      <c r="D146" t="s">
        <v>652</v>
      </c>
      <c r="E146" t="s">
        <v>15</v>
      </c>
      <c r="F146" t="s">
        <v>653</v>
      </c>
      <c r="G146" t="s">
        <v>654</v>
      </c>
      <c r="H146" s="4">
        <v>46095.174397881943</v>
      </c>
      <c r="J146" t="s">
        <v>19</v>
      </c>
      <c r="K146">
        <v>100091</v>
      </c>
    </row>
    <row r="147" spans="1:11" x14ac:dyDescent="0.55000000000000004">
      <c r="A147" t="s">
        <v>655</v>
      </c>
      <c r="B147" s="4">
        <v>45851</v>
      </c>
      <c r="C147" t="s">
        <v>108</v>
      </c>
      <c r="D147" t="s">
        <v>656</v>
      </c>
      <c r="E147" t="s">
        <v>22</v>
      </c>
      <c r="F147" t="s">
        <v>657</v>
      </c>
      <c r="G147" t="s">
        <v>658</v>
      </c>
      <c r="H147" s="4">
        <v>46082.927175671299</v>
      </c>
      <c r="J147" t="s">
        <v>179</v>
      </c>
      <c r="K147">
        <v>100964</v>
      </c>
    </row>
    <row r="148" spans="1:11" x14ac:dyDescent="0.55000000000000004">
      <c r="A148" t="s">
        <v>659</v>
      </c>
      <c r="B148" s="4">
        <v>46027</v>
      </c>
      <c r="C148" t="s">
        <v>562</v>
      </c>
      <c r="D148" t="s">
        <v>660</v>
      </c>
      <c r="E148" t="s">
        <v>22</v>
      </c>
      <c r="F148" t="s">
        <v>661</v>
      </c>
      <c r="G148" t="s">
        <v>662</v>
      </c>
      <c r="H148" s="4">
        <v>46087.807036782404</v>
      </c>
      <c r="J148" t="s">
        <v>68</v>
      </c>
      <c r="K148">
        <v>100288</v>
      </c>
    </row>
    <row r="149" spans="1:11" x14ac:dyDescent="0.55000000000000004">
      <c r="A149" t="s">
        <v>663</v>
      </c>
      <c r="B149" s="4">
        <v>45845</v>
      </c>
      <c r="C149" t="s">
        <v>49</v>
      </c>
      <c r="D149" t="s">
        <v>664</v>
      </c>
      <c r="E149" t="s">
        <v>15</v>
      </c>
      <c r="F149" t="s">
        <v>665</v>
      </c>
      <c r="G149" t="s">
        <v>666</v>
      </c>
      <c r="H149" s="4">
        <v>46061.904953449077</v>
      </c>
      <c r="J149" t="s">
        <v>19</v>
      </c>
      <c r="K149">
        <v>100190</v>
      </c>
    </row>
    <row r="150" spans="1:11" x14ac:dyDescent="0.55000000000000004">
      <c r="A150" t="s">
        <v>667</v>
      </c>
      <c r="B150" s="4">
        <v>46052</v>
      </c>
      <c r="C150" t="s">
        <v>213</v>
      </c>
      <c r="D150" t="s">
        <v>668</v>
      </c>
      <c r="E150" t="s">
        <v>15</v>
      </c>
      <c r="F150" t="s">
        <v>669</v>
      </c>
      <c r="G150" t="s">
        <v>670</v>
      </c>
      <c r="H150" s="4">
        <v>46074.831342349535</v>
      </c>
      <c r="J150" t="s">
        <v>533</v>
      </c>
      <c r="K150">
        <v>100310</v>
      </c>
    </row>
    <row r="151" spans="1:11" x14ac:dyDescent="0.55000000000000004">
      <c r="A151" t="s">
        <v>671</v>
      </c>
      <c r="B151" s="4">
        <v>46134</v>
      </c>
      <c r="C151" t="s">
        <v>495</v>
      </c>
      <c r="D151" t="s">
        <v>672</v>
      </c>
      <c r="E151" t="s">
        <v>15</v>
      </c>
      <c r="F151" t="s">
        <v>673</v>
      </c>
      <c r="G151" t="s">
        <v>674</v>
      </c>
      <c r="H151" s="4">
        <v>46078.211203460647</v>
      </c>
      <c r="J151" t="s">
        <v>179</v>
      </c>
      <c r="K151">
        <v>101056</v>
      </c>
    </row>
    <row r="152" spans="1:11" x14ac:dyDescent="0.55000000000000004">
      <c r="A152" t="s">
        <v>675</v>
      </c>
      <c r="B152" s="4">
        <v>46118</v>
      </c>
      <c r="C152" t="s">
        <v>43</v>
      </c>
      <c r="D152" t="s">
        <v>676</v>
      </c>
      <c r="E152" t="s">
        <v>22</v>
      </c>
      <c r="F152" t="s">
        <v>677</v>
      </c>
      <c r="G152" t="s">
        <v>678</v>
      </c>
      <c r="H152" s="4">
        <v>46052.541064583333</v>
      </c>
      <c r="I152" t="s">
        <v>139</v>
      </c>
      <c r="J152" t="s">
        <v>533</v>
      </c>
      <c r="K152">
        <v>101162</v>
      </c>
    </row>
    <row r="153" spans="1:11" x14ac:dyDescent="0.55000000000000004">
      <c r="A153" t="s">
        <v>679</v>
      </c>
      <c r="B153" s="4">
        <v>45761</v>
      </c>
      <c r="C153" t="s">
        <v>680</v>
      </c>
      <c r="D153" t="s">
        <v>681</v>
      </c>
      <c r="E153" t="s">
        <v>22</v>
      </c>
      <c r="F153" t="s">
        <v>682</v>
      </c>
      <c r="G153" t="s">
        <v>683</v>
      </c>
      <c r="H153" s="4">
        <v>46082.383425694446</v>
      </c>
      <c r="J153" t="s">
        <v>179</v>
      </c>
      <c r="K153">
        <v>100113</v>
      </c>
    </row>
    <row r="154" spans="1:11" x14ac:dyDescent="0.55000000000000004">
      <c r="A154" t="s">
        <v>684</v>
      </c>
      <c r="B154" s="4">
        <v>45901</v>
      </c>
      <c r="C154" t="s">
        <v>83</v>
      </c>
      <c r="D154" t="s">
        <v>685</v>
      </c>
      <c r="E154" t="s">
        <v>15</v>
      </c>
      <c r="F154" t="s">
        <v>686</v>
      </c>
      <c r="G154" t="s">
        <v>687</v>
      </c>
      <c r="H154" s="4">
        <v>46063.475092372682</v>
      </c>
      <c r="J154" t="s">
        <v>248</v>
      </c>
      <c r="K154">
        <v>100847</v>
      </c>
    </row>
    <row r="155" spans="1:11" x14ac:dyDescent="0.55000000000000004">
      <c r="A155" t="s">
        <v>688</v>
      </c>
      <c r="B155" s="4">
        <v>45869</v>
      </c>
      <c r="C155" t="s">
        <v>27</v>
      </c>
      <c r="D155" t="s">
        <v>689</v>
      </c>
      <c r="E155" t="s">
        <v>15</v>
      </c>
      <c r="F155" t="s">
        <v>690</v>
      </c>
      <c r="G155" t="s">
        <v>691</v>
      </c>
      <c r="H155" s="4">
        <v>46093.478564594909</v>
      </c>
      <c r="J155" t="s">
        <v>37</v>
      </c>
      <c r="K155">
        <v>100813</v>
      </c>
    </row>
    <row r="156" spans="1:11" x14ac:dyDescent="0.55000000000000004">
      <c r="A156" t="s">
        <v>692</v>
      </c>
      <c r="B156" s="4">
        <v>46102</v>
      </c>
      <c r="C156" t="s">
        <v>43</v>
      </c>
      <c r="D156" t="s">
        <v>693</v>
      </c>
      <c r="E156" t="s">
        <v>15</v>
      </c>
      <c r="F156" t="s">
        <v>694</v>
      </c>
      <c r="G156" t="s">
        <v>695</v>
      </c>
      <c r="H156" s="4">
        <v>46076.315370150463</v>
      </c>
      <c r="J156" t="s">
        <v>19</v>
      </c>
      <c r="K156">
        <v>100008</v>
      </c>
    </row>
    <row r="157" spans="1:11" x14ac:dyDescent="0.55000000000000004">
      <c r="A157" t="s">
        <v>696</v>
      </c>
      <c r="B157" s="4">
        <v>45840</v>
      </c>
      <c r="C157" t="s">
        <v>317</v>
      </c>
      <c r="D157" t="s">
        <v>697</v>
      </c>
      <c r="E157" t="s">
        <v>15</v>
      </c>
      <c r="F157" t="s">
        <v>698</v>
      </c>
      <c r="G157" t="s">
        <v>699</v>
      </c>
      <c r="H157" s="4">
        <v>46067.401481273148</v>
      </c>
      <c r="J157" t="s">
        <v>37</v>
      </c>
      <c r="K157">
        <v>100071</v>
      </c>
    </row>
    <row r="158" spans="1:11" x14ac:dyDescent="0.55000000000000004">
      <c r="A158" t="s">
        <v>700</v>
      </c>
      <c r="B158" s="4">
        <v>46092</v>
      </c>
      <c r="C158" t="s">
        <v>69</v>
      </c>
      <c r="D158" t="s">
        <v>701</v>
      </c>
      <c r="E158" t="s">
        <v>15</v>
      </c>
      <c r="F158" t="s">
        <v>702</v>
      </c>
      <c r="G158" t="s">
        <v>703</v>
      </c>
      <c r="H158" s="4">
        <v>46062.288981273145</v>
      </c>
      <c r="J158" t="s">
        <v>19</v>
      </c>
      <c r="K158">
        <v>101489</v>
      </c>
    </row>
    <row r="159" spans="1:11" x14ac:dyDescent="0.55000000000000004">
      <c r="A159" t="s">
        <v>704</v>
      </c>
      <c r="B159" s="4">
        <v>45926</v>
      </c>
      <c r="C159" t="s">
        <v>467</v>
      </c>
      <c r="D159" t="s">
        <v>705</v>
      </c>
      <c r="E159" t="s">
        <v>22</v>
      </c>
      <c r="F159" t="s">
        <v>706</v>
      </c>
      <c r="G159" t="s">
        <v>707</v>
      </c>
      <c r="H159" s="4">
        <v>46081.234814618052</v>
      </c>
      <c r="J159" t="s">
        <v>68</v>
      </c>
      <c r="K159">
        <v>100917</v>
      </c>
    </row>
    <row r="160" spans="1:11" x14ac:dyDescent="0.55000000000000004">
      <c r="A160" t="s">
        <v>708</v>
      </c>
      <c r="B160" s="4">
        <v>45986</v>
      </c>
      <c r="C160" t="s">
        <v>334</v>
      </c>
      <c r="D160" t="s">
        <v>709</v>
      </c>
      <c r="E160" t="s">
        <v>22</v>
      </c>
      <c r="F160" t="s">
        <v>710</v>
      </c>
      <c r="G160" t="s">
        <v>711</v>
      </c>
      <c r="H160" s="4">
        <v>46084.218842395836</v>
      </c>
      <c r="J160" t="s">
        <v>19</v>
      </c>
      <c r="K160">
        <v>100556</v>
      </c>
    </row>
    <row r="161" spans="1:11" x14ac:dyDescent="0.55000000000000004">
      <c r="A161" t="s">
        <v>712</v>
      </c>
      <c r="B161" s="4">
        <v>45943</v>
      </c>
      <c r="C161" t="s">
        <v>38</v>
      </c>
      <c r="D161" t="s">
        <v>713</v>
      </c>
      <c r="E161" t="s">
        <v>15</v>
      </c>
      <c r="F161" t="s">
        <v>714</v>
      </c>
      <c r="G161" t="s">
        <v>715</v>
      </c>
      <c r="H161" s="4">
        <v>46088.723009062502</v>
      </c>
      <c r="J161" t="s">
        <v>68</v>
      </c>
      <c r="K161">
        <v>101224</v>
      </c>
    </row>
    <row r="162" spans="1:11" x14ac:dyDescent="0.55000000000000004">
      <c r="A162" t="s">
        <v>716</v>
      </c>
      <c r="B162" s="4">
        <v>46015</v>
      </c>
      <c r="C162" t="s">
        <v>495</v>
      </c>
      <c r="D162" t="s">
        <v>717</v>
      </c>
      <c r="E162" t="s">
        <v>15</v>
      </c>
      <c r="F162" t="s">
        <v>718</v>
      </c>
      <c r="G162" t="s">
        <v>719</v>
      </c>
      <c r="H162" s="4">
        <v>46085.277175740739</v>
      </c>
      <c r="J162" t="s">
        <v>248</v>
      </c>
      <c r="K162">
        <v>101321</v>
      </c>
    </row>
    <row r="163" spans="1:11" x14ac:dyDescent="0.55000000000000004">
      <c r="A163" t="s">
        <v>720</v>
      </c>
      <c r="B163" s="4">
        <v>45926</v>
      </c>
      <c r="C163" t="s">
        <v>208</v>
      </c>
      <c r="D163" t="s">
        <v>721</v>
      </c>
      <c r="E163" t="s">
        <v>22</v>
      </c>
      <c r="F163" t="s">
        <v>722</v>
      </c>
      <c r="G163" t="s">
        <v>723</v>
      </c>
      <c r="H163" s="4">
        <v>46065.83342574074</v>
      </c>
      <c r="J163" t="s">
        <v>248</v>
      </c>
      <c r="K163">
        <v>101413</v>
      </c>
    </row>
    <row r="164" spans="1:11" x14ac:dyDescent="0.55000000000000004">
      <c r="A164" t="s">
        <v>724</v>
      </c>
      <c r="B164" s="4">
        <v>45967</v>
      </c>
      <c r="C164" t="s">
        <v>317</v>
      </c>
      <c r="D164" t="s">
        <v>725</v>
      </c>
      <c r="E164" t="s">
        <v>22</v>
      </c>
      <c r="F164" t="s">
        <v>726</v>
      </c>
      <c r="G164" t="s">
        <v>727</v>
      </c>
      <c r="H164" s="4">
        <v>46087.547314641204</v>
      </c>
      <c r="J164" t="s">
        <v>19</v>
      </c>
      <c r="K164">
        <v>100107</v>
      </c>
    </row>
    <row r="165" spans="1:11" x14ac:dyDescent="0.55000000000000004">
      <c r="A165" t="s">
        <v>728</v>
      </c>
      <c r="B165" s="4">
        <v>45982</v>
      </c>
      <c r="C165" t="s">
        <v>38</v>
      </c>
      <c r="D165" t="s">
        <v>729</v>
      </c>
      <c r="E165" t="s">
        <v>15</v>
      </c>
      <c r="F165" t="s">
        <v>730</v>
      </c>
      <c r="G165" t="s">
        <v>731</v>
      </c>
      <c r="H165" s="4">
        <v>46064.698009085645</v>
      </c>
      <c r="J165" t="s">
        <v>19</v>
      </c>
      <c r="K165">
        <v>101465</v>
      </c>
    </row>
    <row r="166" spans="1:11" x14ac:dyDescent="0.55000000000000004">
      <c r="A166" t="s">
        <v>732</v>
      </c>
      <c r="B166" s="4">
        <v>46150</v>
      </c>
      <c r="C166" t="s">
        <v>243</v>
      </c>
      <c r="D166" t="s">
        <v>733</v>
      </c>
      <c r="E166" t="s">
        <v>15</v>
      </c>
      <c r="F166" t="s">
        <v>734</v>
      </c>
      <c r="G166" t="s">
        <v>735</v>
      </c>
      <c r="H166" s="4">
        <v>46057.417453530092</v>
      </c>
      <c r="J166" t="s">
        <v>37</v>
      </c>
      <c r="K166">
        <v>100782</v>
      </c>
    </row>
    <row r="167" spans="1:11" x14ac:dyDescent="0.55000000000000004">
      <c r="A167" t="s">
        <v>736</v>
      </c>
      <c r="B167" s="4">
        <v>46094</v>
      </c>
      <c r="C167" t="s">
        <v>155</v>
      </c>
      <c r="D167" t="s">
        <v>737</v>
      </c>
      <c r="E167" t="s">
        <v>15</v>
      </c>
      <c r="F167" t="s">
        <v>738</v>
      </c>
      <c r="G167" t="s">
        <v>739</v>
      </c>
      <c r="H167" s="4">
        <v>46065.098009097223</v>
      </c>
      <c r="J167" t="s">
        <v>37</v>
      </c>
      <c r="K167">
        <v>101013</v>
      </c>
    </row>
    <row r="168" spans="1:11" x14ac:dyDescent="0.55000000000000004">
      <c r="A168" t="s">
        <v>740</v>
      </c>
      <c r="B168" s="4">
        <v>45762</v>
      </c>
      <c r="C168" t="s">
        <v>213</v>
      </c>
      <c r="D168" t="s">
        <v>741</v>
      </c>
      <c r="E168" t="s">
        <v>22</v>
      </c>
      <c r="F168" t="s">
        <v>742</v>
      </c>
      <c r="G168" t="s">
        <v>743</v>
      </c>
      <c r="H168" s="4">
        <v>46096.736897986113</v>
      </c>
      <c r="J168" t="s">
        <v>68</v>
      </c>
      <c r="K168">
        <v>100099</v>
      </c>
    </row>
    <row r="169" spans="1:11" x14ac:dyDescent="0.55000000000000004">
      <c r="A169" t="s">
        <v>744</v>
      </c>
      <c r="B169" s="4">
        <v>46014</v>
      </c>
      <c r="C169" t="s">
        <v>141</v>
      </c>
      <c r="D169" t="s">
        <v>745</v>
      </c>
      <c r="E169" t="s">
        <v>22</v>
      </c>
      <c r="F169" t="s">
        <v>746</v>
      </c>
      <c r="G169" t="s">
        <v>747</v>
      </c>
      <c r="H169" s="4">
        <v>46063.338286886574</v>
      </c>
      <c r="J169" t="s">
        <v>19</v>
      </c>
      <c r="K169">
        <v>100034</v>
      </c>
    </row>
    <row r="170" spans="1:11" x14ac:dyDescent="0.55000000000000004">
      <c r="A170" t="s">
        <v>748</v>
      </c>
      <c r="B170" s="4">
        <v>45989</v>
      </c>
      <c r="C170" t="s">
        <v>680</v>
      </c>
      <c r="D170" t="s">
        <v>749</v>
      </c>
      <c r="E170" t="s">
        <v>15</v>
      </c>
      <c r="F170" t="s">
        <v>750</v>
      </c>
      <c r="G170" t="s">
        <v>751</v>
      </c>
      <c r="H170" s="4">
        <v>46091.000786886572</v>
      </c>
      <c r="J170" t="s">
        <v>37</v>
      </c>
      <c r="K170">
        <v>100207</v>
      </c>
    </row>
    <row r="171" spans="1:11" x14ac:dyDescent="0.55000000000000004">
      <c r="A171" t="s">
        <v>752</v>
      </c>
      <c r="B171" s="4">
        <v>45855</v>
      </c>
      <c r="C171" t="s">
        <v>38</v>
      </c>
      <c r="D171" t="s">
        <v>753</v>
      </c>
      <c r="E171" t="s">
        <v>22</v>
      </c>
      <c r="F171" t="s">
        <v>754</v>
      </c>
      <c r="G171" t="s">
        <v>755</v>
      </c>
      <c r="H171" s="4">
        <v>46075.366064664355</v>
      </c>
      <c r="I171" t="s">
        <v>139</v>
      </c>
      <c r="J171" t="s">
        <v>533</v>
      </c>
      <c r="K171">
        <v>100551</v>
      </c>
    </row>
    <row r="172" spans="1:11" x14ac:dyDescent="0.55000000000000004">
      <c r="A172" t="s">
        <v>756</v>
      </c>
      <c r="B172" s="4">
        <v>45772</v>
      </c>
      <c r="C172" t="s">
        <v>757</v>
      </c>
      <c r="D172" t="s">
        <v>758</v>
      </c>
      <c r="E172" t="s">
        <v>15</v>
      </c>
      <c r="F172" t="s">
        <v>759</v>
      </c>
      <c r="G172" t="s">
        <v>760</v>
      </c>
      <c r="H172" s="4">
        <v>46053.425092453705</v>
      </c>
      <c r="J172" t="s">
        <v>179</v>
      </c>
      <c r="K172">
        <v>100024</v>
      </c>
    </row>
    <row r="173" spans="1:11" x14ac:dyDescent="0.55000000000000004">
      <c r="A173" t="s">
        <v>761</v>
      </c>
      <c r="B173" s="4">
        <v>46082</v>
      </c>
      <c r="C173" t="s">
        <v>317</v>
      </c>
      <c r="D173" t="s">
        <v>762</v>
      </c>
      <c r="E173" t="s">
        <v>15</v>
      </c>
      <c r="F173" t="s">
        <v>763</v>
      </c>
      <c r="G173" t="s">
        <v>764</v>
      </c>
      <c r="H173" s="4">
        <v>46092.169536898145</v>
      </c>
      <c r="J173" t="s">
        <v>68</v>
      </c>
      <c r="K173">
        <v>100925</v>
      </c>
    </row>
    <row r="174" spans="1:11" x14ac:dyDescent="0.55000000000000004">
      <c r="A174" t="s">
        <v>765</v>
      </c>
      <c r="B174" s="4">
        <v>45925</v>
      </c>
      <c r="C174" t="s">
        <v>270</v>
      </c>
      <c r="D174" t="s">
        <v>766</v>
      </c>
      <c r="E174" t="s">
        <v>15</v>
      </c>
      <c r="F174" t="s">
        <v>767</v>
      </c>
      <c r="G174" t="s">
        <v>768</v>
      </c>
      <c r="H174" s="4">
        <v>46092.035509120367</v>
      </c>
      <c r="J174" t="s">
        <v>179</v>
      </c>
      <c r="K174">
        <v>100126</v>
      </c>
    </row>
    <row r="175" spans="1:11" x14ac:dyDescent="0.55000000000000004">
      <c r="A175" t="s">
        <v>769</v>
      </c>
      <c r="B175" s="4">
        <v>46062</v>
      </c>
      <c r="C175" t="s">
        <v>170</v>
      </c>
      <c r="D175" t="s">
        <v>770</v>
      </c>
      <c r="E175" t="s">
        <v>15</v>
      </c>
      <c r="F175" t="s">
        <v>771</v>
      </c>
      <c r="G175" t="s">
        <v>772</v>
      </c>
      <c r="H175" s="4">
        <v>46083.445925798609</v>
      </c>
      <c r="J175" t="s">
        <v>179</v>
      </c>
      <c r="K175">
        <v>101264</v>
      </c>
    </row>
    <row r="176" spans="1:11" x14ac:dyDescent="0.55000000000000004">
      <c r="A176" t="s">
        <v>773</v>
      </c>
      <c r="B176" s="4">
        <v>45975</v>
      </c>
      <c r="C176" t="s">
        <v>141</v>
      </c>
      <c r="D176" t="s">
        <v>774</v>
      </c>
      <c r="E176" t="s">
        <v>22</v>
      </c>
      <c r="F176" t="s">
        <v>775</v>
      </c>
      <c r="G176" t="s">
        <v>776</v>
      </c>
      <c r="H176" s="4">
        <v>46062.944536909723</v>
      </c>
      <c r="J176" t="s">
        <v>19</v>
      </c>
      <c r="K176">
        <v>100009</v>
      </c>
    </row>
    <row r="177" spans="1:11" x14ac:dyDescent="0.55000000000000004">
      <c r="A177" t="s">
        <v>777</v>
      </c>
      <c r="B177" s="4">
        <v>45823</v>
      </c>
      <c r="C177" t="s">
        <v>265</v>
      </c>
      <c r="D177" t="s">
        <v>778</v>
      </c>
      <c r="E177" t="s">
        <v>15</v>
      </c>
      <c r="F177" t="s">
        <v>779</v>
      </c>
      <c r="G177" t="s">
        <v>780</v>
      </c>
      <c r="H177" s="4">
        <v>46052.179953587962</v>
      </c>
      <c r="J177" t="s">
        <v>37</v>
      </c>
      <c r="K177">
        <v>100708</v>
      </c>
    </row>
    <row r="178" spans="1:11" x14ac:dyDescent="0.55000000000000004">
      <c r="A178" t="s">
        <v>781</v>
      </c>
      <c r="B178" s="4">
        <v>45885</v>
      </c>
      <c r="C178" t="s">
        <v>38</v>
      </c>
      <c r="D178" t="s">
        <v>782</v>
      </c>
      <c r="E178" t="s">
        <v>15</v>
      </c>
      <c r="F178" t="s">
        <v>783</v>
      </c>
      <c r="G178" t="s">
        <v>784</v>
      </c>
      <c r="H178" s="4">
        <v>46061.193148032406</v>
      </c>
      <c r="J178" t="s">
        <v>37</v>
      </c>
      <c r="K178">
        <v>100482</v>
      </c>
    </row>
    <row r="179" spans="1:11" x14ac:dyDescent="0.55000000000000004">
      <c r="A179" t="s">
        <v>785</v>
      </c>
      <c r="B179" s="4">
        <v>45901</v>
      </c>
      <c r="C179" t="s">
        <v>189</v>
      </c>
      <c r="D179" t="s">
        <v>786</v>
      </c>
      <c r="E179" t="s">
        <v>15</v>
      </c>
      <c r="F179" t="s">
        <v>787</v>
      </c>
      <c r="G179" t="s">
        <v>788</v>
      </c>
      <c r="H179" s="4">
        <v>46065.254259143519</v>
      </c>
      <c r="J179" t="s">
        <v>19</v>
      </c>
      <c r="K179">
        <v>100709</v>
      </c>
    </row>
    <row r="180" spans="1:11" x14ac:dyDescent="0.55000000000000004">
      <c r="A180" t="s">
        <v>789</v>
      </c>
      <c r="B180" s="4">
        <v>45782</v>
      </c>
      <c r="C180" t="s">
        <v>265</v>
      </c>
      <c r="D180" t="s">
        <v>790</v>
      </c>
      <c r="E180" t="s">
        <v>22</v>
      </c>
      <c r="F180" t="s">
        <v>791</v>
      </c>
      <c r="G180" t="s">
        <v>792</v>
      </c>
      <c r="H180" s="4">
        <v>46058.87300915509</v>
      </c>
      <c r="J180" t="s">
        <v>37</v>
      </c>
      <c r="K180">
        <v>100966</v>
      </c>
    </row>
    <row r="181" spans="1:11" x14ac:dyDescent="0.55000000000000004">
      <c r="A181" t="s">
        <v>793</v>
      </c>
      <c r="B181" s="4">
        <v>45935</v>
      </c>
      <c r="C181" t="s">
        <v>295</v>
      </c>
      <c r="D181" t="s">
        <v>794</v>
      </c>
      <c r="E181" t="s">
        <v>22</v>
      </c>
      <c r="F181" t="s">
        <v>795</v>
      </c>
      <c r="G181" t="s">
        <v>796</v>
      </c>
      <c r="H181" s="4">
        <v>46066.421620266206</v>
      </c>
      <c r="J181" t="s">
        <v>19</v>
      </c>
      <c r="K181">
        <v>100321</v>
      </c>
    </row>
    <row r="182" spans="1:11" x14ac:dyDescent="0.55000000000000004">
      <c r="A182" t="s">
        <v>797</v>
      </c>
      <c r="B182" s="4">
        <v>46015</v>
      </c>
      <c r="C182" t="s">
        <v>418</v>
      </c>
      <c r="D182" t="s">
        <v>798</v>
      </c>
      <c r="E182" t="s">
        <v>22</v>
      </c>
      <c r="F182" t="s">
        <v>799</v>
      </c>
      <c r="G182" t="s">
        <v>800</v>
      </c>
      <c r="H182" s="4">
        <v>46091.866759155091</v>
      </c>
      <c r="J182" t="s">
        <v>68</v>
      </c>
      <c r="K182">
        <v>101341</v>
      </c>
    </row>
    <row r="183" spans="1:11" x14ac:dyDescent="0.55000000000000004">
      <c r="A183" t="s">
        <v>801</v>
      </c>
      <c r="B183" s="4">
        <v>46140</v>
      </c>
      <c r="C183" t="s">
        <v>317</v>
      </c>
      <c r="D183" t="s">
        <v>802</v>
      </c>
      <c r="E183" t="s">
        <v>15</v>
      </c>
      <c r="F183" t="s">
        <v>803</v>
      </c>
      <c r="G183" t="s">
        <v>804</v>
      </c>
      <c r="H183" s="4">
        <v>46092.365370277781</v>
      </c>
      <c r="J183" t="s">
        <v>68</v>
      </c>
      <c r="K183">
        <v>101001</v>
      </c>
    </row>
    <row r="184" spans="1:11" x14ac:dyDescent="0.55000000000000004">
      <c r="A184" t="s">
        <v>805</v>
      </c>
      <c r="B184" s="4">
        <v>45926</v>
      </c>
      <c r="C184" t="s">
        <v>680</v>
      </c>
      <c r="D184" t="s">
        <v>806</v>
      </c>
      <c r="E184" t="s">
        <v>22</v>
      </c>
      <c r="F184" t="s">
        <v>807</v>
      </c>
      <c r="G184" t="s">
        <v>808</v>
      </c>
      <c r="H184" s="4">
        <v>46074.594536944445</v>
      </c>
      <c r="J184" t="s">
        <v>533</v>
      </c>
      <c r="K184">
        <v>100787</v>
      </c>
    </row>
    <row r="185" spans="1:11" x14ac:dyDescent="0.55000000000000004">
      <c r="A185" t="s">
        <v>809</v>
      </c>
      <c r="B185" s="4">
        <v>45734</v>
      </c>
      <c r="C185" t="s">
        <v>58</v>
      </c>
      <c r="D185" t="s">
        <v>810</v>
      </c>
      <c r="E185" t="s">
        <v>22</v>
      </c>
      <c r="F185" t="s">
        <v>811</v>
      </c>
      <c r="G185" t="s">
        <v>812</v>
      </c>
      <c r="H185" s="4">
        <v>46091.557731400462</v>
      </c>
      <c r="J185" t="s">
        <v>37</v>
      </c>
      <c r="K185">
        <v>100342</v>
      </c>
    </row>
    <row r="186" spans="1:11" x14ac:dyDescent="0.55000000000000004">
      <c r="A186" t="s">
        <v>813</v>
      </c>
      <c r="B186" s="4">
        <v>45827</v>
      </c>
      <c r="C186" t="s">
        <v>89</v>
      </c>
      <c r="D186" t="s">
        <v>814</v>
      </c>
      <c r="E186" t="s">
        <v>22</v>
      </c>
      <c r="F186" t="s">
        <v>815</v>
      </c>
      <c r="G186" t="s">
        <v>816</v>
      </c>
      <c r="H186" s="4">
        <v>46091.70912028935</v>
      </c>
      <c r="J186" t="s">
        <v>37</v>
      </c>
      <c r="K186">
        <v>101143</v>
      </c>
    </row>
    <row r="187" spans="1:11" x14ac:dyDescent="0.55000000000000004">
      <c r="A187" t="s">
        <v>817</v>
      </c>
      <c r="B187" s="4">
        <v>45913</v>
      </c>
      <c r="C187" t="s">
        <v>343</v>
      </c>
      <c r="D187" t="s">
        <v>818</v>
      </c>
      <c r="E187" t="s">
        <v>22</v>
      </c>
      <c r="F187" t="s">
        <v>819</v>
      </c>
      <c r="G187" t="s">
        <v>820</v>
      </c>
      <c r="H187" s="4">
        <v>46097.331342511578</v>
      </c>
      <c r="J187" t="s">
        <v>37</v>
      </c>
      <c r="K187">
        <v>100635</v>
      </c>
    </row>
    <row r="188" spans="1:11" x14ac:dyDescent="0.55000000000000004">
      <c r="A188" t="s">
        <v>821</v>
      </c>
      <c r="B188" s="4">
        <v>45930</v>
      </c>
      <c r="C188" t="s">
        <v>317</v>
      </c>
      <c r="D188" t="s">
        <v>822</v>
      </c>
      <c r="E188" t="s">
        <v>15</v>
      </c>
      <c r="F188" t="s">
        <v>823</v>
      </c>
      <c r="G188" t="s">
        <v>824</v>
      </c>
      <c r="H188" s="4">
        <v>46061.004953634256</v>
      </c>
      <c r="J188" t="s">
        <v>179</v>
      </c>
      <c r="K188">
        <v>101292</v>
      </c>
    </row>
    <row r="189" spans="1:11" x14ac:dyDescent="0.55000000000000004">
      <c r="A189" t="s">
        <v>825</v>
      </c>
      <c r="B189" s="4">
        <v>46082</v>
      </c>
      <c r="C189" t="s">
        <v>189</v>
      </c>
      <c r="D189" t="s">
        <v>826</v>
      </c>
      <c r="E189" t="s">
        <v>22</v>
      </c>
      <c r="F189" t="s">
        <v>827</v>
      </c>
      <c r="G189" t="s">
        <v>828</v>
      </c>
      <c r="H189" s="4">
        <v>46078.364675856479</v>
      </c>
      <c r="J189" t="s">
        <v>533</v>
      </c>
      <c r="K189">
        <v>100720</v>
      </c>
    </row>
    <row r="190" spans="1:11" x14ac:dyDescent="0.55000000000000004">
      <c r="A190" t="s">
        <v>829</v>
      </c>
      <c r="B190" s="4">
        <v>45806</v>
      </c>
      <c r="C190" t="s">
        <v>115</v>
      </c>
      <c r="D190" t="s">
        <v>830</v>
      </c>
      <c r="E190" t="s">
        <v>22</v>
      </c>
      <c r="F190" t="s">
        <v>831</v>
      </c>
      <c r="G190" t="s">
        <v>832</v>
      </c>
      <c r="H190" s="4">
        <v>46080.147314756941</v>
      </c>
      <c r="J190" t="s">
        <v>19</v>
      </c>
      <c r="K190">
        <v>100706</v>
      </c>
    </row>
    <row r="191" spans="1:11" x14ac:dyDescent="0.55000000000000004">
      <c r="A191" t="s">
        <v>833</v>
      </c>
      <c r="B191" s="4">
        <v>45979</v>
      </c>
      <c r="C191" t="s">
        <v>20</v>
      </c>
      <c r="D191" t="s">
        <v>834</v>
      </c>
      <c r="E191" t="s">
        <v>22</v>
      </c>
      <c r="F191" t="s">
        <v>835</v>
      </c>
      <c r="G191" t="s">
        <v>836</v>
      </c>
      <c r="H191" s="4">
        <v>46081.857036979163</v>
      </c>
      <c r="J191" t="s">
        <v>68</v>
      </c>
      <c r="K191">
        <v>101037</v>
      </c>
    </row>
    <row r="192" spans="1:11" x14ac:dyDescent="0.55000000000000004">
      <c r="A192" t="s">
        <v>837</v>
      </c>
      <c r="B192" s="4">
        <v>46036</v>
      </c>
      <c r="C192" t="s">
        <v>121</v>
      </c>
      <c r="D192" t="s">
        <v>838</v>
      </c>
      <c r="E192" t="s">
        <v>15</v>
      </c>
      <c r="F192" t="s">
        <v>839</v>
      </c>
      <c r="G192" t="s">
        <v>840</v>
      </c>
      <c r="H192" s="4">
        <v>46078.736898090276</v>
      </c>
      <c r="J192" t="s">
        <v>19</v>
      </c>
      <c r="K192">
        <v>101076</v>
      </c>
    </row>
    <row r="193" spans="1:11" x14ac:dyDescent="0.55000000000000004">
      <c r="A193" t="s">
        <v>841</v>
      </c>
      <c r="B193" s="4">
        <v>45902</v>
      </c>
      <c r="C193" t="s">
        <v>300</v>
      </c>
      <c r="D193" t="s">
        <v>842</v>
      </c>
      <c r="E193" t="s">
        <v>22</v>
      </c>
      <c r="F193" t="s">
        <v>843</v>
      </c>
      <c r="G193" t="s">
        <v>844</v>
      </c>
      <c r="H193" s="4">
        <v>46069.820231435187</v>
      </c>
      <c r="J193" t="s">
        <v>179</v>
      </c>
      <c r="K193">
        <v>100854</v>
      </c>
    </row>
    <row r="194" spans="1:11" x14ac:dyDescent="0.55000000000000004">
      <c r="A194" t="s">
        <v>845</v>
      </c>
      <c r="B194" s="4">
        <v>45801</v>
      </c>
      <c r="C194" t="s">
        <v>467</v>
      </c>
      <c r="D194" t="s">
        <v>846</v>
      </c>
      <c r="E194" t="s">
        <v>15</v>
      </c>
      <c r="F194" t="s">
        <v>847</v>
      </c>
      <c r="G194" t="s">
        <v>848</v>
      </c>
      <c r="H194" s="4">
        <v>46067.299398101852</v>
      </c>
      <c r="J194" t="s">
        <v>19</v>
      </c>
      <c r="K194">
        <v>101305</v>
      </c>
    </row>
    <row r="195" spans="1:11" x14ac:dyDescent="0.55000000000000004">
      <c r="A195" t="s">
        <v>849</v>
      </c>
      <c r="B195" s="4">
        <v>45935</v>
      </c>
      <c r="C195" t="s">
        <v>58</v>
      </c>
      <c r="D195" t="s">
        <v>850</v>
      </c>
      <c r="E195" t="s">
        <v>15</v>
      </c>
      <c r="F195" t="s">
        <v>851</v>
      </c>
      <c r="G195" t="s">
        <v>852</v>
      </c>
      <c r="H195" s="4">
        <v>46077.21120366898</v>
      </c>
      <c r="J195" t="s">
        <v>533</v>
      </c>
      <c r="K195">
        <v>101028</v>
      </c>
    </row>
    <row r="196" spans="1:11" x14ac:dyDescent="0.55000000000000004">
      <c r="A196" t="s">
        <v>853</v>
      </c>
      <c r="B196" s="4">
        <v>46150</v>
      </c>
      <c r="C196" t="s">
        <v>295</v>
      </c>
      <c r="D196" t="s">
        <v>854</v>
      </c>
      <c r="E196" t="s">
        <v>15</v>
      </c>
      <c r="F196" t="s">
        <v>855</v>
      </c>
      <c r="G196" t="s">
        <v>856</v>
      </c>
      <c r="H196" s="4">
        <v>46059.970231446758</v>
      </c>
      <c r="J196" t="s">
        <v>248</v>
      </c>
      <c r="K196">
        <v>100573</v>
      </c>
    </row>
    <row r="197" spans="1:11" x14ac:dyDescent="0.55000000000000004">
      <c r="A197" t="s">
        <v>857</v>
      </c>
      <c r="B197" s="4">
        <v>46081</v>
      </c>
      <c r="C197" t="s">
        <v>121</v>
      </c>
      <c r="D197" t="s">
        <v>858</v>
      </c>
      <c r="E197" t="s">
        <v>22</v>
      </c>
      <c r="F197" t="s">
        <v>859</v>
      </c>
      <c r="G197" t="s">
        <v>860</v>
      </c>
      <c r="H197" s="4">
        <v>46078.761203668982</v>
      </c>
      <c r="J197" t="s">
        <v>533</v>
      </c>
      <c r="K197">
        <v>100869</v>
      </c>
    </row>
    <row r="198" spans="1:11" x14ac:dyDescent="0.55000000000000004">
      <c r="A198" t="s">
        <v>861</v>
      </c>
      <c r="B198" s="4">
        <v>46151</v>
      </c>
      <c r="C198" t="s">
        <v>757</v>
      </c>
      <c r="D198" t="s">
        <v>862</v>
      </c>
      <c r="E198" t="s">
        <v>15</v>
      </c>
      <c r="F198" t="s">
        <v>863</v>
      </c>
      <c r="G198" t="s">
        <v>864</v>
      </c>
      <c r="H198" s="4">
        <v>46057.31537034722</v>
      </c>
      <c r="J198" t="s">
        <v>37</v>
      </c>
      <c r="K198">
        <v>101030</v>
      </c>
    </row>
    <row r="199" spans="1:11" x14ac:dyDescent="0.55000000000000004">
      <c r="A199" t="s">
        <v>865</v>
      </c>
      <c r="B199" s="4">
        <v>45861</v>
      </c>
      <c r="C199" t="s">
        <v>43</v>
      </c>
      <c r="D199" t="s">
        <v>866</v>
      </c>
      <c r="E199" t="s">
        <v>15</v>
      </c>
      <c r="F199" t="s">
        <v>867</v>
      </c>
      <c r="G199" t="s">
        <v>868</v>
      </c>
      <c r="H199" s="4">
        <v>46068.895925902776</v>
      </c>
      <c r="I199" t="s">
        <v>217</v>
      </c>
      <c r="K199">
        <v>101432</v>
      </c>
    </row>
    <row r="200" spans="1:11" x14ac:dyDescent="0.55000000000000004">
      <c r="A200" t="s">
        <v>869</v>
      </c>
      <c r="B200" s="4">
        <v>46030</v>
      </c>
      <c r="C200" t="s">
        <v>27</v>
      </c>
      <c r="D200" t="s">
        <v>870</v>
      </c>
      <c r="E200" t="s">
        <v>22</v>
      </c>
      <c r="F200" t="s">
        <v>871</v>
      </c>
      <c r="G200" t="s">
        <v>872</v>
      </c>
      <c r="H200" s="4">
        <v>46063.693842581015</v>
      </c>
      <c r="J200" t="s">
        <v>19</v>
      </c>
      <c r="K200">
        <v>100980</v>
      </c>
    </row>
    <row r="201" spans="1:11" x14ac:dyDescent="0.55000000000000004">
      <c r="A201" t="s">
        <v>873</v>
      </c>
      <c r="B201" s="4">
        <v>46091</v>
      </c>
      <c r="C201" t="s">
        <v>184</v>
      </c>
      <c r="D201" t="s">
        <v>874</v>
      </c>
      <c r="E201" t="s">
        <v>15</v>
      </c>
      <c r="F201" t="s">
        <v>875</v>
      </c>
      <c r="G201" t="s">
        <v>876</v>
      </c>
      <c r="H201" s="4">
        <v>46054.800787025466</v>
      </c>
      <c r="J201" t="s">
        <v>68</v>
      </c>
      <c r="K201">
        <v>101299</v>
      </c>
    </row>
    <row r="202" spans="1:11" x14ac:dyDescent="0.55000000000000004">
      <c r="A202" t="s">
        <v>877</v>
      </c>
      <c r="B202" s="4">
        <v>45817</v>
      </c>
      <c r="C202" t="s">
        <v>270</v>
      </c>
      <c r="D202" t="s">
        <v>878</v>
      </c>
      <c r="E202" t="s">
        <v>22</v>
      </c>
      <c r="F202" t="s">
        <v>879</v>
      </c>
      <c r="G202" t="s">
        <v>880</v>
      </c>
      <c r="H202" s="4">
        <v>46070.595925914349</v>
      </c>
      <c r="J202" t="s">
        <v>68</v>
      </c>
      <c r="K202">
        <v>100515</v>
      </c>
    </row>
    <row r="203" spans="1:11" x14ac:dyDescent="0.55000000000000004">
      <c r="A203" t="s">
        <v>881</v>
      </c>
      <c r="B203" s="4">
        <v>45782</v>
      </c>
      <c r="C203" t="s">
        <v>409</v>
      </c>
      <c r="D203" t="s">
        <v>882</v>
      </c>
      <c r="E203" t="s">
        <v>15</v>
      </c>
      <c r="F203" t="s">
        <v>883</v>
      </c>
      <c r="G203" t="s">
        <v>884</v>
      </c>
      <c r="H203" s="4">
        <v>46069.21398148148</v>
      </c>
      <c r="J203" t="s">
        <v>37</v>
      </c>
      <c r="K203">
        <v>100729</v>
      </c>
    </row>
    <row r="204" spans="1:11" x14ac:dyDescent="0.55000000000000004">
      <c r="A204" t="s">
        <v>885</v>
      </c>
      <c r="B204" s="4">
        <v>45969</v>
      </c>
      <c r="C204" t="s">
        <v>587</v>
      </c>
      <c r="D204" t="s">
        <v>886</v>
      </c>
      <c r="E204" t="s">
        <v>22</v>
      </c>
      <c r="F204" t="s">
        <v>887</v>
      </c>
      <c r="G204" t="s">
        <v>888</v>
      </c>
      <c r="H204" s="4">
        <v>46096.059814814813</v>
      </c>
      <c r="J204" t="s">
        <v>179</v>
      </c>
      <c r="K204">
        <v>100790</v>
      </c>
    </row>
    <row r="205" spans="1:11" x14ac:dyDescent="0.55000000000000004">
      <c r="A205" t="s">
        <v>889</v>
      </c>
      <c r="B205" s="4">
        <v>45883</v>
      </c>
      <c r="C205" t="s">
        <v>141</v>
      </c>
      <c r="D205" t="s">
        <v>890</v>
      </c>
      <c r="E205" t="s">
        <v>15</v>
      </c>
      <c r="F205" t="s">
        <v>891</v>
      </c>
      <c r="G205" t="s">
        <v>892</v>
      </c>
      <c r="H205" s="4">
        <v>46075.302870370368</v>
      </c>
      <c r="J205" t="s">
        <v>533</v>
      </c>
      <c r="K205">
        <v>101239</v>
      </c>
    </row>
    <row r="206" spans="1:11" x14ac:dyDescent="0.55000000000000004">
      <c r="A206" t="s">
        <v>893</v>
      </c>
      <c r="B206" s="4">
        <v>45965</v>
      </c>
      <c r="C206" t="s">
        <v>38</v>
      </c>
      <c r="D206" t="s">
        <v>894</v>
      </c>
      <c r="E206" t="s">
        <v>22</v>
      </c>
      <c r="F206" t="s">
        <v>895</v>
      </c>
      <c r="G206" t="s">
        <v>896</v>
      </c>
      <c r="H206" s="4">
        <v>46075.068842604167</v>
      </c>
      <c r="J206" t="s">
        <v>68</v>
      </c>
      <c r="K206">
        <v>100094</v>
      </c>
    </row>
    <row r="207" spans="1:11" x14ac:dyDescent="0.55000000000000004">
      <c r="A207" t="s">
        <v>897</v>
      </c>
      <c r="B207" s="4">
        <v>45956</v>
      </c>
      <c r="C207" t="s">
        <v>300</v>
      </c>
      <c r="D207" t="s">
        <v>898</v>
      </c>
      <c r="E207" t="s">
        <v>15</v>
      </c>
      <c r="F207" t="s">
        <v>899</v>
      </c>
      <c r="G207" t="s">
        <v>900</v>
      </c>
      <c r="H207" s="4">
        <v>46078.682731493056</v>
      </c>
      <c r="I207" t="s">
        <v>112</v>
      </c>
      <c r="J207" t="s">
        <v>533</v>
      </c>
    </row>
    <row r="208" spans="1:11" x14ac:dyDescent="0.55000000000000004">
      <c r="A208" t="s">
        <v>901</v>
      </c>
      <c r="B208" s="4">
        <v>45743</v>
      </c>
      <c r="C208" t="s">
        <v>141</v>
      </c>
      <c r="D208" t="s">
        <v>902</v>
      </c>
      <c r="E208" t="s">
        <v>15</v>
      </c>
      <c r="F208" t="s">
        <v>903</v>
      </c>
      <c r="G208" t="s">
        <v>904</v>
      </c>
      <c r="H208" s="4">
        <v>46082.012592615742</v>
      </c>
      <c r="J208" t="s">
        <v>533</v>
      </c>
      <c r="K208">
        <v>100899</v>
      </c>
    </row>
    <row r="209" spans="1:11" x14ac:dyDescent="0.55000000000000004">
      <c r="A209" t="s">
        <v>905</v>
      </c>
      <c r="B209" s="4">
        <v>46014</v>
      </c>
      <c r="C209" t="s">
        <v>20</v>
      </c>
      <c r="D209" t="s">
        <v>906</v>
      </c>
      <c r="E209" t="s">
        <v>22</v>
      </c>
      <c r="F209" t="s">
        <v>907</v>
      </c>
      <c r="G209" t="s">
        <v>908</v>
      </c>
      <c r="H209" s="4">
        <v>46068.416759282409</v>
      </c>
      <c r="J209" t="s">
        <v>533</v>
      </c>
      <c r="K209">
        <v>100137</v>
      </c>
    </row>
    <row r="210" spans="1:11" x14ac:dyDescent="0.55000000000000004">
      <c r="A210" t="s">
        <v>909</v>
      </c>
      <c r="B210" s="4">
        <v>46054</v>
      </c>
      <c r="C210" t="s">
        <v>115</v>
      </c>
      <c r="D210" t="s">
        <v>910</v>
      </c>
      <c r="E210" t="s">
        <v>22</v>
      </c>
      <c r="F210" t="s">
        <v>911</v>
      </c>
      <c r="G210" t="s">
        <v>912</v>
      </c>
      <c r="H210" s="4">
        <v>46072.704953726854</v>
      </c>
      <c r="J210" t="s">
        <v>179</v>
      </c>
      <c r="K210">
        <v>100554</v>
      </c>
    </row>
    <row r="211" spans="1:11" x14ac:dyDescent="0.55000000000000004">
      <c r="A211" t="s">
        <v>913</v>
      </c>
      <c r="B211" s="4">
        <v>45833</v>
      </c>
      <c r="C211" t="s">
        <v>89</v>
      </c>
      <c r="D211" t="s">
        <v>914</v>
      </c>
      <c r="E211" t="s">
        <v>22</v>
      </c>
      <c r="F211" t="s">
        <v>915</v>
      </c>
      <c r="G211" t="s">
        <v>916</v>
      </c>
      <c r="H211" s="4">
        <v>46097.44106484954</v>
      </c>
      <c r="J211" t="s">
        <v>19</v>
      </c>
      <c r="K211">
        <v>101041</v>
      </c>
    </row>
    <row r="212" spans="1:11" x14ac:dyDescent="0.55000000000000004">
      <c r="A212" t="s">
        <v>917</v>
      </c>
      <c r="B212" s="4">
        <v>45874</v>
      </c>
      <c r="C212" t="s">
        <v>184</v>
      </c>
      <c r="D212" t="s">
        <v>918</v>
      </c>
      <c r="E212" t="s">
        <v>15</v>
      </c>
      <c r="F212" t="s">
        <v>919</v>
      </c>
      <c r="G212" t="s">
        <v>920</v>
      </c>
      <c r="H212" s="4">
        <v>46074.282731516207</v>
      </c>
      <c r="J212" t="s">
        <v>248</v>
      </c>
      <c r="K212">
        <v>100998</v>
      </c>
    </row>
    <row r="213" spans="1:11" x14ac:dyDescent="0.55000000000000004">
      <c r="A213" t="s">
        <v>921</v>
      </c>
      <c r="B213" s="4">
        <v>45966</v>
      </c>
      <c r="C213" t="s">
        <v>20</v>
      </c>
      <c r="D213" t="s">
        <v>922</v>
      </c>
      <c r="E213" t="s">
        <v>22</v>
      </c>
      <c r="F213" t="s">
        <v>923</v>
      </c>
      <c r="G213" t="s">
        <v>924</v>
      </c>
      <c r="H213" s="4">
        <v>46063.837592638891</v>
      </c>
      <c r="J213" t="s">
        <v>248</v>
      </c>
      <c r="K213">
        <v>101348</v>
      </c>
    </row>
    <row r="214" spans="1:11" x14ac:dyDescent="0.55000000000000004">
      <c r="A214" t="s">
        <v>925</v>
      </c>
      <c r="B214" s="4">
        <v>46037</v>
      </c>
      <c r="C214" t="s">
        <v>89</v>
      </c>
      <c r="D214" t="s">
        <v>926</v>
      </c>
      <c r="E214" t="s">
        <v>15</v>
      </c>
      <c r="F214" t="s">
        <v>927</v>
      </c>
      <c r="G214" t="s">
        <v>928</v>
      </c>
      <c r="H214" s="4">
        <v>46075.245925972224</v>
      </c>
      <c r="J214" t="s">
        <v>68</v>
      </c>
      <c r="K214">
        <v>100376</v>
      </c>
    </row>
    <row r="215" spans="1:11" x14ac:dyDescent="0.55000000000000004">
      <c r="A215" t="s">
        <v>929</v>
      </c>
      <c r="B215" s="4">
        <v>46048</v>
      </c>
      <c r="C215" t="s">
        <v>317</v>
      </c>
      <c r="D215" t="s">
        <v>930</v>
      </c>
      <c r="E215" t="s">
        <v>22</v>
      </c>
      <c r="F215" t="s">
        <v>931</v>
      </c>
      <c r="G215" t="s">
        <v>932</v>
      </c>
      <c r="H215" s="4">
        <v>46057.907037083336</v>
      </c>
      <c r="J215" t="s">
        <v>179</v>
      </c>
      <c r="K215">
        <v>101067</v>
      </c>
    </row>
    <row r="216" spans="1:11" x14ac:dyDescent="0.55000000000000004">
      <c r="A216" t="s">
        <v>933</v>
      </c>
      <c r="B216" s="4">
        <v>46076</v>
      </c>
      <c r="C216" t="s">
        <v>20</v>
      </c>
      <c r="D216" t="s">
        <v>934</v>
      </c>
      <c r="E216" t="s">
        <v>15</v>
      </c>
      <c r="F216" t="s">
        <v>935</v>
      </c>
      <c r="G216" t="s">
        <v>936</v>
      </c>
      <c r="H216" s="4">
        <v>46082.311898206019</v>
      </c>
      <c r="J216" t="s">
        <v>37</v>
      </c>
      <c r="K216">
        <v>101065</v>
      </c>
    </row>
    <row r="217" spans="1:11" x14ac:dyDescent="0.55000000000000004">
      <c r="A217" t="s">
        <v>937</v>
      </c>
      <c r="B217" s="4">
        <v>45825</v>
      </c>
      <c r="C217" t="s">
        <v>189</v>
      </c>
      <c r="D217" t="s">
        <v>938</v>
      </c>
      <c r="E217" t="s">
        <v>22</v>
      </c>
      <c r="F217" t="s">
        <v>939</v>
      </c>
      <c r="G217" t="s">
        <v>940</v>
      </c>
      <c r="H217" s="4">
        <v>46070.898009317127</v>
      </c>
      <c r="J217" t="s">
        <v>533</v>
      </c>
      <c r="K217">
        <v>100991</v>
      </c>
    </row>
    <row r="218" spans="1:11" x14ac:dyDescent="0.55000000000000004">
      <c r="A218" t="s">
        <v>941</v>
      </c>
      <c r="B218" s="4">
        <v>46026</v>
      </c>
      <c r="C218" t="s">
        <v>418</v>
      </c>
      <c r="D218" t="s">
        <v>942</v>
      </c>
      <c r="E218" t="s">
        <v>22</v>
      </c>
      <c r="F218" t="s">
        <v>943</v>
      </c>
      <c r="G218" t="s">
        <v>944</v>
      </c>
      <c r="H218" s="4">
        <v>46056.982037094909</v>
      </c>
      <c r="J218" t="s">
        <v>533</v>
      </c>
      <c r="K218">
        <v>101296</v>
      </c>
    </row>
    <row r="219" spans="1:11" x14ac:dyDescent="0.55000000000000004">
      <c r="A219" t="s">
        <v>945</v>
      </c>
      <c r="B219" s="4">
        <v>46016</v>
      </c>
      <c r="C219" t="s">
        <v>69</v>
      </c>
      <c r="D219" t="s">
        <v>946</v>
      </c>
      <c r="E219" t="s">
        <v>22</v>
      </c>
      <c r="F219" t="s">
        <v>947</v>
      </c>
      <c r="G219" t="s">
        <v>948</v>
      </c>
      <c r="H219" s="4">
        <v>46089.479953773145</v>
      </c>
      <c r="J219" t="s">
        <v>533</v>
      </c>
      <c r="K219">
        <v>100172</v>
      </c>
    </row>
    <row r="220" spans="1:11" x14ac:dyDescent="0.55000000000000004">
      <c r="A220" t="s">
        <v>949</v>
      </c>
      <c r="B220" s="4">
        <v>45962</v>
      </c>
      <c r="C220" t="s">
        <v>13</v>
      </c>
      <c r="D220" t="s">
        <v>950</v>
      </c>
      <c r="E220" t="s">
        <v>22</v>
      </c>
      <c r="F220" t="s">
        <v>951</v>
      </c>
      <c r="G220" t="s">
        <v>952</v>
      </c>
      <c r="H220" s="4">
        <v>46089.468842662034</v>
      </c>
      <c r="J220" t="s">
        <v>68</v>
      </c>
      <c r="K220">
        <v>100474</v>
      </c>
    </row>
    <row r="221" spans="1:11" x14ac:dyDescent="0.55000000000000004">
      <c r="A221" t="s">
        <v>953</v>
      </c>
      <c r="B221" s="4">
        <v>46019</v>
      </c>
      <c r="C221" t="s">
        <v>213</v>
      </c>
      <c r="D221" t="s">
        <v>954</v>
      </c>
      <c r="E221" t="s">
        <v>22</v>
      </c>
      <c r="F221" t="s">
        <v>955</v>
      </c>
      <c r="G221" t="s">
        <v>956</v>
      </c>
      <c r="H221" s="4">
        <v>46071.114676006946</v>
      </c>
      <c r="J221" t="s">
        <v>179</v>
      </c>
      <c r="K221">
        <v>100351</v>
      </c>
    </row>
    <row r="222" spans="1:11" x14ac:dyDescent="0.55000000000000004">
      <c r="A222" t="s">
        <v>957</v>
      </c>
      <c r="B222" s="4">
        <v>45817</v>
      </c>
      <c r="C222" t="s">
        <v>38</v>
      </c>
      <c r="D222" t="s">
        <v>958</v>
      </c>
      <c r="E222" t="s">
        <v>15</v>
      </c>
      <c r="F222" t="s">
        <v>959</v>
      </c>
      <c r="G222" t="s">
        <v>960</v>
      </c>
      <c r="H222" s="4">
        <v>46083.330648229166</v>
      </c>
      <c r="J222" t="s">
        <v>19</v>
      </c>
      <c r="K222">
        <v>100057</v>
      </c>
    </row>
    <row r="223" spans="1:11" x14ac:dyDescent="0.55000000000000004">
      <c r="A223" t="s">
        <v>451</v>
      </c>
      <c r="B223" s="4">
        <v>45872</v>
      </c>
      <c r="C223" t="s">
        <v>38</v>
      </c>
      <c r="D223" t="s">
        <v>961</v>
      </c>
      <c r="E223" t="s">
        <v>22</v>
      </c>
      <c r="F223" t="s">
        <v>962</v>
      </c>
      <c r="G223" t="s">
        <v>963</v>
      </c>
      <c r="H223" s="4">
        <v>46087.095926006943</v>
      </c>
      <c r="J223" t="s">
        <v>37</v>
      </c>
      <c r="K223">
        <v>101276</v>
      </c>
    </row>
    <row r="224" spans="1:11" x14ac:dyDescent="0.55000000000000004">
      <c r="A224" t="s">
        <v>964</v>
      </c>
      <c r="B224" s="4">
        <v>46112</v>
      </c>
      <c r="C224" t="s">
        <v>27</v>
      </c>
      <c r="D224" t="s">
        <v>965</v>
      </c>
      <c r="E224" t="s">
        <v>15</v>
      </c>
      <c r="F224" t="s">
        <v>966</v>
      </c>
      <c r="G224" t="s">
        <v>967</v>
      </c>
      <c r="H224" s="4">
        <v>46061.584120462961</v>
      </c>
      <c r="J224" t="s">
        <v>19</v>
      </c>
      <c r="K224">
        <v>100036</v>
      </c>
    </row>
    <row r="225" spans="1:11" x14ac:dyDescent="0.55000000000000004">
      <c r="A225" t="s">
        <v>968</v>
      </c>
      <c r="B225" s="4">
        <v>46128</v>
      </c>
      <c r="C225" t="s">
        <v>343</v>
      </c>
      <c r="D225" t="s">
        <v>969</v>
      </c>
      <c r="E225" t="s">
        <v>22</v>
      </c>
      <c r="F225" t="s">
        <v>970</v>
      </c>
      <c r="G225" t="s">
        <v>971</v>
      </c>
      <c r="H225" s="4">
        <v>46063.435509351853</v>
      </c>
      <c r="J225" t="s">
        <v>248</v>
      </c>
      <c r="K225">
        <v>100795</v>
      </c>
    </row>
    <row r="226" spans="1:11" x14ac:dyDescent="0.55000000000000004">
      <c r="A226" t="s">
        <v>972</v>
      </c>
      <c r="B226" s="4">
        <v>45784</v>
      </c>
      <c r="C226" t="s">
        <v>562</v>
      </c>
      <c r="D226" t="s">
        <v>973</v>
      </c>
      <c r="E226" t="s">
        <v>15</v>
      </c>
      <c r="F226" t="s">
        <v>974</v>
      </c>
      <c r="G226" t="s">
        <v>975</v>
      </c>
      <c r="H226" s="4">
        <v>46069.372314918983</v>
      </c>
      <c r="J226" t="s">
        <v>179</v>
      </c>
      <c r="K226">
        <v>100381</v>
      </c>
    </row>
    <row r="227" spans="1:11" x14ac:dyDescent="0.55000000000000004">
      <c r="A227" t="s">
        <v>976</v>
      </c>
      <c r="B227" s="4">
        <v>46150</v>
      </c>
      <c r="C227" t="s">
        <v>69</v>
      </c>
      <c r="D227" t="s">
        <v>977</v>
      </c>
      <c r="E227" t="s">
        <v>15</v>
      </c>
      <c r="F227" t="s">
        <v>978</v>
      </c>
      <c r="G227" t="s">
        <v>979</v>
      </c>
      <c r="H227" s="4">
        <v>46082.448009363427</v>
      </c>
      <c r="J227" t="s">
        <v>68</v>
      </c>
      <c r="K227">
        <v>101094</v>
      </c>
    </row>
    <row r="228" spans="1:11" x14ac:dyDescent="0.55000000000000004">
      <c r="A228" t="s">
        <v>980</v>
      </c>
      <c r="B228" s="4">
        <v>46084</v>
      </c>
      <c r="C228" t="s">
        <v>27</v>
      </c>
      <c r="D228" t="s">
        <v>981</v>
      </c>
      <c r="E228" t="s">
        <v>22</v>
      </c>
      <c r="F228" t="s">
        <v>982</v>
      </c>
      <c r="G228" t="s">
        <v>983</v>
      </c>
      <c r="H228" s="4">
        <v>46086.87023158565</v>
      </c>
      <c r="J228" t="s">
        <v>19</v>
      </c>
      <c r="K228">
        <v>101003</v>
      </c>
    </row>
    <row r="229" spans="1:11" x14ac:dyDescent="0.55000000000000004">
      <c r="A229" t="s">
        <v>984</v>
      </c>
      <c r="B229" s="4">
        <v>46133</v>
      </c>
      <c r="C229" t="s">
        <v>115</v>
      </c>
      <c r="D229" t="s">
        <v>985</v>
      </c>
      <c r="E229" t="s">
        <v>15</v>
      </c>
      <c r="F229" t="s">
        <v>986</v>
      </c>
      <c r="G229" t="s">
        <v>987</v>
      </c>
      <c r="H229" s="4">
        <v>46061.247314930559</v>
      </c>
      <c r="J229" t="s">
        <v>533</v>
      </c>
      <c r="K229">
        <v>100992</v>
      </c>
    </row>
    <row r="230" spans="1:11" x14ac:dyDescent="0.55000000000000004">
      <c r="A230" t="s">
        <v>988</v>
      </c>
      <c r="B230" s="4">
        <v>45875</v>
      </c>
      <c r="C230" t="s">
        <v>160</v>
      </c>
      <c r="D230" t="s">
        <v>989</v>
      </c>
      <c r="E230" t="s">
        <v>22</v>
      </c>
      <c r="F230" t="s">
        <v>990</v>
      </c>
      <c r="G230" t="s">
        <v>991</v>
      </c>
      <c r="H230" s="4">
        <v>46078.932037152779</v>
      </c>
      <c r="J230" t="s">
        <v>19</v>
      </c>
      <c r="K230">
        <v>100531</v>
      </c>
    </row>
    <row r="231" spans="1:11" x14ac:dyDescent="0.55000000000000004">
      <c r="A231" t="s">
        <v>992</v>
      </c>
      <c r="B231" s="4">
        <v>45995</v>
      </c>
      <c r="C231" t="s">
        <v>121</v>
      </c>
      <c r="D231" t="s">
        <v>993</v>
      </c>
      <c r="E231" t="s">
        <v>15</v>
      </c>
      <c r="F231" t="s">
        <v>994</v>
      </c>
      <c r="G231" t="s">
        <v>995</v>
      </c>
      <c r="H231" s="4">
        <v>46079.813287164354</v>
      </c>
      <c r="J231" t="s">
        <v>248</v>
      </c>
      <c r="K231">
        <v>100916</v>
      </c>
    </row>
    <row r="232" spans="1:11" x14ac:dyDescent="0.55000000000000004">
      <c r="A232" t="s">
        <v>996</v>
      </c>
      <c r="B232" s="4">
        <v>46091</v>
      </c>
      <c r="C232" t="s">
        <v>115</v>
      </c>
      <c r="D232" t="s">
        <v>997</v>
      </c>
      <c r="E232" t="s">
        <v>15</v>
      </c>
      <c r="F232" t="s">
        <v>998</v>
      </c>
      <c r="G232" t="s">
        <v>999</v>
      </c>
      <c r="H232" s="4">
        <v>46052.288287164352</v>
      </c>
      <c r="J232" t="s">
        <v>533</v>
      </c>
      <c r="K232">
        <v>100252</v>
      </c>
    </row>
    <row r="233" spans="1:11" x14ac:dyDescent="0.55000000000000004">
      <c r="A233" t="s">
        <v>708</v>
      </c>
      <c r="B233" s="4">
        <v>46121</v>
      </c>
      <c r="C233" t="s">
        <v>680</v>
      </c>
      <c r="D233" t="s">
        <v>1000</v>
      </c>
      <c r="E233" t="s">
        <v>22</v>
      </c>
      <c r="F233" t="s">
        <v>1001</v>
      </c>
      <c r="G233" t="s">
        <v>1002</v>
      </c>
      <c r="H233" s="4">
        <v>46057.157037164354</v>
      </c>
      <c r="J233" t="s">
        <v>248</v>
      </c>
      <c r="K233">
        <v>100673</v>
      </c>
    </row>
    <row r="234" spans="1:11" x14ac:dyDescent="0.55000000000000004">
      <c r="A234" t="s">
        <v>1003</v>
      </c>
      <c r="B234" s="4">
        <v>45963</v>
      </c>
      <c r="C234" t="s">
        <v>317</v>
      </c>
      <c r="D234" t="s">
        <v>1004</v>
      </c>
      <c r="E234" t="s">
        <v>15</v>
      </c>
      <c r="F234" t="s">
        <v>1005</v>
      </c>
      <c r="G234" t="s">
        <v>1006</v>
      </c>
      <c r="H234" s="4">
        <v>46072.013287175927</v>
      </c>
      <c r="J234" t="s">
        <v>179</v>
      </c>
      <c r="K234">
        <v>101464</v>
      </c>
    </row>
    <row r="235" spans="1:11" x14ac:dyDescent="0.55000000000000004">
      <c r="A235" t="s">
        <v>1007</v>
      </c>
      <c r="B235" s="4">
        <v>46087</v>
      </c>
      <c r="C235" t="s">
        <v>757</v>
      </c>
      <c r="D235" t="s">
        <v>1008</v>
      </c>
      <c r="E235" t="s">
        <v>22</v>
      </c>
      <c r="F235" t="s">
        <v>1009</v>
      </c>
      <c r="G235" t="s">
        <v>1010</v>
      </c>
      <c r="H235" s="4">
        <v>46060.742453842591</v>
      </c>
      <c r="J235" t="s">
        <v>248</v>
      </c>
      <c r="K235">
        <v>100827</v>
      </c>
    </row>
    <row r="236" spans="1:11" x14ac:dyDescent="0.55000000000000004">
      <c r="A236" t="s">
        <v>1011</v>
      </c>
      <c r="B236" s="4">
        <v>46106</v>
      </c>
      <c r="C236" t="s">
        <v>49</v>
      </c>
      <c r="D236" t="s">
        <v>1012</v>
      </c>
      <c r="E236" t="s">
        <v>15</v>
      </c>
      <c r="F236" t="s">
        <v>1013</v>
      </c>
      <c r="G236" t="s">
        <v>1014</v>
      </c>
      <c r="H236" s="4">
        <v>46063.180648298614</v>
      </c>
      <c r="J236" t="s">
        <v>37</v>
      </c>
      <c r="K236">
        <v>101142</v>
      </c>
    </row>
    <row r="237" spans="1:11" x14ac:dyDescent="0.55000000000000004">
      <c r="A237" t="s">
        <v>1015</v>
      </c>
      <c r="B237" s="4">
        <v>45951</v>
      </c>
      <c r="C237" t="s">
        <v>69</v>
      </c>
      <c r="D237" t="s">
        <v>1016</v>
      </c>
      <c r="E237" t="s">
        <v>22</v>
      </c>
      <c r="F237" t="s">
        <v>1017</v>
      </c>
      <c r="G237" t="s">
        <v>1018</v>
      </c>
      <c r="H237" s="4">
        <v>46077.343148298613</v>
      </c>
      <c r="J237" t="s">
        <v>248</v>
      </c>
      <c r="K237">
        <v>100874</v>
      </c>
    </row>
    <row r="238" spans="1:11" x14ac:dyDescent="0.55000000000000004">
      <c r="A238" t="s">
        <v>1019</v>
      </c>
      <c r="B238" s="4">
        <v>46012</v>
      </c>
      <c r="C238" t="s">
        <v>43</v>
      </c>
      <c r="D238" t="s">
        <v>1020</v>
      </c>
      <c r="E238" t="s">
        <v>22</v>
      </c>
      <c r="F238" t="s">
        <v>1021</v>
      </c>
      <c r="G238" t="s">
        <v>1022</v>
      </c>
      <c r="H238" s="4">
        <v>46054.677176076388</v>
      </c>
      <c r="J238" t="s">
        <v>68</v>
      </c>
      <c r="K238">
        <v>100738</v>
      </c>
    </row>
    <row r="239" spans="1:11" x14ac:dyDescent="0.55000000000000004">
      <c r="A239" t="s">
        <v>1023</v>
      </c>
      <c r="B239" s="4">
        <v>45782</v>
      </c>
      <c r="C239" t="s">
        <v>270</v>
      </c>
      <c r="D239" t="s">
        <v>1024</v>
      </c>
      <c r="E239" t="s">
        <v>15</v>
      </c>
      <c r="F239" t="s">
        <v>1025</v>
      </c>
      <c r="G239" t="s">
        <v>1026</v>
      </c>
      <c r="H239" s="4">
        <v>46069.097314976854</v>
      </c>
      <c r="J239" t="s">
        <v>37</v>
      </c>
      <c r="K239">
        <v>101297</v>
      </c>
    </row>
    <row r="240" spans="1:11" x14ac:dyDescent="0.55000000000000004">
      <c r="A240" t="s">
        <v>1027</v>
      </c>
      <c r="B240" s="4">
        <v>45951</v>
      </c>
      <c r="C240" t="s">
        <v>317</v>
      </c>
      <c r="D240" t="s">
        <v>1028</v>
      </c>
      <c r="E240" t="s">
        <v>15</v>
      </c>
      <c r="F240" t="s">
        <v>1029</v>
      </c>
      <c r="G240" t="s">
        <v>1030</v>
      </c>
      <c r="H240" s="4">
        <v>46056.316759421294</v>
      </c>
      <c r="I240" t="s">
        <v>112</v>
      </c>
      <c r="J240" t="s">
        <v>37</v>
      </c>
      <c r="K240">
        <v>185902</v>
      </c>
    </row>
    <row r="241" spans="1:11" x14ac:dyDescent="0.55000000000000004">
      <c r="A241" t="s">
        <v>1031</v>
      </c>
      <c r="B241" s="4">
        <v>45872</v>
      </c>
      <c r="C241" t="s">
        <v>317</v>
      </c>
      <c r="D241" t="s">
        <v>1032</v>
      </c>
      <c r="E241" t="s">
        <v>22</v>
      </c>
      <c r="F241" t="s">
        <v>1033</v>
      </c>
      <c r="G241" t="s">
        <v>1034</v>
      </c>
      <c r="H241" s="4">
        <v>46081.62925943287</v>
      </c>
      <c r="I241" t="s">
        <v>139</v>
      </c>
      <c r="J241" t="s">
        <v>533</v>
      </c>
      <c r="K241">
        <v>100179</v>
      </c>
    </row>
    <row r="242" spans="1:11" x14ac:dyDescent="0.55000000000000004">
      <c r="A242" t="s">
        <v>1035</v>
      </c>
      <c r="B242" s="4">
        <v>46072</v>
      </c>
      <c r="C242" t="s">
        <v>121</v>
      </c>
      <c r="D242" t="s">
        <v>1036</v>
      </c>
      <c r="E242" t="s">
        <v>22</v>
      </c>
      <c r="F242" t="s">
        <v>1037</v>
      </c>
      <c r="G242" t="s">
        <v>1038</v>
      </c>
      <c r="H242" s="4">
        <v>46053.413287210649</v>
      </c>
      <c r="J242" t="s">
        <v>68</v>
      </c>
      <c r="K242">
        <v>100485</v>
      </c>
    </row>
    <row r="243" spans="1:11" x14ac:dyDescent="0.55000000000000004">
      <c r="A243" t="s">
        <v>1039</v>
      </c>
      <c r="B243" s="4">
        <v>46067</v>
      </c>
      <c r="C243" t="s">
        <v>317</v>
      </c>
      <c r="D243" t="s">
        <v>1040</v>
      </c>
      <c r="E243" t="s">
        <v>15</v>
      </c>
      <c r="F243" t="s">
        <v>1041</v>
      </c>
      <c r="G243" t="s">
        <v>1042</v>
      </c>
      <c r="H243" s="4">
        <v>46097.442453877316</v>
      </c>
      <c r="J243" t="s">
        <v>179</v>
      </c>
      <c r="K243">
        <v>100657</v>
      </c>
    </row>
    <row r="244" spans="1:11" x14ac:dyDescent="0.55000000000000004">
      <c r="A244" t="s">
        <v>1043</v>
      </c>
      <c r="B244" s="4">
        <v>45771</v>
      </c>
      <c r="C244" t="s">
        <v>38</v>
      </c>
      <c r="D244" t="s">
        <v>1044</v>
      </c>
      <c r="E244" t="s">
        <v>15</v>
      </c>
      <c r="F244" t="s">
        <v>1045</v>
      </c>
      <c r="G244" t="s">
        <v>1046</v>
      </c>
      <c r="H244" s="4">
        <v>46063.779259444447</v>
      </c>
      <c r="J244" t="s">
        <v>19</v>
      </c>
      <c r="K244">
        <v>100915</v>
      </c>
    </row>
    <row r="245" spans="1:11" x14ac:dyDescent="0.55000000000000004">
      <c r="A245" t="s">
        <v>1047</v>
      </c>
      <c r="B245" s="4">
        <v>45736</v>
      </c>
      <c r="C245" t="s">
        <v>317</v>
      </c>
      <c r="D245" t="s">
        <v>1048</v>
      </c>
      <c r="E245" t="s">
        <v>22</v>
      </c>
      <c r="F245" t="s">
        <v>1049</v>
      </c>
      <c r="G245" t="s">
        <v>1050</v>
      </c>
      <c r="H245" s="4">
        <v>46090.145926111109</v>
      </c>
      <c r="J245" t="s">
        <v>179</v>
      </c>
      <c r="K245">
        <v>100766</v>
      </c>
    </row>
    <row r="246" spans="1:11" x14ac:dyDescent="0.55000000000000004">
      <c r="A246" t="s">
        <v>1051</v>
      </c>
      <c r="B246" s="4">
        <v>45976</v>
      </c>
      <c r="C246" t="s">
        <v>115</v>
      </c>
      <c r="D246" t="s">
        <v>1052</v>
      </c>
      <c r="E246" t="s">
        <v>22</v>
      </c>
      <c r="F246" t="s">
        <v>1053</v>
      </c>
      <c r="G246" t="s">
        <v>1054</v>
      </c>
      <c r="H246" s="4">
        <v>46092.600787233794</v>
      </c>
      <c r="J246" t="s">
        <v>533</v>
      </c>
      <c r="K246">
        <v>100814</v>
      </c>
    </row>
    <row r="247" spans="1:11" x14ac:dyDescent="0.55000000000000004">
      <c r="A247" t="s">
        <v>1055</v>
      </c>
      <c r="B247" s="4">
        <v>45892</v>
      </c>
      <c r="C247" t="s">
        <v>356</v>
      </c>
      <c r="D247" t="s">
        <v>1056</v>
      </c>
      <c r="E247" t="s">
        <v>22</v>
      </c>
      <c r="F247" t="s">
        <v>1057</v>
      </c>
      <c r="G247" t="s">
        <v>1058</v>
      </c>
      <c r="H247" s="4">
        <v>46088.834120567131</v>
      </c>
      <c r="I247" t="s">
        <v>139</v>
      </c>
      <c r="J247" t="s">
        <v>533</v>
      </c>
      <c r="K247">
        <v>100830</v>
      </c>
    </row>
    <row r="248" spans="1:11" x14ac:dyDescent="0.55000000000000004">
      <c r="A248" t="s">
        <v>1059</v>
      </c>
      <c r="B248" s="4">
        <v>45767</v>
      </c>
      <c r="C248" t="s">
        <v>528</v>
      </c>
      <c r="D248" t="s">
        <v>1060</v>
      </c>
      <c r="E248" t="s">
        <v>22</v>
      </c>
      <c r="F248" t="s">
        <v>1061</v>
      </c>
      <c r="G248" t="s">
        <v>1062</v>
      </c>
      <c r="H248" s="4">
        <v>46075.443148356484</v>
      </c>
      <c r="J248" t="s">
        <v>533</v>
      </c>
      <c r="K248">
        <v>100655</v>
      </c>
    </row>
    <row r="249" spans="1:11" x14ac:dyDescent="0.55000000000000004">
      <c r="A249" t="s">
        <v>1063</v>
      </c>
      <c r="B249" s="4">
        <v>45942</v>
      </c>
      <c r="C249" t="s">
        <v>680</v>
      </c>
      <c r="D249" t="s">
        <v>1064</v>
      </c>
      <c r="E249" t="s">
        <v>15</v>
      </c>
      <c r="F249" t="s">
        <v>1065</v>
      </c>
      <c r="G249" t="s">
        <v>1066</v>
      </c>
      <c r="H249" s="4">
        <v>46091.547315023148</v>
      </c>
      <c r="J249" t="s">
        <v>533</v>
      </c>
      <c r="K249">
        <v>100885</v>
      </c>
    </row>
    <row r="250" spans="1:11" x14ac:dyDescent="0.55000000000000004">
      <c r="A250" t="s">
        <v>1067</v>
      </c>
      <c r="B250" s="4">
        <v>46033</v>
      </c>
      <c r="C250" t="s">
        <v>300</v>
      </c>
      <c r="D250" t="s">
        <v>1068</v>
      </c>
      <c r="E250" t="s">
        <v>22</v>
      </c>
      <c r="F250" t="s">
        <v>1069</v>
      </c>
      <c r="G250" t="s">
        <v>1070</v>
      </c>
      <c r="H250" s="4">
        <v>46089.393842800928</v>
      </c>
      <c r="J250" t="s">
        <v>533</v>
      </c>
      <c r="K250">
        <v>100044</v>
      </c>
    </row>
    <row r="251" spans="1:11" x14ac:dyDescent="0.55000000000000004">
      <c r="A251" t="s">
        <v>1071</v>
      </c>
      <c r="B251" s="4">
        <v>46062</v>
      </c>
      <c r="C251" t="s">
        <v>115</v>
      </c>
      <c r="D251" t="s">
        <v>1072</v>
      </c>
      <c r="E251" t="s">
        <v>22</v>
      </c>
      <c r="F251" t="s">
        <v>1073</v>
      </c>
      <c r="G251" t="s">
        <v>1074</v>
      </c>
      <c r="H251" s="4">
        <v>46053.708426145837</v>
      </c>
      <c r="J251" t="s">
        <v>248</v>
      </c>
      <c r="K251">
        <v>100106</v>
      </c>
    </row>
    <row r="252" spans="1:11" x14ac:dyDescent="0.55000000000000004">
      <c r="A252" t="s">
        <v>1075</v>
      </c>
      <c r="B252" s="4">
        <v>45837</v>
      </c>
      <c r="C252" t="s">
        <v>587</v>
      </c>
      <c r="D252" t="s">
        <v>1076</v>
      </c>
      <c r="E252" t="s">
        <v>22</v>
      </c>
      <c r="F252" t="s">
        <v>1077</v>
      </c>
      <c r="G252" t="s">
        <v>1078</v>
      </c>
      <c r="H252" s="4">
        <v>46078.827176145831</v>
      </c>
      <c r="J252" t="s">
        <v>68</v>
      </c>
      <c r="K252">
        <v>100979</v>
      </c>
    </row>
    <row r="253" spans="1:11" x14ac:dyDescent="0.55000000000000004">
      <c r="A253" t="s">
        <v>1079</v>
      </c>
      <c r="B253" s="4">
        <v>46133</v>
      </c>
      <c r="C253" t="s">
        <v>69</v>
      </c>
      <c r="D253" t="s">
        <v>1080</v>
      </c>
      <c r="E253" t="s">
        <v>22</v>
      </c>
      <c r="F253" t="s">
        <v>1081</v>
      </c>
      <c r="G253" t="s">
        <v>1082</v>
      </c>
      <c r="H253" s="4">
        <v>46090.403565034721</v>
      </c>
      <c r="J253" t="s">
        <v>37</v>
      </c>
      <c r="K253">
        <v>100575</v>
      </c>
    </row>
    <row r="254" spans="1:11" x14ac:dyDescent="0.55000000000000004">
      <c r="A254" t="s">
        <v>1083</v>
      </c>
      <c r="B254" s="4">
        <v>46058</v>
      </c>
      <c r="C254" t="s">
        <v>184</v>
      </c>
      <c r="D254" t="s">
        <v>1084</v>
      </c>
      <c r="E254" t="s">
        <v>22</v>
      </c>
      <c r="F254" t="s">
        <v>1085</v>
      </c>
      <c r="G254" t="s">
        <v>1086</v>
      </c>
      <c r="H254" s="4">
        <v>46077.558426157404</v>
      </c>
      <c r="J254" t="s">
        <v>19</v>
      </c>
      <c r="K254">
        <v>101443</v>
      </c>
    </row>
    <row r="255" spans="1:11" x14ac:dyDescent="0.55000000000000004">
      <c r="A255" t="s">
        <v>1087</v>
      </c>
      <c r="B255" s="4">
        <v>46023</v>
      </c>
      <c r="C255" t="s">
        <v>467</v>
      </c>
      <c r="D255" t="s">
        <v>1088</v>
      </c>
      <c r="E255" t="s">
        <v>15</v>
      </c>
      <c r="F255" t="s">
        <v>1089</v>
      </c>
      <c r="G255" t="s">
        <v>1090</v>
      </c>
      <c r="H255" s="4">
        <v>46067.642453935186</v>
      </c>
      <c r="J255" t="s">
        <v>179</v>
      </c>
      <c r="K255">
        <v>100494</v>
      </c>
    </row>
    <row r="256" spans="1:11" x14ac:dyDescent="0.55000000000000004">
      <c r="A256" t="s">
        <v>1091</v>
      </c>
      <c r="B256" s="4">
        <v>46032</v>
      </c>
      <c r="C256" t="s">
        <v>155</v>
      </c>
      <c r="D256" t="s">
        <v>1092</v>
      </c>
      <c r="E256" t="s">
        <v>22</v>
      </c>
      <c r="F256" t="s">
        <v>1093</v>
      </c>
      <c r="G256" t="s">
        <v>1094</v>
      </c>
      <c r="H256" s="4">
        <v>46084.689676168979</v>
      </c>
      <c r="J256" t="s">
        <v>37</v>
      </c>
      <c r="K256">
        <v>101077</v>
      </c>
    </row>
    <row r="257" spans="1:11" x14ac:dyDescent="0.55000000000000004">
      <c r="A257" t="s">
        <v>1095</v>
      </c>
      <c r="B257" s="4">
        <v>46136</v>
      </c>
      <c r="C257" t="s">
        <v>467</v>
      </c>
      <c r="D257" t="s">
        <v>1096</v>
      </c>
      <c r="E257" t="s">
        <v>22</v>
      </c>
      <c r="F257" t="s">
        <v>1097</v>
      </c>
      <c r="G257" t="s">
        <v>1098</v>
      </c>
      <c r="H257" s="4">
        <v>46069.748009502313</v>
      </c>
      <c r="J257" t="s">
        <v>37</v>
      </c>
      <c r="K257">
        <v>100463</v>
      </c>
    </row>
    <row r="258" spans="1:11" x14ac:dyDescent="0.55000000000000004">
      <c r="A258" t="s">
        <v>1099</v>
      </c>
      <c r="B258" s="4">
        <v>45774</v>
      </c>
      <c r="C258" t="s">
        <v>587</v>
      </c>
      <c r="D258" t="s">
        <v>1100</v>
      </c>
      <c r="E258" t="s">
        <v>22</v>
      </c>
      <c r="F258" t="s">
        <v>1101</v>
      </c>
      <c r="G258" t="s">
        <v>1102</v>
      </c>
      <c r="H258" s="4">
        <v>46092.305648391201</v>
      </c>
      <c r="J258" t="s">
        <v>179</v>
      </c>
      <c r="K258">
        <v>101286</v>
      </c>
    </row>
    <row r="259" spans="1:11" x14ac:dyDescent="0.55000000000000004">
      <c r="A259" t="s">
        <v>1103</v>
      </c>
      <c r="B259" s="4">
        <v>45993</v>
      </c>
      <c r="C259" t="s">
        <v>115</v>
      </c>
      <c r="D259" t="s">
        <v>1104</v>
      </c>
      <c r="E259" t="s">
        <v>22</v>
      </c>
      <c r="F259" t="s">
        <v>1105</v>
      </c>
      <c r="G259" t="s">
        <v>1106</v>
      </c>
      <c r="H259" s="4">
        <v>46071.911898402781</v>
      </c>
      <c r="J259" t="s">
        <v>37</v>
      </c>
      <c r="K259">
        <v>100669</v>
      </c>
    </row>
    <row r="260" spans="1:11" x14ac:dyDescent="0.55000000000000004">
      <c r="A260" t="s">
        <v>1107</v>
      </c>
      <c r="B260" s="4">
        <v>45890</v>
      </c>
      <c r="C260" t="s">
        <v>121</v>
      </c>
      <c r="D260" t="s">
        <v>1108</v>
      </c>
      <c r="E260" t="s">
        <v>15</v>
      </c>
      <c r="F260" t="s">
        <v>1109</v>
      </c>
      <c r="G260" t="s">
        <v>1110</v>
      </c>
      <c r="H260" s="4">
        <v>46092.128565069441</v>
      </c>
      <c r="J260" t="s">
        <v>37</v>
      </c>
      <c r="K260">
        <v>101446</v>
      </c>
    </row>
    <row r="261" spans="1:11" x14ac:dyDescent="0.55000000000000004">
      <c r="A261" t="s">
        <v>1111</v>
      </c>
      <c r="B261" s="4">
        <v>45964</v>
      </c>
      <c r="C261" t="s">
        <v>343</v>
      </c>
      <c r="D261" t="s">
        <v>1112</v>
      </c>
      <c r="E261" t="s">
        <v>15</v>
      </c>
      <c r="F261" t="s">
        <v>1113</v>
      </c>
      <c r="G261" t="s">
        <v>1114</v>
      </c>
      <c r="H261" s="4">
        <v>46090.728565069447</v>
      </c>
      <c r="J261" t="s">
        <v>533</v>
      </c>
      <c r="K261">
        <v>100158</v>
      </c>
    </row>
    <row r="262" spans="1:11" x14ac:dyDescent="0.55000000000000004">
      <c r="A262" t="s">
        <v>1115</v>
      </c>
      <c r="B262" s="4">
        <v>46091</v>
      </c>
      <c r="C262" t="s">
        <v>115</v>
      </c>
      <c r="D262" t="s">
        <v>1116</v>
      </c>
      <c r="E262" t="s">
        <v>22</v>
      </c>
      <c r="F262" t="s">
        <v>1117</v>
      </c>
      <c r="G262" t="s">
        <v>1118</v>
      </c>
      <c r="H262" s="4">
        <v>46075.002176192131</v>
      </c>
      <c r="J262" t="s">
        <v>533</v>
      </c>
      <c r="K262">
        <v>101359</v>
      </c>
    </row>
    <row r="263" spans="1:11" x14ac:dyDescent="0.55000000000000004">
      <c r="A263" t="s">
        <v>1119</v>
      </c>
      <c r="B263" s="4">
        <v>46132</v>
      </c>
      <c r="C263" t="s">
        <v>562</v>
      </c>
      <c r="D263" t="s">
        <v>1120</v>
      </c>
      <c r="E263" t="s">
        <v>15</v>
      </c>
      <c r="F263" t="s">
        <v>1121</v>
      </c>
      <c r="G263" t="s">
        <v>1122</v>
      </c>
      <c r="H263" s="4">
        <v>46080.578565081021</v>
      </c>
      <c r="J263" t="s">
        <v>19</v>
      </c>
      <c r="K263">
        <v>100049</v>
      </c>
    </row>
    <row r="264" spans="1:11" x14ac:dyDescent="0.55000000000000004">
      <c r="A264" t="s">
        <v>1123</v>
      </c>
      <c r="B264" s="4">
        <v>45903</v>
      </c>
      <c r="C264" t="s">
        <v>467</v>
      </c>
      <c r="D264" t="s">
        <v>1124</v>
      </c>
      <c r="E264" t="s">
        <v>15</v>
      </c>
      <c r="F264" t="s">
        <v>1125</v>
      </c>
      <c r="G264" t="s">
        <v>1126</v>
      </c>
      <c r="H264" s="4">
        <v>46080.926481759256</v>
      </c>
      <c r="J264" t="s">
        <v>37</v>
      </c>
      <c r="K264">
        <v>100846</v>
      </c>
    </row>
    <row r="265" spans="1:11" x14ac:dyDescent="0.55000000000000004">
      <c r="A265" t="s">
        <v>1127</v>
      </c>
      <c r="B265" s="4">
        <v>45986</v>
      </c>
      <c r="C265" t="s">
        <v>467</v>
      </c>
      <c r="D265" t="s">
        <v>1128</v>
      </c>
      <c r="E265" t="s">
        <v>15</v>
      </c>
      <c r="F265" t="s">
        <v>1129</v>
      </c>
      <c r="G265" t="s">
        <v>1130</v>
      </c>
      <c r="H265" s="4">
        <v>46065.940370648146</v>
      </c>
      <c r="J265" t="s">
        <v>37</v>
      </c>
      <c r="K265">
        <v>100686</v>
      </c>
    </row>
    <row r="266" spans="1:11" x14ac:dyDescent="0.55000000000000004">
      <c r="A266" t="s">
        <v>1131</v>
      </c>
      <c r="B266" s="4">
        <v>45920</v>
      </c>
      <c r="C266" t="s">
        <v>20</v>
      </c>
      <c r="D266" t="s">
        <v>1132</v>
      </c>
      <c r="E266" t="s">
        <v>15</v>
      </c>
      <c r="F266" t="s">
        <v>1133</v>
      </c>
      <c r="G266" t="s">
        <v>1134</v>
      </c>
      <c r="H266" s="4">
        <v>46060.787592870372</v>
      </c>
      <c r="J266" t="s">
        <v>533</v>
      </c>
      <c r="K266">
        <v>100420</v>
      </c>
    </row>
    <row r="267" spans="1:11" x14ac:dyDescent="0.55000000000000004">
      <c r="A267" t="s">
        <v>1135</v>
      </c>
      <c r="B267" s="4">
        <v>45848</v>
      </c>
      <c r="C267" t="s">
        <v>184</v>
      </c>
      <c r="D267" t="s">
        <v>1136</v>
      </c>
      <c r="E267" t="s">
        <v>15</v>
      </c>
      <c r="F267" t="s">
        <v>1137</v>
      </c>
      <c r="G267" t="s">
        <v>1138</v>
      </c>
      <c r="H267" s="4">
        <v>46082.680648437497</v>
      </c>
      <c r="J267" t="s">
        <v>533</v>
      </c>
      <c r="K267">
        <v>100112</v>
      </c>
    </row>
    <row r="268" spans="1:11" x14ac:dyDescent="0.55000000000000004">
      <c r="A268" t="s">
        <v>1139</v>
      </c>
      <c r="B268" s="4">
        <v>45918</v>
      </c>
      <c r="C268" t="s">
        <v>189</v>
      </c>
      <c r="D268" t="s">
        <v>1140</v>
      </c>
      <c r="E268" t="s">
        <v>15</v>
      </c>
      <c r="F268" t="s">
        <v>1141</v>
      </c>
      <c r="G268" t="s">
        <v>1142</v>
      </c>
      <c r="H268" s="4">
        <v>46061.813981770836</v>
      </c>
      <c r="J268" t="s">
        <v>19</v>
      </c>
      <c r="K268">
        <v>100718</v>
      </c>
    </row>
    <row r="269" spans="1:11" x14ac:dyDescent="0.55000000000000004">
      <c r="A269" t="s">
        <v>1143</v>
      </c>
      <c r="B269" s="4">
        <v>45846</v>
      </c>
      <c r="C269" t="s">
        <v>418</v>
      </c>
      <c r="D269" t="s">
        <v>1144</v>
      </c>
      <c r="E269" t="s">
        <v>22</v>
      </c>
      <c r="F269" t="s">
        <v>1145</v>
      </c>
      <c r="G269" t="s">
        <v>1146</v>
      </c>
      <c r="H269" s="4">
        <v>46080.635509560183</v>
      </c>
      <c r="J269" t="s">
        <v>179</v>
      </c>
      <c r="K269">
        <v>100884</v>
      </c>
    </row>
    <row r="270" spans="1:11" x14ac:dyDescent="0.55000000000000004">
      <c r="A270" t="s">
        <v>1147</v>
      </c>
      <c r="B270" s="4">
        <v>45922</v>
      </c>
      <c r="C270" t="s">
        <v>38</v>
      </c>
      <c r="D270" t="s">
        <v>1148</v>
      </c>
      <c r="E270" t="s">
        <v>15</v>
      </c>
      <c r="F270" t="s">
        <v>1149</v>
      </c>
      <c r="G270" t="s">
        <v>1150</v>
      </c>
      <c r="H270" s="4">
        <v>46086.428565115741</v>
      </c>
      <c r="J270" t="s">
        <v>19</v>
      </c>
      <c r="K270">
        <v>101416</v>
      </c>
    </row>
    <row r="271" spans="1:11" x14ac:dyDescent="0.55000000000000004">
      <c r="A271" t="s">
        <v>6025</v>
      </c>
      <c r="B271" s="4">
        <v>45755</v>
      </c>
      <c r="C271" t="s">
        <v>334</v>
      </c>
      <c r="D271" t="s">
        <v>1152</v>
      </c>
      <c r="E271" t="s">
        <v>22</v>
      </c>
      <c r="F271" t="s">
        <v>1153</v>
      </c>
      <c r="G271" t="s">
        <v>1154</v>
      </c>
      <c r="H271" s="4">
        <v>46078.280648449072</v>
      </c>
      <c r="I271" t="s">
        <v>119</v>
      </c>
      <c r="J271" t="s">
        <v>19</v>
      </c>
      <c r="K271">
        <v>100742</v>
      </c>
    </row>
    <row r="272" spans="1:11" x14ac:dyDescent="0.55000000000000004">
      <c r="A272" t="s">
        <v>1155</v>
      </c>
      <c r="B272" s="4">
        <v>46015</v>
      </c>
      <c r="C272" t="s">
        <v>295</v>
      </c>
      <c r="D272" t="s">
        <v>1156</v>
      </c>
      <c r="E272" t="s">
        <v>15</v>
      </c>
      <c r="F272" t="s">
        <v>1157</v>
      </c>
      <c r="G272" t="s">
        <v>1158</v>
      </c>
      <c r="H272" s="4">
        <v>46078.94453734954</v>
      </c>
      <c r="J272" t="s">
        <v>37</v>
      </c>
      <c r="K272">
        <v>100983</v>
      </c>
    </row>
    <row r="273" spans="1:11" x14ac:dyDescent="0.55000000000000004">
      <c r="A273" t="s">
        <v>1159</v>
      </c>
      <c r="B273" s="4">
        <v>46110</v>
      </c>
      <c r="C273" t="s">
        <v>208</v>
      </c>
      <c r="D273" t="s">
        <v>1160</v>
      </c>
      <c r="E273" t="s">
        <v>22</v>
      </c>
      <c r="F273" t="s">
        <v>1161</v>
      </c>
      <c r="G273" t="s">
        <v>1162</v>
      </c>
      <c r="H273" s="4">
        <v>46084.968842905095</v>
      </c>
      <c r="J273" t="s">
        <v>68</v>
      </c>
      <c r="K273">
        <v>100401</v>
      </c>
    </row>
    <row r="274" spans="1:11" x14ac:dyDescent="0.55000000000000004">
      <c r="A274" t="s">
        <v>1163</v>
      </c>
      <c r="B274" s="4">
        <v>45809</v>
      </c>
      <c r="C274" t="s">
        <v>69</v>
      </c>
      <c r="D274" t="s">
        <v>1164</v>
      </c>
      <c r="E274" t="s">
        <v>15</v>
      </c>
      <c r="F274" t="s">
        <v>1165</v>
      </c>
      <c r="G274" t="s">
        <v>1166</v>
      </c>
      <c r="H274" s="4">
        <v>46082.975787361109</v>
      </c>
      <c r="J274" t="s">
        <v>248</v>
      </c>
      <c r="K274">
        <v>101152</v>
      </c>
    </row>
    <row r="275" spans="1:11" x14ac:dyDescent="0.55000000000000004">
      <c r="A275" t="s">
        <v>1167</v>
      </c>
      <c r="B275" s="4">
        <v>46057</v>
      </c>
      <c r="C275" t="s">
        <v>13</v>
      </c>
      <c r="D275" t="s">
        <v>1168</v>
      </c>
      <c r="E275" t="s">
        <v>22</v>
      </c>
      <c r="F275" t="s">
        <v>1169</v>
      </c>
      <c r="G275" t="s">
        <v>1170</v>
      </c>
      <c r="H275" s="4">
        <v>46078.598704027776</v>
      </c>
      <c r="J275" t="s">
        <v>68</v>
      </c>
      <c r="K275">
        <v>100969</v>
      </c>
    </row>
    <row r="276" spans="1:11" x14ac:dyDescent="0.55000000000000004">
      <c r="A276" t="s">
        <v>729</v>
      </c>
      <c r="B276" s="4">
        <v>46003</v>
      </c>
      <c r="C276" t="s">
        <v>69</v>
      </c>
      <c r="D276" t="s">
        <v>1171</v>
      </c>
      <c r="E276" t="s">
        <v>22</v>
      </c>
      <c r="F276" t="s">
        <v>1172</v>
      </c>
      <c r="G276" t="s">
        <v>1173</v>
      </c>
      <c r="H276" s="4">
        <v>46094.543842916668</v>
      </c>
      <c r="J276" t="s">
        <v>248</v>
      </c>
      <c r="K276">
        <v>100011</v>
      </c>
    </row>
    <row r="277" spans="1:11" x14ac:dyDescent="0.55000000000000004">
      <c r="A277" t="s">
        <v>1174</v>
      </c>
      <c r="B277" s="4">
        <v>45779</v>
      </c>
      <c r="C277" t="s">
        <v>115</v>
      </c>
      <c r="D277" t="s">
        <v>1175</v>
      </c>
      <c r="E277" t="s">
        <v>22</v>
      </c>
      <c r="F277" t="s">
        <v>1176</v>
      </c>
      <c r="G277" t="s">
        <v>1177</v>
      </c>
      <c r="H277" s="4">
        <v>46053.216759594907</v>
      </c>
      <c r="J277" t="s">
        <v>248</v>
      </c>
      <c r="K277">
        <v>100715</v>
      </c>
    </row>
    <row r="278" spans="1:11" x14ac:dyDescent="0.55000000000000004">
      <c r="A278" t="s">
        <v>1178</v>
      </c>
      <c r="B278" s="4">
        <v>46114</v>
      </c>
      <c r="C278" t="s">
        <v>38</v>
      </c>
      <c r="D278" t="s">
        <v>1179</v>
      </c>
      <c r="E278" t="s">
        <v>15</v>
      </c>
      <c r="F278" t="s">
        <v>1180</v>
      </c>
      <c r="G278" t="s">
        <v>1181</v>
      </c>
      <c r="H278" s="4">
        <v>46065.556342928241</v>
      </c>
      <c r="J278" t="s">
        <v>179</v>
      </c>
      <c r="K278">
        <v>100954</v>
      </c>
    </row>
    <row r="279" spans="1:11" x14ac:dyDescent="0.55000000000000004">
      <c r="A279" t="s">
        <v>1182</v>
      </c>
      <c r="B279" s="4">
        <v>45770</v>
      </c>
      <c r="C279" t="s">
        <v>270</v>
      </c>
      <c r="D279" t="s">
        <v>1183</v>
      </c>
      <c r="E279" t="s">
        <v>15</v>
      </c>
      <c r="F279" t="s">
        <v>1184</v>
      </c>
      <c r="G279" t="s">
        <v>1185</v>
      </c>
      <c r="H279" s="4">
        <v>46082.331342939811</v>
      </c>
      <c r="J279" t="s">
        <v>179</v>
      </c>
      <c r="K279">
        <v>100473</v>
      </c>
    </row>
    <row r="280" spans="1:11" x14ac:dyDescent="0.55000000000000004">
      <c r="A280" t="s">
        <v>1186</v>
      </c>
      <c r="B280" s="4">
        <v>45893</v>
      </c>
      <c r="C280" t="s">
        <v>49</v>
      </c>
      <c r="D280" t="s">
        <v>1187</v>
      </c>
      <c r="E280" t="s">
        <v>22</v>
      </c>
      <c r="F280" t="s">
        <v>1188</v>
      </c>
      <c r="G280" t="s">
        <v>1189</v>
      </c>
      <c r="H280" s="4">
        <v>46069.359815162039</v>
      </c>
      <c r="J280" t="s">
        <v>248</v>
      </c>
      <c r="K280">
        <v>100419</v>
      </c>
    </row>
    <row r="281" spans="1:11" x14ac:dyDescent="0.55000000000000004">
      <c r="A281" t="s">
        <v>1190</v>
      </c>
      <c r="B281" s="4">
        <v>45770</v>
      </c>
      <c r="C281" t="s">
        <v>115</v>
      </c>
      <c r="D281" t="s">
        <v>1191</v>
      </c>
      <c r="E281" t="s">
        <v>15</v>
      </c>
      <c r="F281" t="s">
        <v>1192</v>
      </c>
      <c r="G281" t="s">
        <v>1193</v>
      </c>
      <c r="H281" s="4">
        <v>46088.595926273149</v>
      </c>
      <c r="J281" t="s">
        <v>248</v>
      </c>
      <c r="K281">
        <v>100591</v>
      </c>
    </row>
    <row r="282" spans="1:11" x14ac:dyDescent="0.55000000000000004">
      <c r="A282" t="s">
        <v>1194</v>
      </c>
      <c r="B282" s="4">
        <v>45962</v>
      </c>
      <c r="C282" t="s">
        <v>58</v>
      </c>
      <c r="D282" t="s">
        <v>1195</v>
      </c>
      <c r="E282" t="s">
        <v>15</v>
      </c>
      <c r="F282" t="s">
        <v>1196</v>
      </c>
      <c r="G282" t="s">
        <v>1197</v>
      </c>
      <c r="H282" s="4">
        <v>46063.236898506948</v>
      </c>
      <c r="I282" t="s">
        <v>139</v>
      </c>
      <c r="J282" t="s">
        <v>533</v>
      </c>
      <c r="K282">
        <v>101121</v>
      </c>
    </row>
    <row r="283" spans="1:11" x14ac:dyDescent="0.55000000000000004">
      <c r="A283" t="s">
        <v>1198</v>
      </c>
      <c r="B283" s="4">
        <v>45963</v>
      </c>
      <c r="C283" t="s">
        <v>58</v>
      </c>
      <c r="D283" t="s">
        <v>1199</v>
      </c>
      <c r="E283" t="s">
        <v>15</v>
      </c>
      <c r="F283" t="s">
        <v>1200</v>
      </c>
      <c r="G283" t="s">
        <v>1201</v>
      </c>
      <c r="H283" s="4">
        <v>46092.522315173614</v>
      </c>
      <c r="J283" t="s">
        <v>248</v>
      </c>
      <c r="K283">
        <v>100413</v>
      </c>
    </row>
    <row r="284" spans="1:11" x14ac:dyDescent="0.55000000000000004">
      <c r="A284" t="s">
        <v>1202</v>
      </c>
      <c r="B284" s="4">
        <v>46155</v>
      </c>
      <c r="C284" t="s">
        <v>184</v>
      </c>
      <c r="D284" t="s">
        <v>1203</v>
      </c>
      <c r="E284" t="s">
        <v>15</v>
      </c>
      <c r="F284" t="s">
        <v>1204</v>
      </c>
      <c r="G284" t="s">
        <v>1205</v>
      </c>
      <c r="H284" s="4">
        <v>46077.535509618057</v>
      </c>
      <c r="J284" t="s">
        <v>68</v>
      </c>
      <c r="K284">
        <v>100872</v>
      </c>
    </row>
    <row r="285" spans="1:11" x14ac:dyDescent="0.55000000000000004">
      <c r="A285" t="s">
        <v>1206</v>
      </c>
      <c r="B285" s="4">
        <v>46096</v>
      </c>
      <c r="C285" t="s">
        <v>20</v>
      </c>
      <c r="D285" t="s">
        <v>1207</v>
      </c>
      <c r="E285" t="s">
        <v>22</v>
      </c>
      <c r="F285" t="s">
        <v>1208</v>
      </c>
      <c r="G285" t="s">
        <v>1209</v>
      </c>
      <c r="H285" s="4">
        <v>46065.67648185185</v>
      </c>
      <c r="J285" t="s">
        <v>37</v>
      </c>
      <c r="K285">
        <v>100739</v>
      </c>
    </row>
    <row r="286" spans="1:11" x14ac:dyDescent="0.55000000000000004">
      <c r="A286" t="s">
        <v>1210</v>
      </c>
      <c r="B286" s="4">
        <v>45865</v>
      </c>
      <c r="C286" t="s">
        <v>155</v>
      </c>
      <c r="D286" t="s">
        <v>1211</v>
      </c>
      <c r="E286" t="s">
        <v>22</v>
      </c>
      <c r="F286" t="s">
        <v>1212</v>
      </c>
      <c r="G286" t="s">
        <v>1213</v>
      </c>
      <c r="H286" s="4">
        <v>46068.955648518517</v>
      </c>
      <c r="J286" t="s">
        <v>68</v>
      </c>
      <c r="K286">
        <v>100948</v>
      </c>
    </row>
    <row r="287" spans="1:11" x14ac:dyDescent="0.55000000000000004">
      <c r="A287" t="s">
        <v>1214</v>
      </c>
      <c r="B287" s="4">
        <v>45859</v>
      </c>
      <c r="C287" t="s">
        <v>69</v>
      </c>
      <c r="D287" t="s">
        <v>1215</v>
      </c>
      <c r="E287" t="s">
        <v>15</v>
      </c>
      <c r="F287" t="s">
        <v>1216</v>
      </c>
      <c r="G287" t="s">
        <v>1217</v>
      </c>
      <c r="H287" s="4">
        <v>46089.573704085647</v>
      </c>
      <c r="J287" t="s">
        <v>19</v>
      </c>
      <c r="K287">
        <v>100653</v>
      </c>
    </row>
    <row r="288" spans="1:11" x14ac:dyDescent="0.55000000000000004">
      <c r="A288" t="s">
        <v>1218</v>
      </c>
      <c r="B288" s="4">
        <v>45763</v>
      </c>
      <c r="C288" t="s">
        <v>115</v>
      </c>
      <c r="D288" t="s">
        <v>1219</v>
      </c>
      <c r="E288" t="s">
        <v>15</v>
      </c>
      <c r="F288" t="s">
        <v>1220</v>
      </c>
      <c r="G288" t="s">
        <v>1221</v>
      </c>
      <c r="H288" s="4">
        <v>46072.216759641204</v>
      </c>
      <c r="J288" t="s">
        <v>37</v>
      </c>
      <c r="K288">
        <v>100128</v>
      </c>
    </row>
    <row r="289" spans="1:11" x14ac:dyDescent="0.55000000000000004">
      <c r="A289" t="s">
        <v>1222</v>
      </c>
      <c r="B289" s="4">
        <v>46030</v>
      </c>
      <c r="C289" t="s">
        <v>343</v>
      </c>
      <c r="D289" t="s">
        <v>1223</v>
      </c>
      <c r="E289" t="s">
        <v>15</v>
      </c>
      <c r="F289" t="s">
        <v>1224</v>
      </c>
      <c r="G289" t="s">
        <v>1225</v>
      </c>
      <c r="H289" s="4">
        <v>46084.827870752313</v>
      </c>
      <c r="J289" t="s">
        <v>37</v>
      </c>
      <c r="K289">
        <v>100690</v>
      </c>
    </row>
    <row r="290" spans="1:11" x14ac:dyDescent="0.55000000000000004">
      <c r="A290" t="s">
        <v>1226</v>
      </c>
      <c r="B290" s="4">
        <v>46146</v>
      </c>
      <c r="C290" t="s">
        <v>155</v>
      </c>
      <c r="D290" t="s">
        <v>1227</v>
      </c>
      <c r="E290" t="s">
        <v>22</v>
      </c>
      <c r="F290" t="s">
        <v>1228</v>
      </c>
      <c r="G290" t="s">
        <v>1229</v>
      </c>
      <c r="H290" s="4">
        <v>46090.68550965278</v>
      </c>
      <c r="J290" t="s">
        <v>179</v>
      </c>
      <c r="K290">
        <v>101097</v>
      </c>
    </row>
    <row r="291" spans="1:11" x14ac:dyDescent="0.55000000000000004">
      <c r="A291" t="s">
        <v>1230</v>
      </c>
      <c r="B291" s="4">
        <v>45757</v>
      </c>
      <c r="C291" t="s">
        <v>38</v>
      </c>
      <c r="D291" t="s">
        <v>1231</v>
      </c>
      <c r="E291" t="s">
        <v>22</v>
      </c>
      <c r="F291" t="s">
        <v>1232</v>
      </c>
      <c r="G291" t="s">
        <v>1233</v>
      </c>
      <c r="H291" s="4">
        <v>46072.040370763891</v>
      </c>
      <c r="J291" t="s">
        <v>179</v>
      </c>
      <c r="K291">
        <v>100394</v>
      </c>
    </row>
    <row r="292" spans="1:11" x14ac:dyDescent="0.55000000000000004">
      <c r="A292" t="s">
        <v>6026</v>
      </c>
      <c r="B292" s="4">
        <v>45927</v>
      </c>
      <c r="C292" t="s">
        <v>208</v>
      </c>
      <c r="D292" t="s">
        <v>1235</v>
      </c>
      <c r="E292" t="s">
        <v>15</v>
      </c>
      <c r="F292" t="s">
        <v>1236</v>
      </c>
      <c r="G292" t="s">
        <v>1237</v>
      </c>
      <c r="H292" s="4">
        <v>46086.3549541088</v>
      </c>
      <c r="I292" t="s">
        <v>119</v>
      </c>
      <c r="J292" t="s">
        <v>37</v>
      </c>
      <c r="K292">
        <v>101400</v>
      </c>
    </row>
    <row r="293" spans="1:11" x14ac:dyDescent="0.55000000000000004">
      <c r="A293" t="s">
        <v>1238</v>
      </c>
      <c r="B293" s="4">
        <v>45960</v>
      </c>
      <c r="C293" t="s">
        <v>155</v>
      </c>
      <c r="D293" t="s">
        <v>1239</v>
      </c>
      <c r="E293" t="s">
        <v>15</v>
      </c>
      <c r="F293" t="s">
        <v>1240</v>
      </c>
      <c r="G293" t="s">
        <v>1241</v>
      </c>
      <c r="H293" s="4">
        <v>46056.326481886572</v>
      </c>
      <c r="J293" t="s">
        <v>248</v>
      </c>
      <c r="K293">
        <v>100037</v>
      </c>
    </row>
    <row r="294" spans="1:11" x14ac:dyDescent="0.55000000000000004">
      <c r="A294" t="s">
        <v>1242</v>
      </c>
      <c r="B294" s="4">
        <v>45942</v>
      </c>
      <c r="C294" t="s">
        <v>270</v>
      </c>
      <c r="D294" t="s">
        <v>1243</v>
      </c>
      <c r="E294" t="s">
        <v>22</v>
      </c>
      <c r="F294" t="s">
        <v>1244</v>
      </c>
      <c r="G294" t="s">
        <v>1245</v>
      </c>
      <c r="H294" s="4">
        <v>46073.550787442131</v>
      </c>
      <c r="J294" t="s">
        <v>19</v>
      </c>
      <c r="K294">
        <v>100080</v>
      </c>
    </row>
    <row r="295" spans="1:11" x14ac:dyDescent="0.55000000000000004">
      <c r="A295" t="s">
        <v>1246</v>
      </c>
      <c r="B295" s="4">
        <v>45834</v>
      </c>
      <c r="C295" t="s">
        <v>528</v>
      </c>
      <c r="D295" t="s">
        <v>1247</v>
      </c>
      <c r="E295" t="s">
        <v>22</v>
      </c>
      <c r="F295" t="s">
        <v>1248</v>
      </c>
      <c r="G295" t="s">
        <v>1249</v>
      </c>
      <c r="H295" s="4">
        <v>46052.235509675927</v>
      </c>
      <c r="J295" t="s">
        <v>179</v>
      </c>
      <c r="K295">
        <v>100839</v>
      </c>
    </row>
    <row r="296" spans="1:11" x14ac:dyDescent="0.55000000000000004">
      <c r="A296" t="s">
        <v>1250</v>
      </c>
      <c r="B296" s="4">
        <v>46010</v>
      </c>
      <c r="C296" t="s">
        <v>467</v>
      </c>
      <c r="D296" t="s">
        <v>1251</v>
      </c>
      <c r="E296" t="s">
        <v>22</v>
      </c>
      <c r="F296" t="s">
        <v>1252</v>
      </c>
      <c r="G296" t="s">
        <v>1253</v>
      </c>
      <c r="H296" s="4">
        <v>46073.361898564814</v>
      </c>
      <c r="I296" t="s">
        <v>217</v>
      </c>
      <c r="K296">
        <v>100372</v>
      </c>
    </row>
    <row r="297" spans="1:11" x14ac:dyDescent="0.55000000000000004">
      <c r="A297" t="s">
        <v>1254</v>
      </c>
      <c r="B297" s="4">
        <v>45745</v>
      </c>
      <c r="C297" t="s">
        <v>409</v>
      </c>
      <c r="D297" t="s">
        <v>1255</v>
      </c>
      <c r="E297" t="s">
        <v>15</v>
      </c>
      <c r="F297" t="s">
        <v>1256</v>
      </c>
      <c r="G297" t="s">
        <v>1257</v>
      </c>
      <c r="H297" s="4">
        <v>46080.663287453703</v>
      </c>
      <c r="J297" t="s">
        <v>533</v>
      </c>
      <c r="K297">
        <v>100238</v>
      </c>
    </row>
    <row r="298" spans="1:11" x14ac:dyDescent="0.55000000000000004">
      <c r="A298" t="s">
        <v>1258</v>
      </c>
      <c r="B298" s="4">
        <v>46003</v>
      </c>
      <c r="C298" t="s">
        <v>409</v>
      </c>
      <c r="D298" t="s">
        <v>1259</v>
      </c>
      <c r="E298" t="s">
        <v>15</v>
      </c>
      <c r="F298" t="s">
        <v>1260</v>
      </c>
      <c r="G298" t="s">
        <v>1261</v>
      </c>
      <c r="H298" s="4">
        <v>46091.393843020836</v>
      </c>
      <c r="J298" t="s">
        <v>19</v>
      </c>
      <c r="K298">
        <v>101215</v>
      </c>
    </row>
    <row r="299" spans="1:11" x14ac:dyDescent="0.55000000000000004">
      <c r="A299" t="s">
        <v>6027</v>
      </c>
      <c r="B299" s="4">
        <v>45868</v>
      </c>
      <c r="C299" t="s">
        <v>108</v>
      </c>
      <c r="D299" t="s">
        <v>1263</v>
      </c>
      <c r="E299" t="s">
        <v>22</v>
      </c>
      <c r="F299" t="s">
        <v>1264</v>
      </c>
      <c r="G299" t="s">
        <v>1265</v>
      </c>
      <c r="H299" s="4">
        <v>46075.499398576387</v>
      </c>
      <c r="I299" t="s">
        <v>119</v>
      </c>
      <c r="J299" t="s">
        <v>248</v>
      </c>
      <c r="K299">
        <v>101145</v>
      </c>
    </row>
    <row r="300" spans="1:11" x14ac:dyDescent="0.55000000000000004">
      <c r="A300" t="s">
        <v>1266</v>
      </c>
      <c r="B300" s="4">
        <v>45853</v>
      </c>
      <c r="C300" t="s">
        <v>13</v>
      </c>
      <c r="D300" t="s">
        <v>1267</v>
      </c>
      <c r="E300" t="s">
        <v>22</v>
      </c>
      <c r="F300" t="s">
        <v>1268</v>
      </c>
      <c r="G300" t="s">
        <v>1269</v>
      </c>
      <c r="H300" s="4">
        <v>46060.944537476855</v>
      </c>
      <c r="J300" t="s">
        <v>533</v>
      </c>
      <c r="K300">
        <v>100235</v>
      </c>
    </row>
    <row r="301" spans="1:11" x14ac:dyDescent="0.55000000000000004">
      <c r="A301" t="s">
        <v>1270</v>
      </c>
      <c r="B301" s="4">
        <v>46020</v>
      </c>
      <c r="C301" t="s">
        <v>69</v>
      </c>
      <c r="D301" t="s">
        <v>1271</v>
      </c>
      <c r="E301" t="s">
        <v>22</v>
      </c>
      <c r="F301" t="s">
        <v>1272</v>
      </c>
      <c r="G301" t="s">
        <v>1273</v>
      </c>
      <c r="H301" s="4">
        <v>46086.048704143519</v>
      </c>
      <c r="J301" t="s">
        <v>533</v>
      </c>
      <c r="K301">
        <v>101184</v>
      </c>
    </row>
    <row r="302" spans="1:11" x14ac:dyDescent="0.55000000000000004">
      <c r="A302" t="s">
        <v>1274</v>
      </c>
      <c r="B302" s="4">
        <v>45778</v>
      </c>
      <c r="C302" t="s">
        <v>115</v>
      </c>
      <c r="D302" t="s">
        <v>1275</v>
      </c>
      <c r="E302" t="s">
        <v>15</v>
      </c>
      <c r="F302" t="s">
        <v>1276</v>
      </c>
      <c r="G302" t="s">
        <v>1277</v>
      </c>
      <c r="H302" s="4">
        <v>46095.99731525463</v>
      </c>
      <c r="J302" t="s">
        <v>37</v>
      </c>
      <c r="K302">
        <v>101012</v>
      </c>
    </row>
    <row r="303" spans="1:11" x14ac:dyDescent="0.55000000000000004">
      <c r="A303" t="s">
        <v>1278</v>
      </c>
      <c r="B303" s="4">
        <v>45732</v>
      </c>
      <c r="C303" t="s">
        <v>409</v>
      </c>
      <c r="D303" t="s">
        <v>1279</v>
      </c>
      <c r="E303" t="s">
        <v>15</v>
      </c>
      <c r="F303" t="s">
        <v>1280</v>
      </c>
      <c r="G303" t="s">
        <v>1281</v>
      </c>
      <c r="H303" s="4">
        <v>46076.49384304398</v>
      </c>
      <c r="J303" t="s">
        <v>19</v>
      </c>
      <c r="K303">
        <v>101387</v>
      </c>
    </row>
    <row r="304" spans="1:11" x14ac:dyDescent="0.55000000000000004">
      <c r="A304" t="s">
        <v>1282</v>
      </c>
      <c r="B304" s="4">
        <v>45762</v>
      </c>
      <c r="C304" t="s">
        <v>115</v>
      </c>
      <c r="D304" t="s">
        <v>1283</v>
      </c>
      <c r="E304" t="s">
        <v>15</v>
      </c>
      <c r="F304" t="s">
        <v>1284</v>
      </c>
      <c r="G304" t="s">
        <v>1285</v>
      </c>
      <c r="H304" s="4">
        <v>46089.998009710645</v>
      </c>
      <c r="J304" t="s">
        <v>68</v>
      </c>
      <c r="K304">
        <v>100791</v>
      </c>
    </row>
    <row r="305" spans="1:11" x14ac:dyDescent="0.55000000000000004">
      <c r="A305" t="s">
        <v>1286</v>
      </c>
      <c r="B305" s="4">
        <v>45769</v>
      </c>
      <c r="C305" t="s">
        <v>757</v>
      </c>
      <c r="D305" t="s">
        <v>1287</v>
      </c>
      <c r="E305" t="s">
        <v>15</v>
      </c>
      <c r="F305" t="s">
        <v>1288</v>
      </c>
      <c r="G305" t="s">
        <v>1289</v>
      </c>
      <c r="H305" s="4">
        <v>46076.31675972222</v>
      </c>
      <c r="J305" t="s">
        <v>68</v>
      </c>
      <c r="K305">
        <v>100564</v>
      </c>
    </row>
    <row r="306" spans="1:11" x14ac:dyDescent="0.55000000000000004">
      <c r="A306" t="s">
        <v>1290</v>
      </c>
      <c r="B306" s="4">
        <v>45801</v>
      </c>
      <c r="C306" t="s">
        <v>317</v>
      </c>
      <c r="D306" t="s">
        <v>1291</v>
      </c>
      <c r="E306" t="s">
        <v>22</v>
      </c>
      <c r="F306" t="s">
        <v>1292</v>
      </c>
      <c r="G306" t="s">
        <v>1293</v>
      </c>
      <c r="H306" s="4">
        <v>46057.053565277776</v>
      </c>
      <c r="J306" t="s">
        <v>68</v>
      </c>
      <c r="K306">
        <v>100759</v>
      </c>
    </row>
    <row r="307" spans="1:11" x14ac:dyDescent="0.55000000000000004">
      <c r="A307" t="s">
        <v>1294</v>
      </c>
      <c r="B307" s="4">
        <v>45821</v>
      </c>
      <c r="C307" t="s">
        <v>126</v>
      </c>
      <c r="D307" t="s">
        <v>1295</v>
      </c>
      <c r="E307" t="s">
        <v>15</v>
      </c>
      <c r="F307" t="s">
        <v>1296</v>
      </c>
      <c r="G307" t="s">
        <v>1297</v>
      </c>
      <c r="H307" s="4">
        <v>46054.908426388887</v>
      </c>
      <c r="J307" t="s">
        <v>68</v>
      </c>
      <c r="K307">
        <v>101165</v>
      </c>
    </row>
    <row r="308" spans="1:11" x14ac:dyDescent="0.55000000000000004">
      <c r="A308" t="s">
        <v>1298</v>
      </c>
      <c r="B308" s="4">
        <v>45925</v>
      </c>
      <c r="C308" t="s">
        <v>49</v>
      </c>
      <c r="D308" t="s">
        <v>1299</v>
      </c>
      <c r="E308" t="s">
        <v>15</v>
      </c>
      <c r="F308" t="s">
        <v>1300</v>
      </c>
      <c r="G308" t="s">
        <v>1301</v>
      </c>
      <c r="H308" s="4">
        <v>46086.743843067132</v>
      </c>
      <c r="J308" t="s">
        <v>533</v>
      </c>
      <c r="K308">
        <v>101237</v>
      </c>
    </row>
    <row r="309" spans="1:11" x14ac:dyDescent="0.55000000000000004">
      <c r="A309" t="s">
        <v>1302</v>
      </c>
      <c r="B309" s="4">
        <v>45932</v>
      </c>
      <c r="C309" t="s">
        <v>199</v>
      </c>
      <c r="D309" t="s">
        <v>1303</v>
      </c>
      <c r="E309" t="s">
        <v>15</v>
      </c>
      <c r="F309" t="s">
        <v>1304</v>
      </c>
      <c r="G309" t="s">
        <v>1305</v>
      </c>
      <c r="H309" s="4">
        <v>46056.941759733796</v>
      </c>
      <c r="J309" t="s">
        <v>19</v>
      </c>
      <c r="K309">
        <v>101147</v>
      </c>
    </row>
    <row r="310" spans="1:11" x14ac:dyDescent="0.55000000000000004">
      <c r="A310" t="s">
        <v>1306</v>
      </c>
      <c r="B310" s="4">
        <v>45986</v>
      </c>
      <c r="C310" t="s">
        <v>20</v>
      </c>
      <c r="D310" t="s">
        <v>1307</v>
      </c>
      <c r="E310" t="s">
        <v>15</v>
      </c>
      <c r="F310" t="s">
        <v>1308</v>
      </c>
      <c r="G310" t="s">
        <v>1309</v>
      </c>
      <c r="H310" s="4">
        <v>46082.252870856479</v>
      </c>
      <c r="J310" t="s">
        <v>533</v>
      </c>
      <c r="K310">
        <v>100089</v>
      </c>
    </row>
    <row r="311" spans="1:11" x14ac:dyDescent="0.55000000000000004">
      <c r="A311" t="s">
        <v>1310</v>
      </c>
      <c r="B311" s="4">
        <v>45817</v>
      </c>
      <c r="C311" t="s">
        <v>83</v>
      </c>
      <c r="D311" t="s">
        <v>81</v>
      </c>
      <c r="E311" t="s">
        <v>15</v>
      </c>
      <c r="F311" t="s">
        <v>1311</v>
      </c>
      <c r="G311" t="s">
        <v>1312</v>
      </c>
      <c r="H311" s="4">
        <v>46081.448009745371</v>
      </c>
      <c r="J311" t="s">
        <v>68</v>
      </c>
      <c r="K311">
        <v>101370</v>
      </c>
    </row>
    <row r="312" spans="1:11" x14ac:dyDescent="0.55000000000000004">
      <c r="A312" t="s">
        <v>1313</v>
      </c>
      <c r="B312" s="4">
        <v>46086</v>
      </c>
      <c r="C312" t="s">
        <v>20</v>
      </c>
      <c r="D312" t="s">
        <v>1314</v>
      </c>
      <c r="E312" t="s">
        <v>22</v>
      </c>
      <c r="F312" t="s">
        <v>1315</v>
      </c>
      <c r="G312" t="s">
        <v>1316</v>
      </c>
      <c r="H312" s="4">
        <v>46091.744537523147</v>
      </c>
      <c r="J312" t="s">
        <v>248</v>
      </c>
      <c r="K312">
        <v>100092</v>
      </c>
    </row>
    <row r="313" spans="1:11" x14ac:dyDescent="0.55000000000000004">
      <c r="A313" t="s">
        <v>1317</v>
      </c>
      <c r="B313" s="4">
        <v>45929</v>
      </c>
      <c r="C313" t="s">
        <v>757</v>
      </c>
      <c r="D313" t="s">
        <v>1318</v>
      </c>
      <c r="E313" t="s">
        <v>15</v>
      </c>
      <c r="F313" t="s">
        <v>1319</v>
      </c>
      <c r="G313" t="s">
        <v>1320</v>
      </c>
      <c r="H313" s="4">
        <v>46071.045231979166</v>
      </c>
      <c r="J313" t="s">
        <v>37</v>
      </c>
      <c r="K313">
        <v>100560</v>
      </c>
    </row>
    <row r="314" spans="1:11" x14ac:dyDescent="0.55000000000000004">
      <c r="A314" t="s">
        <v>338</v>
      </c>
      <c r="B314" s="4">
        <v>45911</v>
      </c>
      <c r="C314" t="s">
        <v>243</v>
      </c>
      <c r="D314" t="s">
        <v>1321</v>
      </c>
      <c r="E314" t="s">
        <v>15</v>
      </c>
      <c r="F314" t="s">
        <v>1322</v>
      </c>
      <c r="G314" t="s">
        <v>1323</v>
      </c>
      <c r="H314" s="4">
        <v>46087.104259756947</v>
      </c>
      <c r="J314" t="s">
        <v>179</v>
      </c>
      <c r="K314">
        <v>101188</v>
      </c>
    </row>
    <row r="315" spans="1:11" x14ac:dyDescent="0.55000000000000004">
      <c r="A315" t="s">
        <v>1324</v>
      </c>
      <c r="B315" s="4">
        <v>46141</v>
      </c>
      <c r="C315" t="s">
        <v>20</v>
      </c>
      <c r="D315" t="s">
        <v>1325</v>
      </c>
      <c r="E315" t="s">
        <v>15</v>
      </c>
      <c r="F315" t="s">
        <v>1326</v>
      </c>
      <c r="G315" t="s">
        <v>1327</v>
      </c>
      <c r="H315" s="4">
        <v>46077.375093090275</v>
      </c>
      <c r="J315" t="s">
        <v>37</v>
      </c>
      <c r="K315">
        <v>101154</v>
      </c>
    </row>
    <row r="316" spans="1:11" x14ac:dyDescent="0.55000000000000004">
      <c r="A316" t="s">
        <v>1328</v>
      </c>
      <c r="B316" s="4">
        <v>45769</v>
      </c>
      <c r="C316" t="s">
        <v>418</v>
      </c>
      <c r="D316" t="s">
        <v>1329</v>
      </c>
      <c r="E316" t="s">
        <v>15</v>
      </c>
      <c r="F316" t="s">
        <v>1330</v>
      </c>
      <c r="G316" t="s">
        <v>1331</v>
      </c>
      <c r="H316" s="4">
        <v>46092.968148657405</v>
      </c>
      <c r="J316" t="s">
        <v>533</v>
      </c>
      <c r="K316">
        <v>100125</v>
      </c>
    </row>
    <row r="317" spans="1:11" x14ac:dyDescent="0.55000000000000004">
      <c r="A317" t="s">
        <v>1332</v>
      </c>
      <c r="B317" s="4">
        <v>45905</v>
      </c>
      <c r="C317" t="s">
        <v>270</v>
      </c>
      <c r="D317" t="s">
        <v>1333</v>
      </c>
      <c r="E317" t="s">
        <v>22</v>
      </c>
      <c r="F317" t="s">
        <v>1334</v>
      </c>
      <c r="G317" t="s">
        <v>1335</v>
      </c>
      <c r="H317" s="4">
        <v>46056.511898657409</v>
      </c>
      <c r="J317" t="s">
        <v>37</v>
      </c>
      <c r="K317">
        <v>100660</v>
      </c>
    </row>
    <row r="318" spans="1:11" x14ac:dyDescent="0.55000000000000004">
      <c r="A318" t="s">
        <v>1336</v>
      </c>
      <c r="B318" s="4">
        <v>45954</v>
      </c>
      <c r="C318" t="s">
        <v>155</v>
      </c>
      <c r="D318" t="s">
        <v>1337</v>
      </c>
      <c r="E318" t="s">
        <v>15</v>
      </c>
      <c r="F318" t="s">
        <v>1338</v>
      </c>
      <c r="G318" t="s">
        <v>1339</v>
      </c>
      <c r="H318" s="4">
        <v>46076.45425978009</v>
      </c>
      <c r="J318" t="s">
        <v>19</v>
      </c>
      <c r="K318">
        <v>100220</v>
      </c>
    </row>
    <row r="319" spans="1:11" x14ac:dyDescent="0.55000000000000004">
      <c r="A319" t="s">
        <v>1340</v>
      </c>
      <c r="B319" s="4">
        <v>45941</v>
      </c>
      <c r="C319" t="s">
        <v>126</v>
      </c>
      <c r="D319" t="s">
        <v>1341</v>
      </c>
      <c r="E319" t="s">
        <v>22</v>
      </c>
      <c r="F319" t="s">
        <v>1342</v>
      </c>
      <c r="G319" t="s">
        <v>1343</v>
      </c>
      <c r="H319" s="4">
        <v>46078.40842644676</v>
      </c>
      <c r="J319" t="s">
        <v>248</v>
      </c>
      <c r="K319">
        <v>101324</v>
      </c>
    </row>
    <row r="320" spans="1:11" x14ac:dyDescent="0.55000000000000004">
      <c r="A320" t="s">
        <v>1344</v>
      </c>
      <c r="B320" s="4">
        <v>45757</v>
      </c>
      <c r="C320" t="s">
        <v>27</v>
      </c>
      <c r="D320" t="s">
        <v>1345</v>
      </c>
      <c r="E320" t="s">
        <v>22</v>
      </c>
      <c r="F320" t="s">
        <v>1346</v>
      </c>
      <c r="G320" t="s">
        <v>1347</v>
      </c>
      <c r="H320" s="4">
        <v>46088.668843113424</v>
      </c>
      <c r="J320" t="s">
        <v>533</v>
      </c>
      <c r="K320">
        <v>100628</v>
      </c>
    </row>
    <row r="321" spans="1:11" x14ac:dyDescent="0.55000000000000004">
      <c r="A321" t="s">
        <v>1348</v>
      </c>
      <c r="B321" s="4">
        <v>45733</v>
      </c>
      <c r="C321" t="s">
        <v>295</v>
      </c>
      <c r="D321" t="s">
        <v>1349</v>
      </c>
      <c r="E321" t="s">
        <v>22</v>
      </c>
      <c r="F321" t="s">
        <v>1350</v>
      </c>
      <c r="G321" t="s">
        <v>1351</v>
      </c>
      <c r="H321" s="4">
        <v>46085.608426458333</v>
      </c>
      <c r="I321" t="s">
        <v>139</v>
      </c>
      <c r="J321" t="s">
        <v>68</v>
      </c>
      <c r="K321">
        <v>100345</v>
      </c>
    </row>
    <row r="322" spans="1:11" x14ac:dyDescent="0.55000000000000004">
      <c r="A322" t="s">
        <v>1352</v>
      </c>
      <c r="B322" s="4">
        <v>45837</v>
      </c>
      <c r="C322" t="s">
        <v>317</v>
      </c>
      <c r="D322" t="s">
        <v>1353</v>
      </c>
      <c r="E322" t="s">
        <v>22</v>
      </c>
      <c r="F322" t="s">
        <v>1354</v>
      </c>
      <c r="G322" t="s">
        <v>1355</v>
      </c>
      <c r="H322" s="4">
        <v>46092.073009791668</v>
      </c>
      <c r="I322" t="s">
        <v>112</v>
      </c>
      <c r="J322" t="s">
        <v>37</v>
      </c>
    </row>
    <row r="323" spans="1:11" x14ac:dyDescent="0.55000000000000004">
      <c r="A323" t="s">
        <v>1356</v>
      </c>
      <c r="B323" s="4">
        <v>45889</v>
      </c>
      <c r="C323" t="s">
        <v>757</v>
      </c>
      <c r="D323" t="s">
        <v>1357</v>
      </c>
      <c r="E323" t="s">
        <v>22</v>
      </c>
      <c r="F323" t="s">
        <v>1358</v>
      </c>
      <c r="G323" t="s">
        <v>1359</v>
      </c>
      <c r="H323" s="4">
        <v>46091.833426469908</v>
      </c>
      <c r="J323" t="s">
        <v>533</v>
      </c>
      <c r="K323">
        <v>100166</v>
      </c>
    </row>
    <row r="324" spans="1:11" x14ac:dyDescent="0.55000000000000004">
      <c r="A324" t="s">
        <v>1360</v>
      </c>
      <c r="B324" s="4">
        <v>45930</v>
      </c>
      <c r="C324" t="s">
        <v>20</v>
      </c>
      <c r="D324" t="s">
        <v>1361</v>
      </c>
      <c r="E324" t="s">
        <v>22</v>
      </c>
      <c r="F324" t="s">
        <v>1362</v>
      </c>
      <c r="G324" t="s">
        <v>1363</v>
      </c>
      <c r="H324" s="4">
        <v>46074.48064869213</v>
      </c>
      <c r="J324" t="s">
        <v>19</v>
      </c>
      <c r="K324">
        <v>101353</v>
      </c>
    </row>
    <row r="325" spans="1:11" x14ac:dyDescent="0.55000000000000004">
      <c r="A325" t="s">
        <v>1364</v>
      </c>
      <c r="B325" s="4">
        <v>45754</v>
      </c>
      <c r="C325" t="s">
        <v>757</v>
      </c>
      <c r="D325" t="s">
        <v>1365</v>
      </c>
      <c r="E325" t="s">
        <v>22</v>
      </c>
      <c r="F325" t="s">
        <v>1366</v>
      </c>
      <c r="G325" t="s">
        <v>1367</v>
      </c>
      <c r="H325" s="4">
        <v>46083.363982025461</v>
      </c>
      <c r="J325" t="s">
        <v>179</v>
      </c>
      <c r="K325">
        <v>100911</v>
      </c>
    </row>
    <row r="326" spans="1:11" x14ac:dyDescent="0.55000000000000004">
      <c r="A326" t="s">
        <v>1368</v>
      </c>
      <c r="B326" s="4">
        <v>45763</v>
      </c>
      <c r="C326" t="s">
        <v>317</v>
      </c>
      <c r="D326" t="s">
        <v>1369</v>
      </c>
      <c r="E326" t="s">
        <v>15</v>
      </c>
      <c r="F326" t="s">
        <v>1370</v>
      </c>
      <c r="G326" t="s">
        <v>1371</v>
      </c>
      <c r="H326" s="4">
        <v>46091.795926481478</v>
      </c>
      <c r="J326" t="s">
        <v>19</v>
      </c>
      <c r="K326">
        <v>100153</v>
      </c>
    </row>
    <row r="327" spans="1:11" x14ac:dyDescent="0.55000000000000004">
      <c r="A327" t="s">
        <v>1372</v>
      </c>
      <c r="B327" s="4">
        <v>46145</v>
      </c>
      <c r="C327" t="s">
        <v>43</v>
      </c>
      <c r="D327" t="s">
        <v>1373</v>
      </c>
      <c r="E327" t="s">
        <v>15</v>
      </c>
      <c r="F327" t="s">
        <v>1374</v>
      </c>
      <c r="G327" t="s">
        <v>1375</v>
      </c>
      <c r="H327" s="4">
        <v>46073.002870925928</v>
      </c>
      <c r="J327" t="s">
        <v>68</v>
      </c>
      <c r="K327">
        <v>100831</v>
      </c>
    </row>
    <row r="328" spans="1:11" x14ac:dyDescent="0.55000000000000004">
      <c r="A328" t="s">
        <v>1376</v>
      </c>
      <c r="B328" s="4">
        <v>46006</v>
      </c>
      <c r="C328" t="s">
        <v>43</v>
      </c>
      <c r="D328" t="s">
        <v>1377</v>
      </c>
      <c r="E328" t="s">
        <v>22</v>
      </c>
      <c r="F328" t="s">
        <v>1378</v>
      </c>
      <c r="G328" t="s">
        <v>1379</v>
      </c>
      <c r="H328" s="4">
        <v>46078.634120925926</v>
      </c>
      <c r="J328" t="s">
        <v>179</v>
      </c>
      <c r="K328">
        <v>100227</v>
      </c>
    </row>
    <row r="329" spans="1:11" x14ac:dyDescent="0.55000000000000004">
      <c r="A329" t="s">
        <v>1380</v>
      </c>
      <c r="B329" s="4">
        <v>46097</v>
      </c>
      <c r="C329" t="s">
        <v>38</v>
      </c>
      <c r="D329" t="s">
        <v>1381</v>
      </c>
      <c r="E329" t="s">
        <v>15</v>
      </c>
      <c r="F329" t="s">
        <v>1382</v>
      </c>
      <c r="G329" t="s">
        <v>1383</v>
      </c>
      <c r="H329" s="4">
        <v>46090.107732048615</v>
      </c>
      <c r="J329" t="s">
        <v>179</v>
      </c>
      <c r="K329">
        <v>101499</v>
      </c>
    </row>
    <row r="330" spans="1:11" x14ac:dyDescent="0.55000000000000004">
      <c r="A330" t="s">
        <v>1384</v>
      </c>
      <c r="B330" s="4">
        <v>45817</v>
      </c>
      <c r="C330" t="s">
        <v>115</v>
      </c>
      <c r="D330" t="s">
        <v>1385</v>
      </c>
      <c r="E330" t="s">
        <v>15</v>
      </c>
      <c r="F330" t="s">
        <v>1386</v>
      </c>
      <c r="G330" t="s">
        <v>1387</v>
      </c>
      <c r="H330" s="4">
        <v>46095.14384315972</v>
      </c>
      <c r="J330" t="s">
        <v>533</v>
      </c>
      <c r="K330">
        <v>100923</v>
      </c>
    </row>
    <row r="331" spans="1:11" x14ac:dyDescent="0.55000000000000004">
      <c r="A331" t="s">
        <v>1388</v>
      </c>
      <c r="B331" s="4">
        <v>46081</v>
      </c>
      <c r="C331" t="s">
        <v>189</v>
      </c>
      <c r="D331" t="s">
        <v>1389</v>
      </c>
      <c r="E331" t="s">
        <v>22</v>
      </c>
      <c r="F331" t="s">
        <v>1390</v>
      </c>
      <c r="G331" t="s">
        <v>1391</v>
      </c>
      <c r="H331" s="4">
        <v>46077.650787615741</v>
      </c>
      <c r="J331" t="s">
        <v>37</v>
      </c>
      <c r="K331">
        <v>101088</v>
      </c>
    </row>
    <row r="332" spans="1:11" x14ac:dyDescent="0.55000000000000004">
      <c r="A332" t="s">
        <v>1392</v>
      </c>
      <c r="B332" s="4">
        <v>45930</v>
      </c>
      <c r="C332" t="s">
        <v>495</v>
      </c>
      <c r="D332" t="s">
        <v>1393</v>
      </c>
      <c r="E332" t="s">
        <v>22</v>
      </c>
      <c r="F332" t="s">
        <v>1394</v>
      </c>
      <c r="G332" t="s">
        <v>1395</v>
      </c>
      <c r="H332" s="4">
        <v>46064.09453761574</v>
      </c>
      <c r="J332" t="s">
        <v>37</v>
      </c>
      <c r="K332">
        <v>101053</v>
      </c>
    </row>
    <row r="333" spans="1:11" x14ac:dyDescent="0.55000000000000004">
      <c r="A333" t="s">
        <v>1396</v>
      </c>
      <c r="B333" s="4">
        <v>46134</v>
      </c>
      <c r="C333" t="s">
        <v>213</v>
      </c>
      <c r="D333" t="s">
        <v>1397</v>
      </c>
      <c r="E333" t="s">
        <v>15</v>
      </c>
      <c r="F333" t="s">
        <v>1398</v>
      </c>
      <c r="G333" t="s">
        <v>1399</v>
      </c>
      <c r="H333" s="4">
        <v>46071.533426504633</v>
      </c>
      <c r="J333" t="s">
        <v>37</v>
      </c>
      <c r="K333">
        <v>100622</v>
      </c>
    </row>
    <row r="334" spans="1:11" x14ac:dyDescent="0.55000000000000004">
      <c r="A334" t="s">
        <v>1400</v>
      </c>
      <c r="B334" s="4">
        <v>46022</v>
      </c>
      <c r="C334" t="s">
        <v>184</v>
      </c>
      <c r="D334" t="s">
        <v>1401</v>
      </c>
      <c r="E334" t="s">
        <v>15</v>
      </c>
      <c r="F334" t="s">
        <v>1402</v>
      </c>
      <c r="G334" t="s">
        <v>1403</v>
      </c>
      <c r="H334" s="4">
        <v>46078.984815405092</v>
      </c>
      <c r="J334" t="s">
        <v>533</v>
      </c>
      <c r="K334">
        <v>100604</v>
      </c>
    </row>
    <row r="335" spans="1:11" x14ac:dyDescent="0.55000000000000004">
      <c r="A335" t="s">
        <v>1404</v>
      </c>
      <c r="B335" s="4">
        <v>45942</v>
      </c>
      <c r="C335" t="s">
        <v>757</v>
      </c>
      <c r="D335" t="s">
        <v>1405</v>
      </c>
      <c r="E335" t="s">
        <v>22</v>
      </c>
      <c r="F335" t="s">
        <v>1406</v>
      </c>
      <c r="G335" t="s">
        <v>1407</v>
      </c>
      <c r="H335" s="4">
        <v>46095.501482071762</v>
      </c>
      <c r="J335" t="s">
        <v>68</v>
      </c>
      <c r="K335">
        <v>100462</v>
      </c>
    </row>
    <row r="336" spans="1:11" x14ac:dyDescent="0.55000000000000004">
      <c r="A336" t="s">
        <v>1408</v>
      </c>
      <c r="B336" s="4">
        <v>45938</v>
      </c>
      <c r="C336" t="s">
        <v>38</v>
      </c>
      <c r="D336" t="s">
        <v>1409</v>
      </c>
      <c r="E336" t="s">
        <v>22</v>
      </c>
      <c r="F336" t="s">
        <v>1410</v>
      </c>
      <c r="G336" t="s">
        <v>1411</v>
      </c>
      <c r="H336" s="4">
        <v>46095.183426527779</v>
      </c>
      <c r="J336" t="s">
        <v>248</v>
      </c>
      <c r="K336">
        <v>100645</v>
      </c>
    </row>
    <row r="337" spans="1:11" x14ac:dyDescent="0.55000000000000004">
      <c r="A337" t="s">
        <v>1412</v>
      </c>
      <c r="B337" s="4">
        <v>46085</v>
      </c>
      <c r="C337" t="s">
        <v>155</v>
      </c>
      <c r="D337" t="s">
        <v>1413</v>
      </c>
      <c r="E337" t="s">
        <v>22</v>
      </c>
      <c r="F337" t="s">
        <v>1414</v>
      </c>
      <c r="G337" t="s">
        <v>1415</v>
      </c>
      <c r="H337" s="4">
        <v>46080.216759918978</v>
      </c>
      <c r="J337" t="s">
        <v>68</v>
      </c>
      <c r="K337">
        <v>101218</v>
      </c>
    </row>
    <row r="338" spans="1:11" x14ac:dyDescent="0.55000000000000004">
      <c r="A338" t="s">
        <v>1416</v>
      </c>
      <c r="B338" s="4">
        <v>45904</v>
      </c>
      <c r="C338" t="s">
        <v>49</v>
      </c>
      <c r="D338" t="s">
        <v>1417</v>
      </c>
      <c r="E338" t="s">
        <v>22</v>
      </c>
      <c r="F338" t="s">
        <v>1418</v>
      </c>
      <c r="G338" t="s">
        <v>1419</v>
      </c>
      <c r="H338" s="4">
        <v>46052.77231547454</v>
      </c>
      <c r="J338" t="s">
        <v>37</v>
      </c>
      <c r="K338">
        <v>101019</v>
      </c>
    </row>
    <row r="339" spans="1:11" x14ac:dyDescent="0.55000000000000004">
      <c r="A339" t="s">
        <v>1420</v>
      </c>
      <c r="B339" s="4">
        <v>45848</v>
      </c>
      <c r="C339" t="s">
        <v>20</v>
      </c>
      <c r="D339" t="s">
        <v>1421</v>
      </c>
      <c r="E339" t="s">
        <v>22</v>
      </c>
      <c r="F339" t="s">
        <v>1422</v>
      </c>
      <c r="G339" t="s">
        <v>1423</v>
      </c>
      <c r="H339" s="4">
        <v>46077.363287708336</v>
      </c>
      <c r="J339" t="s">
        <v>533</v>
      </c>
      <c r="K339">
        <v>101412</v>
      </c>
    </row>
    <row r="340" spans="1:11" x14ac:dyDescent="0.55000000000000004">
      <c r="A340" t="s">
        <v>1424</v>
      </c>
      <c r="B340" s="4">
        <v>46041</v>
      </c>
      <c r="C340" t="s">
        <v>121</v>
      </c>
      <c r="D340" t="s">
        <v>1425</v>
      </c>
      <c r="E340" t="s">
        <v>15</v>
      </c>
      <c r="F340" t="s">
        <v>1426</v>
      </c>
      <c r="G340" t="s">
        <v>1427</v>
      </c>
      <c r="H340" s="4">
        <v>46071.057037708335</v>
      </c>
      <c r="J340" t="s">
        <v>179</v>
      </c>
      <c r="K340">
        <v>101318</v>
      </c>
    </row>
    <row r="341" spans="1:11" x14ac:dyDescent="0.55000000000000004">
      <c r="A341" t="s">
        <v>1428</v>
      </c>
      <c r="B341" s="4">
        <v>45923</v>
      </c>
      <c r="C341" t="s">
        <v>38</v>
      </c>
      <c r="D341" t="s">
        <v>1429</v>
      </c>
      <c r="E341" t="s">
        <v>15</v>
      </c>
      <c r="F341" t="s">
        <v>1430</v>
      </c>
      <c r="G341" t="s">
        <v>1431</v>
      </c>
      <c r="H341" s="4">
        <v>46093.303565497685</v>
      </c>
      <c r="J341" t="s">
        <v>19</v>
      </c>
      <c r="K341">
        <v>100612</v>
      </c>
    </row>
    <row r="342" spans="1:11" x14ac:dyDescent="0.55000000000000004">
      <c r="A342" t="s">
        <v>1432</v>
      </c>
      <c r="B342" s="4">
        <v>45938</v>
      </c>
      <c r="C342" t="s">
        <v>38</v>
      </c>
      <c r="D342" t="s">
        <v>1433</v>
      </c>
      <c r="E342" t="s">
        <v>15</v>
      </c>
      <c r="F342" t="s">
        <v>1434</v>
      </c>
      <c r="G342" t="s">
        <v>1435</v>
      </c>
      <c r="H342" s="4">
        <v>46086.472315497682</v>
      </c>
      <c r="J342" t="s">
        <v>19</v>
      </c>
      <c r="K342">
        <v>101403</v>
      </c>
    </row>
    <row r="343" spans="1:11" x14ac:dyDescent="0.55000000000000004">
      <c r="A343" t="s">
        <v>1436</v>
      </c>
      <c r="B343" s="4">
        <v>45761</v>
      </c>
      <c r="C343" t="s">
        <v>155</v>
      </c>
      <c r="D343" t="s">
        <v>1437</v>
      </c>
      <c r="E343" t="s">
        <v>22</v>
      </c>
      <c r="F343" t="s">
        <v>1438</v>
      </c>
      <c r="G343" t="s">
        <v>1439</v>
      </c>
      <c r="H343" s="4">
        <v>46094.233426608793</v>
      </c>
      <c r="J343" t="s">
        <v>248</v>
      </c>
      <c r="K343">
        <v>100721</v>
      </c>
    </row>
    <row r="344" spans="1:11" x14ac:dyDescent="0.55000000000000004">
      <c r="A344" t="s">
        <v>1440</v>
      </c>
      <c r="B344" s="4">
        <v>45872</v>
      </c>
      <c r="C344" t="s">
        <v>89</v>
      </c>
      <c r="D344" t="s">
        <v>1441</v>
      </c>
      <c r="E344" t="s">
        <v>22</v>
      </c>
      <c r="F344" t="s">
        <v>1442</v>
      </c>
      <c r="G344" t="s">
        <v>1443</v>
      </c>
      <c r="H344" s="4">
        <v>46057.570232175924</v>
      </c>
      <c r="J344" t="s">
        <v>248</v>
      </c>
      <c r="K344">
        <v>100378</v>
      </c>
    </row>
    <row r="345" spans="1:11" x14ac:dyDescent="0.55000000000000004">
      <c r="A345" t="s">
        <v>1444</v>
      </c>
      <c r="B345" s="4">
        <v>45855</v>
      </c>
      <c r="C345" t="s">
        <v>89</v>
      </c>
      <c r="D345" t="s">
        <v>1445</v>
      </c>
      <c r="E345" t="s">
        <v>22</v>
      </c>
      <c r="F345" t="s">
        <v>1446</v>
      </c>
      <c r="G345" t="s">
        <v>1447</v>
      </c>
      <c r="H345" s="4">
        <v>46086.071621064817</v>
      </c>
      <c r="J345" t="s">
        <v>37</v>
      </c>
      <c r="K345">
        <v>100194</v>
      </c>
    </row>
    <row r="346" spans="1:11" x14ac:dyDescent="0.55000000000000004">
      <c r="A346" t="s">
        <v>1448</v>
      </c>
      <c r="B346" s="4">
        <v>46014</v>
      </c>
      <c r="C346" t="s">
        <v>356</v>
      </c>
      <c r="D346" t="s">
        <v>1449</v>
      </c>
      <c r="E346" t="s">
        <v>22</v>
      </c>
      <c r="F346" t="s">
        <v>1450</v>
      </c>
      <c r="G346" t="s">
        <v>1451</v>
      </c>
      <c r="H346" s="4">
        <v>46053.617454409723</v>
      </c>
      <c r="J346" t="s">
        <v>19</v>
      </c>
      <c r="K346">
        <v>100273</v>
      </c>
    </row>
    <row r="347" spans="1:11" x14ac:dyDescent="0.55000000000000004">
      <c r="A347" t="s">
        <v>1452</v>
      </c>
      <c r="B347" s="4">
        <v>45746</v>
      </c>
      <c r="C347" t="s">
        <v>265</v>
      </c>
      <c r="D347" t="s">
        <v>1453</v>
      </c>
      <c r="E347" t="s">
        <v>15</v>
      </c>
      <c r="F347" t="s">
        <v>1454</v>
      </c>
      <c r="G347" t="s">
        <v>1455</v>
      </c>
      <c r="H347" s="4">
        <v>46082.825787743059</v>
      </c>
      <c r="J347" t="s">
        <v>68</v>
      </c>
      <c r="K347">
        <v>101011</v>
      </c>
    </row>
    <row r="348" spans="1:11" x14ac:dyDescent="0.55000000000000004">
      <c r="A348" t="s">
        <v>1456</v>
      </c>
      <c r="B348" s="4">
        <v>46078</v>
      </c>
      <c r="C348" t="s">
        <v>20</v>
      </c>
      <c r="D348" t="s">
        <v>1457</v>
      </c>
      <c r="E348" t="s">
        <v>22</v>
      </c>
      <c r="F348" t="s">
        <v>1458</v>
      </c>
      <c r="G348" t="s">
        <v>1459</v>
      </c>
      <c r="H348" s="4">
        <v>46065.717454409722</v>
      </c>
      <c r="J348" t="s">
        <v>248</v>
      </c>
      <c r="K348">
        <v>101246</v>
      </c>
    </row>
    <row r="349" spans="1:11" x14ac:dyDescent="0.55000000000000004">
      <c r="A349" t="s">
        <v>1460</v>
      </c>
      <c r="B349" s="4">
        <v>45974</v>
      </c>
      <c r="C349" t="s">
        <v>317</v>
      </c>
      <c r="D349" t="s">
        <v>1461</v>
      </c>
      <c r="E349" t="s">
        <v>15</v>
      </c>
      <c r="F349" t="s">
        <v>1462</v>
      </c>
      <c r="G349" t="s">
        <v>1463</v>
      </c>
      <c r="H349" s="4">
        <v>46059.73412108796</v>
      </c>
      <c r="J349" t="s">
        <v>37</v>
      </c>
      <c r="K349">
        <v>100524</v>
      </c>
    </row>
    <row r="350" spans="1:11" x14ac:dyDescent="0.55000000000000004">
      <c r="A350" t="s">
        <v>1464</v>
      </c>
      <c r="B350" s="4">
        <v>45861</v>
      </c>
      <c r="C350" t="s">
        <v>300</v>
      </c>
      <c r="D350" t="s">
        <v>1465</v>
      </c>
      <c r="E350" t="s">
        <v>22</v>
      </c>
      <c r="F350" t="s">
        <v>1466</v>
      </c>
      <c r="G350" t="s">
        <v>1467</v>
      </c>
      <c r="H350" s="4">
        <v>46075.093148877313</v>
      </c>
      <c r="J350" t="s">
        <v>248</v>
      </c>
      <c r="K350">
        <v>100755</v>
      </c>
    </row>
    <row r="351" spans="1:11" x14ac:dyDescent="0.55000000000000004">
      <c r="A351" t="s">
        <v>1468</v>
      </c>
      <c r="B351" s="4">
        <v>45843</v>
      </c>
      <c r="C351" t="s">
        <v>467</v>
      </c>
      <c r="D351" t="s">
        <v>1469</v>
      </c>
      <c r="E351" t="s">
        <v>22</v>
      </c>
      <c r="F351" t="s">
        <v>1470</v>
      </c>
      <c r="G351" t="s">
        <v>1471</v>
      </c>
      <c r="H351" s="4">
        <v>46060.600787766205</v>
      </c>
      <c r="J351" t="s">
        <v>248</v>
      </c>
      <c r="K351">
        <v>100751</v>
      </c>
    </row>
    <row r="352" spans="1:11" x14ac:dyDescent="0.55000000000000004">
      <c r="A352" t="s">
        <v>1472</v>
      </c>
      <c r="B352" s="4">
        <v>45993</v>
      </c>
      <c r="C352" t="s">
        <v>126</v>
      </c>
      <c r="D352" t="s">
        <v>1473</v>
      </c>
      <c r="E352" t="s">
        <v>22</v>
      </c>
      <c r="F352" t="s">
        <v>1474</v>
      </c>
      <c r="G352" t="s">
        <v>1475</v>
      </c>
      <c r="H352" s="4">
        <v>46054.592454444442</v>
      </c>
      <c r="J352" t="s">
        <v>37</v>
      </c>
      <c r="K352">
        <v>100757</v>
      </c>
    </row>
    <row r="353" spans="1:11" x14ac:dyDescent="0.55000000000000004">
      <c r="A353" t="s">
        <v>1476</v>
      </c>
      <c r="B353" s="4">
        <v>45764</v>
      </c>
      <c r="C353" t="s">
        <v>49</v>
      </c>
      <c r="D353" t="s">
        <v>1477</v>
      </c>
      <c r="E353" t="s">
        <v>22</v>
      </c>
      <c r="F353" t="s">
        <v>1478</v>
      </c>
      <c r="G353" t="s">
        <v>1479</v>
      </c>
      <c r="H353" s="4">
        <v>46080.813287789351</v>
      </c>
      <c r="J353" t="s">
        <v>19</v>
      </c>
      <c r="K353">
        <v>101222</v>
      </c>
    </row>
    <row r="354" spans="1:11" x14ac:dyDescent="0.55000000000000004">
      <c r="A354" t="s">
        <v>1480</v>
      </c>
      <c r="B354" s="4">
        <v>45828</v>
      </c>
      <c r="C354" t="s">
        <v>38</v>
      </c>
      <c r="D354" t="s">
        <v>1481</v>
      </c>
      <c r="E354" t="s">
        <v>15</v>
      </c>
      <c r="F354" t="s">
        <v>1482</v>
      </c>
      <c r="G354" t="s">
        <v>1483</v>
      </c>
      <c r="H354" s="4">
        <v>46093.893148900461</v>
      </c>
      <c r="J354" t="s">
        <v>68</v>
      </c>
      <c r="K354">
        <v>101395</v>
      </c>
    </row>
    <row r="355" spans="1:11" x14ac:dyDescent="0.55000000000000004">
      <c r="A355" t="s">
        <v>1484</v>
      </c>
      <c r="B355" s="4">
        <v>46070</v>
      </c>
      <c r="C355" t="s">
        <v>189</v>
      </c>
      <c r="D355" t="s">
        <v>1485</v>
      </c>
      <c r="E355" t="s">
        <v>15</v>
      </c>
      <c r="F355" t="s">
        <v>1486</v>
      </c>
      <c r="G355" t="s">
        <v>1487</v>
      </c>
      <c r="H355" s="4">
        <v>46056.038982245373</v>
      </c>
      <c r="J355" t="s">
        <v>179</v>
      </c>
      <c r="K355">
        <v>100888</v>
      </c>
    </row>
    <row r="356" spans="1:11" x14ac:dyDescent="0.55000000000000004">
      <c r="A356" t="s">
        <v>1488</v>
      </c>
      <c r="B356" s="4">
        <v>45864</v>
      </c>
      <c r="C356" t="s">
        <v>757</v>
      </c>
      <c r="D356" t="s">
        <v>1489</v>
      </c>
      <c r="E356" t="s">
        <v>15</v>
      </c>
      <c r="F356" t="s">
        <v>1490</v>
      </c>
      <c r="G356" t="s">
        <v>1491</v>
      </c>
      <c r="H356" s="4">
        <v>46059.932732245368</v>
      </c>
      <c r="J356" t="s">
        <v>68</v>
      </c>
      <c r="K356">
        <v>100038</v>
      </c>
    </row>
    <row r="357" spans="1:11" x14ac:dyDescent="0.55000000000000004">
      <c r="A357" t="s">
        <v>1492</v>
      </c>
      <c r="B357" s="4">
        <v>45907</v>
      </c>
      <c r="C357" t="s">
        <v>680</v>
      </c>
      <c r="D357" t="s">
        <v>1493</v>
      </c>
      <c r="E357" t="s">
        <v>22</v>
      </c>
      <c r="F357" t="s">
        <v>1494</v>
      </c>
      <c r="G357" t="s">
        <v>1495</v>
      </c>
      <c r="H357" s="4">
        <v>46065.319537800926</v>
      </c>
      <c r="J357" t="s">
        <v>248</v>
      </c>
      <c r="K357">
        <v>100891</v>
      </c>
    </row>
    <row r="358" spans="1:11" x14ac:dyDescent="0.55000000000000004">
      <c r="A358" t="s">
        <v>1496</v>
      </c>
      <c r="B358" s="4">
        <v>46068</v>
      </c>
      <c r="C358" t="s">
        <v>199</v>
      </c>
      <c r="D358" t="s">
        <v>1497</v>
      </c>
      <c r="E358" t="s">
        <v>22</v>
      </c>
      <c r="F358" t="s">
        <v>1498</v>
      </c>
      <c r="G358" t="s">
        <v>1499</v>
      </c>
      <c r="H358" s="4">
        <v>46089.378565590276</v>
      </c>
      <c r="J358" t="s">
        <v>533</v>
      </c>
      <c r="K358">
        <v>100808</v>
      </c>
    </row>
    <row r="359" spans="1:11" x14ac:dyDescent="0.55000000000000004">
      <c r="A359" t="s">
        <v>1500</v>
      </c>
      <c r="B359" s="4">
        <v>46122</v>
      </c>
      <c r="C359" t="s">
        <v>317</v>
      </c>
      <c r="D359" t="s">
        <v>1501</v>
      </c>
      <c r="E359" t="s">
        <v>22</v>
      </c>
      <c r="F359" t="s">
        <v>1502</v>
      </c>
      <c r="G359" t="s">
        <v>1503</v>
      </c>
      <c r="H359" s="4">
        <v>46056.619537812498</v>
      </c>
      <c r="J359" t="s">
        <v>19</v>
      </c>
      <c r="K359">
        <v>101458</v>
      </c>
    </row>
    <row r="360" spans="1:11" x14ac:dyDescent="0.55000000000000004">
      <c r="A360" t="s">
        <v>1504</v>
      </c>
      <c r="B360" s="4">
        <v>45913</v>
      </c>
      <c r="C360" t="s">
        <v>317</v>
      </c>
      <c r="D360" t="s">
        <v>1505</v>
      </c>
      <c r="E360" t="s">
        <v>22</v>
      </c>
      <c r="F360" t="s">
        <v>1506</v>
      </c>
      <c r="G360" t="s">
        <v>1507</v>
      </c>
      <c r="H360" s="4">
        <v>46071.275093368058</v>
      </c>
      <c r="J360" t="s">
        <v>248</v>
      </c>
      <c r="K360">
        <v>101172</v>
      </c>
    </row>
    <row r="361" spans="1:11" x14ac:dyDescent="0.55000000000000004">
      <c r="A361" t="s">
        <v>1508</v>
      </c>
      <c r="B361" s="4">
        <v>45865</v>
      </c>
      <c r="C361" t="s">
        <v>83</v>
      </c>
      <c r="D361" t="s">
        <v>1509</v>
      </c>
      <c r="E361" t="s">
        <v>22</v>
      </c>
      <c r="F361" t="s">
        <v>1510</v>
      </c>
      <c r="G361" t="s">
        <v>1511</v>
      </c>
      <c r="H361" s="4">
        <v>46093.843843379633</v>
      </c>
      <c r="J361" t="s">
        <v>68</v>
      </c>
      <c r="K361">
        <v>101483</v>
      </c>
    </row>
    <row r="362" spans="1:11" x14ac:dyDescent="0.55000000000000004">
      <c r="A362" t="s">
        <v>1512</v>
      </c>
      <c r="B362" s="4">
        <v>46029</v>
      </c>
      <c r="C362" t="s">
        <v>121</v>
      </c>
      <c r="D362" t="s">
        <v>1513</v>
      </c>
      <c r="E362" t="s">
        <v>15</v>
      </c>
      <c r="F362" t="s">
        <v>1514</v>
      </c>
      <c r="G362" t="s">
        <v>1515</v>
      </c>
      <c r="H362" s="4">
        <v>46054.203565601849</v>
      </c>
      <c r="J362" t="s">
        <v>19</v>
      </c>
      <c r="K362">
        <v>100697</v>
      </c>
    </row>
    <row r="363" spans="1:11" x14ac:dyDescent="0.55000000000000004">
      <c r="A363" t="s">
        <v>1516</v>
      </c>
      <c r="B363" s="4">
        <v>45884</v>
      </c>
      <c r="C363" t="s">
        <v>265</v>
      </c>
      <c r="D363" t="s">
        <v>1517</v>
      </c>
      <c r="E363" t="s">
        <v>15</v>
      </c>
      <c r="F363" t="s">
        <v>1518</v>
      </c>
      <c r="G363" t="s">
        <v>1519</v>
      </c>
      <c r="H363" s="4">
        <v>46085.259121157411</v>
      </c>
      <c r="I363" t="s">
        <v>112</v>
      </c>
      <c r="J363" t="s">
        <v>19</v>
      </c>
    </row>
    <row r="364" spans="1:11" x14ac:dyDescent="0.55000000000000004">
      <c r="A364" t="s">
        <v>1520</v>
      </c>
      <c r="B364" s="4">
        <v>46023</v>
      </c>
      <c r="C364" t="s">
        <v>356</v>
      </c>
      <c r="D364" t="s">
        <v>1521</v>
      </c>
      <c r="E364" t="s">
        <v>15</v>
      </c>
      <c r="F364" t="s">
        <v>1522</v>
      </c>
      <c r="G364" t="s">
        <v>1523</v>
      </c>
      <c r="H364" s="4">
        <v>46092.052871168984</v>
      </c>
      <c r="J364" t="s">
        <v>179</v>
      </c>
      <c r="K364">
        <v>100364</v>
      </c>
    </row>
    <row r="365" spans="1:11" x14ac:dyDescent="0.55000000000000004">
      <c r="A365" t="s">
        <v>1524</v>
      </c>
      <c r="B365" s="4">
        <v>46055</v>
      </c>
      <c r="C365" t="s">
        <v>20</v>
      </c>
      <c r="D365" t="s">
        <v>1144</v>
      </c>
      <c r="E365" t="s">
        <v>15</v>
      </c>
      <c r="F365" t="s">
        <v>1525</v>
      </c>
      <c r="G365" t="s">
        <v>1526</v>
      </c>
      <c r="H365" s="4">
        <v>46097.103565613426</v>
      </c>
      <c r="J365" t="s">
        <v>68</v>
      </c>
      <c r="K365">
        <v>100842</v>
      </c>
    </row>
    <row r="366" spans="1:11" x14ac:dyDescent="0.55000000000000004">
      <c r="A366" t="s">
        <v>1527</v>
      </c>
      <c r="B366" s="4">
        <v>45839</v>
      </c>
      <c r="C366" t="s">
        <v>38</v>
      </c>
      <c r="D366" t="s">
        <v>1528</v>
      </c>
      <c r="E366" t="s">
        <v>15</v>
      </c>
      <c r="F366" t="s">
        <v>1529</v>
      </c>
      <c r="G366" t="s">
        <v>1530</v>
      </c>
      <c r="H366" s="4">
        <v>46066.620926724536</v>
      </c>
      <c r="J366" t="s">
        <v>248</v>
      </c>
      <c r="K366">
        <v>100811</v>
      </c>
    </row>
    <row r="367" spans="1:11" x14ac:dyDescent="0.55000000000000004">
      <c r="A367" t="s">
        <v>1531</v>
      </c>
      <c r="B367" s="4">
        <v>46046</v>
      </c>
      <c r="C367" t="s">
        <v>757</v>
      </c>
      <c r="D367" t="s">
        <v>1532</v>
      </c>
      <c r="E367" t="s">
        <v>22</v>
      </c>
      <c r="F367" t="s">
        <v>1533</v>
      </c>
      <c r="G367" t="s">
        <v>1534</v>
      </c>
      <c r="H367" s="4">
        <v>46070.06745451389</v>
      </c>
      <c r="J367" t="s">
        <v>533</v>
      </c>
      <c r="K367">
        <v>100970</v>
      </c>
    </row>
    <row r="368" spans="1:11" x14ac:dyDescent="0.55000000000000004">
      <c r="A368" t="s">
        <v>1535</v>
      </c>
      <c r="B368" s="4">
        <v>45734</v>
      </c>
      <c r="C368" t="s">
        <v>38</v>
      </c>
      <c r="D368" t="s">
        <v>1536</v>
      </c>
      <c r="E368" t="s">
        <v>15</v>
      </c>
      <c r="F368" t="s">
        <v>1537</v>
      </c>
      <c r="G368" t="s">
        <v>1538</v>
      </c>
      <c r="H368" s="4">
        <v>46074.72648229167</v>
      </c>
      <c r="J368" t="s">
        <v>179</v>
      </c>
      <c r="K368">
        <v>100302</v>
      </c>
    </row>
    <row r="369" spans="1:11" x14ac:dyDescent="0.55000000000000004">
      <c r="A369" t="s">
        <v>1539</v>
      </c>
      <c r="B369" s="4">
        <v>46119</v>
      </c>
      <c r="C369" t="s">
        <v>528</v>
      </c>
      <c r="D369" t="s">
        <v>1540</v>
      </c>
      <c r="E369" t="s">
        <v>15</v>
      </c>
      <c r="F369" t="s">
        <v>1541</v>
      </c>
      <c r="G369" t="s">
        <v>1542</v>
      </c>
      <c r="H369" s="4">
        <v>46082.759815636571</v>
      </c>
      <c r="J369" t="s">
        <v>68</v>
      </c>
      <c r="K369">
        <v>100649</v>
      </c>
    </row>
    <row r="370" spans="1:11" x14ac:dyDescent="0.55000000000000004">
      <c r="A370" t="s">
        <v>6028</v>
      </c>
      <c r="B370" s="4">
        <v>45891</v>
      </c>
      <c r="C370" t="s">
        <v>155</v>
      </c>
      <c r="D370" t="s">
        <v>1544</v>
      </c>
      <c r="E370" t="s">
        <v>22</v>
      </c>
      <c r="F370" t="s">
        <v>1545</v>
      </c>
      <c r="G370" t="s">
        <v>1546</v>
      </c>
      <c r="H370" s="4">
        <v>46064.909121192133</v>
      </c>
      <c r="I370" t="s">
        <v>119</v>
      </c>
      <c r="J370" t="s">
        <v>68</v>
      </c>
      <c r="K370">
        <v>101274</v>
      </c>
    </row>
    <row r="371" spans="1:11" x14ac:dyDescent="0.55000000000000004">
      <c r="A371" t="s">
        <v>1547</v>
      </c>
      <c r="B371" s="4">
        <v>45817</v>
      </c>
      <c r="C371" t="s">
        <v>155</v>
      </c>
      <c r="D371" t="s">
        <v>1548</v>
      </c>
      <c r="E371" t="s">
        <v>22</v>
      </c>
      <c r="F371" t="s">
        <v>1549</v>
      </c>
      <c r="G371" t="s">
        <v>1550</v>
      </c>
      <c r="H371" s="4">
        <v>46079.098010081019</v>
      </c>
      <c r="J371" t="s">
        <v>68</v>
      </c>
      <c r="K371">
        <v>100639</v>
      </c>
    </row>
    <row r="372" spans="1:11" x14ac:dyDescent="0.55000000000000004">
      <c r="A372" t="s">
        <v>1551</v>
      </c>
      <c r="B372" s="4">
        <v>46037</v>
      </c>
      <c r="C372" t="s">
        <v>208</v>
      </c>
      <c r="D372" t="s">
        <v>1552</v>
      </c>
      <c r="E372" t="s">
        <v>22</v>
      </c>
      <c r="F372" t="s">
        <v>1553</v>
      </c>
      <c r="G372" t="s">
        <v>1554</v>
      </c>
      <c r="H372" s="4">
        <v>46066.235510092592</v>
      </c>
      <c r="J372" t="s">
        <v>19</v>
      </c>
      <c r="K372">
        <v>100517</v>
      </c>
    </row>
    <row r="373" spans="1:11" x14ac:dyDescent="0.55000000000000004">
      <c r="A373" t="s">
        <v>1555</v>
      </c>
      <c r="B373" s="4">
        <v>45816</v>
      </c>
      <c r="C373" t="s">
        <v>265</v>
      </c>
      <c r="D373" t="s">
        <v>1556</v>
      </c>
      <c r="E373" t="s">
        <v>15</v>
      </c>
      <c r="F373" t="s">
        <v>1557</v>
      </c>
      <c r="G373" t="s">
        <v>1558</v>
      </c>
      <c r="H373" s="4">
        <v>46089.445926759261</v>
      </c>
      <c r="J373" t="s">
        <v>248</v>
      </c>
      <c r="K373">
        <v>100750</v>
      </c>
    </row>
    <row r="374" spans="1:11" x14ac:dyDescent="0.55000000000000004">
      <c r="A374" t="s">
        <v>1559</v>
      </c>
      <c r="B374" s="4">
        <v>46033</v>
      </c>
      <c r="C374" t="s">
        <v>199</v>
      </c>
      <c r="D374" t="s">
        <v>1560</v>
      </c>
      <c r="E374" t="s">
        <v>15</v>
      </c>
      <c r="F374" t="s">
        <v>1561</v>
      </c>
      <c r="G374" t="s">
        <v>1562</v>
      </c>
      <c r="H374" s="4">
        <v>46072.835510092591</v>
      </c>
      <c r="J374" t="s">
        <v>37</v>
      </c>
      <c r="K374">
        <v>101424</v>
      </c>
    </row>
    <row r="375" spans="1:11" x14ac:dyDescent="0.55000000000000004">
      <c r="A375" t="s">
        <v>1563</v>
      </c>
      <c r="B375" s="4">
        <v>46126</v>
      </c>
      <c r="C375" t="s">
        <v>184</v>
      </c>
      <c r="D375" t="s">
        <v>1564</v>
      </c>
      <c r="E375" t="s">
        <v>15</v>
      </c>
      <c r="F375" t="s">
        <v>1565</v>
      </c>
      <c r="G375" t="s">
        <v>1566</v>
      </c>
      <c r="H375" s="4">
        <v>46056.718148993059</v>
      </c>
      <c r="J375" t="s">
        <v>248</v>
      </c>
      <c r="K375">
        <v>100726</v>
      </c>
    </row>
    <row r="376" spans="1:11" x14ac:dyDescent="0.55000000000000004">
      <c r="A376" t="s">
        <v>1567</v>
      </c>
      <c r="B376" s="4">
        <v>46085</v>
      </c>
      <c r="C376" t="s">
        <v>69</v>
      </c>
      <c r="D376" t="s">
        <v>1568</v>
      </c>
      <c r="E376" t="s">
        <v>22</v>
      </c>
      <c r="F376" t="s">
        <v>1569</v>
      </c>
      <c r="G376" t="s">
        <v>1570</v>
      </c>
      <c r="H376" s="4">
        <v>46073.57023232639</v>
      </c>
      <c r="J376" t="s">
        <v>37</v>
      </c>
      <c r="K376">
        <v>101398</v>
      </c>
    </row>
    <row r="377" spans="1:11" x14ac:dyDescent="0.55000000000000004">
      <c r="A377" t="s">
        <v>1571</v>
      </c>
      <c r="B377" s="4">
        <v>45861</v>
      </c>
      <c r="C377" t="s">
        <v>189</v>
      </c>
      <c r="D377" t="s">
        <v>1572</v>
      </c>
      <c r="E377" t="s">
        <v>15</v>
      </c>
      <c r="F377" t="s">
        <v>1573</v>
      </c>
      <c r="G377" t="s">
        <v>1574</v>
      </c>
      <c r="H377" s="4">
        <v>46052.770926770834</v>
      </c>
      <c r="J377" t="s">
        <v>19</v>
      </c>
      <c r="K377">
        <v>101326</v>
      </c>
    </row>
    <row r="378" spans="1:11" x14ac:dyDescent="0.55000000000000004">
      <c r="A378" t="s">
        <v>1575</v>
      </c>
      <c r="B378" s="4">
        <v>45886</v>
      </c>
      <c r="C378" t="s">
        <v>141</v>
      </c>
      <c r="D378" t="s">
        <v>1576</v>
      </c>
      <c r="E378" t="s">
        <v>22</v>
      </c>
      <c r="F378" t="s">
        <v>1577</v>
      </c>
      <c r="G378" t="s">
        <v>1578</v>
      </c>
      <c r="H378" s="4">
        <v>46057.884815671299</v>
      </c>
      <c r="J378" t="s">
        <v>37</v>
      </c>
      <c r="K378">
        <v>101214</v>
      </c>
    </row>
    <row r="379" spans="1:11" x14ac:dyDescent="0.55000000000000004">
      <c r="A379" t="s">
        <v>1579</v>
      </c>
      <c r="B379" s="4">
        <v>45946</v>
      </c>
      <c r="C379" t="s">
        <v>38</v>
      </c>
      <c r="D379" t="s">
        <v>1580</v>
      </c>
      <c r="E379" t="s">
        <v>15</v>
      </c>
      <c r="F379" t="s">
        <v>1581</v>
      </c>
      <c r="G379" t="s">
        <v>1582</v>
      </c>
      <c r="H379" s="4">
        <v>46079.584121238426</v>
      </c>
      <c r="J379" t="s">
        <v>533</v>
      </c>
      <c r="K379">
        <v>100242</v>
      </c>
    </row>
    <row r="380" spans="1:11" x14ac:dyDescent="0.55000000000000004">
      <c r="A380" t="s">
        <v>1583</v>
      </c>
      <c r="B380" s="4">
        <v>45986</v>
      </c>
      <c r="C380" t="s">
        <v>38</v>
      </c>
      <c r="D380" t="s">
        <v>1584</v>
      </c>
      <c r="E380" t="s">
        <v>15</v>
      </c>
      <c r="F380" t="s">
        <v>1585</v>
      </c>
      <c r="G380" t="s">
        <v>1586</v>
      </c>
      <c r="H380" s="4">
        <v>46081.002176793983</v>
      </c>
      <c r="J380" t="s">
        <v>533</v>
      </c>
      <c r="K380">
        <v>100910</v>
      </c>
    </row>
    <row r="381" spans="1:11" x14ac:dyDescent="0.55000000000000004">
      <c r="A381" t="s">
        <v>1587</v>
      </c>
      <c r="B381" s="4">
        <v>45915</v>
      </c>
      <c r="C381" t="s">
        <v>208</v>
      </c>
      <c r="D381" t="s">
        <v>1588</v>
      </c>
      <c r="E381" t="s">
        <v>15</v>
      </c>
      <c r="F381" t="s">
        <v>1589</v>
      </c>
      <c r="G381" t="s">
        <v>1590</v>
      </c>
      <c r="H381" s="4">
        <v>46062.040371238429</v>
      </c>
      <c r="J381" t="s">
        <v>248</v>
      </c>
      <c r="K381">
        <v>100022</v>
      </c>
    </row>
    <row r="382" spans="1:11" x14ac:dyDescent="0.55000000000000004">
      <c r="A382" t="s">
        <v>1591</v>
      </c>
      <c r="B382" s="4">
        <v>46084</v>
      </c>
      <c r="C382" t="s">
        <v>356</v>
      </c>
      <c r="D382" t="s">
        <v>1592</v>
      </c>
      <c r="E382" t="s">
        <v>15</v>
      </c>
      <c r="F382" t="s">
        <v>1593</v>
      </c>
      <c r="G382" t="s">
        <v>1594</v>
      </c>
      <c r="H382" s="4">
        <v>46096.791065694444</v>
      </c>
      <c r="J382" t="s">
        <v>248</v>
      </c>
      <c r="K382">
        <v>101473</v>
      </c>
    </row>
    <row r="383" spans="1:11" x14ac:dyDescent="0.55000000000000004">
      <c r="A383" t="s">
        <v>1595</v>
      </c>
      <c r="B383" s="4">
        <v>45788</v>
      </c>
      <c r="C383" t="s">
        <v>680</v>
      </c>
      <c r="D383" t="s">
        <v>1596</v>
      </c>
      <c r="E383" t="s">
        <v>15</v>
      </c>
      <c r="F383" t="s">
        <v>1597</v>
      </c>
      <c r="G383" t="s">
        <v>1598</v>
      </c>
      <c r="H383" s="4">
        <v>46065.639676805557</v>
      </c>
      <c r="J383" t="s">
        <v>37</v>
      </c>
      <c r="K383">
        <v>101203</v>
      </c>
    </row>
    <row r="384" spans="1:11" x14ac:dyDescent="0.55000000000000004">
      <c r="A384" t="s">
        <v>1599</v>
      </c>
      <c r="B384" s="4">
        <v>45863</v>
      </c>
      <c r="C384" t="s">
        <v>208</v>
      </c>
      <c r="D384" t="s">
        <v>1600</v>
      </c>
      <c r="E384" t="s">
        <v>22</v>
      </c>
      <c r="F384" t="s">
        <v>1601</v>
      </c>
      <c r="G384" t="s">
        <v>1602</v>
      </c>
      <c r="H384" s="4">
        <v>46068.675093472222</v>
      </c>
      <c r="J384" t="s">
        <v>533</v>
      </c>
      <c r="K384">
        <v>100421</v>
      </c>
    </row>
    <row r="385" spans="1:11" x14ac:dyDescent="0.55000000000000004">
      <c r="A385" t="s">
        <v>1603</v>
      </c>
      <c r="B385" s="4">
        <v>46148</v>
      </c>
      <c r="C385" t="s">
        <v>155</v>
      </c>
      <c r="D385" t="s">
        <v>1604</v>
      </c>
      <c r="E385" t="s">
        <v>22</v>
      </c>
      <c r="F385" t="s">
        <v>1605</v>
      </c>
      <c r="G385" t="s">
        <v>1606</v>
      </c>
      <c r="H385" s="4">
        <v>46073.783426817128</v>
      </c>
      <c r="J385" t="s">
        <v>533</v>
      </c>
      <c r="K385">
        <v>101271</v>
      </c>
    </row>
    <row r="386" spans="1:11" x14ac:dyDescent="0.55000000000000004">
      <c r="A386" t="s">
        <v>283</v>
      </c>
      <c r="B386" s="4">
        <v>45950</v>
      </c>
      <c r="C386" t="s">
        <v>184</v>
      </c>
      <c r="D386" t="s">
        <v>1607</v>
      </c>
      <c r="E386" t="s">
        <v>15</v>
      </c>
      <c r="F386" t="s">
        <v>1608</v>
      </c>
      <c r="G386" t="s">
        <v>1609</v>
      </c>
      <c r="H386" s="4">
        <v>46088.802871261571</v>
      </c>
      <c r="J386" t="s">
        <v>68</v>
      </c>
      <c r="K386">
        <v>101044</v>
      </c>
    </row>
    <row r="387" spans="1:11" x14ac:dyDescent="0.55000000000000004">
      <c r="A387" t="s">
        <v>1610</v>
      </c>
      <c r="B387" s="4">
        <v>45900</v>
      </c>
      <c r="C387" t="s">
        <v>89</v>
      </c>
      <c r="D387" t="s">
        <v>1611</v>
      </c>
      <c r="E387" t="s">
        <v>22</v>
      </c>
      <c r="F387" t="s">
        <v>1612</v>
      </c>
      <c r="G387" t="s">
        <v>1613</v>
      </c>
      <c r="H387" s="4">
        <v>46092.216065717592</v>
      </c>
      <c r="J387" t="s">
        <v>533</v>
      </c>
      <c r="K387">
        <v>100459</v>
      </c>
    </row>
    <row r="388" spans="1:11" x14ac:dyDescent="0.55000000000000004">
      <c r="A388" t="s">
        <v>1614</v>
      </c>
      <c r="B388" s="4">
        <v>45825</v>
      </c>
      <c r="C388" t="s">
        <v>69</v>
      </c>
      <c r="D388" t="s">
        <v>1615</v>
      </c>
      <c r="E388" t="s">
        <v>22</v>
      </c>
      <c r="F388" t="s">
        <v>1616</v>
      </c>
      <c r="G388" t="s">
        <v>1617</v>
      </c>
      <c r="H388" s="4">
        <v>46068.359815717595</v>
      </c>
      <c r="J388" t="s">
        <v>68</v>
      </c>
      <c r="K388">
        <v>100711</v>
      </c>
    </row>
    <row r="389" spans="1:11" x14ac:dyDescent="0.55000000000000004">
      <c r="A389" t="s">
        <v>1618</v>
      </c>
      <c r="B389" s="4">
        <v>46085</v>
      </c>
      <c r="C389" t="s">
        <v>418</v>
      </c>
      <c r="D389" t="s">
        <v>1619</v>
      </c>
      <c r="E389" t="s">
        <v>15</v>
      </c>
      <c r="F389" t="s">
        <v>1620</v>
      </c>
      <c r="G389" t="s">
        <v>1621</v>
      </c>
      <c r="H389" s="4">
        <v>46088.75634349537</v>
      </c>
      <c r="J389" t="s">
        <v>179</v>
      </c>
      <c r="K389">
        <v>101189</v>
      </c>
    </row>
    <row r="390" spans="1:11" x14ac:dyDescent="0.55000000000000004">
      <c r="A390" t="s">
        <v>1622</v>
      </c>
      <c r="B390" s="4">
        <v>45813</v>
      </c>
      <c r="C390" t="s">
        <v>69</v>
      </c>
      <c r="D390" t="s">
        <v>1623</v>
      </c>
      <c r="E390" t="s">
        <v>22</v>
      </c>
      <c r="F390" t="s">
        <v>1624</v>
      </c>
      <c r="G390" t="s">
        <v>1625</v>
      </c>
      <c r="H390" s="4">
        <v>46060.781343506947</v>
      </c>
      <c r="J390" t="s">
        <v>37</v>
      </c>
      <c r="K390">
        <v>100873</v>
      </c>
    </row>
    <row r="391" spans="1:11" x14ac:dyDescent="0.55000000000000004">
      <c r="A391" t="s">
        <v>1626</v>
      </c>
      <c r="B391" s="4">
        <v>45824</v>
      </c>
      <c r="C391" t="s">
        <v>83</v>
      </c>
      <c r="D391" t="s">
        <v>1627</v>
      </c>
      <c r="E391" t="s">
        <v>15</v>
      </c>
      <c r="F391" t="s">
        <v>1628</v>
      </c>
      <c r="G391" t="s">
        <v>1629</v>
      </c>
      <c r="H391" s="4">
        <v>46067.052176840276</v>
      </c>
      <c r="J391" t="s">
        <v>179</v>
      </c>
      <c r="K391">
        <v>101257</v>
      </c>
    </row>
    <row r="392" spans="1:11" x14ac:dyDescent="0.55000000000000004">
      <c r="A392" t="s">
        <v>1630</v>
      </c>
      <c r="B392" s="4">
        <v>45942</v>
      </c>
      <c r="C392" t="s">
        <v>141</v>
      </c>
      <c r="D392" t="s">
        <v>1631</v>
      </c>
      <c r="E392" t="s">
        <v>22</v>
      </c>
      <c r="F392" t="s">
        <v>1632</v>
      </c>
      <c r="G392" t="s">
        <v>1633</v>
      </c>
      <c r="H392" s="4">
        <v>46056.299399062496</v>
      </c>
      <c r="J392" t="s">
        <v>533</v>
      </c>
      <c r="K392">
        <v>101379</v>
      </c>
    </row>
    <row r="393" spans="1:11" x14ac:dyDescent="0.55000000000000004">
      <c r="A393" t="s">
        <v>1634</v>
      </c>
      <c r="B393" s="4">
        <v>46092</v>
      </c>
      <c r="C393" t="s">
        <v>587</v>
      </c>
      <c r="D393" t="s">
        <v>1635</v>
      </c>
      <c r="E393" t="s">
        <v>22</v>
      </c>
      <c r="F393" t="s">
        <v>1636</v>
      </c>
      <c r="G393" t="s">
        <v>1637</v>
      </c>
      <c r="H393" s="4">
        <v>46064.002176851849</v>
      </c>
      <c r="J393" t="s">
        <v>37</v>
      </c>
      <c r="K393">
        <v>100390</v>
      </c>
    </row>
    <row r="394" spans="1:11" x14ac:dyDescent="0.55000000000000004">
      <c r="A394" t="s">
        <v>1638</v>
      </c>
      <c r="B394" s="4">
        <v>45780</v>
      </c>
      <c r="C394" t="s">
        <v>189</v>
      </c>
      <c r="D394" t="s">
        <v>1639</v>
      </c>
      <c r="E394" t="s">
        <v>22</v>
      </c>
      <c r="F394" t="s">
        <v>1640</v>
      </c>
      <c r="G394" t="s">
        <v>1641</v>
      </c>
      <c r="H394" s="4">
        <v>46074.802176851852</v>
      </c>
      <c r="J394" t="s">
        <v>19</v>
      </c>
      <c r="K394">
        <v>100423</v>
      </c>
    </row>
    <row r="395" spans="1:11" x14ac:dyDescent="0.55000000000000004">
      <c r="A395" t="s">
        <v>1642</v>
      </c>
      <c r="B395" s="4">
        <v>45808</v>
      </c>
      <c r="C395" t="s">
        <v>184</v>
      </c>
      <c r="D395" t="s">
        <v>1643</v>
      </c>
      <c r="E395" t="s">
        <v>15</v>
      </c>
      <c r="F395" t="s">
        <v>1644</v>
      </c>
      <c r="G395" t="s">
        <v>1645</v>
      </c>
      <c r="H395" s="4">
        <v>46065.07856574074</v>
      </c>
      <c r="J395" t="s">
        <v>179</v>
      </c>
      <c r="K395">
        <v>100170</v>
      </c>
    </row>
    <row r="396" spans="1:11" x14ac:dyDescent="0.55000000000000004">
      <c r="A396" t="s">
        <v>6029</v>
      </c>
      <c r="B396" s="4">
        <v>45816</v>
      </c>
      <c r="C396" t="s">
        <v>69</v>
      </c>
      <c r="D396" t="s">
        <v>1647</v>
      </c>
      <c r="E396" t="s">
        <v>22</v>
      </c>
      <c r="F396" t="s">
        <v>1648</v>
      </c>
      <c r="G396" t="s">
        <v>1649</v>
      </c>
      <c r="H396" s="4">
        <v>46082.27578797454</v>
      </c>
      <c r="I396" t="s">
        <v>119</v>
      </c>
      <c r="J396" t="s">
        <v>19</v>
      </c>
      <c r="K396">
        <v>100176</v>
      </c>
    </row>
    <row r="397" spans="1:11" x14ac:dyDescent="0.55000000000000004">
      <c r="A397" t="s">
        <v>1650</v>
      </c>
      <c r="B397" s="4">
        <v>45757</v>
      </c>
      <c r="C397" t="s">
        <v>43</v>
      </c>
      <c r="D397" t="s">
        <v>1651</v>
      </c>
      <c r="E397" t="s">
        <v>22</v>
      </c>
      <c r="F397" t="s">
        <v>1652</v>
      </c>
      <c r="G397" t="s">
        <v>1653</v>
      </c>
      <c r="H397" s="4">
        <v>46082.63412130787</v>
      </c>
      <c r="J397" t="s">
        <v>248</v>
      </c>
      <c r="K397">
        <v>100428</v>
      </c>
    </row>
    <row r="398" spans="1:11" x14ac:dyDescent="0.55000000000000004">
      <c r="A398" t="s">
        <v>1654</v>
      </c>
      <c r="B398" s="4">
        <v>45959</v>
      </c>
      <c r="C398" t="s">
        <v>243</v>
      </c>
      <c r="D398" t="s">
        <v>1655</v>
      </c>
      <c r="E398" t="s">
        <v>22</v>
      </c>
      <c r="F398" t="s">
        <v>1656</v>
      </c>
      <c r="G398" t="s">
        <v>1657</v>
      </c>
      <c r="H398" s="4">
        <v>46077.577176863429</v>
      </c>
      <c r="J398" t="s">
        <v>179</v>
      </c>
      <c r="K398">
        <v>100525</v>
      </c>
    </row>
    <row r="399" spans="1:11" x14ac:dyDescent="0.55000000000000004">
      <c r="A399" t="s">
        <v>1658</v>
      </c>
      <c r="B399" s="4">
        <v>46113</v>
      </c>
      <c r="C399" t="s">
        <v>243</v>
      </c>
      <c r="D399" t="s">
        <v>1659</v>
      </c>
      <c r="E399" t="s">
        <v>22</v>
      </c>
      <c r="F399" t="s">
        <v>1660</v>
      </c>
      <c r="G399" t="s">
        <v>1661</v>
      </c>
      <c r="H399" s="4">
        <v>46094.953565763892</v>
      </c>
      <c r="J399" t="s">
        <v>19</v>
      </c>
      <c r="K399">
        <v>101347</v>
      </c>
    </row>
    <row r="400" spans="1:11" x14ac:dyDescent="0.55000000000000004">
      <c r="A400" t="s">
        <v>1662</v>
      </c>
      <c r="B400" s="4">
        <v>45732</v>
      </c>
      <c r="C400" t="s">
        <v>38</v>
      </c>
      <c r="D400" t="s">
        <v>1663</v>
      </c>
      <c r="E400" t="s">
        <v>22</v>
      </c>
      <c r="F400" t="s">
        <v>1664</v>
      </c>
      <c r="G400" t="s">
        <v>1665</v>
      </c>
      <c r="H400" s="4">
        <v>46064.946621319446</v>
      </c>
      <c r="J400" t="s">
        <v>19</v>
      </c>
      <c r="K400">
        <v>100935</v>
      </c>
    </row>
    <row r="401" spans="1:11" x14ac:dyDescent="0.55000000000000004">
      <c r="A401" t="s">
        <v>1666</v>
      </c>
      <c r="B401" s="4">
        <v>46067</v>
      </c>
      <c r="C401" t="s">
        <v>495</v>
      </c>
      <c r="D401" t="s">
        <v>1667</v>
      </c>
      <c r="E401" t="s">
        <v>15</v>
      </c>
      <c r="F401" t="s">
        <v>1668</v>
      </c>
      <c r="G401" t="s">
        <v>1669</v>
      </c>
      <c r="H401" s="4">
        <v>46083.100093541667</v>
      </c>
      <c r="J401" t="s">
        <v>248</v>
      </c>
      <c r="K401">
        <v>100972</v>
      </c>
    </row>
    <row r="402" spans="1:11" x14ac:dyDescent="0.55000000000000004">
      <c r="A402" t="s">
        <v>1670</v>
      </c>
      <c r="B402" s="4">
        <v>46018</v>
      </c>
      <c r="C402" t="s">
        <v>495</v>
      </c>
      <c r="D402" t="s">
        <v>1671</v>
      </c>
      <c r="E402" t="s">
        <v>22</v>
      </c>
      <c r="F402" t="s">
        <v>1672</v>
      </c>
      <c r="G402" t="s">
        <v>1673</v>
      </c>
      <c r="H402" s="4">
        <v>46090.607732442128</v>
      </c>
      <c r="J402" t="s">
        <v>68</v>
      </c>
      <c r="K402">
        <v>101217</v>
      </c>
    </row>
    <row r="403" spans="1:11" x14ac:dyDescent="0.55000000000000004">
      <c r="A403" t="s">
        <v>1674</v>
      </c>
      <c r="B403" s="4">
        <v>45733</v>
      </c>
      <c r="C403" t="s">
        <v>49</v>
      </c>
      <c r="D403" t="s">
        <v>1675</v>
      </c>
      <c r="E403" t="s">
        <v>22</v>
      </c>
      <c r="F403" t="s">
        <v>1676</v>
      </c>
      <c r="G403" t="s">
        <v>1677</v>
      </c>
      <c r="H403" s="4">
        <v>46053.595232442131</v>
      </c>
      <c r="J403" t="s">
        <v>248</v>
      </c>
      <c r="K403">
        <v>100296</v>
      </c>
    </row>
    <row r="404" spans="1:11" x14ac:dyDescent="0.55000000000000004">
      <c r="A404" t="s">
        <v>1678</v>
      </c>
      <c r="B404" s="4">
        <v>45816</v>
      </c>
      <c r="C404" t="s">
        <v>418</v>
      </c>
      <c r="D404" t="s">
        <v>1679</v>
      </c>
      <c r="E404" t="s">
        <v>15</v>
      </c>
      <c r="F404" t="s">
        <v>1680</v>
      </c>
      <c r="G404" t="s">
        <v>1681</v>
      </c>
      <c r="H404" s="4">
        <v>46080.877176898146</v>
      </c>
      <c r="J404" t="s">
        <v>37</v>
      </c>
      <c r="K404">
        <v>100300</v>
      </c>
    </row>
    <row r="405" spans="1:11" x14ac:dyDescent="0.55000000000000004">
      <c r="A405" t="s">
        <v>1682</v>
      </c>
      <c r="B405" s="4">
        <v>45828</v>
      </c>
      <c r="C405" t="s">
        <v>69</v>
      </c>
      <c r="D405" t="s">
        <v>1683</v>
      </c>
      <c r="E405" t="s">
        <v>15</v>
      </c>
      <c r="F405" t="s">
        <v>1684</v>
      </c>
      <c r="G405" t="s">
        <v>1685</v>
      </c>
      <c r="H405" s="4">
        <v>46068.475093564812</v>
      </c>
      <c r="J405" t="s">
        <v>248</v>
      </c>
      <c r="K405">
        <v>100744</v>
      </c>
    </row>
    <row r="406" spans="1:11" x14ac:dyDescent="0.55000000000000004">
      <c r="A406" t="s">
        <v>1686</v>
      </c>
      <c r="B406" s="4">
        <v>45787</v>
      </c>
      <c r="C406" t="s">
        <v>170</v>
      </c>
      <c r="D406" t="s">
        <v>1687</v>
      </c>
      <c r="E406" t="s">
        <v>15</v>
      </c>
      <c r="F406" t="s">
        <v>1688</v>
      </c>
      <c r="G406" t="s">
        <v>1689</v>
      </c>
      <c r="H406" s="4">
        <v>46069.095926898146</v>
      </c>
      <c r="J406" t="s">
        <v>68</v>
      </c>
      <c r="K406">
        <v>100371</v>
      </c>
    </row>
    <row r="407" spans="1:11" x14ac:dyDescent="0.55000000000000004">
      <c r="A407" t="s">
        <v>615</v>
      </c>
      <c r="B407" s="4">
        <v>45990</v>
      </c>
      <c r="C407" t="s">
        <v>69</v>
      </c>
      <c r="D407" t="s">
        <v>1690</v>
      </c>
      <c r="E407" t="s">
        <v>15</v>
      </c>
      <c r="F407" t="s">
        <v>1691</v>
      </c>
      <c r="G407" t="s">
        <v>1692</v>
      </c>
      <c r="H407" s="4">
        <v>46064.677176898149</v>
      </c>
      <c r="J407" t="s">
        <v>19</v>
      </c>
      <c r="K407">
        <v>100144</v>
      </c>
    </row>
    <row r="408" spans="1:11" x14ac:dyDescent="0.55000000000000004">
      <c r="A408" t="s">
        <v>1693</v>
      </c>
      <c r="B408" s="4">
        <v>45953</v>
      </c>
      <c r="C408" t="s">
        <v>43</v>
      </c>
      <c r="D408" t="s">
        <v>1694</v>
      </c>
      <c r="E408" t="s">
        <v>15</v>
      </c>
      <c r="F408" t="s">
        <v>1695</v>
      </c>
      <c r="G408" t="s">
        <v>1696</v>
      </c>
      <c r="H408" s="4">
        <v>46089.598704687502</v>
      </c>
      <c r="J408" t="s">
        <v>19</v>
      </c>
      <c r="K408">
        <v>101325</v>
      </c>
    </row>
    <row r="409" spans="1:11" x14ac:dyDescent="0.55000000000000004">
      <c r="A409" t="s">
        <v>1697</v>
      </c>
      <c r="B409" s="4">
        <v>46068</v>
      </c>
      <c r="C409" t="s">
        <v>495</v>
      </c>
      <c r="D409" t="s">
        <v>1698</v>
      </c>
      <c r="E409" t="s">
        <v>22</v>
      </c>
      <c r="F409" t="s">
        <v>1699</v>
      </c>
      <c r="G409" t="s">
        <v>1700</v>
      </c>
      <c r="H409" s="4">
        <v>46058.7612046875</v>
      </c>
      <c r="J409" t="s">
        <v>179</v>
      </c>
      <c r="K409">
        <v>100806</v>
      </c>
    </row>
    <row r="410" spans="1:11" x14ac:dyDescent="0.55000000000000004">
      <c r="A410" t="s">
        <v>1701</v>
      </c>
      <c r="B410" s="4">
        <v>45872</v>
      </c>
      <c r="C410" t="s">
        <v>49</v>
      </c>
      <c r="D410" t="s">
        <v>1702</v>
      </c>
      <c r="E410" t="s">
        <v>22</v>
      </c>
      <c r="F410" t="s">
        <v>1703</v>
      </c>
      <c r="G410" t="s">
        <v>1704</v>
      </c>
      <c r="H410" s="4">
        <v>46089.550093576392</v>
      </c>
      <c r="J410" t="s">
        <v>248</v>
      </c>
      <c r="K410">
        <v>100259</v>
      </c>
    </row>
    <row r="411" spans="1:11" x14ac:dyDescent="0.55000000000000004">
      <c r="A411" t="s">
        <v>1705</v>
      </c>
      <c r="B411" s="4">
        <v>46040</v>
      </c>
      <c r="C411" t="s">
        <v>126</v>
      </c>
      <c r="D411" t="s">
        <v>1706</v>
      </c>
      <c r="E411" t="s">
        <v>22</v>
      </c>
      <c r="F411" t="s">
        <v>1707</v>
      </c>
      <c r="G411" t="s">
        <v>1708</v>
      </c>
      <c r="H411" s="4">
        <v>46051.95912136574</v>
      </c>
      <c r="J411" t="s">
        <v>179</v>
      </c>
      <c r="K411">
        <v>100822</v>
      </c>
    </row>
    <row r="412" spans="1:11" x14ac:dyDescent="0.55000000000000004">
      <c r="A412" t="s">
        <v>1709</v>
      </c>
      <c r="B412" s="4">
        <v>45834</v>
      </c>
      <c r="C412" t="s">
        <v>38</v>
      </c>
      <c r="D412" t="s">
        <v>1710</v>
      </c>
      <c r="E412" t="s">
        <v>22</v>
      </c>
      <c r="F412" t="s">
        <v>1711</v>
      </c>
      <c r="G412" t="s">
        <v>1712</v>
      </c>
      <c r="H412" s="4">
        <v>46054.254954699078</v>
      </c>
      <c r="J412" t="s">
        <v>248</v>
      </c>
      <c r="K412">
        <v>100174</v>
      </c>
    </row>
    <row r="413" spans="1:11" x14ac:dyDescent="0.55000000000000004">
      <c r="A413" t="s">
        <v>1713</v>
      </c>
      <c r="B413" s="4">
        <v>46095</v>
      </c>
      <c r="C413" t="s">
        <v>160</v>
      </c>
      <c r="D413" t="s">
        <v>1714</v>
      </c>
      <c r="E413" t="s">
        <v>15</v>
      </c>
      <c r="F413" t="s">
        <v>1715</v>
      </c>
      <c r="G413" t="s">
        <v>1716</v>
      </c>
      <c r="H413" s="4">
        <v>46074.946621377312</v>
      </c>
      <c r="J413" t="s">
        <v>533</v>
      </c>
      <c r="K413">
        <v>100849</v>
      </c>
    </row>
    <row r="414" spans="1:11" x14ac:dyDescent="0.55000000000000004">
      <c r="A414" t="s">
        <v>1717</v>
      </c>
      <c r="B414" s="4">
        <v>46030</v>
      </c>
      <c r="C414" t="s">
        <v>300</v>
      </c>
      <c r="D414" t="s">
        <v>1718</v>
      </c>
      <c r="E414" t="s">
        <v>22</v>
      </c>
      <c r="F414" t="s">
        <v>1719</v>
      </c>
      <c r="G414" t="s">
        <v>1720</v>
      </c>
      <c r="H414" s="4">
        <v>46097.002871377314</v>
      </c>
      <c r="J414" t="s">
        <v>19</v>
      </c>
      <c r="K414">
        <v>100404</v>
      </c>
    </row>
    <row r="415" spans="1:11" x14ac:dyDescent="0.55000000000000004">
      <c r="A415" t="s">
        <v>1721</v>
      </c>
      <c r="B415" s="4">
        <v>45744</v>
      </c>
      <c r="C415" t="s">
        <v>265</v>
      </c>
      <c r="D415" t="s">
        <v>1722</v>
      </c>
      <c r="E415" t="s">
        <v>15</v>
      </c>
      <c r="F415" t="s">
        <v>1723</v>
      </c>
      <c r="G415" t="s">
        <v>1724</v>
      </c>
      <c r="H415" s="4">
        <v>46085.366760266203</v>
      </c>
      <c r="J415" t="s">
        <v>533</v>
      </c>
      <c r="K415">
        <v>100855</v>
      </c>
    </row>
    <row r="416" spans="1:11" x14ac:dyDescent="0.55000000000000004">
      <c r="A416" t="s">
        <v>1725</v>
      </c>
      <c r="B416" s="4">
        <v>45878</v>
      </c>
      <c r="C416" t="s">
        <v>199</v>
      </c>
      <c r="D416" t="s">
        <v>1726</v>
      </c>
      <c r="E416" t="s">
        <v>22</v>
      </c>
      <c r="F416" t="s">
        <v>1727</v>
      </c>
      <c r="G416" t="s">
        <v>1728</v>
      </c>
      <c r="H416" s="4">
        <v>46083.976482500002</v>
      </c>
      <c r="J416" t="s">
        <v>533</v>
      </c>
      <c r="K416">
        <v>100908</v>
      </c>
    </row>
    <row r="417" spans="1:11" x14ac:dyDescent="0.55000000000000004">
      <c r="A417" t="s">
        <v>1729</v>
      </c>
      <c r="B417" s="4">
        <v>45915</v>
      </c>
      <c r="C417" t="s">
        <v>170</v>
      </c>
      <c r="D417" t="s">
        <v>1730</v>
      </c>
      <c r="E417" t="s">
        <v>15</v>
      </c>
      <c r="F417" t="s">
        <v>1731</v>
      </c>
      <c r="G417" t="s">
        <v>1732</v>
      </c>
      <c r="H417" s="4">
        <v>46055.948010277774</v>
      </c>
      <c r="J417" t="s">
        <v>37</v>
      </c>
      <c r="K417">
        <v>100035</v>
      </c>
    </row>
    <row r="418" spans="1:11" x14ac:dyDescent="0.55000000000000004">
      <c r="A418" t="s">
        <v>1733</v>
      </c>
      <c r="B418" s="4">
        <v>45853</v>
      </c>
      <c r="C418" t="s">
        <v>13</v>
      </c>
      <c r="D418" t="s">
        <v>1734</v>
      </c>
      <c r="E418" t="s">
        <v>22</v>
      </c>
      <c r="F418" t="s">
        <v>1735</v>
      </c>
      <c r="G418" t="s">
        <v>1736</v>
      </c>
      <c r="H418" s="4">
        <v>46073.153565833331</v>
      </c>
      <c r="J418" t="s">
        <v>179</v>
      </c>
      <c r="K418">
        <v>100069</v>
      </c>
    </row>
    <row r="419" spans="1:11" x14ac:dyDescent="0.55000000000000004">
      <c r="A419" t="s">
        <v>1737</v>
      </c>
      <c r="B419" s="4">
        <v>46014</v>
      </c>
      <c r="C419" t="s">
        <v>155</v>
      </c>
      <c r="D419" t="s">
        <v>1738</v>
      </c>
      <c r="E419" t="s">
        <v>22</v>
      </c>
      <c r="F419" t="s">
        <v>1739</v>
      </c>
      <c r="G419" t="s">
        <v>1740</v>
      </c>
      <c r="H419" s="4">
        <v>46084.863982511575</v>
      </c>
      <c r="J419" t="s">
        <v>68</v>
      </c>
      <c r="K419">
        <v>100382</v>
      </c>
    </row>
    <row r="420" spans="1:11" x14ac:dyDescent="0.55000000000000004">
      <c r="A420" t="s">
        <v>1741</v>
      </c>
      <c r="B420" s="4">
        <v>46156</v>
      </c>
      <c r="C420" t="s">
        <v>317</v>
      </c>
      <c r="D420" t="s">
        <v>1742</v>
      </c>
      <c r="E420" t="s">
        <v>22</v>
      </c>
      <c r="F420" t="s">
        <v>1743</v>
      </c>
      <c r="G420" t="s">
        <v>1744</v>
      </c>
      <c r="H420" s="4">
        <v>46059.968843622686</v>
      </c>
      <c r="J420" t="s">
        <v>179</v>
      </c>
      <c r="K420">
        <v>101394</v>
      </c>
    </row>
    <row r="421" spans="1:11" x14ac:dyDescent="0.55000000000000004">
      <c r="A421" t="s">
        <v>1745</v>
      </c>
      <c r="B421" s="4">
        <v>45832</v>
      </c>
      <c r="C421" t="s">
        <v>208</v>
      </c>
      <c r="D421" t="s">
        <v>1746</v>
      </c>
      <c r="E421" t="s">
        <v>15</v>
      </c>
      <c r="F421" t="s">
        <v>1747</v>
      </c>
      <c r="G421" t="s">
        <v>1748</v>
      </c>
      <c r="H421" s="4">
        <v>46054.640371400463</v>
      </c>
      <c r="J421" t="s">
        <v>19</v>
      </c>
      <c r="K421">
        <v>100306</v>
      </c>
    </row>
    <row r="422" spans="1:11" x14ac:dyDescent="0.55000000000000004">
      <c r="A422" t="s">
        <v>1749</v>
      </c>
      <c r="B422" s="4">
        <v>45820</v>
      </c>
      <c r="C422" t="s">
        <v>270</v>
      </c>
      <c r="D422" t="s">
        <v>1750</v>
      </c>
      <c r="E422" t="s">
        <v>15</v>
      </c>
      <c r="F422" t="s">
        <v>1751</v>
      </c>
      <c r="G422" t="s">
        <v>1752</v>
      </c>
      <c r="H422" s="4">
        <v>46070.349399189814</v>
      </c>
      <c r="J422" t="s">
        <v>533</v>
      </c>
      <c r="K422">
        <v>100097</v>
      </c>
    </row>
    <row r="423" spans="1:11" x14ac:dyDescent="0.55000000000000004">
      <c r="A423" t="s">
        <v>992</v>
      </c>
      <c r="B423" s="4">
        <v>45867</v>
      </c>
      <c r="C423" t="s">
        <v>115</v>
      </c>
      <c r="D423" t="s">
        <v>1753</v>
      </c>
      <c r="E423" t="s">
        <v>22</v>
      </c>
      <c r="F423" t="s">
        <v>1754</v>
      </c>
      <c r="G423" t="s">
        <v>1755</v>
      </c>
      <c r="H423" s="4">
        <v>46097.27648252315</v>
      </c>
      <c r="J423" t="s">
        <v>19</v>
      </c>
      <c r="K423">
        <v>100895</v>
      </c>
    </row>
    <row r="424" spans="1:11" x14ac:dyDescent="0.55000000000000004">
      <c r="A424" t="s">
        <v>1756</v>
      </c>
      <c r="B424" s="4">
        <v>46095</v>
      </c>
      <c r="C424" t="s">
        <v>155</v>
      </c>
      <c r="D424" t="s">
        <v>1757</v>
      </c>
      <c r="E424" t="s">
        <v>15</v>
      </c>
      <c r="F424" t="s">
        <v>1758</v>
      </c>
      <c r="G424" t="s">
        <v>1759</v>
      </c>
      <c r="H424" s="4">
        <v>46076.897315856484</v>
      </c>
      <c r="J424" t="s">
        <v>179</v>
      </c>
      <c r="K424">
        <v>100967</v>
      </c>
    </row>
    <row r="425" spans="1:11" x14ac:dyDescent="0.55000000000000004">
      <c r="A425" t="s">
        <v>1760</v>
      </c>
      <c r="B425" s="4">
        <v>46128</v>
      </c>
      <c r="C425" t="s">
        <v>495</v>
      </c>
      <c r="D425" t="s">
        <v>1761</v>
      </c>
      <c r="E425" t="s">
        <v>22</v>
      </c>
      <c r="F425" t="s">
        <v>1762</v>
      </c>
      <c r="G425" t="s">
        <v>1763</v>
      </c>
      <c r="H425" s="4">
        <v>46093.294538090275</v>
      </c>
      <c r="J425" t="s">
        <v>37</v>
      </c>
      <c r="K425">
        <v>100731</v>
      </c>
    </row>
    <row r="426" spans="1:11" x14ac:dyDescent="0.55000000000000004">
      <c r="A426" t="s">
        <v>1764</v>
      </c>
      <c r="B426" s="4">
        <v>45844</v>
      </c>
      <c r="C426" t="s">
        <v>38</v>
      </c>
      <c r="D426" t="s">
        <v>1765</v>
      </c>
      <c r="E426" t="s">
        <v>15</v>
      </c>
      <c r="F426" t="s">
        <v>1766</v>
      </c>
      <c r="G426" t="s">
        <v>1767</v>
      </c>
      <c r="H426" s="4">
        <v>46065.519538090281</v>
      </c>
      <c r="J426" t="s">
        <v>19</v>
      </c>
      <c r="K426">
        <v>100233</v>
      </c>
    </row>
    <row r="427" spans="1:11" x14ac:dyDescent="0.55000000000000004">
      <c r="A427" t="s">
        <v>1768</v>
      </c>
      <c r="B427" s="4">
        <v>46010</v>
      </c>
      <c r="C427" t="s">
        <v>83</v>
      </c>
      <c r="D427" t="s">
        <v>1769</v>
      </c>
      <c r="E427" t="s">
        <v>15</v>
      </c>
      <c r="F427" t="s">
        <v>1770</v>
      </c>
      <c r="G427" t="s">
        <v>1771</v>
      </c>
      <c r="H427" s="4">
        <v>46083.802871435182</v>
      </c>
      <c r="J427" t="s">
        <v>179</v>
      </c>
      <c r="K427">
        <v>100932</v>
      </c>
    </row>
    <row r="428" spans="1:11" x14ac:dyDescent="0.55000000000000004">
      <c r="A428" t="s">
        <v>1772</v>
      </c>
      <c r="B428" s="4">
        <v>45901</v>
      </c>
      <c r="C428" t="s">
        <v>356</v>
      </c>
      <c r="D428" t="s">
        <v>1773</v>
      </c>
      <c r="E428" t="s">
        <v>22</v>
      </c>
      <c r="F428" t="s">
        <v>1774</v>
      </c>
      <c r="G428" t="s">
        <v>1775</v>
      </c>
      <c r="H428" s="4">
        <v>46061.823010324071</v>
      </c>
      <c r="J428" t="s">
        <v>68</v>
      </c>
      <c r="K428">
        <v>100241</v>
      </c>
    </row>
    <row r="429" spans="1:11" x14ac:dyDescent="0.55000000000000004">
      <c r="A429" t="s">
        <v>6030</v>
      </c>
      <c r="B429" s="4">
        <v>45790</v>
      </c>
      <c r="C429" t="s">
        <v>208</v>
      </c>
      <c r="D429" t="s">
        <v>1777</v>
      </c>
      <c r="E429" t="s">
        <v>15</v>
      </c>
      <c r="F429" t="s">
        <v>1778</v>
      </c>
      <c r="G429" t="s">
        <v>1779</v>
      </c>
      <c r="H429" s="4">
        <v>46094.775788101855</v>
      </c>
      <c r="I429" t="s">
        <v>119</v>
      </c>
      <c r="J429" t="s">
        <v>37</v>
      </c>
      <c r="K429">
        <v>101089</v>
      </c>
    </row>
    <row r="430" spans="1:11" x14ac:dyDescent="0.55000000000000004">
      <c r="A430" t="s">
        <v>1780</v>
      </c>
      <c r="B430" s="4">
        <v>45927</v>
      </c>
      <c r="C430" t="s">
        <v>69</v>
      </c>
      <c r="D430" t="s">
        <v>1781</v>
      </c>
      <c r="E430" t="s">
        <v>22</v>
      </c>
      <c r="F430" t="s">
        <v>1782</v>
      </c>
      <c r="G430" t="s">
        <v>1783</v>
      </c>
      <c r="H430" s="4">
        <v>46063.343843668983</v>
      </c>
      <c r="J430" t="s">
        <v>68</v>
      </c>
      <c r="K430">
        <v>100427</v>
      </c>
    </row>
    <row r="431" spans="1:11" x14ac:dyDescent="0.55000000000000004">
      <c r="A431" t="s">
        <v>1784</v>
      </c>
      <c r="B431" s="4">
        <v>45996</v>
      </c>
      <c r="C431" t="s">
        <v>27</v>
      </c>
      <c r="D431" t="s">
        <v>1785</v>
      </c>
      <c r="E431" t="s">
        <v>22</v>
      </c>
      <c r="F431" t="s">
        <v>1786</v>
      </c>
      <c r="G431" t="s">
        <v>1787</v>
      </c>
      <c r="H431" s="4">
        <v>46066.684121446757</v>
      </c>
      <c r="J431" t="s">
        <v>37</v>
      </c>
      <c r="K431">
        <v>100578</v>
      </c>
    </row>
    <row r="432" spans="1:11" x14ac:dyDescent="0.55000000000000004">
      <c r="A432" t="s">
        <v>1788</v>
      </c>
      <c r="B432" s="4">
        <v>46065</v>
      </c>
      <c r="C432" t="s">
        <v>20</v>
      </c>
      <c r="D432" t="s">
        <v>1789</v>
      </c>
      <c r="E432" t="s">
        <v>15</v>
      </c>
      <c r="F432" t="s">
        <v>1790</v>
      </c>
      <c r="G432" t="s">
        <v>1791</v>
      </c>
      <c r="H432" s="4">
        <v>46091.508427002314</v>
      </c>
      <c r="J432" t="s">
        <v>68</v>
      </c>
      <c r="K432">
        <v>101202</v>
      </c>
    </row>
    <row r="433" spans="1:11" x14ac:dyDescent="0.55000000000000004">
      <c r="A433" t="s">
        <v>1792</v>
      </c>
      <c r="B433" s="4">
        <v>46005</v>
      </c>
      <c r="C433" t="s">
        <v>317</v>
      </c>
      <c r="D433" t="s">
        <v>1793</v>
      </c>
      <c r="E433" t="s">
        <v>15</v>
      </c>
      <c r="F433" t="s">
        <v>1794</v>
      </c>
      <c r="G433" t="s">
        <v>1795</v>
      </c>
      <c r="H433" s="4">
        <v>46083.793149236109</v>
      </c>
      <c r="J433" t="s">
        <v>19</v>
      </c>
      <c r="K433">
        <v>100361</v>
      </c>
    </row>
    <row r="434" spans="1:11" x14ac:dyDescent="0.55000000000000004">
      <c r="A434" t="s">
        <v>1796</v>
      </c>
      <c r="B434" s="4">
        <v>46082</v>
      </c>
      <c r="C434" t="s">
        <v>265</v>
      </c>
      <c r="D434" t="s">
        <v>1797</v>
      </c>
      <c r="E434" t="s">
        <v>22</v>
      </c>
      <c r="F434" t="s">
        <v>1798</v>
      </c>
      <c r="G434" t="s">
        <v>1799</v>
      </c>
      <c r="H434" s="4">
        <v>46056.643843680555</v>
      </c>
      <c r="J434" t="s">
        <v>248</v>
      </c>
      <c r="K434">
        <v>101027</v>
      </c>
    </row>
    <row r="435" spans="1:11" x14ac:dyDescent="0.55000000000000004">
      <c r="A435" t="s">
        <v>1800</v>
      </c>
      <c r="B435" s="4">
        <v>45744</v>
      </c>
      <c r="C435" t="s">
        <v>49</v>
      </c>
      <c r="D435" t="s">
        <v>1801</v>
      </c>
      <c r="E435" t="s">
        <v>15</v>
      </c>
      <c r="F435" t="s">
        <v>1802</v>
      </c>
      <c r="G435" t="s">
        <v>1803</v>
      </c>
      <c r="H435" s="4">
        <v>46092.641760347222</v>
      </c>
      <c r="J435" t="s">
        <v>533</v>
      </c>
      <c r="K435">
        <v>100149</v>
      </c>
    </row>
    <row r="436" spans="1:11" x14ac:dyDescent="0.55000000000000004">
      <c r="A436" t="s">
        <v>1804</v>
      </c>
      <c r="B436" s="4">
        <v>45823</v>
      </c>
      <c r="C436" t="s">
        <v>170</v>
      </c>
      <c r="D436" t="s">
        <v>1805</v>
      </c>
      <c r="E436" t="s">
        <v>15</v>
      </c>
      <c r="F436" t="s">
        <v>1806</v>
      </c>
      <c r="G436" t="s">
        <v>1807</v>
      </c>
      <c r="H436" s="4">
        <v>46081.166760358799</v>
      </c>
      <c r="J436" t="s">
        <v>37</v>
      </c>
      <c r="K436">
        <v>100366</v>
      </c>
    </row>
    <row r="437" spans="1:11" x14ac:dyDescent="0.55000000000000004">
      <c r="A437" t="s">
        <v>1808</v>
      </c>
      <c r="B437" s="4">
        <v>45962</v>
      </c>
      <c r="C437" t="s">
        <v>300</v>
      </c>
      <c r="D437" t="s">
        <v>1809</v>
      </c>
      <c r="E437" t="s">
        <v>15</v>
      </c>
      <c r="F437" t="s">
        <v>1810</v>
      </c>
      <c r="G437" t="s">
        <v>1811</v>
      </c>
      <c r="H437" s="4">
        <v>46072.78898258102</v>
      </c>
      <c r="J437" t="s">
        <v>179</v>
      </c>
      <c r="K437">
        <v>101282</v>
      </c>
    </row>
    <row r="438" spans="1:11" x14ac:dyDescent="0.55000000000000004">
      <c r="A438" t="s">
        <v>1812</v>
      </c>
      <c r="B438" s="4">
        <v>46005</v>
      </c>
      <c r="C438" t="s">
        <v>317</v>
      </c>
      <c r="D438" t="s">
        <v>1813</v>
      </c>
      <c r="E438" t="s">
        <v>15</v>
      </c>
      <c r="F438" t="s">
        <v>1814</v>
      </c>
      <c r="G438" t="s">
        <v>1815</v>
      </c>
      <c r="H438" s="4">
        <v>46060.681343692129</v>
      </c>
      <c r="J438" t="s">
        <v>533</v>
      </c>
      <c r="K438">
        <v>101054</v>
      </c>
    </row>
    <row r="439" spans="1:11" x14ac:dyDescent="0.55000000000000004">
      <c r="A439" t="s">
        <v>1816</v>
      </c>
      <c r="B439" s="4">
        <v>45915</v>
      </c>
      <c r="C439" t="s">
        <v>343</v>
      </c>
      <c r="D439" t="s">
        <v>1817</v>
      </c>
      <c r="E439" t="s">
        <v>15</v>
      </c>
      <c r="F439" t="s">
        <v>1818</v>
      </c>
      <c r="G439" t="s">
        <v>1819</v>
      </c>
      <c r="H439" s="4">
        <v>46079.123704814818</v>
      </c>
      <c r="J439" t="s">
        <v>37</v>
      </c>
      <c r="K439">
        <v>101228</v>
      </c>
    </row>
    <row r="440" spans="1:11" x14ac:dyDescent="0.55000000000000004">
      <c r="A440" t="s">
        <v>1820</v>
      </c>
      <c r="B440" s="4">
        <v>45934</v>
      </c>
      <c r="C440" t="s">
        <v>121</v>
      </c>
      <c r="D440" t="s">
        <v>1821</v>
      </c>
      <c r="E440" t="s">
        <v>15</v>
      </c>
      <c r="F440" t="s">
        <v>1822</v>
      </c>
      <c r="G440" t="s">
        <v>1823</v>
      </c>
      <c r="H440" s="4">
        <v>46089.190371481483</v>
      </c>
      <c r="I440" t="s">
        <v>139</v>
      </c>
      <c r="J440" t="s">
        <v>179</v>
      </c>
      <c r="K440">
        <v>100704</v>
      </c>
    </row>
    <row r="441" spans="1:11" x14ac:dyDescent="0.55000000000000004">
      <c r="A441" t="s">
        <v>909</v>
      </c>
      <c r="B441" s="4">
        <v>45883</v>
      </c>
      <c r="C441" t="s">
        <v>160</v>
      </c>
      <c r="D441" t="s">
        <v>1824</v>
      </c>
      <c r="E441" t="s">
        <v>15</v>
      </c>
      <c r="F441" t="s">
        <v>1825</v>
      </c>
      <c r="G441" t="s">
        <v>1826</v>
      </c>
      <c r="H441" s="4">
        <v>46061.957038148146</v>
      </c>
      <c r="J441" t="s">
        <v>19</v>
      </c>
      <c r="K441">
        <v>100060</v>
      </c>
    </row>
    <row r="442" spans="1:11" x14ac:dyDescent="0.55000000000000004">
      <c r="A442" t="s">
        <v>1827</v>
      </c>
      <c r="B442" s="4">
        <v>45795</v>
      </c>
      <c r="C442" t="s">
        <v>155</v>
      </c>
      <c r="D442" t="s">
        <v>1828</v>
      </c>
      <c r="E442" t="s">
        <v>22</v>
      </c>
      <c r="F442" t="s">
        <v>1829</v>
      </c>
      <c r="G442" t="s">
        <v>1830</v>
      </c>
      <c r="H442" s="4">
        <v>46062.967454826387</v>
      </c>
      <c r="J442" t="s">
        <v>533</v>
      </c>
      <c r="K442">
        <v>101488</v>
      </c>
    </row>
    <row r="443" spans="1:11" x14ac:dyDescent="0.55000000000000004">
      <c r="A443" t="s">
        <v>1831</v>
      </c>
      <c r="B443" s="4">
        <v>45888</v>
      </c>
      <c r="C443" t="s">
        <v>317</v>
      </c>
      <c r="D443" t="s">
        <v>1832</v>
      </c>
      <c r="E443" t="s">
        <v>22</v>
      </c>
      <c r="F443" t="s">
        <v>1833</v>
      </c>
      <c r="G443" t="s">
        <v>1834</v>
      </c>
      <c r="H443" s="4">
        <v>46084.159121493052</v>
      </c>
      <c r="J443" t="s">
        <v>37</v>
      </c>
      <c r="K443">
        <v>100058</v>
      </c>
    </row>
    <row r="444" spans="1:11" x14ac:dyDescent="0.55000000000000004">
      <c r="A444" t="s">
        <v>1835</v>
      </c>
      <c r="B444" s="4">
        <v>45804</v>
      </c>
      <c r="C444" t="s">
        <v>115</v>
      </c>
      <c r="D444" t="s">
        <v>1836</v>
      </c>
      <c r="E444" t="s">
        <v>15</v>
      </c>
      <c r="F444" t="s">
        <v>1837</v>
      </c>
      <c r="G444" t="s">
        <v>1838</v>
      </c>
      <c r="H444" s="4">
        <v>46058.386899282406</v>
      </c>
      <c r="J444" t="s">
        <v>19</v>
      </c>
      <c r="K444">
        <v>101422</v>
      </c>
    </row>
    <row r="445" spans="1:11" x14ac:dyDescent="0.55000000000000004">
      <c r="A445" t="s">
        <v>1839</v>
      </c>
      <c r="B445" s="4">
        <v>45790</v>
      </c>
      <c r="C445" t="s">
        <v>317</v>
      </c>
      <c r="D445" t="s">
        <v>1840</v>
      </c>
      <c r="E445" t="s">
        <v>15</v>
      </c>
      <c r="F445" t="s">
        <v>1841</v>
      </c>
      <c r="G445" t="s">
        <v>1842</v>
      </c>
      <c r="H445" s="4">
        <v>46062.09037150463</v>
      </c>
      <c r="J445" t="s">
        <v>248</v>
      </c>
      <c r="K445">
        <v>100115</v>
      </c>
    </row>
    <row r="446" spans="1:11" x14ac:dyDescent="0.55000000000000004">
      <c r="A446" t="s">
        <v>1843</v>
      </c>
      <c r="B446" s="4">
        <v>45769</v>
      </c>
      <c r="C446" t="s">
        <v>141</v>
      </c>
      <c r="D446" t="s">
        <v>1844</v>
      </c>
      <c r="E446" t="s">
        <v>22</v>
      </c>
      <c r="F446" t="s">
        <v>1845</v>
      </c>
      <c r="G446" t="s">
        <v>1846</v>
      </c>
      <c r="H446" s="4">
        <v>46091.46537150463</v>
      </c>
      <c r="J446" t="s">
        <v>19</v>
      </c>
      <c r="K446">
        <v>101306</v>
      </c>
    </row>
    <row r="447" spans="1:11" x14ac:dyDescent="0.55000000000000004">
      <c r="A447" t="s">
        <v>1847</v>
      </c>
      <c r="B447" s="4">
        <v>45981</v>
      </c>
      <c r="C447" t="s">
        <v>356</v>
      </c>
      <c r="D447" t="s">
        <v>1848</v>
      </c>
      <c r="E447" t="s">
        <v>15</v>
      </c>
      <c r="F447" t="s">
        <v>1849</v>
      </c>
      <c r="G447" t="s">
        <v>1850</v>
      </c>
      <c r="H447" s="4">
        <v>46091.341065960645</v>
      </c>
      <c r="J447" t="s">
        <v>19</v>
      </c>
      <c r="K447">
        <v>100208</v>
      </c>
    </row>
    <row r="448" spans="1:11" x14ac:dyDescent="0.55000000000000004">
      <c r="A448" t="s">
        <v>1851</v>
      </c>
      <c r="B448" s="4">
        <v>45767</v>
      </c>
      <c r="C448" t="s">
        <v>20</v>
      </c>
      <c r="D448" t="s">
        <v>1852</v>
      </c>
      <c r="E448" t="s">
        <v>22</v>
      </c>
      <c r="F448" t="s">
        <v>1853</v>
      </c>
      <c r="G448" t="s">
        <v>1854</v>
      </c>
      <c r="H448" s="4">
        <v>46069.279260405092</v>
      </c>
      <c r="J448" t="s">
        <v>19</v>
      </c>
      <c r="K448">
        <v>100829</v>
      </c>
    </row>
    <row r="449" spans="1:11" x14ac:dyDescent="0.55000000000000004">
      <c r="A449" t="s">
        <v>1855</v>
      </c>
      <c r="B449" s="4">
        <v>46069</v>
      </c>
      <c r="C449" t="s">
        <v>27</v>
      </c>
      <c r="D449" t="s">
        <v>1856</v>
      </c>
      <c r="E449" t="s">
        <v>15</v>
      </c>
      <c r="F449" t="s">
        <v>1857</v>
      </c>
      <c r="G449" t="s">
        <v>1858</v>
      </c>
      <c r="H449" s="4">
        <v>46060.940371516204</v>
      </c>
      <c r="J449" t="s">
        <v>19</v>
      </c>
      <c r="K449">
        <v>101119</v>
      </c>
    </row>
    <row r="450" spans="1:11" x14ac:dyDescent="0.55000000000000004">
      <c r="A450" t="s">
        <v>1859</v>
      </c>
      <c r="B450" s="4">
        <v>46145</v>
      </c>
      <c r="C450" t="s">
        <v>418</v>
      </c>
      <c r="D450" t="s">
        <v>1860</v>
      </c>
      <c r="E450" t="s">
        <v>15</v>
      </c>
      <c r="F450" t="s">
        <v>1861</v>
      </c>
      <c r="G450" t="s">
        <v>1862</v>
      </c>
      <c r="H450" s="4">
        <v>46077.395927083337</v>
      </c>
      <c r="J450" t="s">
        <v>68</v>
      </c>
      <c r="K450">
        <v>100698</v>
      </c>
    </row>
    <row r="451" spans="1:11" x14ac:dyDescent="0.55000000000000004">
      <c r="A451" t="s">
        <v>1863</v>
      </c>
      <c r="B451" s="4">
        <v>46096</v>
      </c>
      <c r="C451" t="s">
        <v>300</v>
      </c>
      <c r="D451" t="s">
        <v>1864</v>
      </c>
      <c r="E451" t="s">
        <v>22</v>
      </c>
      <c r="F451" t="s">
        <v>1865</v>
      </c>
      <c r="G451" t="s">
        <v>1866</v>
      </c>
      <c r="H451" s="4">
        <v>46088.779954861115</v>
      </c>
      <c r="J451" t="s">
        <v>248</v>
      </c>
      <c r="K451">
        <v>100159</v>
      </c>
    </row>
    <row r="452" spans="1:11" x14ac:dyDescent="0.55000000000000004">
      <c r="A452" t="s">
        <v>1867</v>
      </c>
      <c r="B452" s="4">
        <v>45977</v>
      </c>
      <c r="C452" t="s">
        <v>58</v>
      </c>
      <c r="D452" t="s">
        <v>1868</v>
      </c>
      <c r="E452" t="s">
        <v>22</v>
      </c>
      <c r="F452" t="s">
        <v>1869</v>
      </c>
      <c r="G452" t="s">
        <v>1870</v>
      </c>
      <c r="H452" s="4">
        <v>46065.961899305556</v>
      </c>
      <c r="J452" t="s">
        <v>68</v>
      </c>
      <c r="K452">
        <v>101100</v>
      </c>
    </row>
    <row r="453" spans="1:11" x14ac:dyDescent="0.55000000000000004">
      <c r="A453" t="s">
        <v>1871</v>
      </c>
      <c r="B453" s="4">
        <v>45821</v>
      </c>
      <c r="C453" t="s">
        <v>343</v>
      </c>
      <c r="D453" t="s">
        <v>1872</v>
      </c>
      <c r="E453" t="s">
        <v>15</v>
      </c>
      <c r="F453" t="s">
        <v>1873</v>
      </c>
      <c r="G453" t="s">
        <v>1874</v>
      </c>
      <c r="H453" s="4">
        <v>46063.466760428244</v>
      </c>
      <c r="J453" t="s">
        <v>533</v>
      </c>
      <c r="K453">
        <v>101459</v>
      </c>
    </row>
    <row r="454" spans="1:11" x14ac:dyDescent="0.55000000000000004">
      <c r="A454" t="s">
        <v>1875</v>
      </c>
      <c r="B454" s="4">
        <v>46107</v>
      </c>
      <c r="C454" t="s">
        <v>184</v>
      </c>
      <c r="D454" t="s">
        <v>1876</v>
      </c>
      <c r="E454" t="s">
        <v>15</v>
      </c>
      <c r="F454" t="s">
        <v>1877</v>
      </c>
      <c r="G454" t="s">
        <v>1878</v>
      </c>
      <c r="H454" s="4">
        <v>46059.92301042824</v>
      </c>
      <c r="J454" t="s">
        <v>248</v>
      </c>
      <c r="K454">
        <v>101078</v>
      </c>
    </row>
    <row r="455" spans="1:11" x14ac:dyDescent="0.55000000000000004">
      <c r="A455" t="s">
        <v>1879</v>
      </c>
      <c r="B455" s="4">
        <v>46125</v>
      </c>
      <c r="C455" t="s">
        <v>199</v>
      </c>
      <c r="D455" t="s">
        <v>1880</v>
      </c>
      <c r="E455" t="s">
        <v>22</v>
      </c>
      <c r="F455" t="s">
        <v>1881</v>
      </c>
      <c r="G455" t="s">
        <v>1882</v>
      </c>
      <c r="H455" s="4">
        <v>46056.534815983796</v>
      </c>
      <c r="J455" t="s">
        <v>179</v>
      </c>
      <c r="K455">
        <v>101251</v>
      </c>
    </row>
    <row r="456" spans="1:11" x14ac:dyDescent="0.55000000000000004">
      <c r="A456" t="s">
        <v>1883</v>
      </c>
      <c r="B456" s="4">
        <v>45932</v>
      </c>
      <c r="C456" t="s">
        <v>38</v>
      </c>
      <c r="D456" t="s">
        <v>1884</v>
      </c>
      <c r="E456" t="s">
        <v>22</v>
      </c>
      <c r="F456" t="s">
        <v>1885</v>
      </c>
      <c r="G456" t="s">
        <v>1886</v>
      </c>
      <c r="H456" s="4">
        <v>46089.085510439814</v>
      </c>
      <c r="J456" t="s">
        <v>68</v>
      </c>
      <c r="K456">
        <v>101128</v>
      </c>
    </row>
    <row r="457" spans="1:11" x14ac:dyDescent="0.55000000000000004">
      <c r="A457" t="s">
        <v>1887</v>
      </c>
      <c r="B457" s="4">
        <v>45993</v>
      </c>
      <c r="C457" t="s">
        <v>69</v>
      </c>
      <c r="D457" t="s">
        <v>1888</v>
      </c>
      <c r="E457" t="s">
        <v>22</v>
      </c>
      <c r="F457" t="s">
        <v>1889</v>
      </c>
      <c r="G457" t="s">
        <v>1890</v>
      </c>
      <c r="H457" s="4">
        <v>46065.73134377315</v>
      </c>
      <c r="J457" t="s">
        <v>19</v>
      </c>
      <c r="K457">
        <v>101192</v>
      </c>
    </row>
    <row r="458" spans="1:11" x14ac:dyDescent="0.55000000000000004">
      <c r="A458" t="s">
        <v>1891</v>
      </c>
      <c r="B458" s="4">
        <v>46144</v>
      </c>
      <c r="C458" t="s">
        <v>587</v>
      </c>
      <c r="D458" t="s">
        <v>1892</v>
      </c>
      <c r="E458" t="s">
        <v>22</v>
      </c>
      <c r="F458" t="s">
        <v>1893</v>
      </c>
      <c r="G458" t="s">
        <v>1894</v>
      </c>
      <c r="H458" s="4">
        <v>46087.491760439814</v>
      </c>
      <c r="J458" t="s">
        <v>248</v>
      </c>
      <c r="K458">
        <v>100626</v>
      </c>
    </row>
    <row r="459" spans="1:11" x14ac:dyDescent="0.55000000000000004">
      <c r="A459" t="s">
        <v>1895</v>
      </c>
      <c r="B459" s="4">
        <v>46021</v>
      </c>
      <c r="C459" t="s">
        <v>208</v>
      </c>
      <c r="D459" t="s">
        <v>1896</v>
      </c>
      <c r="E459" t="s">
        <v>15</v>
      </c>
      <c r="F459" t="s">
        <v>1897</v>
      </c>
      <c r="G459" t="s">
        <v>1898</v>
      </c>
      <c r="H459" s="4">
        <v>46083.052871562497</v>
      </c>
      <c r="J459" t="s">
        <v>19</v>
      </c>
      <c r="K459">
        <v>100062</v>
      </c>
    </row>
    <row r="460" spans="1:11" x14ac:dyDescent="0.55000000000000004">
      <c r="A460" t="s">
        <v>1899</v>
      </c>
      <c r="B460" s="4">
        <v>45764</v>
      </c>
      <c r="C460" t="s">
        <v>356</v>
      </c>
      <c r="D460" t="s">
        <v>1900</v>
      </c>
      <c r="E460" t="s">
        <v>15</v>
      </c>
      <c r="F460" t="s">
        <v>1901</v>
      </c>
      <c r="G460" t="s">
        <v>1902</v>
      </c>
      <c r="H460" s="4">
        <v>46055.452177118059</v>
      </c>
      <c r="J460" t="s">
        <v>248</v>
      </c>
      <c r="K460">
        <v>101158</v>
      </c>
    </row>
    <row r="461" spans="1:11" x14ac:dyDescent="0.55000000000000004">
      <c r="A461" t="s">
        <v>1903</v>
      </c>
      <c r="B461" s="4">
        <v>46137</v>
      </c>
      <c r="C461" t="s">
        <v>757</v>
      </c>
      <c r="D461" t="s">
        <v>1904</v>
      </c>
      <c r="E461" t="s">
        <v>22</v>
      </c>
      <c r="F461" t="s">
        <v>1905</v>
      </c>
      <c r="G461" t="s">
        <v>1906</v>
      </c>
      <c r="H461" s="4">
        <v>46095.689677129631</v>
      </c>
      <c r="J461" t="s">
        <v>19</v>
      </c>
      <c r="K461">
        <v>100357</v>
      </c>
    </row>
    <row r="462" spans="1:11" x14ac:dyDescent="0.55000000000000004">
      <c r="A462" t="s">
        <v>1907</v>
      </c>
      <c r="B462" s="4">
        <v>45784</v>
      </c>
      <c r="C462" t="s">
        <v>126</v>
      </c>
      <c r="D462" t="s">
        <v>1908</v>
      </c>
      <c r="E462" t="s">
        <v>15</v>
      </c>
      <c r="F462" t="s">
        <v>1909</v>
      </c>
      <c r="G462" t="s">
        <v>1910</v>
      </c>
      <c r="H462" s="4">
        <v>46072.816760462963</v>
      </c>
      <c r="I462" t="s">
        <v>112</v>
      </c>
      <c r="J462" t="s">
        <v>68</v>
      </c>
    </row>
    <row r="463" spans="1:11" x14ac:dyDescent="0.55000000000000004">
      <c r="A463" t="s">
        <v>1911</v>
      </c>
      <c r="B463" s="4">
        <v>45919</v>
      </c>
      <c r="C463" t="s">
        <v>13</v>
      </c>
      <c r="D463" t="s">
        <v>1286</v>
      </c>
      <c r="E463" t="s">
        <v>22</v>
      </c>
      <c r="F463" t="s">
        <v>1912</v>
      </c>
      <c r="G463" t="s">
        <v>1913</v>
      </c>
      <c r="H463" s="4">
        <v>46083.011899351855</v>
      </c>
      <c r="I463" t="s">
        <v>112</v>
      </c>
      <c r="J463" t="s">
        <v>179</v>
      </c>
    </row>
    <row r="464" spans="1:11" x14ac:dyDescent="0.55000000000000004">
      <c r="A464" t="s">
        <v>1914</v>
      </c>
      <c r="B464" s="4">
        <v>45912</v>
      </c>
      <c r="C464" t="s">
        <v>757</v>
      </c>
      <c r="D464" t="s">
        <v>1915</v>
      </c>
      <c r="E464" t="s">
        <v>15</v>
      </c>
      <c r="F464" t="s">
        <v>1916</v>
      </c>
      <c r="G464" t="s">
        <v>1917</v>
      </c>
      <c r="H464" s="4">
        <v>46065.548704918983</v>
      </c>
      <c r="J464" t="s">
        <v>179</v>
      </c>
      <c r="K464">
        <v>101085</v>
      </c>
    </row>
    <row r="465" spans="1:11" x14ac:dyDescent="0.55000000000000004">
      <c r="A465" t="s">
        <v>1918</v>
      </c>
      <c r="B465" s="4">
        <v>45816</v>
      </c>
      <c r="C465" t="s">
        <v>155</v>
      </c>
      <c r="D465" t="s">
        <v>1919</v>
      </c>
      <c r="E465" t="s">
        <v>22</v>
      </c>
      <c r="F465" t="s">
        <v>1920</v>
      </c>
      <c r="G465" t="s">
        <v>1921</v>
      </c>
      <c r="H465" s="4">
        <v>46084.53273269676</v>
      </c>
      <c r="J465" t="s">
        <v>179</v>
      </c>
      <c r="K465">
        <v>100067</v>
      </c>
    </row>
    <row r="466" spans="1:11" x14ac:dyDescent="0.55000000000000004">
      <c r="A466" t="s">
        <v>1922</v>
      </c>
      <c r="B466" s="4">
        <v>45812</v>
      </c>
      <c r="C466" t="s">
        <v>170</v>
      </c>
      <c r="D466" t="s">
        <v>1923</v>
      </c>
      <c r="E466" t="s">
        <v>15</v>
      </c>
      <c r="F466" t="s">
        <v>1924</v>
      </c>
      <c r="G466" t="s">
        <v>1925</v>
      </c>
      <c r="H466" s="4">
        <v>46071.276482696761</v>
      </c>
      <c r="J466" t="s">
        <v>533</v>
      </c>
      <c r="K466">
        <v>100896</v>
      </c>
    </row>
    <row r="467" spans="1:11" x14ac:dyDescent="0.55000000000000004">
      <c r="A467" t="s">
        <v>1926</v>
      </c>
      <c r="B467" s="4">
        <v>45978</v>
      </c>
      <c r="C467" t="s">
        <v>680</v>
      </c>
      <c r="D467" t="s">
        <v>1927</v>
      </c>
      <c r="E467" t="s">
        <v>15</v>
      </c>
      <c r="F467" t="s">
        <v>1928</v>
      </c>
      <c r="G467" t="s">
        <v>1929</v>
      </c>
      <c r="H467" s="4">
        <v>46056.161899375002</v>
      </c>
      <c r="J467" t="s">
        <v>533</v>
      </c>
      <c r="K467">
        <v>100930</v>
      </c>
    </row>
    <row r="468" spans="1:11" x14ac:dyDescent="0.55000000000000004">
      <c r="A468" t="s">
        <v>1930</v>
      </c>
      <c r="B468" s="4">
        <v>45856</v>
      </c>
      <c r="C468" t="s">
        <v>115</v>
      </c>
      <c r="D468" t="s">
        <v>1931</v>
      </c>
      <c r="E468" t="s">
        <v>15</v>
      </c>
      <c r="F468" t="s">
        <v>1932</v>
      </c>
      <c r="G468" t="s">
        <v>1933</v>
      </c>
      <c r="H468" s="4">
        <v>46088.850788263888</v>
      </c>
      <c r="J468" t="s">
        <v>37</v>
      </c>
      <c r="K468">
        <v>101333</v>
      </c>
    </row>
    <row r="469" spans="1:11" x14ac:dyDescent="0.55000000000000004">
      <c r="A469" t="s">
        <v>1934</v>
      </c>
      <c r="B469" s="4">
        <v>45752</v>
      </c>
      <c r="C469" t="s">
        <v>108</v>
      </c>
      <c r="D469" t="s">
        <v>1935</v>
      </c>
      <c r="E469" t="s">
        <v>22</v>
      </c>
      <c r="F469" t="s">
        <v>1936</v>
      </c>
      <c r="G469" t="s">
        <v>1937</v>
      </c>
      <c r="H469" s="4">
        <v>46086.01120494213</v>
      </c>
      <c r="J469" t="s">
        <v>19</v>
      </c>
      <c r="K469">
        <v>100681</v>
      </c>
    </row>
    <row r="470" spans="1:11" x14ac:dyDescent="0.55000000000000004">
      <c r="A470" t="s">
        <v>1938</v>
      </c>
      <c r="B470" s="4">
        <v>46038</v>
      </c>
      <c r="C470" t="s">
        <v>13</v>
      </c>
      <c r="D470" t="s">
        <v>1939</v>
      </c>
      <c r="E470" t="s">
        <v>15</v>
      </c>
      <c r="F470" t="s">
        <v>1940</v>
      </c>
      <c r="G470" t="s">
        <v>1941</v>
      </c>
      <c r="H470" s="4">
        <v>46084.107732719909</v>
      </c>
      <c r="J470" t="s">
        <v>179</v>
      </c>
      <c r="K470">
        <v>100837</v>
      </c>
    </row>
    <row r="471" spans="1:11" x14ac:dyDescent="0.55000000000000004">
      <c r="A471" t="s">
        <v>1942</v>
      </c>
      <c r="B471" s="4">
        <v>45973</v>
      </c>
      <c r="C471" t="s">
        <v>189</v>
      </c>
      <c r="D471" t="s">
        <v>203</v>
      </c>
      <c r="E471" t="s">
        <v>22</v>
      </c>
      <c r="F471" t="s">
        <v>1943</v>
      </c>
      <c r="G471" t="s">
        <v>1944</v>
      </c>
      <c r="H471" s="4">
        <v>46059.543149386576</v>
      </c>
      <c r="J471" t="s">
        <v>19</v>
      </c>
      <c r="K471">
        <v>100800</v>
      </c>
    </row>
    <row r="472" spans="1:11" x14ac:dyDescent="0.55000000000000004">
      <c r="A472" t="s">
        <v>1945</v>
      </c>
      <c r="B472" s="4">
        <v>46152</v>
      </c>
      <c r="C472" t="s">
        <v>38</v>
      </c>
      <c r="D472" t="s">
        <v>1946</v>
      </c>
      <c r="E472" t="s">
        <v>22</v>
      </c>
      <c r="F472" t="s">
        <v>1947</v>
      </c>
      <c r="G472" t="s">
        <v>1948</v>
      </c>
      <c r="H472" s="4">
        <v>46086.770927175923</v>
      </c>
      <c r="J472" t="s">
        <v>19</v>
      </c>
      <c r="K472">
        <v>100320</v>
      </c>
    </row>
    <row r="473" spans="1:11" x14ac:dyDescent="0.55000000000000004">
      <c r="A473" t="s">
        <v>1949</v>
      </c>
      <c r="B473" s="4">
        <v>45964</v>
      </c>
      <c r="C473" t="s">
        <v>528</v>
      </c>
      <c r="D473" t="s">
        <v>1950</v>
      </c>
      <c r="E473" t="s">
        <v>22</v>
      </c>
      <c r="F473" t="s">
        <v>1951</v>
      </c>
      <c r="G473" t="s">
        <v>1952</v>
      </c>
      <c r="H473" s="4">
        <v>46073.558427175929</v>
      </c>
      <c r="J473" t="s">
        <v>68</v>
      </c>
      <c r="K473">
        <v>100934</v>
      </c>
    </row>
    <row r="474" spans="1:11" x14ac:dyDescent="0.55000000000000004">
      <c r="A474" t="s">
        <v>1953</v>
      </c>
      <c r="B474" s="4">
        <v>45740</v>
      </c>
      <c r="C474" t="s">
        <v>38</v>
      </c>
      <c r="D474" t="s">
        <v>1954</v>
      </c>
      <c r="E474" t="s">
        <v>22</v>
      </c>
      <c r="F474" t="s">
        <v>1955</v>
      </c>
      <c r="G474" t="s">
        <v>1956</v>
      </c>
      <c r="H474" s="4">
        <v>46087.884816064812</v>
      </c>
      <c r="J474" t="s">
        <v>533</v>
      </c>
      <c r="K474">
        <v>100387</v>
      </c>
    </row>
    <row r="475" spans="1:11" x14ac:dyDescent="0.55000000000000004">
      <c r="A475" t="s">
        <v>1957</v>
      </c>
      <c r="B475" s="4">
        <v>45822</v>
      </c>
      <c r="C475" t="s">
        <v>27</v>
      </c>
      <c r="D475" t="s">
        <v>1958</v>
      </c>
      <c r="E475" t="s">
        <v>15</v>
      </c>
      <c r="F475" t="s">
        <v>1959</v>
      </c>
      <c r="G475" t="s">
        <v>1960</v>
      </c>
      <c r="H475" s="4">
        <v>46063.030649409724</v>
      </c>
      <c r="J475" t="s">
        <v>533</v>
      </c>
      <c r="K475">
        <v>100909</v>
      </c>
    </row>
    <row r="476" spans="1:11" x14ac:dyDescent="0.55000000000000004">
      <c r="A476" t="s">
        <v>1961</v>
      </c>
      <c r="B476" s="4">
        <v>45779</v>
      </c>
      <c r="C476" t="s">
        <v>189</v>
      </c>
      <c r="D476" t="s">
        <v>1962</v>
      </c>
      <c r="E476" t="s">
        <v>15</v>
      </c>
      <c r="F476" t="s">
        <v>1963</v>
      </c>
      <c r="G476" t="s">
        <v>1964</v>
      </c>
      <c r="H476" s="4">
        <v>46053.823010520835</v>
      </c>
      <c r="J476" t="s">
        <v>533</v>
      </c>
      <c r="K476">
        <v>100519</v>
      </c>
    </row>
    <row r="477" spans="1:11" x14ac:dyDescent="0.55000000000000004">
      <c r="A477" t="s">
        <v>1965</v>
      </c>
      <c r="B477" s="4">
        <v>45999</v>
      </c>
      <c r="C477" t="s">
        <v>295</v>
      </c>
      <c r="D477" t="s">
        <v>1966</v>
      </c>
      <c r="E477" t="s">
        <v>22</v>
      </c>
      <c r="F477" t="s">
        <v>1967</v>
      </c>
      <c r="G477" t="s">
        <v>1968</v>
      </c>
      <c r="H477" s="4">
        <v>46083.060510520831</v>
      </c>
      <c r="J477" t="s">
        <v>179</v>
      </c>
      <c r="K477">
        <v>100905</v>
      </c>
    </row>
    <row r="478" spans="1:11" x14ac:dyDescent="0.55000000000000004">
      <c r="A478" t="s">
        <v>1969</v>
      </c>
      <c r="B478" s="4">
        <v>45911</v>
      </c>
      <c r="C478" t="s">
        <v>184</v>
      </c>
      <c r="D478" t="s">
        <v>1970</v>
      </c>
      <c r="E478" t="s">
        <v>22</v>
      </c>
      <c r="F478" t="s">
        <v>1971</v>
      </c>
      <c r="G478" t="s">
        <v>1972</v>
      </c>
      <c r="H478" s="4">
        <v>46089.384121643518</v>
      </c>
      <c r="J478" t="s">
        <v>179</v>
      </c>
      <c r="K478">
        <v>101368</v>
      </c>
    </row>
    <row r="479" spans="1:11" x14ac:dyDescent="0.55000000000000004">
      <c r="A479" t="s">
        <v>1973</v>
      </c>
      <c r="B479" s="4">
        <v>46124</v>
      </c>
      <c r="C479" t="s">
        <v>155</v>
      </c>
      <c r="D479" t="s">
        <v>1974</v>
      </c>
      <c r="E479" t="s">
        <v>22</v>
      </c>
      <c r="F479" t="s">
        <v>1975</v>
      </c>
      <c r="G479" t="s">
        <v>1976</v>
      </c>
      <c r="H479" s="4">
        <v>46058.973010532405</v>
      </c>
      <c r="J479" t="s">
        <v>19</v>
      </c>
      <c r="K479">
        <v>101061</v>
      </c>
    </row>
    <row r="480" spans="1:11" x14ac:dyDescent="0.55000000000000004">
      <c r="A480" t="s">
        <v>1977</v>
      </c>
      <c r="B480" s="4">
        <v>45863</v>
      </c>
      <c r="C480" t="s">
        <v>155</v>
      </c>
      <c r="D480" t="s">
        <v>1978</v>
      </c>
      <c r="E480" t="s">
        <v>15</v>
      </c>
      <c r="F480" t="s">
        <v>1979</v>
      </c>
      <c r="G480" t="s">
        <v>1980</v>
      </c>
      <c r="H480" s="4">
        <v>46061.002871655095</v>
      </c>
      <c r="J480" t="s">
        <v>179</v>
      </c>
      <c r="K480">
        <v>101210</v>
      </c>
    </row>
    <row r="481" spans="1:11" x14ac:dyDescent="0.55000000000000004">
      <c r="A481" t="s">
        <v>1981</v>
      </c>
      <c r="B481" s="4">
        <v>45998</v>
      </c>
      <c r="C481" t="s">
        <v>69</v>
      </c>
      <c r="D481" t="s">
        <v>1982</v>
      </c>
      <c r="E481" t="s">
        <v>15</v>
      </c>
      <c r="F481" t="s">
        <v>1983</v>
      </c>
      <c r="G481" t="s">
        <v>1984</v>
      </c>
      <c r="H481" s="4">
        <v>46053.297316099539</v>
      </c>
      <c r="J481" t="s">
        <v>533</v>
      </c>
      <c r="K481">
        <v>100988</v>
      </c>
    </row>
    <row r="482" spans="1:11" x14ac:dyDescent="0.55000000000000004">
      <c r="A482" t="s">
        <v>1985</v>
      </c>
      <c r="B482" s="4">
        <v>45917</v>
      </c>
      <c r="C482" t="s">
        <v>115</v>
      </c>
      <c r="D482" t="s">
        <v>1986</v>
      </c>
      <c r="E482" t="s">
        <v>22</v>
      </c>
      <c r="F482" t="s">
        <v>1987</v>
      </c>
      <c r="G482" t="s">
        <v>1988</v>
      </c>
      <c r="H482" s="4">
        <v>46055.9139827662</v>
      </c>
      <c r="J482" t="s">
        <v>179</v>
      </c>
      <c r="K482">
        <v>100651</v>
      </c>
    </row>
    <row r="483" spans="1:11" x14ac:dyDescent="0.55000000000000004">
      <c r="A483" t="s">
        <v>6031</v>
      </c>
      <c r="B483" s="4">
        <v>45865</v>
      </c>
      <c r="C483" t="s">
        <v>495</v>
      </c>
      <c r="D483" t="s">
        <v>1990</v>
      </c>
      <c r="E483" t="s">
        <v>22</v>
      </c>
      <c r="F483" t="s">
        <v>1991</v>
      </c>
      <c r="G483" t="s">
        <v>1992</v>
      </c>
      <c r="H483" s="4">
        <v>46054.181343888886</v>
      </c>
      <c r="I483" t="s">
        <v>119</v>
      </c>
      <c r="J483" t="s">
        <v>248</v>
      </c>
      <c r="K483">
        <v>101063</v>
      </c>
    </row>
    <row r="484" spans="1:11" x14ac:dyDescent="0.55000000000000004">
      <c r="A484" t="s">
        <v>1993</v>
      </c>
      <c r="B484" s="4">
        <v>45943</v>
      </c>
      <c r="C484" t="s">
        <v>43</v>
      </c>
      <c r="D484" t="s">
        <v>1994</v>
      </c>
      <c r="E484" t="s">
        <v>22</v>
      </c>
      <c r="F484" t="s">
        <v>1995</v>
      </c>
      <c r="G484" t="s">
        <v>1996</v>
      </c>
      <c r="H484" s="4">
        <v>46061.957038333334</v>
      </c>
      <c r="J484" t="s">
        <v>248</v>
      </c>
      <c r="K484">
        <v>100336</v>
      </c>
    </row>
    <row r="485" spans="1:11" x14ac:dyDescent="0.55000000000000004">
      <c r="A485" t="s">
        <v>1997</v>
      </c>
      <c r="B485" s="4">
        <v>45861</v>
      </c>
      <c r="C485" t="s">
        <v>467</v>
      </c>
      <c r="D485" t="s">
        <v>1998</v>
      </c>
      <c r="E485" t="s">
        <v>22</v>
      </c>
      <c r="F485" t="s">
        <v>1999</v>
      </c>
      <c r="G485" t="s">
        <v>2000</v>
      </c>
      <c r="H485" s="4">
        <v>46088.808427222219</v>
      </c>
      <c r="J485" t="s">
        <v>19</v>
      </c>
      <c r="K485">
        <v>101016</v>
      </c>
    </row>
    <row r="486" spans="1:11" x14ac:dyDescent="0.55000000000000004">
      <c r="A486" t="s">
        <v>2001</v>
      </c>
      <c r="B486" s="4">
        <v>46114</v>
      </c>
      <c r="C486" t="s">
        <v>69</v>
      </c>
      <c r="D486" t="s">
        <v>2002</v>
      </c>
      <c r="E486" t="s">
        <v>15</v>
      </c>
      <c r="F486" t="s">
        <v>2003</v>
      </c>
      <c r="G486" t="s">
        <v>2004</v>
      </c>
      <c r="H486" s="4">
        <v>46091.441066122687</v>
      </c>
      <c r="J486" t="s">
        <v>533</v>
      </c>
      <c r="K486">
        <v>100422</v>
      </c>
    </row>
    <row r="487" spans="1:11" x14ac:dyDescent="0.55000000000000004">
      <c r="A487" t="s">
        <v>2005</v>
      </c>
      <c r="B487" s="4">
        <v>45937</v>
      </c>
      <c r="C487" t="s">
        <v>27</v>
      </c>
      <c r="D487" t="s">
        <v>2006</v>
      </c>
      <c r="E487" t="s">
        <v>15</v>
      </c>
      <c r="F487" t="s">
        <v>2007</v>
      </c>
      <c r="G487" t="s">
        <v>2008</v>
      </c>
      <c r="H487" s="4">
        <v>46087.193149456019</v>
      </c>
      <c r="J487" t="s">
        <v>19</v>
      </c>
      <c r="K487">
        <v>100263</v>
      </c>
    </row>
    <row r="488" spans="1:11" x14ac:dyDescent="0.55000000000000004">
      <c r="A488" t="s">
        <v>2009</v>
      </c>
      <c r="B488" s="4">
        <v>46143</v>
      </c>
      <c r="C488" t="s">
        <v>115</v>
      </c>
      <c r="D488" t="s">
        <v>2010</v>
      </c>
      <c r="E488" t="s">
        <v>22</v>
      </c>
      <c r="F488" t="s">
        <v>2011</v>
      </c>
      <c r="G488" t="s">
        <v>2012</v>
      </c>
      <c r="H488" s="4">
        <v>46059.127177233793</v>
      </c>
      <c r="J488" t="s">
        <v>37</v>
      </c>
      <c r="K488">
        <v>100532</v>
      </c>
    </row>
    <row r="489" spans="1:11" x14ac:dyDescent="0.55000000000000004">
      <c r="A489" t="s">
        <v>2013</v>
      </c>
      <c r="B489" s="4">
        <v>45764</v>
      </c>
      <c r="C489" t="s">
        <v>356</v>
      </c>
      <c r="D489" t="s">
        <v>2014</v>
      </c>
      <c r="E489" t="s">
        <v>15</v>
      </c>
      <c r="F489" t="s">
        <v>2015</v>
      </c>
      <c r="G489" t="s">
        <v>2016</v>
      </c>
      <c r="H489" s="4">
        <v>46059.692455023149</v>
      </c>
      <c r="J489" t="s">
        <v>37</v>
      </c>
      <c r="K489">
        <v>101430</v>
      </c>
    </row>
    <row r="490" spans="1:11" x14ac:dyDescent="0.55000000000000004">
      <c r="A490" t="s">
        <v>2017</v>
      </c>
      <c r="B490" s="4">
        <v>45937</v>
      </c>
      <c r="C490" t="s">
        <v>126</v>
      </c>
      <c r="D490" t="s">
        <v>2018</v>
      </c>
      <c r="E490" t="s">
        <v>15</v>
      </c>
      <c r="F490" t="s">
        <v>2019</v>
      </c>
      <c r="G490" t="s">
        <v>2020</v>
      </c>
      <c r="H490" s="4">
        <v>46085.835510578705</v>
      </c>
      <c r="J490" t="s">
        <v>179</v>
      </c>
      <c r="K490">
        <v>101069</v>
      </c>
    </row>
    <row r="491" spans="1:11" x14ac:dyDescent="0.55000000000000004">
      <c r="A491" t="s">
        <v>2021</v>
      </c>
      <c r="B491" s="4">
        <v>45956</v>
      </c>
      <c r="C491" t="s">
        <v>115</v>
      </c>
      <c r="D491" t="s">
        <v>2022</v>
      </c>
      <c r="E491" t="s">
        <v>22</v>
      </c>
      <c r="F491" t="s">
        <v>2023</v>
      </c>
      <c r="G491" t="s">
        <v>2024</v>
      </c>
      <c r="H491" s="4">
        <v>46085.698705034723</v>
      </c>
      <c r="J491" t="s">
        <v>19</v>
      </c>
      <c r="K491">
        <v>100059</v>
      </c>
    </row>
    <row r="492" spans="1:11" x14ac:dyDescent="0.55000000000000004">
      <c r="A492" t="s">
        <v>2025</v>
      </c>
      <c r="B492" s="4">
        <v>45993</v>
      </c>
      <c r="C492" t="s">
        <v>587</v>
      </c>
      <c r="D492" t="s">
        <v>2026</v>
      </c>
      <c r="E492" t="s">
        <v>15</v>
      </c>
      <c r="F492" t="s">
        <v>2027</v>
      </c>
      <c r="G492" t="s">
        <v>2028</v>
      </c>
      <c r="H492" s="4">
        <v>46074.406343923612</v>
      </c>
      <c r="J492" t="s">
        <v>19</v>
      </c>
      <c r="K492">
        <v>100165</v>
      </c>
    </row>
    <row r="493" spans="1:11" x14ac:dyDescent="0.55000000000000004">
      <c r="A493" t="s">
        <v>2029</v>
      </c>
      <c r="B493" s="4">
        <v>45812</v>
      </c>
      <c r="C493" t="s">
        <v>20</v>
      </c>
      <c r="D493" t="s">
        <v>2030</v>
      </c>
      <c r="E493" t="s">
        <v>22</v>
      </c>
      <c r="F493" t="s">
        <v>2031</v>
      </c>
      <c r="G493" t="s">
        <v>2032</v>
      </c>
      <c r="H493" s="4">
        <v>46074.79384392361</v>
      </c>
      <c r="J493" t="s">
        <v>37</v>
      </c>
      <c r="K493">
        <v>100618</v>
      </c>
    </row>
    <row r="494" spans="1:11" x14ac:dyDescent="0.55000000000000004">
      <c r="A494" t="s">
        <v>2033</v>
      </c>
      <c r="B494" s="4">
        <v>45939</v>
      </c>
      <c r="C494" t="s">
        <v>528</v>
      </c>
      <c r="D494" t="s">
        <v>2034</v>
      </c>
      <c r="E494" t="s">
        <v>15</v>
      </c>
      <c r="F494" t="s">
        <v>2035</v>
      </c>
      <c r="G494" t="s">
        <v>2036</v>
      </c>
      <c r="H494" s="4">
        <v>46091.964677268516</v>
      </c>
      <c r="J494" t="s">
        <v>179</v>
      </c>
      <c r="K494">
        <v>101313</v>
      </c>
    </row>
    <row r="495" spans="1:11" x14ac:dyDescent="0.55000000000000004">
      <c r="A495" t="s">
        <v>2037</v>
      </c>
      <c r="B495" s="4">
        <v>46103</v>
      </c>
      <c r="C495" t="s">
        <v>126</v>
      </c>
      <c r="D495" t="s">
        <v>2038</v>
      </c>
      <c r="E495" t="s">
        <v>22</v>
      </c>
      <c r="F495" t="s">
        <v>2039</v>
      </c>
      <c r="G495" t="s">
        <v>2040</v>
      </c>
      <c r="H495" s="4">
        <v>46082.884121712967</v>
      </c>
      <c r="J495" t="s">
        <v>68</v>
      </c>
      <c r="K495">
        <v>100045</v>
      </c>
    </row>
    <row r="496" spans="1:11" x14ac:dyDescent="0.55000000000000004">
      <c r="A496" t="s">
        <v>2041</v>
      </c>
      <c r="B496" s="4">
        <v>45964</v>
      </c>
      <c r="C496" t="s">
        <v>170</v>
      </c>
      <c r="D496" t="s">
        <v>2042</v>
      </c>
      <c r="E496" t="s">
        <v>22</v>
      </c>
      <c r="F496" t="s">
        <v>2043</v>
      </c>
      <c r="G496" t="s">
        <v>2044</v>
      </c>
      <c r="H496" s="4">
        <v>46086.167455046299</v>
      </c>
      <c r="J496" t="s">
        <v>248</v>
      </c>
      <c r="K496">
        <v>101314</v>
      </c>
    </row>
    <row r="497" spans="1:11" x14ac:dyDescent="0.55000000000000004">
      <c r="A497" t="s">
        <v>2045</v>
      </c>
      <c r="B497" s="4">
        <v>45786</v>
      </c>
      <c r="C497" t="s">
        <v>343</v>
      </c>
      <c r="D497" t="s">
        <v>2046</v>
      </c>
      <c r="E497" t="s">
        <v>22</v>
      </c>
      <c r="F497" t="s">
        <v>2047</v>
      </c>
      <c r="G497" t="s">
        <v>2048</v>
      </c>
      <c r="H497" s="4">
        <v>46090.016066168981</v>
      </c>
      <c r="J497" t="s">
        <v>19</v>
      </c>
      <c r="K497">
        <v>100018</v>
      </c>
    </row>
    <row r="498" spans="1:11" x14ac:dyDescent="0.55000000000000004">
      <c r="A498" t="s">
        <v>2049</v>
      </c>
      <c r="B498" s="4">
        <v>46007</v>
      </c>
      <c r="C498" t="s">
        <v>495</v>
      </c>
      <c r="D498" t="s">
        <v>2050</v>
      </c>
      <c r="E498" t="s">
        <v>22</v>
      </c>
      <c r="F498" t="s">
        <v>2051</v>
      </c>
      <c r="G498" t="s">
        <v>2052</v>
      </c>
      <c r="H498" s="4">
        <v>46082.263288391201</v>
      </c>
      <c r="J498" t="s">
        <v>248</v>
      </c>
      <c r="K498">
        <v>101042</v>
      </c>
    </row>
    <row r="499" spans="1:11" x14ac:dyDescent="0.55000000000000004">
      <c r="A499" t="s">
        <v>2053</v>
      </c>
      <c r="B499" s="4">
        <v>46080</v>
      </c>
      <c r="C499" t="s">
        <v>170</v>
      </c>
      <c r="D499" t="s">
        <v>2054</v>
      </c>
      <c r="E499" t="s">
        <v>22</v>
      </c>
      <c r="F499" t="s">
        <v>2055</v>
      </c>
      <c r="G499" t="s">
        <v>2056</v>
      </c>
      <c r="H499" s="4">
        <v>46090.379260624999</v>
      </c>
      <c r="J499" t="s">
        <v>179</v>
      </c>
      <c r="K499">
        <v>100586</v>
      </c>
    </row>
    <row r="500" spans="1:11" x14ac:dyDescent="0.55000000000000004">
      <c r="A500" t="s">
        <v>2057</v>
      </c>
      <c r="B500" s="4">
        <v>45927</v>
      </c>
      <c r="C500" t="s">
        <v>562</v>
      </c>
      <c r="D500" t="s">
        <v>2058</v>
      </c>
      <c r="E500" t="s">
        <v>22</v>
      </c>
      <c r="F500" t="s">
        <v>2059</v>
      </c>
      <c r="G500" t="s">
        <v>2060</v>
      </c>
      <c r="H500" s="4">
        <v>46075.011899513891</v>
      </c>
      <c r="J500" t="s">
        <v>37</v>
      </c>
      <c r="K500">
        <v>100734</v>
      </c>
    </row>
    <row r="501" spans="1:11" x14ac:dyDescent="0.55000000000000004">
      <c r="A501" t="s">
        <v>2061</v>
      </c>
      <c r="B501" s="4">
        <v>45736</v>
      </c>
      <c r="C501" t="s">
        <v>562</v>
      </c>
      <c r="D501" t="s">
        <v>2062</v>
      </c>
      <c r="E501" t="s">
        <v>15</v>
      </c>
      <c r="F501" t="s">
        <v>2063</v>
      </c>
      <c r="G501" t="s">
        <v>2064</v>
      </c>
      <c r="H501" s="4">
        <v>46071.788288402779</v>
      </c>
      <c r="J501" t="s">
        <v>19</v>
      </c>
      <c r="K501">
        <v>100205</v>
      </c>
    </row>
    <row r="502" spans="1:11" x14ac:dyDescent="0.55000000000000004">
      <c r="A502" t="s">
        <v>2065</v>
      </c>
      <c r="B502" s="4">
        <v>45770</v>
      </c>
      <c r="C502" t="s">
        <v>208</v>
      </c>
      <c r="D502" t="s">
        <v>725</v>
      </c>
      <c r="E502" t="s">
        <v>22</v>
      </c>
      <c r="F502" t="s">
        <v>2066</v>
      </c>
      <c r="G502" t="s">
        <v>2067</v>
      </c>
      <c r="H502" s="4">
        <v>46083.930649525464</v>
      </c>
      <c r="J502" t="s">
        <v>68</v>
      </c>
      <c r="K502">
        <v>100483</v>
      </c>
    </row>
    <row r="503" spans="1:11" x14ac:dyDescent="0.55000000000000004">
      <c r="A503" t="s">
        <v>2068</v>
      </c>
      <c r="B503" s="4">
        <v>45825</v>
      </c>
      <c r="C503" t="s">
        <v>680</v>
      </c>
      <c r="D503" t="s">
        <v>2069</v>
      </c>
      <c r="E503" t="s">
        <v>15</v>
      </c>
      <c r="F503" t="s">
        <v>2070</v>
      </c>
      <c r="G503" t="s">
        <v>2071</v>
      </c>
      <c r="H503" s="4">
        <v>46082.402177303244</v>
      </c>
      <c r="J503" t="s">
        <v>248</v>
      </c>
      <c r="K503">
        <v>100339</v>
      </c>
    </row>
    <row r="504" spans="1:11" x14ac:dyDescent="0.55000000000000004">
      <c r="A504" t="s">
        <v>2072</v>
      </c>
      <c r="B504" s="4">
        <v>45837</v>
      </c>
      <c r="C504" t="s">
        <v>115</v>
      </c>
      <c r="D504" t="s">
        <v>2073</v>
      </c>
      <c r="E504" t="s">
        <v>15</v>
      </c>
      <c r="F504" t="s">
        <v>2074</v>
      </c>
      <c r="G504" t="s">
        <v>2075</v>
      </c>
      <c r="H504" s="4">
        <v>46058.239677303238</v>
      </c>
      <c r="J504" t="s">
        <v>248</v>
      </c>
      <c r="K504">
        <v>100147</v>
      </c>
    </row>
    <row r="505" spans="1:11" x14ac:dyDescent="0.55000000000000004">
      <c r="A505" t="s">
        <v>2076</v>
      </c>
      <c r="B505" s="4">
        <v>46130</v>
      </c>
      <c r="C505" t="s">
        <v>155</v>
      </c>
      <c r="D505" t="s">
        <v>2077</v>
      </c>
      <c r="E505" t="s">
        <v>15</v>
      </c>
      <c r="F505" t="s">
        <v>2078</v>
      </c>
      <c r="G505" t="s">
        <v>2079</v>
      </c>
      <c r="H505" s="4">
        <v>46053.802871759261</v>
      </c>
      <c r="J505" t="s">
        <v>533</v>
      </c>
      <c r="K505">
        <v>101178</v>
      </c>
    </row>
    <row r="506" spans="1:11" x14ac:dyDescent="0.55000000000000004">
      <c r="A506" t="s">
        <v>2080</v>
      </c>
      <c r="B506" s="4">
        <v>46046</v>
      </c>
      <c r="C506" t="s">
        <v>38</v>
      </c>
      <c r="D506" t="s">
        <v>2081</v>
      </c>
      <c r="E506" t="s">
        <v>15</v>
      </c>
      <c r="F506" t="s">
        <v>2082</v>
      </c>
      <c r="G506" t="s">
        <v>2083</v>
      </c>
      <c r="H506" s="4">
        <v>46067.218149537039</v>
      </c>
      <c r="J506" t="s">
        <v>19</v>
      </c>
      <c r="K506">
        <v>100737</v>
      </c>
    </row>
    <row r="507" spans="1:11" x14ac:dyDescent="0.55000000000000004">
      <c r="A507" t="s">
        <v>2084</v>
      </c>
      <c r="B507" s="4">
        <v>45893</v>
      </c>
      <c r="C507" t="s">
        <v>467</v>
      </c>
      <c r="D507" t="s">
        <v>2085</v>
      </c>
      <c r="E507" t="s">
        <v>22</v>
      </c>
      <c r="F507" t="s">
        <v>2086</v>
      </c>
      <c r="G507" t="s">
        <v>2087</v>
      </c>
      <c r="H507" s="4">
        <v>46086.019538425928</v>
      </c>
      <c r="J507" t="s">
        <v>19</v>
      </c>
      <c r="K507">
        <v>101096</v>
      </c>
    </row>
    <row r="508" spans="1:11" x14ac:dyDescent="0.55000000000000004">
      <c r="A508" t="s">
        <v>2088</v>
      </c>
      <c r="B508" s="4">
        <v>45935</v>
      </c>
      <c r="C508" t="s">
        <v>38</v>
      </c>
      <c r="D508" t="s">
        <v>2089</v>
      </c>
      <c r="E508" t="s">
        <v>15</v>
      </c>
      <c r="F508" t="s">
        <v>2090</v>
      </c>
      <c r="G508" t="s">
        <v>2091</v>
      </c>
      <c r="H508" s="4">
        <v>46093.998705104168</v>
      </c>
      <c r="J508" t="s">
        <v>248</v>
      </c>
      <c r="K508">
        <v>100168</v>
      </c>
    </row>
    <row r="509" spans="1:11" x14ac:dyDescent="0.55000000000000004">
      <c r="A509" t="s">
        <v>2092</v>
      </c>
      <c r="B509" s="4">
        <v>45976</v>
      </c>
      <c r="C509" t="s">
        <v>343</v>
      </c>
      <c r="D509" t="s">
        <v>2093</v>
      </c>
      <c r="E509" t="s">
        <v>22</v>
      </c>
      <c r="F509" t="s">
        <v>2094</v>
      </c>
      <c r="G509" t="s">
        <v>2095</v>
      </c>
      <c r="H509" s="4">
        <v>46054.498010659721</v>
      </c>
      <c r="J509" t="s">
        <v>179</v>
      </c>
      <c r="K509">
        <v>100717</v>
      </c>
    </row>
    <row r="510" spans="1:11" x14ac:dyDescent="0.55000000000000004">
      <c r="A510" t="s">
        <v>2096</v>
      </c>
      <c r="B510" s="4">
        <v>45793</v>
      </c>
      <c r="C510" t="s">
        <v>495</v>
      </c>
      <c r="D510" t="s">
        <v>2097</v>
      </c>
      <c r="E510" t="s">
        <v>15</v>
      </c>
      <c r="F510" t="s">
        <v>2098</v>
      </c>
      <c r="G510" t="s">
        <v>2099</v>
      </c>
      <c r="H510" s="4">
        <v>46096.787593993053</v>
      </c>
      <c r="J510" t="s">
        <v>179</v>
      </c>
      <c r="K510">
        <v>101021</v>
      </c>
    </row>
    <row r="511" spans="1:11" x14ac:dyDescent="0.55000000000000004">
      <c r="A511" t="s">
        <v>2100</v>
      </c>
      <c r="B511" s="4">
        <v>45926</v>
      </c>
      <c r="C511" t="s">
        <v>343</v>
      </c>
      <c r="D511" t="s">
        <v>2101</v>
      </c>
      <c r="E511" t="s">
        <v>22</v>
      </c>
      <c r="F511" t="s">
        <v>2102</v>
      </c>
      <c r="G511" t="s">
        <v>2103</v>
      </c>
      <c r="H511" s="4">
        <v>46085.966066226851</v>
      </c>
      <c r="J511" t="s">
        <v>248</v>
      </c>
      <c r="K511">
        <v>100792</v>
      </c>
    </row>
    <row r="512" spans="1:11" x14ac:dyDescent="0.55000000000000004">
      <c r="A512" t="s">
        <v>2104</v>
      </c>
      <c r="B512" s="4">
        <v>45853</v>
      </c>
      <c r="C512" t="s">
        <v>89</v>
      </c>
      <c r="D512" t="s">
        <v>2105</v>
      </c>
      <c r="E512" t="s">
        <v>22</v>
      </c>
      <c r="F512" t="s">
        <v>2106</v>
      </c>
      <c r="G512" t="s">
        <v>2107</v>
      </c>
      <c r="H512" s="4">
        <v>46074.484816226854</v>
      </c>
      <c r="J512" t="s">
        <v>248</v>
      </c>
      <c r="K512">
        <v>100886</v>
      </c>
    </row>
    <row r="513" spans="1:11" x14ac:dyDescent="0.55000000000000004">
      <c r="A513" t="s">
        <v>2108</v>
      </c>
      <c r="B513" s="4">
        <v>45949</v>
      </c>
      <c r="C513" t="s">
        <v>69</v>
      </c>
      <c r="D513" t="s">
        <v>2109</v>
      </c>
      <c r="E513" t="s">
        <v>22</v>
      </c>
      <c r="F513" t="s">
        <v>2110</v>
      </c>
      <c r="G513" t="s">
        <v>2111</v>
      </c>
      <c r="H513" s="4">
        <v>46074.176482905095</v>
      </c>
      <c r="J513" t="s">
        <v>19</v>
      </c>
      <c r="K513">
        <v>100328</v>
      </c>
    </row>
    <row r="514" spans="1:11" x14ac:dyDescent="0.55000000000000004">
      <c r="A514" t="s">
        <v>2112</v>
      </c>
      <c r="B514" s="4">
        <v>45962</v>
      </c>
      <c r="C514" t="s">
        <v>38</v>
      </c>
      <c r="D514" t="s">
        <v>2113</v>
      </c>
      <c r="E514" t="s">
        <v>15</v>
      </c>
      <c r="F514" t="s">
        <v>2114</v>
      </c>
      <c r="G514" t="s">
        <v>2115</v>
      </c>
      <c r="H514" s="4">
        <v>46060.770927349535</v>
      </c>
      <c r="J514" t="s">
        <v>248</v>
      </c>
      <c r="K514">
        <v>100341</v>
      </c>
    </row>
    <row r="515" spans="1:11" x14ac:dyDescent="0.55000000000000004">
      <c r="A515" t="s">
        <v>2116</v>
      </c>
      <c r="B515" s="4">
        <v>46148</v>
      </c>
      <c r="C515" t="s">
        <v>317</v>
      </c>
      <c r="D515" t="s">
        <v>2117</v>
      </c>
      <c r="E515" t="s">
        <v>22</v>
      </c>
      <c r="F515" t="s">
        <v>2118</v>
      </c>
      <c r="G515" t="s">
        <v>2119</v>
      </c>
      <c r="H515" s="4">
        <v>46081.956344016202</v>
      </c>
      <c r="J515" t="s">
        <v>248</v>
      </c>
      <c r="K515">
        <v>100567</v>
      </c>
    </row>
    <row r="516" spans="1:11" x14ac:dyDescent="0.55000000000000004">
      <c r="A516" t="s">
        <v>2120</v>
      </c>
      <c r="B516" s="4">
        <v>45927</v>
      </c>
      <c r="C516" t="s">
        <v>115</v>
      </c>
      <c r="D516" t="s">
        <v>2121</v>
      </c>
      <c r="E516" t="s">
        <v>15</v>
      </c>
      <c r="F516" t="s">
        <v>2122</v>
      </c>
      <c r="G516" t="s">
        <v>2123</v>
      </c>
      <c r="H516" s="4">
        <v>46067.732732916666</v>
      </c>
      <c r="J516" t="s">
        <v>179</v>
      </c>
      <c r="K516">
        <v>101023</v>
      </c>
    </row>
    <row r="517" spans="1:11" x14ac:dyDescent="0.55000000000000004">
      <c r="A517" t="s">
        <v>2124</v>
      </c>
      <c r="B517" s="4">
        <v>45947</v>
      </c>
      <c r="C517" t="s">
        <v>409</v>
      </c>
      <c r="D517" t="s">
        <v>2125</v>
      </c>
      <c r="E517" t="s">
        <v>22</v>
      </c>
      <c r="F517" t="s">
        <v>2126</v>
      </c>
      <c r="G517" t="s">
        <v>2127</v>
      </c>
      <c r="H517" s="4">
        <v>46066.31953847222</v>
      </c>
      <c r="J517" t="s">
        <v>533</v>
      </c>
      <c r="K517">
        <v>100522</v>
      </c>
    </row>
    <row r="518" spans="1:11" x14ac:dyDescent="0.55000000000000004">
      <c r="A518" t="s">
        <v>2128</v>
      </c>
      <c r="B518" s="4">
        <v>46019</v>
      </c>
      <c r="C518" t="s">
        <v>243</v>
      </c>
      <c r="D518" t="s">
        <v>2129</v>
      </c>
      <c r="E518" t="s">
        <v>15</v>
      </c>
      <c r="F518" t="s">
        <v>2130</v>
      </c>
      <c r="G518" t="s">
        <v>2131</v>
      </c>
      <c r="H518" s="4">
        <v>46094.439677361108</v>
      </c>
      <c r="J518" t="s">
        <v>248</v>
      </c>
      <c r="K518">
        <v>100528</v>
      </c>
    </row>
    <row r="519" spans="1:11" x14ac:dyDescent="0.55000000000000004">
      <c r="A519" t="s">
        <v>2132</v>
      </c>
      <c r="B519" s="4">
        <v>45975</v>
      </c>
      <c r="C519" t="s">
        <v>83</v>
      </c>
      <c r="D519" t="s">
        <v>2133</v>
      </c>
      <c r="E519" t="s">
        <v>22</v>
      </c>
      <c r="F519" t="s">
        <v>2134</v>
      </c>
      <c r="G519" t="s">
        <v>2135</v>
      </c>
      <c r="H519" s="4">
        <v>46074.234121817128</v>
      </c>
      <c r="J519" t="s">
        <v>248</v>
      </c>
      <c r="K519">
        <v>101346</v>
      </c>
    </row>
    <row r="520" spans="1:11" x14ac:dyDescent="0.55000000000000004">
      <c r="A520" t="s">
        <v>6032</v>
      </c>
      <c r="B520" s="4">
        <v>46017</v>
      </c>
      <c r="C520" t="s">
        <v>295</v>
      </c>
      <c r="D520" t="s">
        <v>2137</v>
      </c>
      <c r="E520" t="s">
        <v>22</v>
      </c>
      <c r="F520" t="s">
        <v>2138</v>
      </c>
      <c r="G520" t="s">
        <v>2139</v>
      </c>
      <c r="H520" s="4">
        <v>46090.246621817132</v>
      </c>
      <c r="I520" t="s">
        <v>119</v>
      </c>
      <c r="J520" t="s">
        <v>19</v>
      </c>
      <c r="K520">
        <v>100878</v>
      </c>
    </row>
    <row r="521" spans="1:11" x14ac:dyDescent="0.55000000000000004">
      <c r="A521" t="s">
        <v>2140</v>
      </c>
      <c r="B521" s="4">
        <v>45833</v>
      </c>
      <c r="C521" t="s">
        <v>587</v>
      </c>
      <c r="D521" t="s">
        <v>2141</v>
      </c>
      <c r="E521" t="s">
        <v>22</v>
      </c>
      <c r="F521" t="s">
        <v>2142</v>
      </c>
      <c r="G521" t="s">
        <v>2143</v>
      </c>
      <c r="H521" s="4">
        <v>46075.284121828707</v>
      </c>
      <c r="J521" t="s">
        <v>19</v>
      </c>
      <c r="K521">
        <v>100185</v>
      </c>
    </row>
    <row r="522" spans="1:11" x14ac:dyDescent="0.55000000000000004">
      <c r="A522" t="s">
        <v>2144</v>
      </c>
      <c r="B522" s="4">
        <v>45981</v>
      </c>
      <c r="C522" t="s">
        <v>243</v>
      </c>
      <c r="D522" t="s">
        <v>2145</v>
      </c>
      <c r="E522" t="s">
        <v>22</v>
      </c>
      <c r="F522" t="s">
        <v>2146</v>
      </c>
      <c r="G522" t="s">
        <v>2147</v>
      </c>
      <c r="H522" s="4">
        <v>46067.848010717593</v>
      </c>
      <c r="J522" t="s">
        <v>19</v>
      </c>
      <c r="K522">
        <v>100801</v>
      </c>
    </row>
    <row r="523" spans="1:11" x14ac:dyDescent="0.55000000000000004">
      <c r="A523" t="s">
        <v>2148</v>
      </c>
      <c r="B523" s="4">
        <v>45817</v>
      </c>
      <c r="C523" t="s">
        <v>495</v>
      </c>
      <c r="D523" t="s">
        <v>2149</v>
      </c>
      <c r="E523" t="s">
        <v>15</v>
      </c>
      <c r="F523" t="s">
        <v>2150</v>
      </c>
      <c r="G523" t="s">
        <v>2151</v>
      </c>
      <c r="H523" s="4">
        <v>46092.51606627315</v>
      </c>
      <c r="J523" t="s">
        <v>533</v>
      </c>
      <c r="K523">
        <v>101004</v>
      </c>
    </row>
    <row r="524" spans="1:11" x14ac:dyDescent="0.55000000000000004">
      <c r="A524" t="s">
        <v>2152</v>
      </c>
      <c r="B524" s="4">
        <v>45848</v>
      </c>
      <c r="C524" t="s">
        <v>49</v>
      </c>
      <c r="D524" t="s">
        <v>2153</v>
      </c>
      <c r="E524" t="s">
        <v>22</v>
      </c>
      <c r="F524" t="s">
        <v>2154</v>
      </c>
      <c r="G524" t="s">
        <v>2155</v>
      </c>
      <c r="H524" s="4">
        <v>46058.829260729166</v>
      </c>
      <c r="J524" t="s">
        <v>68</v>
      </c>
      <c r="K524">
        <v>100599</v>
      </c>
    </row>
    <row r="525" spans="1:11" x14ac:dyDescent="0.55000000000000004">
      <c r="A525" t="s">
        <v>2156</v>
      </c>
      <c r="B525" s="4">
        <v>45870</v>
      </c>
      <c r="C525" t="s">
        <v>467</v>
      </c>
      <c r="D525" t="s">
        <v>2157</v>
      </c>
      <c r="E525" t="s">
        <v>22</v>
      </c>
      <c r="F525" t="s">
        <v>2158</v>
      </c>
      <c r="G525" t="s">
        <v>2159</v>
      </c>
      <c r="H525" s="4">
        <v>46071.508427395835</v>
      </c>
      <c r="J525" t="s">
        <v>179</v>
      </c>
      <c r="K525">
        <v>100179</v>
      </c>
    </row>
    <row r="526" spans="1:11" x14ac:dyDescent="0.55000000000000004">
      <c r="A526" t="s">
        <v>2160</v>
      </c>
      <c r="B526" s="4">
        <v>45743</v>
      </c>
      <c r="C526" t="s">
        <v>317</v>
      </c>
      <c r="D526" t="s">
        <v>2161</v>
      </c>
      <c r="E526" t="s">
        <v>15</v>
      </c>
      <c r="F526" t="s">
        <v>2162</v>
      </c>
      <c r="G526" t="s">
        <v>2163</v>
      </c>
      <c r="H526" s="4">
        <v>46055.388288506947</v>
      </c>
      <c r="J526" t="s">
        <v>533</v>
      </c>
      <c r="K526">
        <v>101260</v>
      </c>
    </row>
    <row r="527" spans="1:11" x14ac:dyDescent="0.55000000000000004">
      <c r="A527" t="s">
        <v>2164</v>
      </c>
      <c r="B527" s="4">
        <v>45839</v>
      </c>
      <c r="C527" t="s">
        <v>69</v>
      </c>
      <c r="D527" t="s">
        <v>2165</v>
      </c>
      <c r="E527" t="s">
        <v>15</v>
      </c>
      <c r="F527" t="s">
        <v>2166</v>
      </c>
      <c r="G527" t="s">
        <v>2167</v>
      </c>
      <c r="H527" s="4">
        <v>46091.655649629633</v>
      </c>
      <c r="J527" t="s">
        <v>37</v>
      </c>
      <c r="K527">
        <v>101139</v>
      </c>
    </row>
    <row r="528" spans="1:11" x14ac:dyDescent="0.55000000000000004">
      <c r="A528" t="s">
        <v>2168</v>
      </c>
      <c r="B528" s="4">
        <v>46012</v>
      </c>
      <c r="C528" t="s">
        <v>155</v>
      </c>
      <c r="D528" t="s">
        <v>2169</v>
      </c>
      <c r="E528" t="s">
        <v>22</v>
      </c>
      <c r="F528" t="s">
        <v>2170</v>
      </c>
      <c r="G528" t="s">
        <v>2171</v>
      </c>
      <c r="H528" s="4">
        <v>46064.627871851852</v>
      </c>
      <c r="J528" t="s">
        <v>19</v>
      </c>
      <c r="K528">
        <v>100021</v>
      </c>
    </row>
    <row r="529" spans="1:11" x14ac:dyDescent="0.55000000000000004">
      <c r="A529" t="s">
        <v>2172</v>
      </c>
      <c r="B529" s="4">
        <v>45866</v>
      </c>
      <c r="C529" t="s">
        <v>121</v>
      </c>
      <c r="D529" t="s">
        <v>2173</v>
      </c>
      <c r="E529" t="s">
        <v>22</v>
      </c>
      <c r="F529" t="s">
        <v>2174</v>
      </c>
      <c r="G529" t="s">
        <v>2175</v>
      </c>
      <c r="H529" s="4">
        <v>46083.394538518522</v>
      </c>
      <c r="J529" t="s">
        <v>533</v>
      </c>
      <c r="K529">
        <v>101352</v>
      </c>
    </row>
    <row r="530" spans="1:11" x14ac:dyDescent="0.55000000000000004">
      <c r="A530" t="s">
        <v>2176</v>
      </c>
      <c r="B530" s="4">
        <v>45958</v>
      </c>
      <c r="C530" t="s">
        <v>587</v>
      </c>
      <c r="D530" t="s">
        <v>2177</v>
      </c>
      <c r="E530" t="s">
        <v>15</v>
      </c>
      <c r="F530" t="s">
        <v>2178</v>
      </c>
      <c r="G530" t="s">
        <v>2179</v>
      </c>
      <c r="H530" s="4">
        <v>46094.802871863423</v>
      </c>
      <c r="J530" t="s">
        <v>68</v>
      </c>
      <c r="K530">
        <v>101474</v>
      </c>
    </row>
    <row r="531" spans="1:11" x14ac:dyDescent="0.55000000000000004">
      <c r="A531" t="s">
        <v>2180</v>
      </c>
      <c r="B531" s="4">
        <v>45898</v>
      </c>
      <c r="C531" t="s">
        <v>89</v>
      </c>
      <c r="D531" t="s">
        <v>2181</v>
      </c>
      <c r="E531" t="s">
        <v>22</v>
      </c>
      <c r="F531" t="s">
        <v>2182</v>
      </c>
      <c r="G531" t="s">
        <v>2183</v>
      </c>
      <c r="H531" s="4">
        <v>46062.11328853009</v>
      </c>
      <c r="J531" t="s">
        <v>68</v>
      </c>
      <c r="K531">
        <v>101423</v>
      </c>
    </row>
    <row r="532" spans="1:11" x14ac:dyDescent="0.55000000000000004">
      <c r="A532" t="s">
        <v>2184</v>
      </c>
      <c r="B532" s="4">
        <v>46089</v>
      </c>
      <c r="C532" t="s">
        <v>43</v>
      </c>
      <c r="D532" t="s">
        <v>2185</v>
      </c>
      <c r="E532" t="s">
        <v>22</v>
      </c>
      <c r="F532" t="s">
        <v>2186</v>
      </c>
      <c r="G532" t="s">
        <v>2187</v>
      </c>
      <c r="H532" s="4">
        <v>46063.836205208332</v>
      </c>
      <c r="J532" t="s">
        <v>533</v>
      </c>
      <c r="K532">
        <v>100256</v>
      </c>
    </row>
    <row r="533" spans="1:11" x14ac:dyDescent="0.55000000000000004">
      <c r="A533" t="s">
        <v>2188</v>
      </c>
      <c r="B533" s="4">
        <v>45890</v>
      </c>
      <c r="C533" t="s">
        <v>89</v>
      </c>
      <c r="D533" t="s">
        <v>2189</v>
      </c>
      <c r="E533" t="s">
        <v>15</v>
      </c>
      <c r="F533" t="s">
        <v>2190</v>
      </c>
      <c r="G533" t="s">
        <v>2191</v>
      </c>
      <c r="H533" s="4">
        <v>46092.118149652779</v>
      </c>
      <c r="J533" t="s">
        <v>19</v>
      </c>
      <c r="K533">
        <v>100748</v>
      </c>
    </row>
    <row r="534" spans="1:11" x14ac:dyDescent="0.55000000000000004">
      <c r="A534" t="s">
        <v>2192</v>
      </c>
      <c r="B534" s="4">
        <v>45919</v>
      </c>
      <c r="C534" t="s">
        <v>356</v>
      </c>
      <c r="D534" t="s">
        <v>2193</v>
      </c>
      <c r="E534" t="s">
        <v>22</v>
      </c>
      <c r="F534" t="s">
        <v>2194</v>
      </c>
      <c r="G534" t="s">
        <v>2195</v>
      </c>
      <c r="H534" s="4">
        <v>46097.745927430558</v>
      </c>
      <c r="J534" t="s">
        <v>68</v>
      </c>
      <c r="K534">
        <v>100442</v>
      </c>
    </row>
    <row r="535" spans="1:11" x14ac:dyDescent="0.55000000000000004">
      <c r="A535" t="s">
        <v>2196</v>
      </c>
      <c r="B535" s="4">
        <v>46149</v>
      </c>
      <c r="C535" t="s">
        <v>20</v>
      </c>
      <c r="D535" t="s">
        <v>2197</v>
      </c>
      <c r="E535" t="s">
        <v>22</v>
      </c>
      <c r="F535" t="s">
        <v>2198</v>
      </c>
      <c r="G535" t="s">
        <v>2199</v>
      </c>
      <c r="H535" s="4">
        <v>46066.985510775463</v>
      </c>
      <c r="J535" t="s">
        <v>19</v>
      </c>
      <c r="K535">
        <v>100040</v>
      </c>
    </row>
    <row r="536" spans="1:11" x14ac:dyDescent="0.55000000000000004">
      <c r="A536" t="s">
        <v>2200</v>
      </c>
      <c r="B536" s="4">
        <v>46084</v>
      </c>
      <c r="C536" t="s">
        <v>58</v>
      </c>
      <c r="D536" t="s">
        <v>2201</v>
      </c>
      <c r="E536" t="s">
        <v>15</v>
      </c>
      <c r="F536" t="s">
        <v>2202</v>
      </c>
      <c r="G536" t="s">
        <v>2203</v>
      </c>
      <c r="H536" s="4">
        <v>46070.32995521991</v>
      </c>
      <c r="J536" t="s">
        <v>37</v>
      </c>
      <c r="K536">
        <v>101038</v>
      </c>
    </row>
    <row r="537" spans="1:11" x14ac:dyDescent="0.55000000000000004">
      <c r="A537" t="s">
        <v>2204</v>
      </c>
      <c r="B537" s="4">
        <v>45850</v>
      </c>
      <c r="C537" t="s">
        <v>38</v>
      </c>
      <c r="D537" t="s">
        <v>2205</v>
      </c>
      <c r="E537" t="s">
        <v>22</v>
      </c>
      <c r="F537" t="s">
        <v>2206</v>
      </c>
      <c r="G537" t="s">
        <v>2207</v>
      </c>
      <c r="H537" s="4">
        <v>46085.160510775466</v>
      </c>
      <c r="I537" t="s">
        <v>139</v>
      </c>
      <c r="J537" t="s">
        <v>19</v>
      </c>
      <c r="K537">
        <v>100676</v>
      </c>
    </row>
    <row r="538" spans="1:11" x14ac:dyDescent="0.55000000000000004">
      <c r="A538" t="s">
        <v>2208</v>
      </c>
      <c r="B538" s="4">
        <v>45955</v>
      </c>
      <c r="C538" t="s">
        <v>189</v>
      </c>
      <c r="D538" t="s">
        <v>2209</v>
      </c>
      <c r="E538" t="s">
        <v>22</v>
      </c>
      <c r="F538" t="s">
        <v>2210</v>
      </c>
      <c r="G538" t="s">
        <v>2211</v>
      </c>
      <c r="H538" s="4">
        <v>46073.432733009256</v>
      </c>
      <c r="J538" t="s">
        <v>19</v>
      </c>
      <c r="K538">
        <v>101382</v>
      </c>
    </row>
    <row r="539" spans="1:11" x14ac:dyDescent="0.55000000000000004">
      <c r="A539" t="s">
        <v>2212</v>
      </c>
      <c r="B539" s="4">
        <v>45772</v>
      </c>
      <c r="C539" t="s">
        <v>189</v>
      </c>
      <c r="D539" t="s">
        <v>2213</v>
      </c>
      <c r="E539" t="s">
        <v>22</v>
      </c>
      <c r="F539" t="s">
        <v>2214</v>
      </c>
      <c r="G539" t="s">
        <v>2215</v>
      </c>
      <c r="H539" s="4">
        <v>46078.82370523148</v>
      </c>
      <c r="J539" t="s">
        <v>248</v>
      </c>
      <c r="K539">
        <v>100512</v>
      </c>
    </row>
    <row r="540" spans="1:11" x14ac:dyDescent="0.55000000000000004">
      <c r="A540" t="s">
        <v>2216</v>
      </c>
      <c r="B540" s="4">
        <v>46146</v>
      </c>
      <c r="C540" t="s">
        <v>418</v>
      </c>
      <c r="D540" t="s">
        <v>2217</v>
      </c>
      <c r="E540" t="s">
        <v>15</v>
      </c>
      <c r="F540" t="s">
        <v>2218</v>
      </c>
      <c r="G540" t="s">
        <v>2219</v>
      </c>
      <c r="H540" s="4">
        <v>46086.552177453705</v>
      </c>
      <c r="J540" t="s">
        <v>19</v>
      </c>
      <c r="K540">
        <v>100887</v>
      </c>
    </row>
    <row r="541" spans="1:11" x14ac:dyDescent="0.55000000000000004">
      <c r="A541" t="s">
        <v>2220</v>
      </c>
      <c r="B541" s="4">
        <v>45788</v>
      </c>
      <c r="C541" t="s">
        <v>213</v>
      </c>
      <c r="D541" t="s">
        <v>2221</v>
      </c>
      <c r="E541" t="s">
        <v>22</v>
      </c>
      <c r="F541" t="s">
        <v>2222</v>
      </c>
      <c r="G541" t="s">
        <v>2223</v>
      </c>
      <c r="H541" s="4">
        <v>46052.860510798608</v>
      </c>
      <c r="J541" t="s">
        <v>68</v>
      </c>
      <c r="K541">
        <v>100412</v>
      </c>
    </row>
    <row r="542" spans="1:11" x14ac:dyDescent="0.55000000000000004">
      <c r="A542" t="s">
        <v>2224</v>
      </c>
      <c r="B542" s="4">
        <v>45828</v>
      </c>
      <c r="C542" t="s">
        <v>265</v>
      </c>
      <c r="D542" t="s">
        <v>2225</v>
      </c>
      <c r="E542" t="s">
        <v>15</v>
      </c>
      <c r="F542" t="s">
        <v>2226</v>
      </c>
      <c r="G542" t="s">
        <v>2227</v>
      </c>
      <c r="H542" s="4">
        <v>46063.714677465279</v>
      </c>
      <c r="J542" t="s">
        <v>19</v>
      </c>
      <c r="K542">
        <v>100594</v>
      </c>
    </row>
    <row r="543" spans="1:11" x14ac:dyDescent="0.55000000000000004">
      <c r="A543" t="s">
        <v>2228</v>
      </c>
      <c r="B543" s="4">
        <v>45784</v>
      </c>
      <c r="C543" t="s">
        <v>356</v>
      </c>
      <c r="D543" t="s">
        <v>2229</v>
      </c>
      <c r="E543" t="s">
        <v>22</v>
      </c>
      <c r="F543" t="s">
        <v>2230</v>
      </c>
      <c r="G543" t="s">
        <v>2231</v>
      </c>
      <c r="H543" s="4">
        <v>46097.415371921299</v>
      </c>
      <c r="J543" t="s">
        <v>533</v>
      </c>
      <c r="K543">
        <v>100479</v>
      </c>
    </row>
    <row r="544" spans="1:11" x14ac:dyDescent="0.55000000000000004">
      <c r="A544" t="s">
        <v>2232</v>
      </c>
      <c r="B544" s="4">
        <v>45809</v>
      </c>
      <c r="C544" t="s">
        <v>69</v>
      </c>
      <c r="D544" t="s">
        <v>2233</v>
      </c>
      <c r="E544" t="s">
        <v>15</v>
      </c>
      <c r="F544" t="s">
        <v>2234</v>
      </c>
      <c r="G544" t="s">
        <v>2235</v>
      </c>
      <c r="H544" s="4">
        <v>46076.148705254629</v>
      </c>
      <c r="J544" t="s">
        <v>37</v>
      </c>
      <c r="K544">
        <v>100127</v>
      </c>
    </row>
    <row r="545" spans="1:11" x14ac:dyDescent="0.55000000000000004">
      <c r="A545" t="s">
        <v>2236</v>
      </c>
      <c r="B545" s="4">
        <v>46134</v>
      </c>
      <c r="C545" t="s">
        <v>58</v>
      </c>
      <c r="D545" t="s">
        <v>2237</v>
      </c>
      <c r="E545" t="s">
        <v>15</v>
      </c>
      <c r="F545" t="s">
        <v>2238</v>
      </c>
      <c r="G545" t="s">
        <v>2239</v>
      </c>
      <c r="H545" s="4">
        <v>46076.632038587966</v>
      </c>
      <c r="J545" t="s">
        <v>68</v>
      </c>
      <c r="K545">
        <v>101373</v>
      </c>
    </row>
    <row r="546" spans="1:11" x14ac:dyDescent="0.55000000000000004">
      <c r="A546" t="s">
        <v>2240</v>
      </c>
      <c r="B546" s="4">
        <v>45760</v>
      </c>
      <c r="C546" t="s">
        <v>334</v>
      </c>
      <c r="D546" t="s">
        <v>2241</v>
      </c>
      <c r="E546" t="s">
        <v>22</v>
      </c>
      <c r="F546" t="s">
        <v>2242</v>
      </c>
      <c r="G546" t="s">
        <v>2243</v>
      </c>
      <c r="H546" s="4">
        <v>46086.473010821763</v>
      </c>
      <c r="J546" t="s">
        <v>533</v>
      </c>
      <c r="K546">
        <v>100921</v>
      </c>
    </row>
    <row r="547" spans="1:11" x14ac:dyDescent="0.55000000000000004">
      <c r="A547" t="s">
        <v>2244</v>
      </c>
      <c r="B547" s="4">
        <v>46150</v>
      </c>
      <c r="C547" t="s">
        <v>141</v>
      </c>
      <c r="D547" t="s">
        <v>2245</v>
      </c>
      <c r="E547" t="s">
        <v>15</v>
      </c>
      <c r="F547" t="s">
        <v>2246</v>
      </c>
      <c r="G547" t="s">
        <v>2247</v>
      </c>
      <c r="H547" s="4">
        <v>46073.116066377312</v>
      </c>
      <c r="J547" t="s">
        <v>248</v>
      </c>
      <c r="K547">
        <v>100314</v>
      </c>
    </row>
    <row r="548" spans="1:11" x14ac:dyDescent="0.55000000000000004">
      <c r="A548" t="s">
        <v>2248</v>
      </c>
      <c r="B548" s="4">
        <v>46109</v>
      </c>
      <c r="C548" t="s">
        <v>115</v>
      </c>
      <c r="D548" t="s">
        <v>2249</v>
      </c>
      <c r="E548" t="s">
        <v>22</v>
      </c>
      <c r="F548" t="s">
        <v>2250</v>
      </c>
      <c r="G548" t="s">
        <v>2251</v>
      </c>
      <c r="H548" s="4">
        <v>46091.004955266202</v>
      </c>
      <c r="J548" t="s">
        <v>248</v>
      </c>
      <c r="K548">
        <v>100828</v>
      </c>
    </row>
    <row r="549" spans="1:11" x14ac:dyDescent="0.55000000000000004">
      <c r="A549" t="s">
        <v>2252</v>
      </c>
      <c r="B549" s="4">
        <v>45974</v>
      </c>
      <c r="C549" t="s">
        <v>49</v>
      </c>
      <c r="D549" t="s">
        <v>2253</v>
      </c>
      <c r="E549" t="s">
        <v>22</v>
      </c>
      <c r="F549" t="s">
        <v>2254</v>
      </c>
      <c r="G549" t="s">
        <v>2255</v>
      </c>
      <c r="H549" s="4">
        <v>46086.851483055558</v>
      </c>
      <c r="J549" t="s">
        <v>248</v>
      </c>
      <c r="K549">
        <v>100580</v>
      </c>
    </row>
    <row r="550" spans="1:11" x14ac:dyDescent="0.55000000000000004">
      <c r="A550" t="s">
        <v>2256</v>
      </c>
      <c r="B550" s="4">
        <v>46113</v>
      </c>
      <c r="C550" t="s">
        <v>343</v>
      </c>
      <c r="D550" t="s">
        <v>2257</v>
      </c>
      <c r="E550" t="s">
        <v>22</v>
      </c>
      <c r="F550" t="s">
        <v>2258</v>
      </c>
      <c r="G550" t="s">
        <v>2259</v>
      </c>
      <c r="H550" s="4">
        <v>46057.321621944444</v>
      </c>
      <c r="J550" t="s">
        <v>37</v>
      </c>
      <c r="K550">
        <v>101108</v>
      </c>
    </row>
    <row r="551" spans="1:11" x14ac:dyDescent="0.55000000000000004">
      <c r="A551" t="s">
        <v>2260</v>
      </c>
      <c r="B551" s="4">
        <v>45916</v>
      </c>
      <c r="C551" t="s">
        <v>317</v>
      </c>
      <c r="D551" t="s">
        <v>2261</v>
      </c>
      <c r="E551" t="s">
        <v>15</v>
      </c>
      <c r="F551" t="s">
        <v>2262</v>
      </c>
      <c r="G551" t="s">
        <v>2263</v>
      </c>
      <c r="H551" s="4">
        <v>46090.410510833332</v>
      </c>
      <c r="J551" t="s">
        <v>248</v>
      </c>
      <c r="K551">
        <v>101272</v>
      </c>
    </row>
    <row r="552" spans="1:11" x14ac:dyDescent="0.55000000000000004">
      <c r="A552" t="s">
        <v>2264</v>
      </c>
      <c r="B552" s="4">
        <v>45898</v>
      </c>
      <c r="C552" t="s">
        <v>115</v>
      </c>
      <c r="D552" t="s">
        <v>2265</v>
      </c>
      <c r="E552" t="s">
        <v>22</v>
      </c>
      <c r="F552" t="s">
        <v>2266</v>
      </c>
      <c r="G552" t="s">
        <v>2267</v>
      </c>
      <c r="H552" s="4">
        <v>46060.575788622686</v>
      </c>
      <c r="J552" t="s">
        <v>179</v>
      </c>
      <c r="K552">
        <v>100272</v>
      </c>
    </row>
    <row r="553" spans="1:11" x14ac:dyDescent="0.55000000000000004">
      <c r="A553" t="s">
        <v>2268</v>
      </c>
      <c r="B553" s="4">
        <v>46136</v>
      </c>
      <c r="C553" t="s">
        <v>155</v>
      </c>
      <c r="D553" t="s">
        <v>2269</v>
      </c>
      <c r="E553" t="s">
        <v>15</v>
      </c>
      <c r="F553" t="s">
        <v>2270</v>
      </c>
      <c r="G553" t="s">
        <v>2271</v>
      </c>
      <c r="H553" s="4">
        <v>46059.763983067132</v>
      </c>
      <c r="J553" t="s">
        <v>179</v>
      </c>
      <c r="K553">
        <v>100596</v>
      </c>
    </row>
    <row r="554" spans="1:11" x14ac:dyDescent="0.55000000000000004">
      <c r="A554" t="s">
        <v>2272</v>
      </c>
      <c r="B554" s="4">
        <v>46084</v>
      </c>
      <c r="C554" t="s">
        <v>199</v>
      </c>
      <c r="D554" t="s">
        <v>2273</v>
      </c>
      <c r="E554" t="s">
        <v>15</v>
      </c>
      <c r="F554" t="s">
        <v>2274</v>
      </c>
      <c r="G554" t="s">
        <v>2275</v>
      </c>
      <c r="H554" s="4">
        <v>46087.035510844908</v>
      </c>
      <c r="J554" t="s">
        <v>19</v>
      </c>
      <c r="K554">
        <v>100978</v>
      </c>
    </row>
    <row r="555" spans="1:11" x14ac:dyDescent="0.55000000000000004">
      <c r="A555" t="s">
        <v>2276</v>
      </c>
      <c r="B555" s="4">
        <v>46083</v>
      </c>
      <c r="C555" t="s">
        <v>343</v>
      </c>
      <c r="D555" t="s">
        <v>2277</v>
      </c>
      <c r="E555" t="s">
        <v>22</v>
      </c>
      <c r="F555" t="s">
        <v>2278</v>
      </c>
      <c r="G555" t="s">
        <v>2279</v>
      </c>
      <c r="H555" s="4">
        <v>46056.527177523145</v>
      </c>
      <c r="J555" t="s">
        <v>37</v>
      </c>
      <c r="K555">
        <v>100763</v>
      </c>
    </row>
    <row r="556" spans="1:11" x14ac:dyDescent="0.55000000000000004">
      <c r="A556" t="s">
        <v>2280</v>
      </c>
      <c r="B556" s="4">
        <v>46137</v>
      </c>
      <c r="C556" t="s">
        <v>115</v>
      </c>
      <c r="D556" t="s">
        <v>2281</v>
      </c>
      <c r="E556" t="s">
        <v>22</v>
      </c>
      <c r="F556" t="s">
        <v>2282</v>
      </c>
      <c r="G556" t="s">
        <v>2283</v>
      </c>
      <c r="H556" s="4">
        <v>46083.295927523148</v>
      </c>
      <c r="J556" t="s">
        <v>19</v>
      </c>
      <c r="K556">
        <v>100656</v>
      </c>
    </row>
    <row r="557" spans="1:11" x14ac:dyDescent="0.55000000000000004">
      <c r="A557" t="s">
        <v>2284</v>
      </c>
      <c r="B557" s="4">
        <v>46135</v>
      </c>
      <c r="C557" t="s">
        <v>208</v>
      </c>
      <c r="D557" t="s">
        <v>2285</v>
      </c>
      <c r="E557" t="s">
        <v>15</v>
      </c>
      <c r="F557" t="s">
        <v>2286</v>
      </c>
      <c r="G557" t="s">
        <v>2287</v>
      </c>
      <c r="H557" s="4">
        <v>46053.209121979169</v>
      </c>
      <c r="J557" t="s">
        <v>19</v>
      </c>
      <c r="K557">
        <v>100202</v>
      </c>
    </row>
    <row r="558" spans="1:11" x14ac:dyDescent="0.55000000000000004">
      <c r="A558" t="s">
        <v>2288</v>
      </c>
      <c r="B558" s="4">
        <v>46102</v>
      </c>
      <c r="C558" t="s">
        <v>20</v>
      </c>
      <c r="D558" t="s">
        <v>2289</v>
      </c>
      <c r="E558" t="s">
        <v>15</v>
      </c>
      <c r="F558" t="s">
        <v>2290</v>
      </c>
      <c r="G558" t="s">
        <v>2291</v>
      </c>
      <c r="H558" s="4">
        <v>46066.123705312501</v>
      </c>
      <c r="J558" t="s">
        <v>68</v>
      </c>
      <c r="K558">
        <v>100662</v>
      </c>
    </row>
    <row r="559" spans="1:11" x14ac:dyDescent="0.55000000000000004">
      <c r="A559" t="s">
        <v>2292</v>
      </c>
      <c r="B559" s="4">
        <v>45882</v>
      </c>
      <c r="C559" t="s">
        <v>680</v>
      </c>
      <c r="D559" t="s">
        <v>2293</v>
      </c>
      <c r="E559" t="s">
        <v>15</v>
      </c>
      <c r="F559" t="s">
        <v>2294</v>
      </c>
      <c r="G559" t="s">
        <v>2295</v>
      </c>
      <c r="H559" s="4">
        <v>46063.25148309028</v>
      </c>
      <c r="J559" t="s">
        <v>19</v>
      </c>
      <c r="K559">
        <v>100239</v>
      </c>
    </row>
    <row r="560" spans="1:11" x14ac:dyDescent="0.55000000000000004">
      <c r="A560" t="s">
        <v>2296</v>
      </c>
      <c r="B560" s="4">
        <v>46106</v>
      </c>
      <c r="C560" t="s">
        <v>467</v>
      </c>
      <c r="D560" t="s">
        <v>2297</v>
      </c>
      <c r="E560" t="s">
        <v>15</v>
      </c>
      <c r="F560" t="s">
        <v>2298</v>
      </c>
      <c r="G560" t="s">
        <v>2299</v>
      </c>
      <c r="H560" s="4">
        <v>46092.991066435185</v>
      </c>
      <c r="J560" t="s">
        <v>68</v>
      </c>
      <c r="K560">
        <v>100072</v>
      </c>
    </row>
    <row r="561" spans="1:11" x14ac:dyDescent="0.55000000000000004">
      <c r="A561" t="s">
        <v>2300</v>
      </c>
      <c r="B561" s="4">
        <v>45962</v>
      </c>
      <c r="C561" t="s">
        <v>467</v>
      </c>
      <c r="D561" t="s">
        <v>2301</v>
      </c>
      <c r="E561" t="s">
        <v>22</v>
      </c>
      <c r="F561" t="s">
        <v>2302</v>
      </c>
      <c r="G561" t="s">
        <v>2303</v>
      </c>
      <c r="H561" s="4">
        <v>46068.74523310185</v>
      </c>
      <c r="J561" t="s">
        <v>533</v>
      </c>
      <c r="K561">
        <v>100901</v>
      </c>
    </row>
    <row r="562" spans="1:11" x14ac:dyDescent="0.55000000000000004">
      <c r="A562" t="s">
        <v>2304</v>
      </c>
      <c r="B562" s="4">
        <v>45926</v>
      </c>
      <c r="C562" t="s">
        <v>199</v>
      </c>
      <c r="D562" t="s">
        <v>2305</v>
      </c>
      <c r="E562" t="s">
        <v>15</v>
      </c>
      <c r="F562" t="s">
        <v>2306</v>
      </c>
      <c r="G562" t="s">
        <v>2307</v>
      </c>
      <c r="H562" s="4">
        <v>46077.656344212963</v>
      </c>
      <c r="J562" t="s">
        <v>19</v>
      </c>
      <c r="K562">
        <v>100987</v>
      </c>
    </row>
    <row r="563" spans="1:11" x14ac:dyDescent="0.55000000000000004">
      <c r="A563" t="s">
        <v>2308</v>
      </c>
      <c r="B563" s="4">
        <v>46151</v>
      </c>
      <c r="C563" t="s">
        <v>409</v>
      </c>
      <c r="D563" t="s">
        <v>2309</v>
      </c>
      <c r="E563" t="s">
        <v>22</v>
      </c>
      <c r="F563" t="s">
        <v>2310</v>
      </c>
      <c r="G563" t="s">
        <v>2311</v>
      </c>
      <c r="H563" s="4">
        <v>46062.527177557873</v>
      </c>
      <c r="J563" t="s">
        <v>19</v>
      </c>
      <c r="K563">
        <v>100295</v>
      </c>
    </row>
    <row r="564" spans="1:11" x14ac:dyDescent="0.55000000000000004">
      <c r="A564" t="s">
        <v>2312</v>
      </c>
      <c r="B564" s="4">
        <v>45876</v>
      </c>
      <c r="C564" t="s">
        <v>58</v>
      </c>
      <c r="D564" t="s">
        <v>2313</v>
      </c>
      <c r="E564" t="s">
        <v>15</v>
      </c>
      <c r="F564" t="s">
        <v>2314</v>
      </c>
      <c r="G564" t="s">
        <v>2315</v>
      </c>
      <c r="H564" s="4">
        <v>46091.002177557872</v>
      </c>
      <c r="J564" t="s">
        <v>19</v>
      </c>
      <c r="K564">
        <v>100237</v>
      </c>
    </row>
    <row r="565" spans="1:11" x14ac:dyDescent="0.55000000000000004">
      <c r="A565" t="s">
        <v>2316</v>
      </c>
      <c r="B565" s="4">
        <v>45754</v>
      </c>
      <c r="C565" t="s">
        <v>115</v>
      </c>
      <c r="D565" t="s">
        <v>2317</v>
      </c>
      <c r="E565" t="s">
        <v>15</v>
      </c>
      <c r="F565" t="s">
        <v>2318</v>
      </c>
      <c r="G565" t="s">
        <v>2319</v>
      </c>
      <c r="H565" s="4">
        <v>46085.593844224539</v>
      </c>
      <c r="J565" t="s">
        <v>37</v>
      </c>
      <c r="K565">
        <v>100033</v>
      </c>
    </row>
    <row r="566" spans="1:11" x14ac:dyDescent="0.55000000000000004">
      <c r="A566" t="s">
        <v>2320</v>
      </c>
      <c r="B566" s="4">
        <v>45830</v>
      </c>
      <c r="C566" t="s">
        <v>155</v>
      </c>
      <c r="D566" t="s">
        <v>2321</v>
      </c>
      <c r="E566" t="s">
        <v>22</v>
      </c>
      <c r="F566" t="s">
        <v>2322</v>
      </c>
      <c r="G566" t="s">
        <v>2323</v>
      </c>
      <c r="H566" s="4">
        <v>46055.049399791664</v>
      </c>
      <c r="I566" t="s">
        <v>139</v>
      </c>
      <c r="J566" t="s">
        <v>19</v>
      </c>
      <c r="K566">
        <v>101385</v>
      </c>
    </row>
    <row r="567" spans="1:11" x14ac:dyDescent="0.55000000000000004">
      <c r="A567" t="s">
        <v>2324</v>
      </c>
      <c r="B567" s="4">
        <v>46051</v>
      </c>
      <c r="C567" t="s">
        <v>343</v>
      </c>
      <c r="D567" t="s">
        <v>2325</v>
      </c>
      <c r="E567" t="s">
        <v>22</v>
      </c>
      <c r="F567" t="s">
        <v>2326</v>
      </c>
      <c r="G567" t="s">
        <v>2327</v>
      </c>
      <c r="H567" s="4">
        <v>46082.884816458332</v>
      </c>
      <c r="J567" t="s">
        <v>19</v>
      </c>
      <c r="K567">
        <v>100898</v>
      </c>
    </row>
    <row r="568" spans="1:11" x14ac:dyDescent="0.55000000000000004">
      <c r="A568" t="s">
        <v>2328</v>
      </c>
      <c r="B568" s="4">
        <v>45738</v>
      </c>
      <c r="C568" t="s">
        <v>317</v>
      </c>
      <c r="D568" t="s">
        <v>2329</v>
      </c>
      <c r="E568" t="s">
        <v>22</v>
      </c>
      <c r="F568" t="s">
        <v>2330</v>
      </c>
      <c r="G568" t="s">
        <v>2331</v>
      </c>
      <c r="H568" s="4">
        <v>46092.08064980324</v>
      </c>
      <c r="J568" t="s">
        <v>37</v>
      </c>
      <c r="K568">
        <v>100585</v>
      </c>
    </row>
    <row r="569" spans="1:11" x14ac:dyDescent="0.55000000000000004">
      <c r="A569" t="s">
        <v>2332</v>
      </c>
      <c r="B569" s="4">
        <v>45916</v>
      </c>
      <c r="C569" t="s">
        <v>300</v>
      </c>
      <c r="D569" t="s">
        <v>2333</v>
      </c>
      <c r="E569" t="s">
        <v>15</v>
      </c>
      <c r="F569" t="s">
        <v>2334</v>
      </c>
      <c r="G569" t="s">
        <v>2335</v>
      </c>
      <c r="H569" s="4">
        <v>46058.368149803238</v>
      </c>
      <c r="J569" t="s">
        <v>37</v>
      </c>
      <c r="K569">
        <v>101173</v>
      </c>
    </row>
    <row r="570" spans="1:11" x14ac:dyDescent="0.55000000000000004">
      <c r="A570" t="s">
        <v>2336</v>
      </c>
      <c r="B570" s="4">
        <v>45752</v>
      </c>
      <c r="C570" t="s">
        <v>13</v>
      </c>
      <c r="D570" t="s">
        <v>2337</v>
      </c>
      <c r="E570" t="s">
        <v>15</v>
      </c>
      <c r="F570" t="s">
        <v>2338</v>
      </c>
      <c r="G570" t="s">
        <v>2339</v>
      </c>
      <c r="H570" s="4">
        <v>46064.608427581021</v>
      </c>
      <c r="J570" t="s">
        <v>19</v>
      </c>
      <c r="K570">
        <v>100002</v>
      </c>
    </row>
    <row r="571" spans="1:11" x14ac:dyDescent="0.55000000000000004">
      <c r="A571" t="s">
        <v>2340</v>
      </c>
      <c r="B571" s="4">
        <v>46103</v>
      </c>
      <c r="C571" t="s">
        <v>38</v>
      </c>
      <c r="D571" t="s">
        <v>2341</v>
      </c>
      <c r="E571" t="s">
        <v>22</v>
      </c>
      <c r="F571" t="s">
        <v>2342</v>
      </c>
      <c r="G571" t="s">
        <v>2343</v>
      </c>
      <c r="H571" s="4">
        <v>46085.471622037039</v>
      </c>
      <c r="J571" t="s">
        <v>533</v>
      </c>
      <c r="K571">
        <v>100574</v>
      </c>
    </row>
    <row r="572" spans="1:11" x14ac:dyDescent="0.55000000000000004">
      <c r="A572" t="s">
        <v>2344</v>
      </c>
      <c r="B572" s="4">
        <v>46068</v>
      </c>
      <c r="C572" t="s">
        <v>38</v>
      </c>
      <c r="D572" t="s">
        <v>2345</v>
      </c>
      <c r="E572" t="s">
        <v>15</v>
      </c>
      <c r="F572" t="s">
        <v>2346</v>
      </c>
      <c r="G572" t="s">
        <v>2347</v>
      </c>
      <c r="H572" s="4">
        <v>46061.95217759259</v>
      </c>
      <c r="J572" t="s">
        <v>19</v>
      </c>
      <c r="K572">
        <v>100076</v>
      </c>
    </row>
    <row r="573" spans="1:11" x14ac:dyDescent="0.55000000000000004">
      <c r="A573" t="s">
        <v>2348</v>
      </c>
      <c r="B573" s="4">
        <v>46114</v>
      </c>
      <c r="C573" t="s">
        <v>317</v>
      </c>
      <c r="D573" t="s">
        <v>2349</v>
      </c>
      <c r="E573" t="s">
        <v>22</v>
      </c>
      <c r="F573" t="s">
        <v>2350</v>
      </c>
      <c r="G573" t="s">
        <v>2351</v>
      </c>
      <c r="H573" s="4">
        <v>46054.09384425926</v>
      </c>
      <c r="J573" t="s">
        <v>179</v>
      </c>
      <c r="K573">
        <v>100565</v>
      </c>
    </row>
    <row r="574" spans="1:11" x14ac:dyDescent="0.55000000000000004">
      <c r="A574" t="s">
        <v>2352</v>
      </c>
      <c r="B574" s="4">
        <v>45785</v>
      </c>
      <c r="C574" t="s">
        <v>115</v>
      </c>
      <c r="D574" t="s">
        <v>2353</v>
      </c>
      <c r="E574" t="s">
        <v>22</v>
      </c>
      <c r="F574" t="s">
        <v>2354</v>
      </c>
      <c r="G574" t="s">
        <v>2355</v>
      </c>
      <c r="H574" s="4">
        <v>46065.266066493059</v>
      </c>
      <c r="J574" t="s">
        <v>179</v>
      </c>
      <c r="K574">
        <v>100177</v>
      </c>
    </row>
    <row r="575" spans="1:11" x14ac:dyDescent="0.55000000000000004">
      <c r="A575" t="s">
        <v>2356</v>
      </c>
      <c r="B575" s="4">
        <v>46005</v>
      </c>
      <c r="C575" t="s">
        <v>495</v>
      </c>
      <c r="D575" t="s">
        <v>2357</v>
      </c>
      <c r="E575" t="s">
        <v>22</v>
      </c>
      <c r="F575" t="s">
        <v>2358</v>
      </c>
      <c r="G575" t="s">
        <v>2359</v>
      </c>
      <c r="H575" s="4">
        <v>46074.159816493055</v>
      </c>
      <c r="J575" t="s">
        <v>533</v>
      </c>
      <c r="K575">
        <v>101183</v>
      </c>
    </row>
    <row r="576" spans="1:11" x14ac:dyDescent="0.55000000000000004">
      <c r="A576" t="s">
        <v>2360</v>
      </c>
      <c r="B576" s="4">
        <v>46154</v>
      </c>
      <c r="C576" t="s">
        <v>160</v>
      </c>
      <c r="D576" t="s">
        <v>2361</v>
      </c>
      <c r="E576" t="s">
        <v>15</v>
      </c>
      <c r="F576" t="s">
        <v>2362</v>
      </c>
      <c r="G576" t="s">
        <v>2363</v>
      </c>
      <c r="H576" s="4">
        <v>46072.963983159723</v>
      </c>
      <c r="J576" t="s">
        <v>179</v>
      </c>
      <c r="K576">
        <v>100160</v>
      </c>
    </row>
    <row r="577" spans="1:11" x14ac:dyDescent="0.55000000000000004">
      <c r="A577" t="s">
        <v>2364</v>
      </c>
      <c r="B577" s="4">
        <v>45916</v>
      </c>
      <c r="C577" t="s">
        <v>757</v>
      </c>
      <c r="D577" t="s">
        <v>2365</v>
      </c>
      <c r="E577" t="s">
        <v>15</v>
      </c>
      <c r="F577" t="s">
        <v>2366</v>
      </c>
      <c r="G577" t="s">
        <v>2367</v>
      </c>
      <c r="H577" s="4">
        <v>46095.341760949072</v>
      </c>
      <c r="J577" t="s">
        <v>248</v>
      </c>
      <c r="K577">
        <v>100944</v>
      </c>
    </row>
    <row r="578" spans="1:11" x14ac:dyDescent="0.55000000000000004">
      <c r="A578" t="s">
        <v>2368</v>
      </c>
      <c r="B578" s="4">
        <v>45740</v>
      </c>
      <c r="C578" t="s">
        <v>199</v>
      </c>
      <c r="D578" t="s">
        <v>2369</v>
      </c>
      <c r="E578" t="s">
        <v>22</v>
      </c>
      <c r="F578" t="s">
        <v>2370</v>
      </c>
      <c r="G578" t="s">
        <v>2371</v>
      </c>
      <c r="H578" s="4">
        <v>46083.441066504631</v>
      </c>
      <c r="J578" t="s">
        <v>19</v>
      </c>
      <c r="K578">
        <v>101265</v>
      </c>
    </row>
    <row r="579" spans="1:11" x14ac:dyDescent="0.55000000000000004">
      <c r="A579" t="s">
        <v>2372</v>
      </c>
      <c r="B579" s="4">
        <v>45743</v>
      </c>
      <c r="C579" t="s">
        <v>160</v>
      </c>
      <c r="D579" t="s">
        <v>2373</v>
      </c>
      <c r="E579" t="s">
        <v>15</v>
      </c>
      <c r="F579" t="s">
        <v>2374</v>
      </c>
      <c r="G579" t="s">
        <v>2375</v>
      </c>
      <c r="H579" s="4">
        <v>46095.091760960648</v>
      </c>
      <c r="J579" t="s">
        <v>68</v>
      </c>
      <c r="K579">
        <v>100807</v>
      </c>
    </row>
    <row r="580" spans="1:11" x14ac:dyDescent="0.55000000000000004">
      <c r="A580" t="s">
        <v>2376</v>
      </c>
      <c r="B580" s="4">
        <v>45811</v>
      </c>
      <c r="C580" t="s">
        <v>20</v>
      </c>
      <c r="D580" t="s">
        <v>2377</v>
      </c>
      <c r="E580" t="s">
        <v>22</v>
      </c>
      <c r="F580" t="s">
        <v>2378</v>
      </c>
      <c r="G580" t="s">
        <v>2379</v>
      </c>
      <c r="H580" s="4">
        <v>46060.391066516204</v>
      </c>
      <c r="J580" t="s">
        <v>68</v>
      </c>
      <c r="K580">
        <v>101405</v>
      </c>
    </row>
    <row r="581" spans="1:11" x14ac:dyDescent="0.55000000000000004">
      <c r="A581" t="s">
        <v>2380</v>
      </c>
      <c r="B581" s="4">
        <v>45863</v>
      </c>
      <c r="C581" t="s">
        <v>170</v>
      </c>
      <c r="D581" t="s">
        <v>2381</v>
      </c>
      <c r="E581" t="s">
        <v>22</v>
      </c>
      <c r="F581" t="s">
        <v>2382</v>
      </c>
      <c r="G581" t="s">
        <v>2383</v>
      </c>
      <c r="H581" s="4">
        <v>46061.436899849534</v>
      </c>
      <c r="J581" t="s">
        <v>248</v>
      </c>
      <c r="K581">
        <v>100101</v>
      </c>
    </row>
    <row r="582" spans="1:11" x14ac:dyDescent="0.55000000000000004">
      <c r="A582" t="s">
        <v>2384</v>
      </c>
      <c r="B582" s="4">
        <v>46102</v>
      </c>
      <c r="C582" t="s">
        <v>418</v>
      </c>
      <c r="D582" t="s">
        <v>2385</v>
      </c>
      <c r="E582" t="s">
        <v>22</v>
      </c>
      <c r="F582" t="s">
        <v>2386</v>
      </c>
      <c r="G582" t="s">
        <v>2387</v>
      </c>
      <c r="H582" s="4">
        <v>46052.74662208333</v>
      </c>
      <c r="J582" t="s">
        <v>37</v>
      </c>
      <c r="K582">
        <v>101485</v>
      </c>
    </row>
    <row r="583" spans="1:11" x14ac:dyDescent="0.55000000000000004">
      <c r="A583" t="s">
        <v>2388</v>
      </c>
      <c r="B583" s="4">
        <v>46151</v>
      </c>
      <c r="C583" t="s">
        <v>38</v>
      </c>
      <c r="D583" t="s">
        <v>2389</v>
      </c>
      <c r="E583" t="s">
        <v>22</v>
      </c>
      <c r="F583" t="s">
        <v>2390</v>
      </c>
      <c r="G583" t="s">
        <v>2391</v>
      </c>
      <c r="H583" s="4">
        <v>46094.926483194446</v>
      </c>
      <c r="J583" t="s">
        <v>19</v>
      </c>
      <c r="K583">
        <v>100312</v>
      </c>
    </row>
    <row r="584" spans="1:11" x14ac:dyDescent="0.55000000000000004">
      <c r="A584" t="s">
        <v>2392</v>
      </c>
      <c r="B584" s="4">
        <v>45772</v>
      </c>
      <c r="C584" t="s">
        <v>20</v>
      </c>
      <c r="D584" t="s">
        <v>2393</v>
      </c>
      <c r="E584" t="s">
        <v>22</v>
      </c>
      <c r="F584" t="s">
        <v>2394</v>
      </c>
      <c r="G584" t="s">
        <v>2395</v>
      </c>
      <c r="H584" s="4">
        <v>46070.153566527777</v>
      </c>
      <c r="J584" t="s">
        <v>179</v>
      </c>
      <c r="K584">
        <v>100439</v>
      </c>
    </row>
    <row r="585" spans="1:11" x14ac:dyDescent="0.55000000000000004">
      <c r="A585" t="s">
        <v>2396</v>
      </c>
      <c r="B585" s="4">
        <v>46126</v>
      </c>
      <c r="C585" t="s">
        <v>317</v>
      </c>
      <c r="D585" t="s">
        <v>2397</v>
      </c>
      <c r="E585" t="s">
        <v>15</v>
      </c>
      <c r="F585" t="s">
        <v>2398</v>
      </c>
      <c r="G585" t="s">
        <v>2399</v>
      </c>
      <c r="H585" s="4">
        <v>46056.847316539352</v>
      </c>
      <c r="J585" t="s">
        <v>533</v>
      </c>
      <c r="K585">
        <v>100304</v>
      </c>
    </row>
    <row r="586" spans="1:11" x14ac:dyDescent="0.55000000000000004">
      <c r="A586" t="s">
        <v>2400</v>
      </c>
      <c r="B586" s="4">
        <v>45759</v>
      </c>
      <c r="C586" t="s">
        <v>170</v>
      </c>
      <c r="D586" t="s">
        <v>2401</v>
      </c>
      <c r="E586" t="s">
        <v>22</v>
      </c>
      <c r="F586" t="s">
        <v>2402</v>
      </c>
      <c r="G586" t="s">
        <v>2403</v>
      </c>
      <c r="H586" s="4">
        <v>46062.943149872684</v>
      </c>
      <c r="J586" t="s">
        <v>179</v>
      </c>
      <c r="K586">
        <v>100920</v>
      </c>
    </row>
    <row r="587" spans="1:11" x14ac:dyDescent="0.55000000000000004">
      <c r="A587" t="s">
        <v>2404</v>
      </c>
      <c r="B587" s="4">
        <v>45899</v>
      </c>
      <c r="C587" t="s">
        <v>587</v>
      </c>
      <c r="D587" t="s">
        <v>2405</v>
      </c>
      <c r="E587" t="s">
        <v>15</v>
      </c>
      <c r="F587" t="s">
        <v>2406</v>
      </c>
      <c r="G587" t="s">
        <v>2407</v>
      </c>
      <c r="H587" s="4">
        <v>46054.187594317133</v>
      </c>
      <c r="I587" t="s">
        <v>217</v>
      </c>
      <c r="K587">
        <v>100703</v>
      </c>
    </row>
    <row r="588" spans="1:11" x14ac:dyDescent="0.55000000000000004">
      <c r="A588" t="s">
        <v>2408</v>
      </c>
      <c r="B588" s="4">
        <v>46117</v>
      </c>
      <c r="C588" t="s">
        <v>184</v>
      </c>
      <c r="D588" t="s">
        <v>2409</v>
      </c>
      <c r="E588" t="s">
        <v>15</v>
      </c>
      <c r="F588" t="s">
        <v>2410</v>
      </c>
      <c r="G588" t="s">
        <v>2411</v>
      </c>
      <c r="H588" s="4">
        <v>46070.334122106484</v>
      </c>
      <c r="J588" t="s">
        <v>179</v>
      </c>
      <c r="K588">
        <v>100856</v>
      </c>
    </row>
    <row r="589" spans="1:11" x14ac:dyDescent="0.55000000000000004">
      <c r="A589" t="s">
        <v>2412</v>
      </c>
      <c r="B589" s="4">
        <v>45807</v>
      </c>
      <c r="C589" t="s">
        <v>20</v>
      </c>
      <c r="D589" t="s">
        <v>2413</v>
      </c>
      <c r="E589" t="s">
        <v>15</v>
      </c>
      <c r="F589" t="s">
        <v>2414</v>
      </c>
      <c r="G589" t="s">
        <v>2415</v>
      </c>
      <c r="H589" s="4">
        <v>46066.933427662036</v>
      </c>
      <c r="J589" t="s">
        <v>179</v>
      </c>
      <c r="K589">
        <v>100535</v>
      </c>
    </row>
    <row r="590" spans="1:11" x14ac:dyDescent="0.55000000000000004">
      <c r="A590" t="s">
        <v>2416</v>
      </c>
      <c r="B590" s="4">
        <v>46012</v>
      </c>
      <c r="C590" t="s">
        <v>295</v>
      </c>
      <c r="D590" t="s">
        <v>2417</v>
      </c>
      <c r="E590" t="s">
        <v>22</v>
      </c>
      <c r="F590" t="s">
        <v>2418</v>
      </c>
      <c r="G590" t="s">
        <v>2419</v>
      </c>
      <c r="H590" s="4">
        <v>46065.128566562496</v>
      </c>
      <c r="J590" t="s">
        <v>37</v>
      </c>
      <c r="K590">
        <v>100231</v>
      </c>
    </row>
    <row r="591" spans="1:11" x14ac:dyDescent="0.55000000000000004">
      <c r="A591" t="s">
        <v>2420</v>
      </c>
      <c r="B591" s="4">
        <v>46122</v>
      </c>
      <c r="C591" t="s">
        <v>69</v>
      </c>
      <c r="D591" t="s">
        <v>2421</v>
      </c>
      <c r="E591" t="s">
        <v>15</v>
      </c>
      <c r="F591" t="s">
        <v>2422</v>
      </c>
      <c r="G591" t="s">
        <v>2423</v>
      </c>
      <c r="H591" s="4">
        <v>46066.184122118058</v>
      </c>
      <c r="I591" t="s">
        <v>139</v>
      </c>
      <c r="J591" t="s">
        <v>533</v>
      </c>
      <c r="K591">
        <v>100123</v>
      </c>
    </row>
    <row r="592" spans="1:11" x14ac:dyDescent="0.55000000000000004">
      <c r="A592" t="s">
        <v>2424</v>
      </c>
      <c r="B592" s="4">
        <v>45832</v>
      </c>
      <c r="C592" t="s">
        <v>587</v>
      </c>
      <c r="D592" t="s">
        <v>2425</v>
      </c>
      <c r="E592" t="s">
        <v>15</v>
      </c>
      <c r="F592" t="s">
        <v>2426</v>
      </c>
      <c r="G592" t="s">
        <v>2427</v>
      </c>
      <c r="H592" s="4">
        <v>46093.367455451385</v>
      </c>
      <c r="J592" t="s">
        <v>19</v>
      </c>
      <c r="K592">
        <v>101064</v>
      </c>
    </row>
    <row r="593" spans="1:11" x14ac:dyDescent="0.55000000000000004">
      <c r="A593" t="s">
        <v>2428</v>
      </c>
      <c r="B593" s="4">
        <v>45897</v>
      </c>
      <c r="C593" t="s">
        <v>184</v>
      </c>
      <c r="D593" t="s">
        <v>2429</v>
      </c>
      <c r="E593" t="s">
        <v>22</v>
      </c>
      <c r="F593" t="s">
        <v>2430</v>
      </c>
      <c r="G593" t="s">
        <v>2431</v>
      </c>
      <c r="H593" s="4">
        <v>46070.226483240738</v>
      </c>
      <c r="J593" t="s">
        <v>179</v>
      </c>
      <c r="K593">
        <v>100121</v>
      </c>
    </row>
    <row r="594" spans="1:11" x14ac:dyDescent="0.55000000000000004">
      <c r="A594" t="s">
        <v>2432</v>
      </c>
      <c r="B594" s="4">
        <v>45829</v>
      </c>
      <c r="C594" t="s">
        <v>467</v>
      </c>
      <c r="D594" t="s">
        <v>2433</v>
      </c>
      <c r="E594" t="s">
        <v>15</v>
      </c>
      <c r="F594" t="s">
        <v>2434</v>
      </c>
      <c r="G594" t="s">
        <v>2435</v>
      </c>
      <c r="H594" s="4">
        <v>46078.505649907405</v>
      </c>
      <c r="J594" t="s">
        <v>68</v>
      </c>
      <c r="K594">
        <v>100254</v>
      </c>
    </row>
    <row r="595" spans="1:11" x14ac:dyDescent="0.55000000000000004">
      <c r="A595" t="s">
        <v>2436</v>
      </c>
      <c r="B595" s="4">
        <v>46047</v>
      </c>
      <c r="C595" t="s">
        <v>409</v>
      </c>
      <c r="D595" t="s">
        <v>2437</v>
      </c>
      <c r="E595" t="s">
        <v>22</v>
      </c>
      <c r="F595" t="s">
        <v>2438</v>
      </c>
      <c r="G595" t="s">
        <v>2439</v>
      </c>
      <c r="H595" s="4">
        <v>46095.413983240738</v>
      </c>
      <c r="I595" t="s">
        <v>112</v>
      </c>
      <c r="J595" t="s">
        <v>68</v>
      </c>
    </row>
    <row r="596" spans="1:11" x14ac:dyDescent="0.55000000000000004">
      <c r="A596" t="s">
        <v>2440</v>
      </c>
      <c r="B596" s="4">
        <v>46082</v>
      </c>
      <c r="C596" t="s">
        <v>265</v>
      </c>
      <c r="D596" t="s">
        <v>2441</v>
      </c>
      <c r="E596" t="s">
        <v>15</v>
      </c>
      <c r="F596" t="s">
        <v>2442</v>
      </c>
      <c r="G596" t="s">
        <v>2443</v>
      </c>
      <c r="H596" s="4">
        <v>46094.40078880787</v>
      </c>
      <c r="J596" t="s">
        <v>248</v>
      </c>
      <c r="K596">
        <v>101015</v>
      </c>
    </row>
    <row r="597" spans="1:11" x14ac:dyDescent="0.55000000000000004">
      <c r="A597" t="s">
        <v>2444</v>
      </c>
      <c r="B597" s="4">
        <v>45807</v>
      </c>
      <c r="C597" t="s">
        <v>295</v>
      </c>
      <c r="D597" t="s">
        <v>2445</v>
      </c>
      <c r="E597" t="s">
        <v>15</v>
      </c>
      <c r="F597" t="s">
        <v>2446</v>
      </c>
      <c r="G597" t="s">
        <v>2447</v>
      </c>
      <c r="H597" s="4">
        <v>46078.106344363427</v>
      </c>
      <c r="J597" t="s">
        <v>19</v>
      </c>
      <c r="K597">
        <v>100576</v>
      </c>
    </row>
    <row r="598" spans="1:11" x14ac:dyDescent="0.55000000000000004">
      <c r="A598" t="s">
        <v>2448</v>
      </c>
      <c r="B598" s="4">
        <v>45743</v>
      </c>
      <c r="C598" t="s">
        <v>409</v>
      </c>
      <c r="D598" t="s">
        <v>2449</v>
      </c>
      <c r="E598" t="s">
        <v>15</v>
      </c>
      <c r="F598" t="s">
        <v>2450</v>
      </c>
      <c r="G598" t="s">
        <v>2451</v>
      </c>
      <c r="H598" s="4">
        <v>46083.968844374998</v>
      </c>
      <c r="J598" t="s">
        <v>19</v>
      </c>
      <c r="K598">
        <v>100152</v>
      </c>
    </row>
    <row r="599" spans="1:11" x14ac:dyDescent="0.55000000000000004">
      <c r="A599" t="s">
        <v>2452</v>
      </c>
      <c r="B599" s="4">
        <v>46116</v>
      </c>
      <c r="C599" t="s">
        <v>89</v>
      </c>
      <c r="D599" t="s">
        <v>2453</v>
      </c>
      <c r="E599" t="s">
        <v>15</v>
      </c>
      <c r="F599" t="s">
        <v>2454</v>
      </c>
      <c r="G599" t="s">
        <v>2455</v>
      </c>
      <c r="H599" s="4">
        <v>46052.752177708331</v>
      </c>
      <c r="J599" t="s">
        <v>19</v>
      </c>
      <c r="K599">
        <v>100155</v>
      </c>
    </row>
    <row r="600" spans="1:11" x14ac:dyDescent="0.55000000000000004">
      <c r="A600" t="s">
        <v>6033</v>
      </c>
      <c r="B600" s="4">
        <v>45924</v>
      </c>
      <c r="C600" t="s">
        <v>184</v>
      </c>
      <c r="D600" t="s">
        <v>2457</v>
      </c>
      <c r="E600" t="s">
        <v>22</v>
      </c>
      <c r="F600" t="s">
        <v>2458</v>
      </c>
      <c r="G600" t="s">
        <v>2459</v>
      </c>
      <c r="H600" s="4">
        <v>46087.660511041664</v>
      </c>
      <c r="I600" t="s">
        <v>119</v>
      </c>
      <c r="J600" t="s">
        <v>37</v>
      </c>
      <c r="K600">
        <v>101479</v>
      </c>
    </row>
    <row r="601" spans="1:11" x14ac:dyDescent="0.55000000000000004">
      <c r="A601" t="s">
        <v>2460</v>
      </c>
      <c r="B601" s="4">
        <v>45834</v>
      </c>
      <c r="C601" t="s">
        <v>343</v>
      </c>
      <c r="D601" t="s">
        <v>2461</v>
      </c>
      <c r="E601" t="s">
        <v>22</v>
      </c>
      <c r="F601" t="s">
        <v>2462</v>
      </c>
      <c r="G601" t="s">
        <v>2463</v>
      </c>
      <c r="H601" s="4">
        <v>46056.734122164351</v>
      </c>
      <c r="J601" t="s">
        <v>68</v>
      </c>
      <c r="K601">
        <v>100590</v>
      </c>
    </row>
    <row r="602" spans="1:11" x14ac:dyDescent="0.55000000000000004">
      <c r="A602" t="s">
        <v>2464</v>
      </c>
      <c r="B602" s="4">
        <v>45930</v>
      </c>
      <c r="C602" t="s">
        <v>13</v>
      </c>
      <c r="D602" t="s">
        <v>2465</v>
      </c>
      <c r="E602" t="s">
        <v>15</v>
      </c>
      <c r="F602" t="s">
        <v>2466</v>
      </c>
      <c r="G602" t="s">
        <v>2467</v>
      </c>
      <c r="H602" s="4">
        <v>46078.823011053239</v>
      </c>
      <c r="J602" t="s">
        <v>37</v>
      </c>
      <c r="K602">
        <v>100075</v>
      </c>
    </row>
    <row r="603" spans="1:11" x14ac:dyDescent="0.55000000000000004">
      <c r="A603" t="s">
        <v>2468</v>
      </c>
      <c r="B603" s="4">
        <v>45850</v>
      </c>
      <c r="C603" t="s">
        <v>170</v>
      </c>
      <c r="D603" t="s">
        <v>2469</v>
      </c>
      <c r="E603" t="s">
        <v>22</v>
      </c>
      <c r="F603" t="s">
        <v>2470</v>
      </c>
      <c r="G603" t="s">
        <v>2471</v>
      </c>
      <c r="H603" s="4">
        <v>46065.897316620372</v>
      </c>
      <c r="J603" t="s">
        <v>179</v>
      </c>
      <c r="K603">
        <v>100503</v>
      </c>
    </row>
    <row r="604" spans="1:11" x14ac:dyDescent="0.55000000000000004">
      <c r="A604" t="s">
        <v>2472</v>
      </c>
      <c r="B604" s="4">
        <v>45777</v>
      </c>
      <c r="C604" t="s">
        <v>115</v>
      </c>
      <c r="D604" t="s">
        <v>2473</v>
      </c>
      <c r="E604" t="s">
        <v>22</v>
      </c>
      <c r="F604" t="s">
        <v>2474</v>
      </c>
      <c r="G604" t="s">
        <v>2475</v>
      </c>
      <c r="H604" s="4">
        <v>46062.715372175924</v>
      </c>
      <c r="J604" t="s">
        <v>19</v>
      </c>
      <c r="K604">
        <v>100410</v>
      </c>
    </row>
    <row r="605" spans="1:11" x14ac:dyDescent="0.55000000000000004">
      <c r="A605" t="s">
        <v>2476</v>
      </c>
      <c r="B605" s="4">
        <v>45858</v>
      </c>
      <c r="C605" t="s">
        <v>300</v>
      </c>
      <c r="D605" t="s">
        <v>2477</v>
      </c>
      <c r="E605" t="s">
        <v>22</v>
      </c>
      <c r="F605" t="s">
        <v>2478</v>
      </c>
      <c r="G605" t="s">
        <v>2479</v>
      </c>
      <c r="H605" s="4">
        <v>46087.720233287037</v>
      </c>
      <c r="J605" t="s">
        <v>37</v>
      </c>
      <c r="K605">
        <v>100066</v>
      </c>
    </row>
    <row r="606" spans="1:11" x14ac:dyDescent="0.55000000000000004">
      <c r="A606" t="s">
        <v>2480</v>
      </c>
      <c r="B606" s="4">
        <v>46082</v>
      </c>
      <c r="C606" t="s">
        <v>49</v>
      </c>
      <c r="D606" t="s">
        <v>2481</v>
      </c>
      <c r="E606" t="s">
        <v>15</v>
      </c>
      <c r="F606" t="s">
        <v>2482</v>
      </c>
      <c r="G606" t="s">
        <v>2483</v>
      </c>
      <c r="H606" s="4">
        <v>46065.354261076391</v>
      </c>
      <c r="J606" t="s">
        <v>68</v>
      </c>
      <c r="K606">
        <v>101191</v>
      </c>
    </row>
    <row r="607" spans="1:11" x14ac:dyDescent="0.55000000000000004">
      <c r="A607" t="s">
        <v>2484</v>
      </c>
      <c r="B607" s="4">
        <v>46052</v>
      </c>
      <c r="C607" t="s">
        <v>334</v>
      </c>
      <c r="D607" t="s">
        <v>2485</v>
      </c>
      <c r="E607" t="s">
        <v>22</v>
      </c>
      <c r="F607" t="s">
        <v>2486</v>
      </c>
      <c r="G607" t="s">
        <v>2487</v>
      </c>
      <c r="H607" s="4">
        <v>46083.53064996528</v>
      </c>
      <c r="J607" t="s">
        <v>37</v>
      </c>
      <c r="K607">
        <v>100489</v>
      </c>
    </row>
    <row r="608" spans="1:11" x14ac:dyDescent="0.55000000000000004">
      <c r="A608" t="s">
        <v>2488</v>
      </c>
      <c r="B608" s="4">
        <v>45933</v>
      </c>
      <c r="C608" t="s">
        <v>121</v>
      </c>
      <c r="D608" t="s">
        <v>2489</v>
      </c>
      <c r="E608" t="s">
        <v>15</v>
      </c>
      <c r="F608" t="s">
        <v>2490</v>
      </c>
      <c r="G608" t="s">
        <v>2491</v>
      </c>
      <c r="H608" s="4">
        <v>46071.404261076386</v>
      </c>
      <c r="J608" t="s">
        <v>68</v>
      </c>
      <c r="K608">
        <v>100798</v>
      </c>
    </row>
    <row r="609" spans="1:11" x14ac:dyDescent="0.55000000000000004">
      <c r="A609" t="s">
        <v>2492</v>
      </c>
      <c r="B609" s="4">
        <v>45810</v>
      </c>
      <c r="C609" t="s">
        <v>467</v>
      </c>
      <c r="D609" t="s">
        <v>2493</v>
      </c>
      <c r="E609" t="s">
        <v>22</v>
      </c>
      <c r="F609" t="s">
        <v>2494</v>
      </c>
      <c r="G609" t="s">
        <v>2495</v>
      </c>
      <c r="H609" s="4">
        <v>46068.975094421294</v>
      </c>
      <c r="J609" t="s">
        <v>19</v>
      </c>
      <c r="K609">
        <v>100052</v>
      </c>
    </row>
    <row r="610" spans="1:11" x14ac:dyDescent="0.55000000000000004">
      <c r="A610" t="s">
        <v>2496</v>
      </c>
      <c r="B610" s="4">
        <v>45837</v>
      </c>
      <c r="C610" t="s">
        <v>587</v>
      </c>
      <c r="D610" t="s">
        <v>2497</v>
      </c>
      <c r="E610" t="s">
        <v>15</v>
      </c>
      <c r="F610" t="s">
        <v>2498</v>
      </c>
      <c r="G610" t="s">
        <v>2499</v>
      </c>
      <c r="H610" s="4">
        <v>46077.766761087965</v>
      </c>
      <c r="J610" t="s">
        <v>533</v>
      </c>
      <c r="K610">
        <v>100188</v>
      </c>
    </row>
    <row r="611" spans="1:11" x14ac:dyDescent="0.55000000000000004">
      <c r="A611" t="s">
        <v>2500</v>
      </c>
      <c r="B611" s="4">
        <v>45801</v>
      </c>
      <c r="C611" t="s">
        <v>409</v>
      </c>
      <c r="D611" t="s">
        <v>2501</v>
      </c>
      <c r="E611" t="s">
        <v>15</v>
      </c>
      <c r="F611" t="s">
        <v>2502</v>
      </c>
      <c r="G611" t="s">
        <v>2503</v>
      </c>
      <c r="H611" s="4">
        <v>46077.650094421297</v>
      </c>
      <c r="J611" t="s">
        <v>19</v>
      </c>
      <c r="K611">
        <v>100687</v>
      </c>
    </row>
    <row r="612" spans="1:11" x14ac:dyDescent="0.55000000000000004">
      <c r="A612" t="s">
        <v>2504</v>
      </c>
      <c r="B612" s="4">
        <v>46004</v>
      </c>
      <c r="C612" t="s">
        <v>199</v>
      </c>
      <c r="D612" t="s">
        <v>2505</v>
      </c>
      <c r="E612" t="s">
        <v>15</v>
      </c>
      <c r="F612" t="s">
        <v>2506</v>
      </c>
      <c r="G612" t="s">
        <v>2507</v>
      </c>
      <c r="H612" s="4">
        <v>46096.293149988429</v>
      </c>
      <c r="J612" t="s">
        <v>19</v>
      </c>
      <c r="K612">
        <v>101336</v>
      </c>
    </row>
    <row r="613" spans="1:11" x14ac:dyDescent="0.55000000000000004">
      <c r="A613" t="s">
        <v>2508</v>
      </c>
      <c r="B613" s="4">
        <v>45942</v>
      </c>
      <c r="C613" t="s">
        <v>58</v>
      </c>
      <c r="D613" t="s">
        <v>2509</v>
      </c>
      <c r="E613" t="s">
        <v>15</v>
      </c>
      <c r="F613" t="s">
        <v>2510</v>
      </c>
      <c r="G613" t="s">
        <v>2511</v>
      </c>
      <c r="H613" s="4">
        <v>46085.594538877318</v>
      </c>
      <c r="J613" t="s">
        <v>179</v>
      </c>
      <c r="K613">
        <v>101317</v>
      </c>
    </row>
    <row r="614" spans="1:11" x14ac:dyDescent="0.55000000000000004">
      <c r="A614" t="s">
        <v>2512</v>
      </c>
      <c r="B614" s="4">
        <v>45826</v>
      </c>
      <c r="C614" t="s">
        <v>38</v>
      </c>
      <c r="D614" t="s">
        <v>2513</v>
      </c>
      <c r="E614" t="s">
        <v>22</v>
      </c>
      <c r="F614" t="s">
        <v>2514</v>
      </c>
      <c r="G614" t="s">
        <v>2515</v>
      </c>
      <c r="H614" s="4">
        <v>46058.93967777778</v>
      </c>
      <c r="J614" t="s">
        <v>533</v>
      </c>
      <c r="K614">
        <v>100480</v>
      </c>
    </row>
    <row r="615" spans="1:11" x14ac:dyDescent="0.55000000000000004">
      <c r="A615" t="s">
        <v>2516</v>
      </c>
      <c r="B615" s="4">
        <v>45850</v>
      </c>
      <c r="C615" t="s">
        <v>108</v>
      </c>
      <c r="D615" t="s">
        <v>2517</v>
      </c>
      <c r="E615" t="s">
        <v>22</v>
      </c>
      <c r="F615" t="s">
        <v>2518</v>
      </c>
      <c r="G615" t="s">
        <v>2519</v>
      </c>
      <c r="H615" s="4">
        <v>46091.767455555557</v>
      </c>
      <c r="J615" t="s">
        <v>19</v>
      </c>
      <c r="K615">
        <v>100291</v>
      </c>
    </row>
    <row r="616" spans="1:11" x14ac:dyDescent="0.55000000000000004">
      <c r="A616" t="s">
        <v>2520</v>
      </c>
      <c r="B616" s="4">
        <v>45800</v>
      </c>
      <c r="C616" t="s">
        <v>495</v>
      </c>
      <c r="D616" t="s">
        <v>2521</v>
      </c>
      <c r="E616" t="s">
        <v>15</v>
      </c>
      <c r="F616" t="s">
        <v>2522</v>
      </c>
      <c r="G616" t="s">
        <v>2523</v>
      </c>
      <c r="H616" s="4">
        <v>46073.047316666663</v>
      </c>
      <c r="J616" t="s">
        <v>19</v>
      </c>
      <c r="K616">
        <v>100587</v>
      </c>
    </row>
    <row r="617" spans="1:11" x14ac:dyDescent="0.55000000000000004">
      <c r="A617" t="s">
        <v>2524</v>
      </c>
      <c r="B617" s="4">
        <v>45802</v>
      </c>
      <c r="C617" t="s">
        <v>115</v>
      </c>
      <c r="D617" t="s">
        <v>1785</v>
      </c>
      <c r="E617" t="s">
        <v>15</v>
      </c>
      <c r="F617" t="s">
        <v>2525</v>
      </c>
      <c r="G617" t="s">
        <v>2526</v>
      </c>
      <c r="H617" s="4">
        <v>46095.165372233794</v>
      </c>
      <c r="J617" t="s">
        <v>19</v>
      </c>
      <c r="K617">
        <v>100728</v>
      </c>
    </row>
    <row r="618" spans="1:11" x14ac:dyDescent="0.55000000000000004">
      <c r="A618" t="s">
        <v>2527</v>
      </c>
      <c r="B618" s="4">
        <v>45870</v>
      </c>
      <c r="C618" t="s">
        <v>189</v>
      </c>
      <c r="D618" t="s">
        <v>2528</v>
      </c>
      <c r="E618" t="s">
        <v>15</v>
      </c>
      <c r="F618" t="s">
        <v>2529</v>
      </c>
      <c r="G618" t="s">
        <v>2530</v>
      </c>
      <c r="H618" s="4">
        <v>46093.494538900464</v>
      </c>
      <c r="J618" t="s">
        <v>37</v>
      </c>
      <c r="K618">
        <v>100105</v>
      </c>
    </row>
    <row r="619" spans="1:11" x14ac:dyDescent="0.55000000000000004">
      <c r="A619" t="s">
        <v>2531</v>
      </c>
      <c r="B619" s="4">
        <v>46047</v>
      </c>
      <c r="C619" t="s">
        <v>49</v>
      </c>
      <c r="D619" t="s">
        <v>2532</v>
      </c>
      <c r="E619" t="s">
        <v>22</v>
      </c>
      <c r="F619" t="s">
        <v>2533</v>
      </c>
      <c r="G619" t="s">
        <v>2534</v>
      </c>
      <c r="H619" s="4">
        <v>46082.138288912036</v>
      </c>
      <c r="J619" t="s">
        <v>179</v>
      </c>
      <c r="K619">
        <v>100953</v>
      </c>
    </row>
    <row r="620" spans="1:11" x14ac:dyDescent="0.55000000000000004">
      <c r="A620" t="s">
        <v>2535</v>
      </c>
      <c r="B620" s="4">
        <v>46129</v>
      </c>
      <c r="C620" t="s">
        <v>38</v>
      </c>
      <c r="D620" t="s">
        <v>2536</v>
      </c>
      <c r="E620" t="s">
        <v>22</v>
      </c>
      <c r="F620" t="s">
        <v>2537</v>
      </c>
      <c r="G620" t="s">
        <v>2538</v>
      </c>
      <c r="H620" s="4">
        <v>46077.185511134259</v>
      </c>
      <c r="J620" t="s">
        <v>179</v>
      </c>
      <c r="K620">
        <v>100699</v>
      </c>
    </row>
    <row r="621" spans="1:11" x14ac:dyDescent="0.55000000000000004">
      <c r="A621" t="s">
        <v>2539</v>
      </c>
      <c r="B621" s="4">
        <v>46112</v>
      </c>
      <c r="C621" t="s">
        <v>184</v>
      </c>
      <c r="D621" t="s">
        <v>2540</v>
      </c>
      <c r="E621" t="s">
        <v>15</v>
      </c>
      <c r="F621" t="s">
        <v>2541</v>
      </c>
      <c r="G621" t="s">
        <v>2542</v>
      </c>
      <c r="H621" s="4">
        <v>46069.096622245372</v>
      </c>
      <c r="J621" t="s">
        <v>19</v>
      </c>
      <c r="K621">
        <v>100299</v>
      </c>
    </row>
    <row r="622" spans="1:11" x14ac:dyDescent="0.55000000000000004">
      <c r="A622" t="s">
        <v>2543</v>
      </c>
      <c r="B622" s="4">
        <v>45857</v>
      </c>
      <c r="C622" t="s">
        <v>270</v>
      </c>
      <c r="D622" t="s">
        <v>2544</v>
      </c>
      <c r="E622" t="s">
        <v>22</v>
      </c>
      <c r="F622" t="s">
        <v>2545</v>
      </c>
      <c r="G622" t="s">
        <v>2546</v>
      </c>
      <c r="H622" s="4">
        <v>46063.84940003472</v>
      </c>
      <c r="I622" t="s">
        <v>112</v>
      </c>
      <c r="J622" t="s">
        <v>37</v>
      </c>
    </row>
    <row r="623" spans="1:11" x14ac:dyDescent="0.55000000000000004">
      <c r="A623" t="s">
        <v>2547</v>
      </c>
      <c r="B623" s="4">
        <v>45829</v>
      </c>
      <c r="C623" t="s">
        <v>757</v>
      </c>
      <c r="D623" t="s">
        <v>2548</v>
      </c>
      <c r="E623" t="s">
        <v>22</v>
      </c>
      <c r="F623" t="s">
        <v>2549</v>
      </c>
      <c r="G623" t="s">
        <v>2550</v>
      </c>
      <c r="H623" s="4">
        <v>46079.090372256942</v>
      </c>
      <c r="J623" t="s">
        <v>37</v>
      </c>
      <c r="K623">
        <v>100055</v>
      </c>
    </row>
    <row r="624" spans="1:11" x14ac:dyDescent="0.55000000000000004">
      <c r="A624" t="s">
        <v>2551</v>
      </c>
      <c r="B624" s="4">
        <v>45948</v>
      </c>
      <c r="C624" t="s">
        <v>170</v>
      </c>
      <c r="D624" t="s">
        <v>2552</v>
      </c>
      <c r="E624" t="s">
        <v>15</v>
      </c>
      <c r="F624" t="s">
        <v>2553</v>
      </c>
      <c r="G624" t="s">
        <v>2554</v>
      </c>
      <c r="H624" s="4">
        <v>46067.827177824074</v>
      </c>
      <c r="J624" t="s">
        <v>533</v>
      </c>
      <c r="K624">
        <v>100046</v>
      </c>
    </row>
    <row r="625" spans="1:11" x14ac:dyDescent="0.55000000000000004">
      <c r="A625" t="s">
        <v>2555</v>
      </c>
      <c r="B625" s="4">
        <v>45778</v>
      </c>
      <c r="C625" t="s">
        <v>528</v>
      </c>
      <c r="D625" t="s">
        <v>2556</v>
      </c>
      <c r="E625" t="s">
        <v>15</v>
      </c>
      <c r="F625" t="s">
        <v>2557</v>
      </c>
      <c r="G625" t="s">
        <v>2558</v>
      </c>
      <c r="H625" s="4">
        <v>46072.158427824077</v>
      </c>
      <c r="J625" t="s">
        <v>179</v>
      </c>
      <c r="K625">
        <v>100280</v>
      </c>
    </row>
    <row r="626" spans="1:11" x14ac:dyDescent="0.55000000000000004">
      <c r="A626" t="s">
        <v>2559</v>
      </c>
      <c r="B626" s="4">
        <v>45962</v>
      </c>
      <c r="C626" t="s">
        <v>115</v>
      </c>
      <c r="D626" t="s">
        <v>2560</v>
      </c>
      <c r="E626" t="s">
        <v>22</v>
      </c>
      <c r="F626" t="s">
        <v>2561</v>
      </c>
      <c r="G626" t="s">
        <v>2562</v>
      </c>
      <c r="H626" s="4">
        <v>46060.459122268519</v>
      </c>
      <c r="J626" t="s">
        <v>68</v>
      </c>
      <c r="K626">
        <v>101408</v>
      </c>
    </row>
    <row r="627" spans="1:11" x14ac:dyDescent="0.55000000000000004">
      <c r="A627" t="s">
        <v>2563</v>
      </c>
      <c r="B627" s="4">
        <v>45778</v>
      </c>
      <c r="C627" t="s">
        <v>356</v>
      </c>
      <c r="D627" t="s">
        <v>2564</v>
      </c>
      <c r="E627" t="s">
        <v>15</v>
      </c>
      <c r="F627" t="s">
        <v>2565</v>
      </c>
      <c r="G627" t="s">
        <v>2566</v>
      </c>
      <c r="H627" s="4">
        <v>46092.584122280095</v>
      </c>
      <c r="J627" t="s">
        <v>179</v>
      </c>
      <c r="K627">
        <v>101194</v>
      </c>
    </row>
    <row r="628" spans="1:11" x14ac:dyDescent="0.55000000000000004">
      <c r="A628" t="s">
        <v>2567</v>
      </c>
      <c r="B628" s="4">
        <v>46056</v>
      </c>
      <c r="C628" t="s">
        <v>170</v>
      </c>
      <c r="D628" t="s">
        <v>2568</v>
      </c>
      <c r="E628" t="s">
        <v>22</v>
      </c>
      <c r="F628" t="s">
        <v>2569</v>
      </c>
      <c r="G628" t="s">
        <v>2570</v>
      </c>
      <c r="H628" s="4">
        <v>46064.87578894676</v>
      </c>
      <c r="J628" t="s">
        <v>179</v>
      </c>
      <c r="K628">
        <v>101279</v>
      </c>
    </row>
    <row r="629" spans="1:11" x14ac:dyDescent="0.55000000000000004">
      <c r="A629" t="s">
        <v>2571</v>
      </c>
      <c r="B629" s="4">
        <v>45925</v>
      </c>
      <c r="C629" t="s">
        <v>121</v>
      </c>
      <c r="D629" t="s">
        <v>2572</v>
      </c>
      <c r="E629" t="s">
        <v>22</v>
      </c>
      <c r="F629" t="s">
        <v>2573</v>
      </c>
      <c r="G629" t="s">
        <v>2574</v>
      </c>
      <c r="H629" s="4">
        <v>46060.808427847223</v>
      </c>
      <c r="J629" t="s">
        <v>533</v>
      </c>
      <c r="K629">
        <v>100309</v>
      </c>
    </row>
    <row r="630" spans="1:11" x14ac:dyDescent="0.55000000000000004">
      <c r="A630" t="s">
        <v>2575</v>
      </c>
      <c r="B630" s="4">
        <v>45815</v>
      </c>
      <c r="C630" t="s">
        <v>115</v>
      </c>
      <c r="D630" t="s">
        <v>2576</v>
      </c>
      <c r="E630" t="s">
        <v>15</v>
      </c>
      <c r="F630" t="s">
        <v>2577</v>
      </c>
      <c r="G630" t="s">
        <v>2578</v>
      </c>
      <c r="H630" s="4">
        <v>46071.308427847223</v>
      </c>
      <c r="J630" t="s">
        <v>533</v>
      </c>
      <c r="K630">
        <v>100183</v>
      </c>
    </row>
    <row r="631" spans="1:11" x14ac:dyDescent="0.55000000000000004">
      <c r="A631" t="s">
        <v>2579</v>
      </c>
      <c r="B631" s="4">
        <v>46105</v>
      </c>
      <c r="C631" t="s">
        <v>356</v>
      </c>
      <c r="D631" t="s">
        <v>2580</v>
      </c>
      <c r="E631" t="s">
        <v>15</v>
      </c>
      <c r="F631" t="s">
        <v>2581</v>
      </c>
      <c r="G631" t="s">
        <v>2582</v>
      </c>
      <c r="H631" s="4">
        <v>46089.457733414354</v>
      </c>
      <c r="J631" t="s">
        <v>68</v>
      </c>
      <c r="K631">
        <v>100369</v>
      </c>
    </row>
    <row r="632" spans="1:11" x14ac:dyDescent="0.55000000000000004">
      <c r="A632" t="s">
        <v>2583</v>
      </c>
      <c r="B632" s="4">
        <v>46050</v>
      </c>
      <c r="C632" t="s">
        <v>334</v>
      </c>
      <c r="D632" t="s">
        <v>2584</v>
      </c>
      <c r="E632" t="s">
        <v>22</v>
      </c>
      <c r="F632" t="s">
        <v>2585</v>
      </c>
      <c r="G632" t="s">
        <v>2586</v>
      </c>
      <c r="H632" s="4">
        <v>46065.973011192131</v>
      </c>
      <c r="I632" t="s">
        <v>139</v>
      </c>
      <c r="J632" t="s">
        <v>37</v>
      </c>
      <c r="K632">
        <v>101215</v>
      </c>
    </row>
    <row r="633" spans="1:11" x14ac:dyDescent="0.55000000000000004">
      <c r="A633" t="s">
        <v>2587</v>
      </c>
      <c r="B633" s="4">
        <v>46043</v>
      </c>
      <c r="C633" t="s">
        <v>189</v>
      </c>
      <c r="D633" t="s">
        <v>2588</v>
      </c>
      <c r="E633" t="s">
        <v>22</v>
      </c>
      <c r="F633" t="s">
        <v>2589</v>
      </c>
      <c r="G633" t="s">
        <v>2590</v>
      </c>
      <c r="H633" s="4">
        <v>46068.16328896991</v>
      </c>
      <c r="J633" t="s">
        <v>37</v>
      </c>
      <c r="K633">
        <v>101106</v>
      </c>
    </row>
    <row r="634" spans="1:11" x14ac:dyDescent="0.55000000000000004">
      <c r="A634" t="s">
        <v>2591</v>
      </c>
      <c r="B634" s="4">
        <v>45772</v>
      </c>
      <c r="C634" t="s">
        <v>528</v>
      </c>
      <c r="D634" t="s">
        <v>2592</v>
      </c>
      <c r="E634" t="s">
        <v>22</v>
      </c>
      <c r="F634" t="s">
        <v>2593</v>
      </c>
      <c r="G634" t="s">
        <v>2594</v>
      </c>
      <c r="H634" s="4">
        <v>46057.852177870373</v>
      </c>
      <c r="J634" t="s">
        <v>179</v>
      </c>
      <c r="K634">
        <v>101256</v>
      </c>
    </row>
    <row r="635" spans="1:11" x14ac:dyDescent="0.55000000000000004">
      <c r="A635" t="s">
        <v>2595</v>
      </c>
      <c r="B635" s="4">
        <v>46151</v>
      </c>
      <c r="C635" t="s">
        <v>155</v>
      </c>
      <c r="D635" t="s">
        <v>2596</v>
      </c>
      <c r="E635" t="s">
        <v>15</v>
      </c>
      <c r="F635" t="s">
        <v>2597</v>
      </c>
      <c r="G635" t="s">
        <v>2598</v>
      </c>
      <c r="H635" s="4">
        <v>46088.668150092592</v>
      </c>
      <c r="J635" t="s">
        <v>19</v>
      </c>
      <c r="K635">
        <v>101378</v>
      </c>
    </row>
    <row r="636" spans="1:11" x14ac:dyDescent="0.55000000000000004">
      <c r="A636" t="s">
        <v>2599</v>
      </c>
      <c r="B636" s="4">
        <v>45750</v>
      </c>
      <c r="C636" t="s">
        <v>155</v>
      </c>
      <c r="D636" t="s">
        <v>2600</v>
      </c>
      <c r="E636" t="s">
        <v>22</v>
      </c>
      <c r="F636" t="s">
        <v>2601</v>
      </c>
      <c r="G636" t="s">
        <v>2602</v>
      </c>
      <c r="H636" s="4">
        <v>46076.621622326391</v>
      </c>
      <c r="J636" t="s">
        <v>68</v>
      </c>
      <c r="K636">
        <v>100289</v>
      </c>
    </row>
    <row r="637" spans="1:11" x14ac:dyDescent="0.55000000000000004">
      <c r="A637" t="s">
        <v>2603</v>
      </c>
      <c r="B637" s="4">
        <v>45787</v>
      </c>
      <c r="C637" t="s">
        <v>189</v>
      </c>
      <c r="D637" t="s">
        <v>2604</v>
      </c>
      <c r="E637" t="s">
        <v>22</v>
      </c>
      <c r="F637" t="s">
        <v>2605</v>
      </c>
      <c r="G637" t="s">
        <v>2606</v>
      </c>
      <c r="H637" s="4">
        <v>46057.806344548611</v>
      </c>
      <c r="J637" t="s">
        <v>37</v>
      </c>
      <c r="K637">
        <v>101335</v>
      </c>
    </row>
    <row r="638" spans="1:11" x14ac:dyDescent="0.55000000000000004">
      <c r="A638" t="s">
        <v>2607</v>
      </c>
      <c r="B638" s="4">
        <v>46025</v>
      </c>
      <c r="C638" t="s">
        <v>208</v>
      </c>
      <c r="D638" t="s">
        <v>2608</v>
      </c>
      <c r="E638" t="s">
        <v>15</v>
      </c>
      <c r="F638" t="s">
        <v>2609</v>
      </c>
      <c r="G638" t="s">
        <v>2610</v>
      </c>
      <c r="H638" s="4">
        <v>46092.320927881941</v>
      </c>
      <c r="J638" t="s">
        <v>19</v>
      </c>
      <c r="K638">
        <v>100537</v>
      </c>
    </row>
    <row r="639" spans="1:11" x14ac:dyDescent="0.55000000000000004">
      <c r="A639" t="s">
        <v>6034</v>
      </c>
      <c r="B639" s="4">
        <v>45920</v>
      </c>
      <c r="C639" t="s">
        <v>334</v>
      </c>
      <c r="D639" t="s">
        <v>1128</v>
      </c>
      <c r="E639" t="s">
        <v>15</v>
      </c>
      <c r="F639" t="s">
        <v>2612</v>
      </c>
      <c r="G639" t="s">
        <v>2613</v>
      </c>
      <c r="H639" s="4">
        <v>46079.076483449076</v>
      </c>
      <c r="I639" t="s">
        <v>119</v>
      </c>
      <c r="J639" t="s">
        <v>68</v>
      </c>
      <c r="K639">
        <v>100603</v>
      </c>
    </row>
    <row r="640" spans="1:11" x14ac:dyDescent="0.55000000000000004">
      <c r="A640" t="s">
        <v>2614</v>
      </c>
      <c r="B640" s="4">
        <v>45794</v>
      </c>
      <c r="C640" t="s">
        <v>300</v>
      </c>
      <c r="D640" t="s">
        <v>2615</v>
      </c>
      <c r="E640" t="s">
        <v>15</v>
      </c>
      <c r="F640" t="s">
        <v>2616</v>
      </c>
      <c r="G640" t="s">
        <v>2617</v>
      </c>
      <c r="H640" s="4">
        <v>46053.448705671297</v>
      </c>
      <c r="J640" t="s">
        <v>533</v>
      </c>
      <c r="K640">
        <v>100900</v>
      </c>
    </row>
    <row r="641" spans="1:11" x14ac:dyDescent="0.55000000000000004">
      <c r="A641" t="s">
        <v>2618</v>
      </c>
      <c r="B641" s="4">
        <v>45761</v>
      </c>
      <c r="C641" t="s">
        <v>38</v>
      </c>
      <c r="D641" t="s">
        <v>2619</v>
      </c>
      <c r="E641" t="s">
        <v>15</v>
      </c>
      <c r="F641" t="s">
        <v>2620</v>
      </c>
      <c r="G641" t="s">
        <v>2621</v>
      </c>
      <c r="H641" s="4">
        <v>46066.766761226849</v>
      </c>
      <c r="J641" t="s">
        <v>19</v>
      </c>
      <c r="K641">
        <v>100902</v>
      </c>
    </row>
    <row r="642" spans="1:11" x14ac:dyDescent="0.55000000000000004">
      <c r="A642" t="s">
        <v>2622</v>
      </c>
      <c r="B642" s="4">
        <v>46135</v>
      </c>
      <c r="C642" t="s">
        <v>300</v>
      </c>
      <c r="D642" t="s">
        <v>2623</v>
      </c>
      <c r="E642" t="s">
        <v>22</v>
      </c>
      <c r="F642" t="s">
        <v>2624</v>
      </c>
      <c r="G642" t="s">
        <v>2625</v>
      </c>
      <c r="H642" s="4">
        <v>46063.928566793984</v>
      </c>
      <c r="J642" t="s">
        <v>19</v>
      </c>
      <c r="K642">
        <v>101081</v>
      </c>
    </row>
    <row r="643" spans="1:11" x14ac:dyDescent="0.55000000000000004">
      <c r="A643" t="s">
        <v>2626</v>
      </c>
      <c r="B643" s="4">
        <v>45913</v>
      </c>
      <c r="C643" t="s">
        <v>38</v>
      </c>
      <c r="D643" t="s">
        <v>2627</v>
      </c>
      <c r="E643" t="s">
        <v>22</v>
      </c>
      <c r="F643" t="s">
        <v>2628</v>
      </c>
      <c r="G643" t="s">
        <v>2629</v>
      </c>
      <c r="H643" s="4">
        <v>46063.847316793981</v>
      </c>
      <c r="J643" t="s">
        <v>19</v>
      </c>
      <c r="K643">
        <v>100196</v>
      </c>
    </row>
    <row r="644" spans="1:11" x14ac:dyDescent="0.55000000000000004">
      <c r="A644" t="s">
        <v>2630</v>
      </c>
      <c r="B644" s="4">
        <v>45984</v>
      </c>
      <c r="C644" t="s">
        <v>38</v>
      </c>
      <c r="D644" t="s">
        <v>2631</v>
      </c>
      <c r="E644" t="s">
        <v>15</v>
      </c>
      <c r="F644" t="s">
        <v>2632</v>
      </c>
      <c r="G644" t="s">
        <v>2633</v>
      </c>
      <c r="H644" s="4">
        <v>46052.333427916667</v>
      </c>
      <c r="J644" t="s">
        <v>19</v>
      </c>
      <c r="K644">
        <v>101123</v>
      </c>
    </row>
    <row r="645" spans="1:11" x14ac:dyDescent="0.55000000000000004">
      <c r="A645" t="s">
        <v>2634</v>
      </c>
      <c r="B645" s="4">
        <v>45732</v>
      </c>
      <c r="C645" t="s">
        <v>155</v>
      </c>
      <c r="D645" t="s">
        <v>2635</v>
      </c>
      <c r="E645" t="s">
        <v>22</v>
      </c>
      <c r="F645" t="s">
        <v>2636</v>
      </c>
      <c r="G645" t="s">
        <v>2637</v>
      </c>
      <c r="H645" s="4">
        <v>46057.578566805554</v>
      </c>
      <c r="J645" t="s">
        <v>248</v>
      </c>
      <c r="K645">
        <v>101396</v>
      </c>
    </row>
    <row r="646" spans="1:11" x14ac:dyDescent="0.55000000000000004">
      <c r="A646" t="s">
        <v>2638</v>
      </c>
      <c r="B646" s="4">
        <v>46141</v>
      </c>
      <c r="C646" t="s">
        <v>243</v>
      </c>
      <c r="D646" t="s">
        <v>2639</v>
      </c>
      <c r="E646" t="s">
        <v>22</v>
      </c>
      <c r="F646" t="s">
        <v>2640</v>
      </c>
      <c r="G646" t="s">
        <v>2641</v>
      </c>
      <c r="H646" s="4">
        <v>46074.949400138888</v>
      </c>
      <c r="J646" t="s">
        <v>248</v>
      </c>
      <c r="K646">
        <v>100122</v>
      </c>
    </row>
    <row r="647" spans="1:11" x14ac:dyDescent="0.55000000000000004">
      <c r="A647" t="s">
        <v>2642</v>
      </c>
      <c r="B647" s="4">
        <v>45737</v>
      </c>
      <c r="C647" t="s">
        <v>160</v>
      </c>
      <c r="D647" t="s">
        <v>2643</v>
      </c>
      <c r="E647" t="s">
        <v>15</v>
      </c>
      <c r="F647" t="s">
        <v>2644</v>
      </c>
      <c r="G647" t="s">
        <v>2645</v>
      </c>
      <c r="H647" s="4">
        <v>46078.319539039352</v>
      </c>
      <c r="J647" t="s">
        <v>248</v>
      </c>
      <c r="K647">
        <v>101148</v>
      </c>
    </row>
    <row r="648" spans="1:11" x14ac:dyDescent="0.55000000000000004">
      <c r="A648" t="s">
        <v>2646</v>
      </c>
      <c r="B648" s="4">
        <v>46013</v>
      </c>
      <c r="C648" t="s">
        <v>141</v>
      </c>
      <c r="D648" t="s">
        <v>2647</v>
      </c>
      <c r="E648" t="s">
        <v>22</v>
      </c>
      <c r="F648" t="s">
        <v>2648</v>
      </c>
      <c r="G648" t="s">
        <v>2649</v>
      </c>
      <c r="H648" s="4">
        <v>46076.182733483794</v>
      </c>
      <c r="J648" t="s">
        <v>19</v>
      </c>
      <c r="K648">
        <v>100197</v>
      </c>
    </row>
    <row r="649" spans="1:11" x14ac:dyDescent="0.55000000000000004">
      <c r="A649" t="s">
        <v>2650</v>
      </c>
      <c r="B649" s="4">
        <v>46047</v>
      </c>
      <c r="C649" t="s">
        <v>115</v>
      </c>
      <c r="D649" t="s">
        <v>2651</v>
      </c>
      <c r="E649" t="s">
        <v>15</v>
      </c>
      <c r="F649" t="s">
        <v>2652</v>
      </c>
      <c r="G649" t="s">
        <v>2653</v>
      </c>
      <c r="H649" s="4">
        <v>46076.26537238426</v>
      </c>
      <c r="I649" t="s">
        <v>139</v>
      </c>
      <c r="J649" t="s">
        <v>19</v>
      </c>
      <c r="K649">
        <v>100573</v>
      </c>
    </row>
    <row r="650" spans="1:11" x14ac:dyDescent="0.55000000000000004">
      <c r="A650" t="s">
        <v>2654</v>
      </c>
      <c r="B650" s="4">
        <v>45974</v>
      </c>
      <c r="C650" t="s">
        <v>317</v>
      </c>
      <c r="D650" t="s">
        <v>2655</v>
      </c>
      <c r="E650" t="s">
        <v>15</v>
      </c>
      <c r="F650" t="s">
        <v>2656</v>
      </c>
      <c r="G650" t="s">
        <v>2657</v>
      </c>
      <c r="H650" s="4">
        <v>46067.525094606484</v>
      </c>
      <c r="J650" t="s">
        <v>19</v>
      </c>
      <c r="K650">
        <v>101105</v>
      </c>
    </row>
    <row r="651" spans="1:11" x14ac:dyDescent="0.55000000000000004">
      <c r="A651" t="s">
        <v>2658</v>
      </c>
      <c r="B651" s="4">
        <v>46006</v>
      </c>
      <c r="C651" t="s">
        <v>757</v>
      </c>
      <c r="D651" t="s">
        <v>2659</v>
      </c>
      <c r="E651" t="s">
        <v>15</v>
      </c>
      <c r="F651" t="s">
        <v>2660</v>
      </c>
      <c r="G651" t="s">
        <v>2661</v>
      </c>
      <c r="H651" s="4">
        <v>46064.320233495368</v>
      </c>
      <c r="J651" t="s">
        <v>179</v>
      </c>
      <c r="K651">
        <v>101334</v>
      </c>
    </row>
    <row r="652" spans="1:11" x14ac:dyDescent="0.55000000000000004">
      <c r="A652" t="s">
        <v>2662</v>
      </c>
      <c r="B652" s="4">
        <v>46103</v>
      </c>
      <c r="C652" t="s">
        <v>343</v>
      </c>
      <c r="D652" t="s">
        <v>2663</v>
      </c>
      <c r="E652" t="s">
        <v>15</v>
      </c>
      <c r="F652" t="s">
        <v>2664</v>
      </c>
      <c r="G652" t="s">
        <v>2665</v>
      </c>
      <c r="H652" s="4">
        <v>46060.771622395834</v>
      </c>
      <c r="J652" t="s">
        <v>19</v>
      </c>
      <c r="K652">
        <v>101345</v>
      </c>
    </row>
    <row r="653" spans="1:11" x14ac:dyDescent="0.55000000000000004">
      <c r="A653" t="s">
        <v>2666</v>
      </c>
      <c r="B653" s="4">
        <v>46141</v>
      </c>
      <c r="C653" t="s">
        <v>265</v>
      </c>
      <c r="D653" t="s">
        <v>2667</v>
      </c>
      <c r="E653" t="s">
        <v>22</v>
      </c>
      <c r="F653" t="s">
        <v>2668</v>
      </c>
      <c r="G653" t="s">
        <v>2669</v>
      </c>
      <c r="H653" s="4">
        <v>46096.263983506942</v>
      </c>
      <c r="J653" t="s">
        <v>68</v>
      </c>
      <c r="K653">
        <v>100277</v>
      </c>
    </row>
    <row r="654" spans="1:11" x14ac:dyDescent="0.55000000000000004">
      <c r="A654" t="s">
        <v>2670</v>
      </c>
      <c r="B654" s="4">
        <v>46052</v>
      </c>
      <c r="C654" t="s">
        <v>43</v>
      </c>
      <c r="D654" t="s">
        <v>2671</v>
      </c>
      <c r="E654" t="s">
        <v>15</v>
      </c>
      <c r="F654" t="s">
        <v>2672</v>
      </c>
      <c r="G654" t="s">
        <v>2673</v>
      </c>
      <c r="H654" s="4">
        <v>46059.579955729168</v>
      </c>
      <c r="J654" t="s">
        <v>179</v>
      </c>
      <c r="K654">
        <v>100464</v>
      </c>
    </row>
    <row r="655" spans="1:11" x14ac:dyDescent="0.55000000000000004">
      <c r="A655" t="s">
        <v>2674</v>
      </c>
      <c r="B655" s="4">
        <v>46093</v>
      </c>
      <c r="C655" t="s">
        <v>141</v>
      </c>
      <c r="D655" t="s">
        <v>2675</v>
      </c>
      <c r="E655" t="s">
        <v>22</v>
      </c>
      <c r="F655" t="s">
        <v>2676</v>
      </c>
      <c r="G655" t="s">
        <v>2677</v>
      </c>
      <c r="H655" s="4">
        <v>46071.623011296295</v>
      </c>
      <c r="J655" t="s">
        <v>68</v>
      </c>
      <c r="K655">
        <v>101017</v>
      </c>
    </row>
    <row r="656" spans="1:11" x14ac:dyDescent="0.55000000000000004">
      <c r="A656" t="s">
        <v>2678</v>
      </c>
      <c r="B656" s="4">
        <v>45853</v>
      </c>
      <c r="C656" t="s">
        <v>58</v>
      </c>
      <c r="D656" t="s">
        <v>2679</v>
      </c>
      <c r="E656" t="s">
        <v>15</v>
      </c>
      <c r="F656" t="s">
        <v>2680</v>
      </c>
      <c r="G656" t="s">
        <v>2681</v>
      </c>
      <c r="H656" s="4">
        <v>46064.316066851854</v>
      </c>
      <c r="J656" t="s">
        <v>19</v>
      </c>
      <c r="K656">
        <v>100871</v>
      </c>
    </row>
    <row r="657" spans="1:11" x14ac:dyDescent="0.55000000000000004">
      <c r="A657" t="s">
        <v>2682</v>
      </c>
      <c r="B657" s="4">
        <v>45789</v>
      </c>
      <c r="C657" t="s">
        <v>265</v>
      </c>
      <c r="D657" t="s">
        <v>2683</v>
      </c>
      <c r="E657" t="s">
        <v>15</v>
      </c>
      <c r="F657" t="s">
        <v>2684</v>
      </c>
      <c r="G657" t="s">
        <v>2685</v>
      </c>
      <c r="H657" s="4">
        <v>46069.026483530091</v>
      </c>
      <c r="J657" t="s">
        <v>533</v>
      </c>
      <c r="K657">
        <v>101496</v>
      </c>
    </row>
    <row r="658" spans="1:11" x14ac:dyDescent="0.55000000000000004">
      <c r="A658" t="s">
        <v>2686</v>
      </c>
      <c r="B658" s="4">
        <v>46141</v>
      </c>
      <c r="C658" t="s">
        <v>409</v>
      </c>
      <c r="D658" t="s">
        <v>2687</v>
      </c>
      <c r="E658" t="s">
        <v>15</v>
      </c>
      <c r="F658" t="s">
        <v>2688</v>
      </c>
      <c r="G658" t="s">
        <v>2689</v>
      </c>
      <c r="H658" s="4">
        <v>46076.058427974538</v>
      </c>
      <c r="J658" t="s">
        <v>37</v>
      </c>
      <c r="K658">
        <v>100943</v>
      </c>
    </row>
    <row r="659" spans="1:11" x14ac:dyDescent="0.55000000000000004">
      <c r="A659" t="s">
        <v>2690</v>
      </c>
      <c r="B659" s="4">
        <v>45890</v>
      </c>
      <c r="C659" t="s">
        <v>265</v>
      </c>
      <c r="D659" t="s">
        <v>2691</v>
      </c>
      <c r="E659" t="s">
        <v>15</v>
      </c>
      <c r="F659" t="s">
        <v>2692</v>
      </c>
      <c r="G659" t="s">
        <v>2693</v>
      </c>
      <c r="H659" s="4">
        <v>46084.694539097225</v>
      </c>
      <c r="J659" t="s">
        <v>19</v>
      </c>
      <c r="K659">
        <v>100352</v>
      </c>
    </row>
    <row r="660" spans="1:11" x14ac:dyDescent="0.55000000000000004">
      <c r="A660" t="s">
        <v>2694</v>
      </c>
      <c r="B660" s="4">
        <v>45930</v>
      </c>
      <c r="C660" t="s">
        <v>184</v>
      </c>
      <c r="D660" t="s">
        <v>2695</v>
      </c>
      <c r="E660" t="s">
        <v>22</v>
      </c>
      <c r="F660" t="s">
        <v>2696</v>
      </c>
      <c r="G660" t="s">
        <v>2697</v>
      </c>
      <c r="H660" s="4">
        <v>46094.768844652775</v>
      </c>
      <c r="J660" t="s">
        <v>179</v>
      </c>
      <c r="K660">
        <v>100926</v>
      </c>
    </row>
    <row r="661" spans="1:11" x14ac:dyDescent="0.55000000000000004">
      <c r="A661" t="s">
        <v>2698</v>
      </c>
      <c r="B661" s="4">
        <v>45776</v>
      </c>
      <c r="C661" t="s">
        <v>334</v>
      </c>
      <c r="D661" t="s">
        <v>2699</v>
      </c>
      <c r="E661" t="s">
        <v>15</v>
      </c>
      <c r="F661" t="s">
        <v>2700</v>
      </c>
      <c r="G661" t="s">
        <v>2701</v>
      </c>
      <c r="H661" s="4">
        <v>46063.80912244213</v>
      </c>
      <c r="J661" t="s">
        <v>19</v>
      </c>
      <c r="K661">
        <v>101121</v>
      </c>
    </row>
    <row r="662" spans="1:11" x14ac:dyDescent="0.55000000000000004">
      <c r="A662" t="s">
        <v>2702</v>
      </c>
      <c r="B662" s="4">
        <v>45743</v>
      </c>
      <c r="C662" t="s">
        <v>562</v>
      </c>
      <c r="D662" t="s">
        <v>2703</v>
      </c>
      <c r="E662" t="s">
        <v>15</v>
      </c>
      <c r="F662" t="s">
        <v>2704</v>
      </c>
      <c r="G662" t="s">
        <v>2705</v>
      </c>
      <c r="H662" s="4">
        <v>46085.338983553243</v>
      </c>
      <c r="J662" t="s">
        <v>68</v>
      </c>
      <c r="K662">
        <v>101024</v>
      </c>
    </row>
    <row r="663" spans="1:11" x14ac:dyDescent="0.55000000000000004">
      <c r="A663" t="s">
        <v>2706</v>
      </c>
      <c r="B663" s="4">
        <v>46004</v>
      </c>
      <c r="C663" t="s">
        <v>334</v>
      </c>
      <c r="D663" t="s">
        <v>2707</v>
      </c>
      <c r="E663" t="s">
        <v>22</v>
      </c>
      <c r="F663" t="s">
        <v>2708</v>
      </c>
      <c r="G663" t="s">
        <v>2709</v>
      </c>
      <c r="H663" s="4">
        <v>46088.522316898147</v>
      </c>
      <c r="J663" t="s">
        <v>248</v>
      </c>
      <c r="K663">
        <v>100949</v>
      </c>
    </row>
    <row r="664" spans="1:11" x14ac:dyDescent="0.55000000000000004">
      <c r="A664" t="s">
        <v>2710</v>
      </c>
      <c r="B664" s="4">
        <v>45790</v>
      </c>
      <c r="C664" t="s">
        <v>38</v>
      </c>
      <c r="D664" t="s">
        <v>2711</v>
      </c>
      <c r="E664" t="s">
        <v>15</v>
      </c>
      <c r="F664" t="s">
        <v>2712</v>
      </c>
      <c r="G664" t="s">
        <v>2713</v>
      </c>
      <c r="H664" s="4">
        <v>46083.974400231484</v>
      </c>
      <c r="J664" t="s">
        <v>248</v>
      </c>
      <c r="K664">
        <v>100595</v>
      </c>
    </row>
    <row r="665" spans="1:11" x14ac:dyDescent="0.55000000000000004">
      <c r="A665" t="s">
        <v>287</v>
      </c>
      <c r="B665" s="4">
        <v>46013</v>
      </c>
      <c r="C665" t="s">
        <v>356</v>
      </c>
      <c r="D665" t="s">
        <v>2714</v>
      </c>
      <c r="E665" t="s">
        <v>22</v>
      </c>
      <c r="F665" t="s">
        <v>2715</v>
      </c>
      <c r="G665" t="s">
        <v>2716</v>
      </c>
      <c r="H665" s="4">
        <v>46061.398011354169</v>
      </c>
      <c r="J665" t="s">
        <v>68</v>
      </c>
      <c r="K665">
        <v>101475</v>
      </c>
    </row>
    <row r="666" spans="1:11" x14ac:dyDescent="0.55000000000000004">
      <c r="A666" t="s">
        <v>2717</v>
      </c>
      <c r="B666" s="4">
        <v>45768</v>
      </c>
      <c r="C666" t="s">
        <v>467</v>
      </c>
      <c r="D666" t="s">
        <v>2718</v>
      </c>
      <c r="E666" t="s">
        <v>22</v>
      </c>
      <c r="F666" t="s">
        <v>2719</v>
      </c>
      <c r="G666" t="s">
        <v>2720</v>
      </c>
      <c r="H666" s="4">
        <v>46094.561205798615</v>
      </c>
      <c r="J666" t="s">
        <v>533</v>
      </c>
      <c r="K666">
        <v>101444</v>
      </c>
    </row>
    <row r="667" spans="1:11" x14ac:dyDescent="0.55000000000000004">
      <c r="A667" t="s">
        <v>2721</v>
      </c>
      <c r="B667" s="4">
        <v>45973</v>
      </c>
      <c r="C667" t="s">
        <v>243</v>
      </c>
      <c r="D667" t="s">
        <v>2722</v>
      </c>
      <c r="E667" t="s">
        <v>15</v>
      </c>
      <c r="F667" t="s">
        <v>2723</v>
      </c>
      <c r="G667" t="s">
        <v>2724</v>
      </c>
      <c r="H667" s="4">
        <v>46092.139678032407</v>
      </c>
      <c r="J667" t="s">
        <v>37</v>
      </c>
      <c r="K667">
        <v>100830</v>
      </c>
    </row>
    <row r="668" spans="1:11" x14ac:dyDescent="0.55000000000000004">
      <c r="A668" t="s">
        <v>2725</v>
      </c>
      <c r="B668" s="4">
        <v>45823</v>
      </c>
      <c r="C668" t="s">
        <v>213</v>
      </c>
      <c r="D668" t="s">
        <v>2726</v>
      </c>
      <c r="E668" t="s">
        <v>22</v>
      </c>
      <c r="F668" t="s">
        <v>2727</v>
      </c>
      <c r="G668" t="s">
        <v>2728</v>
      </c>
      <c r="H668" s="4">
        <v>46078.273705810185</v>
      </c>
      <c r="J668" t="s">
        <v>179</v>
      </c>
      <c r="K668">
        <v>100226</v>
      </c>
    </row>
    <row r="669" spans="1:11" x14ac:dyDescent="0.55000000000000004">
      <c r="A669" t="s">
        <v>2729</v>
      </c>
      <c r="B669" s="4">
        <v>46097</v>
      </c>
      <c r="C669" t="s">
        <v>270</v>
      </c>
      <c r="D669" t="s">
        <v>2730</v>
      </c>
      <c r="E669" t="s">
        <v>15</v>
      </c>
      <c r="F669" t="s">
        <v>2731</v>
      </c>
      <c r="G669" t="s">
        <v>2732</v>
      </c>
      <c r="H669" s="4">
        <v>46091.752872476849</v>
      </c>
      <c r="J669" t="s">
        <v>248</v>
      </c>
      <c r="K669">
        <v>100301</v>
      </c>
    </row>
    <row r="670" spans="1:11" x14ac:dyDescent="0.55000000000000004">
      <c r="A670" t="s">
        <v>2733</v>
      </c>
      <c r="B670" s="4">
        <v>45781</v>
      </c>
      <c r="C670" t="s">
        <v>58</v>
      </c>
      <c r="D670" t="s">
        <v>2734</v>
      </c>
      <c r="E670" t="s">
        <v>22</v>
      </c>
      <c r="F670" t="s">
        <v>2735</v>
      </c>
      <c r="G670" t="s">
        <v>2736</v>
      </c>
      <c r="H670" s="4">
        <v>46083.427872488428</v>
      </c>
      <c r="J670" t="s">
        <v>179</v>
      </c>
      <c r="K670">
        <v>101362</v>
      </c>
    </row>
    <row r="671" spans="1:11" x14ac:dyDescent="0.55000000000000004">
      <c r="A671" t="s">
        <v>2737</v>
      </c>
      <c r="B671" s="4">
        <v>46047</v>
      </c>
      <c r="C671" t="s">
        <v>58</v>
      </c>
      <c r="D671" t="s">
        <v>2738</v>
      </c>
      <c r="E671" t="s">
        <v>15</v>
      </c>
      <c r="F671" t="s">
        <v>2739</v>
      </c>
      <c r="G671" t="s">
        <v>2740</v>
      </c>
      <c r="H671" s="4">
        <v>46052.800094710648</v>
      </c>
      <c r="J671" t="s">
        <v>533</v>
      </c>
      <c r="K671">
        <v>100017</v>
      </c>
    </row>
    <row r="672" spans="1:11" x14ac:dyDescent="0.55000000000000004">
      <c r="A672" t="s">
        <v>2741</v>
      </c>
      <c r="B672" s="4">
        <v>46135</v>
      </c>
      <c r="C672" t="s">
        <v>757</v>
      </c>
      <c r="D672" t="s">
        <v>2742</v>
      </c>
      <c r="E672" t="s">
        <v>15</v>
      </c>
      <c r="F672" t="s">
        <v>2743</v>
      </c>
      <c r="G672" t="s">
        <v>2744</v>
      </c>
      <c r="H672" s="4">
        <v>46093.070233611114</v>
      </c>
      <c r="J672" t="s">
        <v>68</v>
      </c>
      <c r="K672">
        <v>100458</v>
      </c>
    </row>
    <row r="673" spans="1:11" x14ac:dyDescent="0.55000000000000004">
      <c r="A673" t="s">
        <v>2745</v>
      </c>
      <c r="B673" s="4">
        <v>45911</v>
      </c>
      <c r="C673" t="s">
        <v>418</v>
      </c>
      <c r="D673" t="s">
        <v>2746</v>
      </c>
      <c r="E673" t="s">
        <v>22</v>
      </c>
      <c r="F673" t="s">
        <v>2747</v>
      </c>
      <c r="G673" t="s">
        <v>2748</v>
      </c>
      <c r="H673" s="4">
        <v>46074.886900277779</v>
      </c>
      <c r="J673" t="s">
        <v>533</v>
      </c>
      <c r="K673">
        <v>100502</v>
      </c>
    </row>
    <row r="674" spans="1:11" x14ac:dyDescent="0.55000000000000004">
      <c r="A674" t="s">
        <v>2749</v>
      </c>
      <c r="B674" s="4">
        <v>45797</v>
      </c>
      <c r="C674" t="s">
        <v>243</v>
      </c>
      <c r="D674" t="s">
        <v>2750</v>
      </c>
      <c r="E674" t="s">
        <v>22</v>
      </c>
      <c r="F674" t="s">
        <v>2751</v>
      </c>
      <c r="G674" t="s">
        <v>2752</v>
      </c>
      <c r="H674" s="4">
        <v>46061.822316956015</v>
      </c>
      <c r="J674" t="s">
        <v>19</v>
      </c>
      <c r="K674">
        <v>100661</v>
      </c>
    </row>
    <row r="675" spans="1:11" x14ac:dyDescent="0.55000000000000004">
      <c r="A675" t="s">
        <v>2753</v>
      </c>
      <c r="B675" s="4">
        <v>46137</v>
      </c>
      <c r="C675" t="s">
        <v>89</v>
      </c>
      <c r="D675" t="s">
        <v>2754</v>
      </c>
      <c r="E675" t="s">
        <v>22</v>
      </c>
      <c r="F675" t="s">
        <v>2755</v>
      </c>
      <c r="G675" t="s">
        <v>2756</v>
      </c>
      <c r="H675" s="4">
        <v>46060.15842806713</v>
      </c>
      <c r="J675" t="s">
        <v>37</v>
      </c>
      <c r="K675">
        <v>101270</v>
      </c>
    </row>
    <row r="676" spans="1:11" x14ac:dyDescent="0.55000000000000004">
      <c r="A676" t="s">
        <v>2757</v>
      </c>
      <c r="B676" s="4">
        <v>46049</v>
      </c>
      <c r="C676" t="s">
        <v>38</v>
      </c>
      <c r="D676" t="s">
        <v>2758</v>
      </c>
      <c r="E676" t="s">
        <v>15</v>
      </c>
      <c r="F676" t="s">
        <v>2759</v>
      </c>
      <c r="G676" t="s">
        <v>2760</v>
      </c>
      <c r="H676" s="4">
        <v>46067.200094733795</v>
      </c>
      <c r="J676" t="s">
        <v>248</v>
      </c>
      <c r="K676">
        <v>100246</v>
      </c>
    </row>
    <row r="677" spans="1:11" x14ac:dyDescent="0.55000000000000004">
      <c r="A677" t="s">
        <v>2761</v>
      </c>
      <c r="B677" s="4">
        <v>45906</v>
      </c>
      <c r="C677" t="s">
        <v>317</v>
      </c>
      <c r="D677" t="s">
        <v>2762</v>
      </c>
      <c r="E677" t="s">
        <v>22</v>
      </c>
      <c r="F677" t="s">
        <v>2763</v>
      </c>
      <c r="G677" t="s">
        <v>2764</v>
      </c>
      <c r="H677" s="4">
        <v>46069.939678078706</v>
      </c>
      <c r="J677" t="s">
        <v>37</v>
      </c>
      <c r="K677">
        <v>100568</v>
      </c>
    </row>
    <row r="678" spans="1:11" x14ac:dyDescent="0.55000000000000004">
      <c r="A678" t="s">
        <v>2765</v>
      </c>
      <c r="B678" s="4">
        <v>46010</v>
      </c>
      <c r="C678" t="s">
        <v>108</v>
      </c>
      <c r="D678" t="s">
        <v>2766</v>
      </c>
      <c r="E678" t="s">
        <v>22</v>
      </c>
      <c r="F678" t="s">
        <v>2767</v>
      </c>
      <c r="G678" t="s">
        <v>2768</v>
      </c>
      <c r="H678" s="4">
        <v>46089.904261412034</v>
      </c>
      <c r="J678" t="s">
        <v>68</v>
      </c>
      <c r="K678">
        <v>101151</v>
      </c>
    </row>
    <row r="679" spans="1:11" x14ac:dyDescent="0.55000000000000004">
      <c r="A679" t="s">
        <v>2769</v>
      </c>
      <c r="B679" s="4">
        <v>45969</v>
      </c>
      <c r="C679" t="s">
        <v>170</v>
      </c>
      <c r="D679" t="s">
        <v>2770</v>
      </c>
      <c r="E679" t="s">
        <v>22</v>
      </c>
      <c r="F679" t="s">
        <v>2771</v>
      </c>
      <c r="G679" t="s">
        <v>2772</v>
      </c>
      <c r="H679" s="4">
        <v>46086.308428078701</v>
      </c>
      <c r="J679" t="s">
        <v>19</v>
      </c>
      <c r="K679">
        <v>101129</v>
      </c>
    </row>
    <row r="680" spans="1:11" x14ac:dyDescent="0.55000000000000004">
      <c r="A680" t="s">
        <v>2773</v>
      </c>
      <c r="B680" s="4">
        <v>45767</v>
      </c>
      <c r="C680" t="s">
        <v>270</v>
      </c>
      <c r="D680" t="s">
        <v>2774</v>
      </c>
      <c r="E680" t="s">
        <v>22</v>
      </c>
      <c r="F680" t="s">
        <v>2775</v>
      </c>
      <c r="G680" t="s">
        <v>2776</v>
      </c>
      <c r="H680" s="4">
        <v>46065.829261423612</v>
      </c>
      <c r="J680" t="s">
        <v>179</v>
      </c>
      <c r="K680">
        <v>101290</v>
      </c>
    </row>
    <row r="681" spans="1:11" x14ac:dyDescent="0.55000000000000004">
      <c r="A681" t="s">
        <v>2777</v>
      </c>
      <c r="B681" s="4">
        <v>45778</v>
      </c>
      <c r="C681" t="s">
        <v>115</v>
      </c>
      <c r="D681" t="s">
        <v>2778</v>
      </c>
      <c r="E681" t="s">
        <v>15</v>
      </c>
      <c r="F681" t="s">
        <v>2779</v>
      </c>
      <c r="G681" t="s">
        <v>2780</v>
      </c>
      <c r="H681" s="4">
        <v>46087.806344756944</v>
      </c>
      <c r="J681" t="s">
        <v>37</v>
      </c>
      <c r="K681">
        <v>100087</v>
      </c>
    </row>
    <row r="682" spans="1:11" x14ac:dyDescent="0.55000000000000004">
      <c r="A682" t="s">
        <v>2781</v>
      </c>
      <c r="B682" s="4">
        <v>45963</v>
      </c>
      <c r="C682" t="s">
        <v>495</v>
      </c>
      <c r="D682" t="s">
        <v>2782</v>
      </c>
      <c r="E682" t="s">
        <v>15</v>
      </c>
      <c r="F682" t="s">
        <v>2783</v>
      </c>
      <c r="G682" t="s">
        <v>2784</v>
      </c>
      <c r="H682" s="4">
        <v>46083.777178090277</v>
      </c>
      <c r="J682" t="s">
        <v>533</v>
      </c>
      <c r="K682">
        <v>100195</v>
      </c>
    </row>
    <row r="683" spans="1:11" x14ac:dyDescent="0.55000000000000004">
      <c r="A683" t="s">
        <v>2785</v>
      </c>
      <c r="B683" s="4">
        <v>45885</v>
      </c>
      <c r="C683" t="s">
        <v>300</v>
      </c>
      <c r="D683" t="s">
        <v>2786</v>
      </c>
      <c r="E683" t="s">
        <v>22</v>
      </c>
      <c r="F683" t="s">
        <v>2787</v>
      </c>
      <c r="G683" t="s">
        <v>2788</v>
      </c>
      <c r="H683" s="4">
        <v>46091.917455879629</v>
      </c>
      <c r="J683" t="s">
        <v>68</v>
      </c>
      <c r="K683">
        <v>100529</v>
      </c>
    </row>
    <row r="684" spans="1:11" x14ac:dyDescent="0.55000000000000004">
      <c r="A684" t="s">
        <v>2789</v>
      </c>
      <c r="B684" s="4">
        <v>46045</v>
      </c>
      <c r="C684" t="s">
        <v>208</v>
      </c>
      <c r="D684" t="s">
        <v>2790</v>
      </c>
      <c r="E684" t="s">
        <v>15</v>
      </c>
      <c r="F684" t="s">
        <v>2791</v>
      </c>
      <c r="G684" t="s">
        <v>2792</v>
      </c>
      <c r="H684" s="4">
        <v>46073.965372546299</v>
      </c>
      <c r="J684" t="s">
        <v>37</v>
      </c>
      <c r="K684">
        <v>100010</v>
      </c>
    </row>
    <row r="685" spans="1:11" x14ac:dyDescent="0.55000000000000004">
      <c r="A685" t="s">
        <v>2793</v>
      </c>
      <c r="B685" s="4">
        <v>45732</v>
      </c>
      <c r="C685" t="s">
        <v>343</v>
      </c>
      <c r="D685" t="s">
        <v>2794</v>
      </c>
      <c r="E685" t="s">
        <v>22</v>
      </c>
      <c r="F685" t="s">
        <v>2795</v>
      </c>
      <c r="G685" t="s">
        <v>2796</v>
      </c>
      <c r="H685" s="4">
        <v>46096.411900335646</v>
      </c>
      <c r="J685" t="s">
        <v>37</v>
      </c>
      <c r="K685">
        <v>101428</v>
      </c>
    </row>
    <row r="686" spans="1:11" x14ac:dyDescent="0.55000000000000004">
      <c r="A686" t="s">
        <v>6035</v>
      </c>
      <c r="B686" s="4">
        <v>46091</v>
      </c>
      <c r="C686" t="s">
        <v>300</v>
      </c>
      <c r="D686" t="s">
        <v>2798</v>
      </c>
      <c r="E686" t="s">
        <v>22</v>
      </c>
      <c r="F686" t="s">
        <v>2799</v>
      </c>
      <c r="G686" t="s">
        <v>2800</v>
      </c>
      <c r="H686" s="4">
        <v>46073.127178113427</v>
      </c>
      <c r="I686" t="s">
        <v>119</v>
      </c>
      <c r="J686" t="s">
        <v>179</v>
      </c>
      <c r="K686">
        <v>100282</v>
      </c>
    </row>
    <row r="687" spans="1:11" x14ac:dyDescent="0.55000000000000004">
      <c r="A687" t="s">
        <v>2801</v>
      </c>
      <c r="B687" s="4">
        <v>45840</v>
      </c>
      <c r="C687" t="s">
        <v>680</v>
      </c>
      <c r="D687" t="s">
        <v>2802</v>
      </c>
      <c r="E687" t="s">
        <v>15</v>
      </c>
      <c r="F687" t="s">
        <v>2803</v>
      </c>
      <c r="G687" t="s">
        <v>2804</v>
      </c>
      <c r="H687" s="4">
        <v>46062.199400335645</v>
      </c>
      <c r="J687" t="s">
        <v>19</v>
      </c>
      <c r="K687">
        <v>100610</v>
      </c>
    </row>
    <row r="688" spans="1:11" x14ac:dyDescent="0.55000000000000004">
      <c r="A688" t="s">
        <v>2805</v>
      </c>
      <c r="B688" s="4">
        <v>45945</v>
      </c>
      <c r="C688" t="s">
        <v>20</v>
      </c>
      <c r="D688" t="s">
        <v>2806</v>
      </c>
      <c r="E688" t="s">
        <v>15</v>
      </c>
      <c r="F688" t="s">
        <v>2807</v>
      </c>
      <c r="G688" t="s">
        <v>2808</v>
      </c>
      <c r="H688" s="4">
        <v>46089.729955902774</v>
      </c>
      <c r="J688" t="s">
        <v>68</v>
      </c>
      <c r="K688">
        <v>100286</v>
      </c>
    </row>
    <row r="689" spans="1:11" x14ac:dyDescent="0.55000000000000004">
      <c r="A689" t="s">
        <v>2809</v>
      </c>
      <c r="B689" s="4">
        <v>46063</v>
      </c>
      <c r="C689" t="s">
        <v>115</v>
      </c>
      <c r="D689" t="s">
        <v>2810</v>
      </c>
      <c r="E689" t="s">
        <v>22</v>
      </c>
      <c r="F689" t="s">
        <v>2811</v>
      </c>
      <c r="G689" t="s">
        <v>2812</v>
      </c>
      <c r="H689" s="4">
        <v>46055.125094791663</v>
      </c>
      <c r="J689" t="s">
        <v>37</v>
      </c>
      <c r="K689">
        <v>100348</v>
      </c>
    </row>
    <row r="690" spans="1:11" x14ac:dyDescent="0.55000000000000004">
      <c r="A690" t="s">
        <v>2813</v>
      </c>
      <c r="B690" s="4">
        <v>45775</v>
      </c>
      <c r="C690" t="s">
        <v>317</v>
      </c>
      <c r="D690" t="s">
        <v>2814</v>
      </c>
      <c r="E690" t="s">
        <v>22</v>
      </c>
      <c r="F690" t="s">
        <v>2815</v>
      </c>
      <c r="G690" t="s">
        <v>2816</v>
      </c>
      <c r="H690" s="4">
        <v>46067.757039247685</v>
      </c>
      <c r="J690" t="s">
        <v>533</v>
      </c>
      <c r="K690">
        <v>100264</v>
      </c>
    </row>
    <row r="691" spans="1:11" x14ac:dyDescent="0.55000000000000004">
      <c r="A691" t="s">
        <v>2817</v>
      </c>
      <c r="B691" s="4">
        <v>45949</v>
      </c>
      <c r="C691" t="s">
        <v>43</v>
      </c>
      <c r="D691" t="s">
        <v>2818</v>
      </c>
      <c r="E691" t="s">
        <v>22</v>
      </c>
      <c r="F691" t="s">
        <v>2819</v>
      </c>
      <c r="G691" t="s">
        <v>2820</v>
      </c>
      <c r="H691" s="4">
        <v>46073.241067025461</v>
      </c>
      <c r="J691" t="s">
        <v>19</v>
      </c>
      <c r="K691">
        <v>100363</v>
      </c>
    </row>
    <row r="692" spans="1:11" x14ac:dyDescent="0.55000000000000004">
      <c r="A692" t="s">
        <v>2821</v>
      </c>
      <c r="B692" s="4">
        <v>45827</v>
      </c>
      <c r="C692" t="s">
        <v>170</v>
      </c>
      <c r="D692" t="s">
        <v>2822</v>
      </c>
      <c r="E692" t="s">
        <v>22</v>
      </c>
      <c r="F692" t="s">
        <v>2823</v>
      </c>
      <c r="G692" t="s">
        <v>2824</v>
      </c>
      <c r="H692" s="4">
        <v>46082.032733703702</v>
      </c>
      <c r="J692" t="s">
        <v>248</v>
      </c>
      <c r="K692">
        <v>101337</v>
      </c>
    </row>
    <row r="693" spans="1:11" x14ac:dyDescent="0.55000000000000004">
      <c r="A693" t="s">
        <v>2825</v>
      </c>
      <c r="B693" s="4">
        <v>45942</v>
      </c>
      <c r="C693" t="s">
        <v>343</v>
      </c>
      <c r="D693" t="s">
        <v>2826</v>
      </c>
      <c r="E693" t="s">
        <v>15</v>
      </c>
      <c r="F693" t="s">
        <v>2827</v>
      </c>
      <c r="G693" t="s">
        <v>2828</v>
      </c>
      <c r="H693" s="4">
        <v>46061.059122592589</v>
      </c>
      <c r="J693" t="s">
        <v>248</v>
      </c>
      <c r="K693">
        <v>101252</v>
      </c>
    </row>
    <row r="694" spans="1:11" x14ac:dyDescent="0.55000000000000004">
      <c r="A694" t="s">
        <v>2829</v>
      </c>
      <c r="B694" s="4">
        <v>45789</v>
      </c>
      <c r="C694" t="s">
        <v>121</v>
      </c>
      <c r="D694" t="s">
        <v>2830</v>
      </c>
      <c r="E694" t="s">
        <v>22</v>
      </c>
      <c r="F694" t="s">
        <v>2831</v>
      </c>
      <c r="G694" t="s">
        <v>2832</v>
      </c>
      <c r="H694" s="4">
        <v>46068.011205925926</v>
      </c>
      <c r="J694" t="s">
        <v>68</v>
      </c>
      <c r="K694">
        <v>100999</v>
      </c>
    </row>
    <row r="695" spans="1:11" x14ac:dyDescent="0.55000000000000004">
      <c r="A695" t="s">
        <v>2833</v>
      </c>
      <c r="B695" s="4">
        <v>45999</v>
      </c>
      <c r="C695" t="s">
        <v>121</v>
      </c>
      <c r="D695" t="s">
        <v>2834</v>
      </c>
      <c r="E695" t="s">
        <v>15</v>
      </c>
      <c r="F695" t="s">
        <v>2835</v>
      </c>
      <c r="G695" t="s">
        <v>2836</v>
      </c>
      <c r="H695" s="4">
        <v>46053.845233715278</v>
      </c>
      <c r="J695" t="s">
        <v>37</v>
      </c>
      <c r="K695">
        <v>101091</v>
      </c>
    </row>
    <row r="696" spans="1:11" x14ac:dyDescent="0.55000000000000004">
      <c r="A696" t="s">
        <v>2837</v>
      </c>
      <c r="B696" s="4">
        <v>46140</v>
      </c>
      <c r="C696" t="s">
        <v>343</v>
      </c>
      <c r="D696" t="s">
        <v>2838</v>
      </c>
      <c r="E696" t="s">
        <v>22</v>
      </c>
      <c r="F696" t="s">
        <v>2839</v>
      </c>
      <c r="G696" t="s">
        <v>2840</v>
      </c>
      <c r="H696" s="4">
        <v>46063.730650381942</v>
      </c>
      <c r="J696" t="s">
        <v>19</v>
      </c>
      <c r="K696">
        <v>100957</v>
      </c>
    </row>
    <row r="697" spans="1:11" x14ac:dyDescent="0.55000000000000004">
      <c r="A697" t="s">
        <v>2841</v>
      </c>
      <c r="B697" s="4">
        <v>45964</v>
      </c>
      <c r="C697" t="s">
        <v>495</v>
      </c>
      <c r="D697" t="s">
        <v>2842</v>
      </c>
      <c r="E697" t="s">
        <v>22</v>
      </c>
      <c r="F697" t="s">
        <v>2843</v>
      </c>
      <c r="G697" t="s">
        <v>2844</v>
      </c>
      <c r="H697" s="4">
        <v>46075.327178171297</v>
      </c>
      <c r="J697" t="s">
        <v>19</v>
      </c>
      <c r="K697">
        <v>101031</v>
      </c>
    </row>
    <row r="698" spans="1:11" x14ac:dyDescent="0.55000000000000004">
      <c r="A698" t="s">
        <v>2845</v>
      </c>
      <c r="B698" s="4">
        <v>45817</v>
      </c>
      <c r="C698" t="s">
        <v>317</v>
      </c>
      <c r="D698" t="s">
        <v>2846</v>
      </c>
      <c r="E698" t="s">
        <v>22</v>
      </c>
      <c r="F698" t="s">
        <v>2847</v>
      </c>
      <c r="G698" t="s">
        <v>2848</v>
      </c>
      <c r="H698" s="4">
        <v>46061.375789282407</v>
      </c>
      <c r="J698" t="s">
        <v>68</v>
      </c>
      <c r="K698">
        <v>101240</v>
      </c>
    </row>
    <row r="699" spans="1:11" x14ac:dyDescent="0.55000000000000004">
      <c r="A699" t="s">
        <v>2849</v>
      </c>
      <c r="B699" s="4">
        <v>46054</v>
      </c>
      <c r="C699" t="s">
        <v>409</v>
      </c>
      <c r="D699" t="s">
        <v>2850</v>
      </c>
      <c r="E699" t="s">
        <v>15</v>
      </c>
      <c r="F699" t="s">
        <v>2851</v>
      </c>
      <c r="G699" t="s">
        <v>2852</v>
      </c>
      <c r="H699" s="4">
        <v>46055.331344837963</v>
      </c>
      <c r="J699" t="s">
        <v>37</v>
      </c>
      <c r="K699">
        <v>100802</v>
      </c>
    </row>
    <row r="700" spans="1:11" x14ac:dyDescent="0.55000000000000004">
      <c r="A700" t="s">
        <v>2853</v>
      </c>
      <c r="B700" s="4">
        <v>45745</v>
      </c>
      <c r="C700" t="s">
        <v>334</v>
      </c>
      <c r="D700" t="s">
        <v>2854</v>
      </c>
      <c r="E700" t="s">
        <v>15</v>
      </c>
      <c r="F700" t="s">
        <v>2855</v>
      </c>
      <c r="G700" t="s">
        <v>2856</v>
      </c>
      <c r="H700" s="4">
        <v>46065.636900405094</v>
      </c>
      <c r="J700" t="s">
        <v>19</v>
      </c>
      <c r="K700">
        <v>101259</v>
      </c>
    </row>
    <row r="701" spans="1:11" x14ac:dyDescent="0.55000000000000004">
      <c r="A701" t="s">
        <v>2857</v>
      </c>
      <c r="B701" s="4">
        <v>45861</v>
      </c>
      <c r="C701" t="s">
        <v>38</v>
      </c>
      <c r="D701" t="s">
        <v>2858</v>
      </c>
      <c r="E701" t="s">
        <v>22</v>
      </c>
      <c r="F701" t="s">
        <v>2859</v>
      </c>
      <c r="G701" t="s">
        <v>2860</v>
      </c>
      <c r="H701" s="4">
        <v>46080.380650405095</v>
      </c>
      <c r="J701" t="s">
        <v>248</v>
      </c>
      <c r="K701">
        <v>100624</v>
      </c>
    </row>
    <row r="702" spans="1:11" x14ac:dyDescent="0.55000000000000004">
      <c r="A702" t="s">
        <v>2861</v>
      </c>
      <c r="B702" s="4">
        <v>46111</v>
      </c>
      <c r="C702" t="s">
        <v>38</v>
      </c>
      <c r="D702" t="s">
        <v>2862</v>
      </c>
      <c r="E702" t="s">
        <v>15</v>
      </c>
      <c r="F702" t="s">
        <v>2863</v>
      </c>
      <c r="G702" t="s">
        <v>2864</v>
      </c>
      <c r="H702" s="4">
        <v>46060.531344861112</v>
      </c>
      <c r="J702" t="s">
        <v>37</v>
      </c>
      <c r="K702">
        <v>101381</v>
      </c>
    </row>
    <row r="703" spans="1:11" x14ac:dyDescent="0.55000000000000004">
      <c r="A703" t="s">
        <v>2865</v>
      </c>
      <c r="B703" s="4">
        <v>45921</v>
      </c>
      <c r="C703" t="s">
        <v>20</v>
      </c>
      <c r="D703" t="s">
        <v>2866</v>
      </c>
      <c r="E703" t="s">
        <v>15</v>
      </c>
      <c r="F703" t="s">
        <v>2867</v>
      </c>
      <c r="G703" t="s">
        <v>2868</v>
      </c>
      <c r="H703" s="4">
        <v>46066.488983750001</v>
      </c>
      <c r="J703" t="s">
        <v>179</v>
      </c>
      <c r="K703">
        <v>101427</v>
      </c>
    </row>
    <row r="704" spans="1:11" x14ac:dyDescent="0.55000000000000004">
      <c r="A704" t="s">
        <v>2869</v>
      </c>
      <c r="B704" s="4">
        <v>45748</v>
      </c>
      <c r="C704" t="s">
        <v>265</v>
      </c>
      <c r="D704" t="s">
        <v>2870</v>
      </c>
      <c r="E704" t="s">
        <v>15</v>
      </c>
      <c r="F704" t="s">
        <v>2871</v>
      </c>
      <c r="G704" t="s">
        <v>2872</v>
      </c>
      <c r="H704" s="4">
        <v>46066.159122638892</v>
      </c>
      <c r="J704" t="s">
        <v>19</v>
      </c>
      <c r="K704">
        <v>100955</v>
      </c>
    </row>
    <row r="705" spans="1:11" x14ac:dyDescent="0.55000000000000004">
      <c r="A705" t="s">
        <v>2873</v>
      </c>
      <c r="B705" s="4">
        <v>45853</v>
      </c>
      <c r="C705" t="s">
        <v>43</v>
      </c>
      <c r="D705" t="s">
        <v>2874</v>
      </c>
      <c r="E705" t="s">
        <v>22</v>
      </c>
      <c r="F705" t="s">
        <v>2875</v>
      </c>
      <c r="G705" t="s">
        <v>2876</v>
      </c>
      <c r="H705" s="4">
        <v>46093.832733761577</v>
      </c>
      <c r="I705" t="s">
        <v>139</v>
      </c>
      <c r="J705" t="s">
        <v>179</v>
      </c>
      <c r="K705">
        <v>100778</v>
      </c>
    </row>
    <row r="706" spans="1:11" x14ac:dyDescent="0.55000000000000004">
      <c r="A706" t="s">
        <v>2877</v>
      </c>
      <c r="B706" s="4">
        <v>46118</v>
      </c>
      <c r="C706" t="s">
        <v>155</v>
      </c>
      <c r="D706" t="s">
        <v>2878</v>
      </c>
      <c r="E706" t="s">
        <v>15</v>
      </c>
      <c r="F706" t="s">
        <v>2879</v>
      </c>
      <c r="G706" t="s">
        <v>2880</v>
      </c>
      <c r="H706" s="4">
        <v>46068.17926153935</v>
      </c>
      <c r="J706" t="s">
        <v>248</v>
      </c>
      <c r="K706">
        <v>101383</v>
      </c>
    </row>
    <row r="707" spans="1:11" x14ac:dyDescent="0.55000000000000004">
      <c r="A707" t="s">
        <v>2881</v>
      </c>
      <c r="B707" s="4">
        <v>45886</v>
      </c>
      <c r="C707" t="s">
        <v>27</v>
      </c>
      <c r="D707" t="s">
        <v>2882</v>
      </c>
      <c r="E707" t="s">
        <v>15</v>
      </c>
      <c r="F707" t="s">
        <v>2883</v>
      </c>
      <c r="G707" t="s">
        <v>2884</v>
      </c>
      <c r="H707" s="4">
        <v>46072.774400439812</v>
      </c>
      <c r="J707" t="s">
        <v>19</v>
      </c>
      <c r="K707">
        <v>101450</v>
      </c>
    </row>
    <row r="708" spans="1:11" x14ac:dyDescent="0.55000000000000004">
      <c r="A708" t="s">
        <v>2885</v>
      </c>
      <c r="B708" s="4">
        <v>45974</v>
      </c>
      <c r="C708" t="s">
        <v>409</v>
      </c>
      <c r="D708" t="s">
        <v>2886</v>
      </c>
      <c r="E708" t="s">
        <v>22</v>
      </c>
      <c r="F708" t="s">
        <v>2887</v>
      </c>
      <c r="G708" t="s">
        <v>2888</v>
      </c>
      <c r="H708" s="4">
        <v>46097.335511550926</v>
      </c>
      <c r="J708" t="s">
        <v>179</v>
      </c>
      <c r="K708">
        <v>100251</v>
      </c>
    </row>
    <row r="709" spans="1:11" x14ac:dyDescent="0.55000000000000004">
      <c r="A709" t="s">
        <v>2889</v>
      </c>
      <c r="B709" s="4">
        <v>45927</v>
      </c>
      <c r="C709" t="s">
        <v>343</v>
      </c>
      <c r="D709" t="s">
        <v>2890</v>
      </c>
      <c r="E709" t="s">
        <v>15</v>
      </c>
      <c r="F709" t="s">
        <v>2891</v>
      </c>
      <c r="G709" t="s">
        <v>2892</v>
      </c>
      <c r="H709" s="4">
        <v>46062.839678217591</v>
      </c>
      <c r="J709" t="s">
        <v>179</v>
      </c>
      <c r="K709">
        <v>101115</v>
      </c>
    </row>
    <row r="710" spans="1:11" x14ac:dyDescent="0.55000000000000004">
      <c r="A710" t="s">
        <v>2893</v>
      </c>
      <c r="B710" s="4">
        <v>45953</v>
      </c>
      <c r="C710" t="s">
        <v>126</v>
      </c>
      <c r="D710" t="s">
        <v>2894</v>
      </c>
      <c r="E710" t="s">
        <v>22</v>
      </c>
      <c r="F710" t="s">
        <v>2895</v>
      </c>
      <c r="G710" t="s">
        <v>2896</v>
      </c>
      <c r="H710" s="4">
        <v>46080.60634489583</v>
      </c>
      <c r="J710" t="s">
        <v>68</v>
      </c>
      <c r="K710">
        <v>100274</v>
      </c>
    </row>
    <row r="711" spans="1:11" x14ac:dyDescent="0.55000000000000004">
      <c r="A711" t="s">
        <v>2897</v>
      </c>
      <c r="B711" s="4">
        <v>46067</v>
      </c>
      <c r="C711" t="s">
        <v>680</v>
      </c>
      <c r="D711" t="s">
        <v>2898</v>
      </c>
      <c r="E711" t="s">
        <v>15</v>
      </c>
      <c r="F711" t="s">
        <v>2899</v>
      </c>
      <c r="G711" t="s">
        <v>2900</v>
      </c>
      <c r="H711" s="4">
        <v>46064.266067129633</v>
      </c>
      <c r="J711" t="s">
        <v>248</v>
      </c>
      <c r="K711">
        <v>100749</v>
      </c>
    </row>
    <row r="712" spans="1:11" x14ac:dyDescent="0.55000000000000004">
      <c r="A712" t="s">
        <v>2901</v>
      </c>
      <c r="B712" s="4">
        <v>45892</v>
      </c>
      <c r="C712" t="s">
        <v>184</v>
      </c>
      <c r="D712" t="s">
        <v>2902</v>
      </c>
      <c r="E712" t="s">
        <v>15</v>
      </c>
      <c r="F712" t="s">
        <v>2903</v>
      </c>
      <c r="G712" t="s">
        <v>2904</v>
      </c>
      <c r="H712" s="4">
        <v>46071.607039351853</v>
      </c>
      <c r="J712" t="s">
        <v>533</v>
      </c>
      <c r="K712">
        <v>100984</v>
      </c>
    </row>
    <row r="713" spans="1:11" x14ac:dyDescent="0.55000000000000004">
      <c r="A713" t="s">
        <v>2905</v>
      </c>
      <c r="B713" s="4">
        <v>45785</v>
      </c>
      <c r="C713" t="s">
        <v>208</v>
      </c>
      <c r="D713" t="s">
        <v>2906</v>
      </c>
      <c r="E713" t="s">
        <v>22</v>
      </c>
      <c r="F713" t="s">
        <v>2907</v>
      </c>
      <c r="G713" t="s">
        <v>2908</v>
      </c>
      <c r="H713" s="4">
        <v>46081.471622696758</v>
      </c>
      <c r="J713" t="s">
        <v>19</v>
      </c>
      <c r="K713">
        <v>100851</v>
      </c>
    </row>
    <row r="714" spans="1:11" x14ac:dyDescent="0.55000000000000004">
      <c r="A714" t="s">
        <v>2909</v>
      </c>
      <c r="B714" s="4">
        <v>45744</v>
      </c>
      <c r="C714" t="s">
        <v>108</v>
      </c>
      <c r="D714" t="s">
        <v>2910</v>
      </c>
      <c r="E714" t="s">
        <v>15</v>
      </c>
      <c r="F714" t="s">
        <v>2911</v>
      </c>
      <c r="G714" t="s">
        <v>2912</v>
      </c>
      <c r="H714" s="4">
        <v>46052.575789363429</v>
      </c>
      <c r="J714" t="s">
        <v>37</v>
      </c>
      <c r="K714">
        <v>100495</v>
      </c>
    </row>
    <row r="715" spans="1:11" x14ac:dyDescent="0.55000000000000004">
      <c r="A715" t="s">
        <v>2913</v>
      </c>
      <c r="B715" s="4">
        <v>46041</v>
      </c>
      <c r="C715" t="s">
        <v>69</v>
      </c>
      <c r="D715" t="s">
        <v>2914</v>
      </c>
      <c r="E715" t="s">
        <v>15</v>
      </c>
      <c r="F715" t="s">
        <v>2915</v>
      </c>
      <c r="G715" t="s">
        <v>2916</v>
      </c>
      <c r="H715" s="4">
        <v>46089.757039374999</v>
      </c>
      <c r="J715" t="s">
        <v>37</v>
      </c>
      <c r="K715">
        <v>100848</v>
      </c>
    </row>
    <row r="716" spans="1:11" x14ac:dyDescent="0.55000000000000004">
      <c r="A716" t="s">
        <v>2917</v>
      </c>
      <c r="B716" s="4">
        <v>45861</v>
      </c>
      <c r="C716" t="s">
        <v>334</v>
      </c>
      <c r="D716" t="s">
        <v>2918</v>
      </c>
      <c r="E716" t="s">
        <v>22</v>
      </c>
      <c r="F716" t="s">
        <v>2919</v>
      </c>
      <c r="G716" t="s">
        <v>2920</v>
      </c>
      <c r="H716" s="4">
        <v>46080.138983819445</v>
      </c>
      <c r="J716" t="s">
        <v>533</v>
      </c>
      <c r="K716">
        <v>101389</v>
      </c>
    </row>
    <row r="717" spans="1:11" x14ac:dyDescent="0.55000000000000004">
      <c r="A717" t="s">
        <v>499</v>
      </c>
      <c r="B717" s="4">
        <v>45863</v>
      </c>
      <c r="C717" t="s">
        <v>155</v>
      </c>
      <c r="D717" t="s">
        <v>2921</v>
      </c>
      <c r="E717" t="s">
        <v>22</v>
      </c>
      <c r="F717" t="s">
        <v>2922</v>
      </c>
      <c r="G717" t="s">
        <v>2923</v>
      </c>
      <c r="H717" s="4">
        <v>46094.20217827546</v>
      </c>
      <c r="J717" t="s">
        <v>68</v>
      </c>
      <c r="K717">
        <v>100276</v>
      </c>
    </row>
    <row r="718" spans="1:11" x14ac:dyDescent="0.55000000000000004">
      <c r="A718" t="s">
        <v>2924</v>
      </c>
      <c r="B718" s="4">
        <v>45902</v>
      </c>
      <c r="C718" t="s">
        <v>20</v>
      </c>
      <c r="D718" t="s">
        <v>2925</v>
      </c>
      <c r="E718" t="s">
        <v>22</v>
      </c>
      <c r="F718" t="s">
        <v>2926</v>
      </c>
      <c r="G718" t="s">
        <v>2927</v>
      </c>
      <c r="H718" s="4">
        <v>46086.119539386571</v>
      </c>
      <c r="J718" t="s">
        <v>179</v>
      </c>
      <c r="K718">
        <v>100666</v>
      </c>
    </row>
    <row r="719" spans="1:11" x14ac:dyDescent="0.55000000000000004">
      <c r="A719" t="s">
        <v>2928</v>
      </c>
      <c r="B719" s="4">
        <v>45983</v>
      </c>
      <c r="C719" t="s">
        <v>38</v>
      </c>
      <c r="D719" t="s">
        <v>2929</v>
      </c>
      <c r="E719" t="s">
        <v>22</v>
      </c>
      <c r="F719" t="s">
        <v>2930</v>
      </c>
      <c r="G719" t="s">
        <v>2931</v>
      </c>
      <c r="H719" s="4">
        <v>46085.828567164353</v>
      </c>
      <c r="J719" t="s">
        <v>37</v>
      </c>
      <c r="K719">
        <v>101057</v>
      </c>
    </row>
    <row r="720" spans="1:11" x14ac:dyDescent="0.55000000000000004">
      <c r="A720" t="s">
        <v>2932</v>
      </c>
      <c r="B720" s="4">
        <v>45787</v>
      </c>
      <c r="C720" t="s">
        <v>38</v>
      </c>
      <c r="D720" t="s">
        <v>2933</v>
      </c>
      <c r="E720" t="s">
        <v>22</v>
      </c>
      <c r="F720" t="s">
        <v>2934</v>
      </c>
      <c r="G720" t="s">
        <v>2935</v>
      </c>
      <c r="H720" s="4">
        <v>46083.873011620373</v>
      </c>
      <c r="J720" t="s">
        <v>19</v>
      </c>
      <c r="K720">
        <v>100941</v>
      </c>
    </row>
    <row r="721" spans="1:11" x14ac:dyDescent="0.55000000000000004">
      <c r="A721" t="s">
        <v>2936</v>
      </c>
      <c r="B721" s="4">
        <v>45958</v>
      </c>
      <c r="C721" t="s">
        <v>343</v>
      </c>
      <c r="D721" t="s">
        <v>2937</v>
      </c>
      <c r="E721" t="s">
        <v>15</v>
      </c>
      <c r="F721" t="s">
        <v>452</v>
      </c>
      <c r="G721" t="s">
        <v>2938</v>
      </c>
      <c r="H721" s="4">
        <v>46092.93342828704</v>
      </c>
      <c r="J721" t="s">
        <v>533</v>
      </c>
      <c r="K721">
        <v>101284</v>
      </c>
    </row>
    <row r="722" spans="1:11" x14ac:dyDescent="0.55000000000000004">
      <c r="A722" t="s">
        <v>2939</v>
      </c>
      <c r="B722" s="4">
        <v>46129</v>
      </c>
      <c r="C722" t="s">
        <v>334</v>
      </c>
      <c r="D722" t="s">
        <v>2940</v>
      </c>
      <c r="E722" t="s">
        <v>15</v>
      </c>
      <c r="F722" t="s">
        <v>2941</v>
      </c>
      <c r="G722" t="s">
        <v>2942</v>
      </c>
      <c r="H722" s="4">
        <v>46055.835511631944</v>
      </c>
      <c r="J722" t="s">
        <v>248</v>
      </c>
      <c r="K722">
        <v>100803</v>
      </c>
    </row>
    <row r="723" spans="1:11" x14ac:dyDescent="0.55000000000000004">
      <c r="A723" t="s">
        <v>2943</v>
      </c>
      <c r="B723" s="4">
        <v>45751</v>
      </c>
      <c r="C723" t="s">
        <v>208</v>
      </c>
      <c r="D723" t="s">
        <v>2944</v>
      </c>
      <c r="E723" t="s">
        <v>22</v>
      </c>
      <c r="F723" t="s">
        <v>2945</v>
      </c>
      <c r="G723" t="s">
        <v>2946</v>
      </c>
      <c r="H723" s="4">
        <v>46071.929261631944</v>
      </c>
      <c r="J723" t="s">
        <v>37</v>
      </c>
      <c r="K723">
        <v>100470</v>
      </c>
    </row>
    <row r="724" spans="1:11" x14ac:dyDescent="0.55000000000000004">
      <c r="A724" t="s">
        <v>2947</v>
      </c>
      <c r="B724" s="4">
        <v>45995</v>
      </c>
      <c r="C724" t="s">
        <v>213</v>
      </c>
      <c r="D724" t="s">
        <v>2948</v>
      </c>
      <c r="E724" t="s">
        <v>22</v>
      </c>
      <c r="F724" t="s">
        <v>2949</v>
      </c>
      <c r="G724" t="s">
        <v>2950</v>
      </c>
      <c r="H724" s="4">
        <v>46092.977872754629</v>
      </c>
      <c r="J724" t="s">
        <v>37</v>
      </c>
      <c r="K724">
        <v>100650</v>
      </c>
    </row>
    <row r="725" spans="1:11" x14ac:dyDescent="0.55000000000000004">
      <c r="A725" t="s">
        <v>2951</v>
      </c>
      <c r="B725" s="4">
        <v>45733</v>
      </c>
      <c r="C725" t="s">
        <v>757</v>
      </c>
      <c r="D725" t="s">
        <v>2952</v>
      </c>
      <c r="E725" t="s">
        <v>15</v>
      </c>
      <c r="F725" t="s">
        <v>2953</v>
      </c>
      <c r="G725" t="s">
        <v>2954</v>
      </c>
      <c r="H725" s="4">
        <v>46060.984817199074</v>
      </c>
      <c r="J725" t="s">
        <v>248</v>
      </c>
      <c r="K725">
        <v>100370</v>
      </c>
    </row>
    <row r="726" spans="1:11" x14ac:dyDescent="0.55000000000000004">
      <c r="A726" t="s">
        <v>2955</v>
      </c>
      <c r="B726" s="4">
        <v>45902</v>
      </c>
      <c r="C726" t="s">
        <v>83</v>
      </c>
      <c r="D726" t="s">
        <v>2956</v>
      </c>
      <c r="E726" t="s">
        <v>15</v>
      </c>
      <c r="F726" t="s">
        <v>2957</v>
      </c>
      <c r="G726" t="s">
        <v>2958</v>
      </c>
      <c r="H726" s="4">
        <v>46073.986206099537</v>
      </c>
      <c r="J726" t="s">
        <v>68</v>
      </c>
      <c r="K726">
        <v>100443</v>
      </c>
    </row>
    <row r="727" spans="1:11" x14ac:dyDescent="0.55000000000000004">
      <c r="A727" t="s">
        <v>2959</v>
      </c>
      <c r="B727" s="4">
        <v>45773</v>
      </c>
      <c r="C727" t="s">
        <v>356</v>
      </c>
      <c r="D727" t="s">
        <v>2960</v>
      </c>
      <c r="E727" t="s">
        <v>15</v>
      </c>
      <c r="F727" t="s">
        <v>2961</v>
      </c>
      <c r="G727" t="s">
        <v>2962</v>
      </c>
      <c r="H727" s="4">
        <v>46062.690372766207</v>
      </c>
      <c r="J727" t="s">
        <v>68</v>
      </c>
      <c r="K727">
        <v>100108</v>
      </c>
    </row>
    <row r="728" spans="1:11" x14ac:dyDescent="0.55000000000000004">
      <c r="A728" t="s">
        <v>2963</v>
      </c>
      <c r="B728" s="4">
        <v>46070</v>
      </c>
      <c r="C728" t="s">
        <v>20</v>
      </c>
      <c r="D728" t="s">
        <v>2964</v>
      </c>
      <c r="E728" t="s">
        <v>22</v>
      </c>
      <c r="F728" t="s">
        <v>2965</v>
      </c>
      <c r="G728" t="s">
        <v>2966</v>
      </c>
      <c r="H728" s="4">
        <v>46090.849400555555</v>
      </c>
      <c r="J728" t="s">
        <v>179</v>
      </c>
      <c r="K728">
        <v>101411</v>
      </c>
    </row>
    <row r="729" spans="1:11" x14ac:dyDescent="0.55000000000000004">
      <c r="A729" t="s">
        <v>2967</v>
      </c>
      <c r="B729" s="4">
        <v>45981</v>
      </c>
      <c r="C729" t="s">
        <v>317</v>
      </c>
      <c r="D729" t="s">
        <v>2968</v>
      </c>
      <c r="E729" t="s">
        <v>22</v>
      </c>
      <c r="F729" t="s">
        <v>2969</v>
      </c>
      <c r="G729" t="s">
        <v>2970</v>
      </c>
      <c r="H729" s="4">
        <v>46085.547317222219</v>
      </c>
      <c r="J729" t="s">
        <v>68</v>
      </c>
      <c r="K729">
        <v>101238</v>
      </c>
    </row>
    <row r="730" spans="1:11" x14ac:dyDescent="0.55000000000000004">
      <c r="A730" t="s">
        <v>2971</v>
      </c>
      <c r="B730" s="4">
        <v>45830</v>
      </c>
      <c r="C730" t="s">
        <v>317</v>
      </c>
      <c r="D730" t="s">
        <v>2972</v>
      </c>
      <c r="E730" t="s">
        <v>15</v>
      </c>
      <c r="F730" t="s">
        <v>2973</v>
      </c>
      <c r="G730" t="s">
        <v>2974</v>
      </c>
      <c r="H730" s="4">
        <v>46066.193150567131</v>
      </c>
      <c r="J730" t="s">
        <v>37</v>
      </c>
      <c r="K730">
        <v>100012</v>
      </c>
    </row>
    <row r="731" spans="1:11" x14ac:dyDescent="0.55000000000000004">
      <c r="A731" t="s">
        <v>2975</v>
      </c>
      <c r="B731" s="4">
        <v>46137</v>
      </c>
      <c r="C731" t="s">
        <v>300</v>
      </c>
      <c r="D731" t="s">
        <v>2976</v>
      </c>
      <c r="E731" t="s">
        <v>22</v>
      </c>
      <c r="F731" t="s">
        <v>2977</v>
      </c>
      <c r="G731" t="s">
        <v>2978</v>
      </c>
      <c r="H731" s="4">
        <v>46096.693845011578</v>
      </c>
      <c r="J731" t="s">
        <v>37</v>
      </c>
      <c r="K731">
        <v>100349</v>
      </c>
    </row>
    <row r="732" spans="1:11" x14ac:dyDescent="0.55000000000000004">
      <c r="A732" t="s">
        <v>2979</v>
      </c>
      <c r="B732" s="4">
        <v>45760</v>
      </c>
      <c r="C732" t="s">
        <v>141</v>
      </c>
      <c r="D732" t="s">
        <v>2980</v>
      </c>
      <c r="E732" t="s">
        <v>22</v>
      </c>
      <c r="F732" t="s">
        <v>2981</v>
      </c>
      <c r="G732" t="s">
        <v>2982</v>
      </c>
      <c r="H732" s="4">
        <v>46090.445233900464</v>
      </c>
      <c r="J732" t="s">
        <v>68</v>
      </c>
      <c r="K732">
        <v>101323</v>
      </c>
    </row>
    <row r="733" spans="1:11" x14ac:dyDescent="0.55000000000000004">
      <c r="A733" t="s">
        <v>2983</v>
      </c>
      <c r="B733" s="4">
        <v>45966</v>
      </c>
      <c r="C733" t="s">
        <v>587</v>
      </c>
      <c r="D733" t="s">
        <v>2984</v>
      </c>
      <c r="E733" t="s">
        <v>15</v>
      </c>
      <c r="F733" t="s">
        <v>2985</v>
      </c>
      <c r="G733" t="s">
        <v>2986</v>
      </c>
      <c r="H733" s="4">
        <v>46095.545233912038</v>
      </c>
      <c r="J733" t="s">
        <v>19</v>
      </c>
      <c r="K733">
        <v>100518</v>
      </c>
    </row>
    <row r="734" spans="1:11" x14ac:dyDescent="0.55000000000000004">
      <c r="A734" t="s">
        <v>2987</v>
      </c>
      <c r="B734" s="4">
        <v>46066</v>
      </c>
      <c r="C734" t="s">
        <v>69</v>
      </c>
      <c r="D734" t="s">
        <v>2988</v>
      </c>
      <c r="E734" t="s">
        <v>15</v>
      </c>
      <c r="F734" t="s">
        <v>2989</v>
      </c>
      <c r="G734" t="s">
        <v>2990</v>
      </c>
      <c r="H734" s="4">
        <v>46081.748706134262</v>
      </c>
      <c r="J734" t="s">
        <v>19</v>
      </c>
      <c r="K734">
        <v>100862</v>
      </c>
    </row>
    <row r="735" spans="1:11" x14ac:dyDescent="0.55000000000000004">
      <c r="A735" t="s">
        <v>2991</v>
      </c>
      <c r="B735" s="4">
        <v>45739</v>
      </c>
      <c r="C735" t="s">
        <v>317</v>
      </c>
      <c r="D735" t="s">
        <v>2992</v>
      </c>
      <c r="E735" t="s">
        <v>15</v>
      </c>
      <c r="F735" t="s">
        <v>2993</v>
      </c>
      <c r="G735" t="s">
        <v>2994</v>
      </c>
      <c r="H735" s="4">
        <v>46078.607733923614</v>
      </c>
      <c r="J735" t="s">
        <v>533</v>
      </c>
      <c r="K735">
        <v>100379</v>
      </c>
    </row>
    <row r="736" spans="1:11" x14ac:dyDescent="0.55000000000000004">
      <c r="A736" t="s">
        <v>2995</v>
      </c>
      <c r="B736" s="4">
        <v>46044</v>
      </c>
      <c r="C736" t="s">
        <v>38</v>
      </c>
      <c r="D736" t="s">
        <v>2996</v>
      </c>
      <c r="E736" t="s">
        <v>15</v>
      </c>
      <c r="F736" t="s">
        <v>2997</v>
      </c>
      <c r="G736" t="s">
        <v>2998</v>
      </c>
      <c r="H736" s="4">
        <v>46091.584122812499</v>
      </c>
      <c r="J736" t="s">
        <v>179</v>
      </c>
      <c r="K736">
        <v>100677</v>
      </c>
    </row>
    <row r="737" spans="1:11" x14ac:dyDescent="0.55000000000000004">
      <c r="A737" t="s">
        <v>2999</v>
      </c>
      <c r="B737" s="4">
        <v>46036</v>
      </c>
      <c r="C737" t="s">
        <v>108</v>
      </c>
      <c r="D737" t="s">
        <v>3000</v>
      </c>
      <c r="E737" t="s">
        <v>22</v>
      </c>
      <c r="F737" t="s">
        <v>3001</v>
      </c>
      <c r="G737" t="s">
        <v>3002</v>
      </c>
      <c r="H737" s="4">
        <v>46075.781345034724</v>
      </c>
      <c r="J737" t="s">
        <v>19</v>
      </c>
      <c r="K737">
        <v>101208</v>
      </c>
    </row>
    <row r="738" spans="1:11" x14ac:dyDescent="0.55000000000000004">
      <c r="A738" t="s">
        <v>3003</v>
      </c>
      <c r="B738" s="4">
        <v>45898</v>
      </c>
      <c r="C738" t="s">
        <v>317</v>
      </c>
      <c r="D738" t="s">
        <v>3004</v>
      </c>
      <c r="E738" t="s">
        <v>15</v>
      </c>
      <c r="F738" t="s">
        <v>3005</v>
      </c>
      <c r="G738" t="s">
        <v>3006</v>
      </c>
      <c r="H738" s="4">
        <v>46077.443150601852</v>
      </c>
      <c r="J738" t="s">
        <v>179</v>
      </c>
      <c r="K738">
        <v>100545</v>
      </c>
    </row>
    <row r="739" spans="1:11" x14ac:dyDescent="0.55000000000000004">
      <c r="A739" t="s">
        <v>3007</v>
      </c>
      <c r="B739" s="4">
        <v>46035</v>
      </c>
      <c r="C739" t="s">
        <v>20</v>
      </c>
      <c r="D739" t="s">
        <v>3008</v>
      </c>
      <c r="E739" t="s">
        <v>15</v>
      </c>
      <c r="F739" t="s">
        <v>3009</v>
      </c>
      <c r="G739" t="s">
        <v>3010</v>
      </c>
      <c r="H739" s="4">
        <v>46090.357039490744</v>
      </c>
      <c r="J739" t="s">
        <v>37</v>
      </c>
      <c r="K739">
        <v>100355</v>
      </c>
    </row>
    <row r="740" spans="1:11" x14ac:dyDescent="0.55000000000000004">
      <c r="A740" t="s">
        <v>3011</v>
      </c>
      <c r="B740" s="4">
        <v>46119</v>
      </c>
      <c r="C740" t="s">
        <v>356</v>
      </c>
      <c r="D740" t="s">
        <v>3012</v>
      </c>
      <c r="E740" t="s">
        <v>15</v>
      </c>
      <c r="F740" t="s">
        <v>3013</v>
      </c>
      <c r="G740" t="s">
        <v>3014</v>
      </c>
      <c r="H740" s="4">
        <v>46069.40009505787</v>
      </c>
      <c r="J740" t="s">
        <v>533</v>
      </c>
      <c r="K740">
        <v>100042</v>
      </c>
    </row>
    <row r="741" spans="1:11" x14ac:dyDescent="0.55000000000000004">
      <c r="A741" t="s">
        <v>3015</v>
      </c>
      <c r="B741" s="4">
        <v>45752</v>
      </c>
      <c r="C741" t="s">
        <v>155</v>
      </c>
      <c r="D741" t="s">
        <v>3016</v>
      </c>
      <c r="E741" t="s">
        <v>22</v>
      </c>
      <c r="F741" t="s">
        <v>3017</v>
      </c>
      <c r="G741" t="s">
        <v>3018</v>
      </c>
      <c r="H741" s="4">
        <v>46087.723706168981</v>
      </c>
      <c r="J741" t="s">
        <v>19</v>
      </c>
      <c r="K741">
        <v>100579</v>
      </c>
    </row>
    <row r="742" spans="1:11" x14ac:dyDescent="0.55000000000000004">
      <c r="A742" t="s">
        <v>3019</v>
      </c>
      <c r="B742" s="4">
        <v>45773</v>
      </c>
      <c r="C742" t="s">
        <v>155</v>
      </c>
      <c r="D742" t="s">
        <v>3020</v>
      </c>
      <c r="E742" t="s">
        <v>15</v>
      </c>
      <c r="F742" t="s">
        <v>3021</v>
      </c>
      <c r="G742" t="s">
        <v>3022</v>
      </c>
      <c r="H742" s="4">
        <v>46091.81953951389</v>
      </c>
      <c r="J742" t="s">
        <v>19</v>
      </c>
      <c r="K742">
        <v>100123</v>
      </c>
    </row>
    <row r="743" spans="1:11" x14ac:dyDescent="0.55000000000000004">
      <c r="A743" t="s">
        <v>3023</v>
      </c>
      <c r="B743" s="4">
        <v>45877</v>
      </c>
      <c r="C743" t="s">
        <v>757</v>
      </c>
      <c r="D743" t="s">
        <v>3024</v>
      </c>
      <c r="E743" t="s">
        <v>15</v>
      </c>
      <c r="F743" t="s">
        <v>3025</v>
      </c>
      <c r="G743" t="s">
        <v>3026</v>
      </c>
      <c r="H743" s="4">
        <v>46084.542456180556</v>
      </c>
      <c r="J743" t="s">
        <v>19</v>
      </c>
      <c r="K743">
        <v>101167</v>
      </c>
    </row>
    <row r="744" spans="1:11" x14ac:dyDescent="0.55000000000000004">
      <c r="A744" t="s">
        <v>3027</v>
      </c>
      <c r="B744" s="4">
        <v>45999</v>
      </c>
      <c r="C744" t="s">
        <v>418</v>
      </c>
      <c r="D744" t="s">
        <v>3028</v>
      </c>
      <c r="E744" t="s">
        <v>15</v>
      </c>
      <c r="F744" t="s">
        <v>3029</v>
      </c>
      <c r="G744" t="s">
        <v>3030</v>
      </c>
      <c r="H744" s="4">
        <v>46057.762595069442</v>
      </c>
      <c r="J744" t="s">
        <v>248</v>
      </c>
      <c r="K744">
        <v>100700</v>
      </c>
    </row>
    <row r="745" spans="1:11" x14ac:dyDescent="0.55000000000000004">
      <c r="A745" t="s">
        <v>3031</v>
      </c>
      <c r="B745" s="4">
        <v>46037</v>
      </c>
      <c r="C745" t="s">
        <v>317</v>
      </c>
      <c r="D745" t="s">
        <v>3032</v>
      </c>
      <c r="E745" t="s">
        <v>22</v>
      </c>
      <c r="F745" t="s">
        <v>3033</v>
      </c>
      <c r="G745" t="s">
        <v>3034</v>
      </c>
      <c r="H745" s="4">
        <v>46058.620928414355</v>
      </c>
      <c r="J745" t="s">
        <v>37</v>
      </c>
      <c r="K745">
        <v>101020</v>
      </c>
    </row>
    <row r="746" spans="1:11" x14ac:dyDescent="0.55000000000000004">
      <c r="A746" t="s">
        <v>3035</v>
      </c>
      <c r="B746" s="4">
        <v>45910</v>
      </c>
      <c r="C746" t="s">
        <v>170</v>
      </c>
      <c r="D746" t="s">
        <v>3036</v>
      </c>
      <c r="E746" t="s">
        <v>15</v>
      </c>
      <c r="F746" t="s">
        <v>3037</v>
      </c>
      <c r="G746" t="s">
        <v>3038</v>
      </c>
      <c r="H746" s="4">
        <v>46085.579261747684</v>
      </c>
      <c r="J746" t="s">
        <v>68</v>
      </c>
      <c r="K746">
        <v>100959</v>
      </c>
    </row>
    <row r="747" spans="1:11" x14ac:dyDescent="0.55000000000000004">
      <c r="A747" t="s">
        <v>3039</v>
      </c>
      <c r="B747" s="4">
        <v>45780</v>
      </c>
      <c r="C747" t="s">
        <v>160</v>
      </c>
      <c r="D747" t="s">
        <v>3040</v>
      </c>
      <c r="E747" t="s">
        <v>22</v>
      </c>
      <c r="F747" t="s">
        <v>3041</v>
      </c>
      <c r="G747" t="s">
        <v>3042</v>
      </c>
      <c r="H747" s="4">
        <v>46056.808428425924</v>
      </c>
      <c r="J747" t="s">
        <v>19</v>
      </c>
      <c r="K747">
        <v>101124</v>
      </c>
    </row>
    <row r="748" spans="1:11" x14ac:dyDescent="0.55000000000000004">
      <c r="A748" t="s">
        <v>3043</v>
      </c>
      <c r="B748" s="4">
        <v>45873</v>
      </c>
      <c r="C748" t="s">
        <v>115</v>
      </c>
      <c r="D748" t="s">
        <v>3044</v>
      </c>
      <c r="E748" t="s">
        <v>15</v>
      </c>
      <c r="F748" t="s">
        <v>3045</v>
      </c>
      <c r="G748" t="s">
        <v>3046</v>
      </c>
      <c r="H748" s="4">
        <v>46087.771622870372</v>
      </c>
      <c r="J748" t="s">
        <v>248</v>
      </c>
      <c r="K748">
        <v>100248</v>
      </c>
    </row>
    <row r="749" spans="1:11" x14ac:dyDescent="0.55000000000000004">
      <c r="A749" t="s">
        <v>3047</v>
      </c>
      <c r="B749" s="4">
        <v>45986</v>
      </c>
      <c r="C749" t="s">
        <v>115</v>
      </c>
      <c r="D749" t="s">
        <v>3048</v>
      </c>
      <c r="E749" t="s">
        <v>15</v>
      </c>
      <c r="F749" t="s">
        <v>3049</v>
      </c>
      <c r="G749" t="s">
        <v>3050</v>
      </c>
      <c r="H749" s="4">
        <v>46093.82926175926</v>
      </c>
      <c r="J749" t="s">
        <v>19</v>
      </c>
      <c r="K749">
        <v>101231</v>
      </c>
    </row>
    <row r="750" spans="1:11" x14ac:dyDescent="0.55000000000000004">
      <c r="A750" t="s">
        <v>3051</v>
      </c>
      <c r="B750" s="4">
        <v>45877</v>
      </c>
      <c r="C750" t="s">
        <v>69</v>
      </c>
      <c r="D750" t="s">
        <v>3052</v>
      </c>
      <c r="E750" t="s">
        <v>22</v>
      </c>
      <c r="F750" t="s">
        <v>3053</v>
      </c>
      <c r="G750" t="s">
        <v>3054</v>
      </c>
      <c r="H750" s="4">
        <v>46075.868845104167</v>
      </c>
      <c r="J750" t="s">
        <v>68</v>
      </c>
      <c r="K750">
        <v>101051</v>
      </c>
    </row>
    <row r="751" spans="1:11" x14ac:dyDescent="0.55000000000000004">
      <c r="A751" t="s">
        <v>3055</v>
      </c>
      <c r="B751" s="4">
        <v>45754</v>
      </c>
      <c r="C751" t="s">
        <v>317</v>
      </c>
      <c r="D751" t="s">
        <v>3056</v>
      </c>
      <c r="E751" t="s">
        <v>15</v>
      </c>
      <c r="F751" t="s">
        <v>3057</v>
      </c>
      <c r="G751" t="s">
        <v>3058</v>
      </c>
      <c r="H751" s="4">
        <v>46063.4959284375</v>
      </c>
      <c r="J751" t="s">
        <v>179</v>
      </c>
      <c r="K751">
        <v>101219</v>
      </c>
    </row>
    <row r="752" spans="1:11" x14ac:dyDescent="0.55000000000000004">
      <c r="A752" t="s">
        <v>3059</v>
      </c>
      <c r="B752" s="4">
        <v>46134</v>
      </c>
      <c r="C752" t="s">
        <v>69</v>
      </c>
      <c r="D752" t="s">
        <v>3060</v>
      </c>
      <c r="E752" t="s">
        <v>15</v>
      </c>
      <c r="F752" t="s">
        <v>3061</v>
      </c>
      <c r="G752" t="s">
        <v>3062</v>
      </c>
      <c r="H752" s="4">
        <v>46093.411900671294</v>
      </c>
      <c r="J752" t="s">
        <v>533</v>
      </c>
      <c r="K752">
        <v>100077</v>
      </c>
    </row>
    <row r="753" spans="1:11" x14ac:dyDescent="0.55000000000000004">
      <c r="A753" t="s">
        <v>3063</v>
      </c>
      <c r="B753" s="4">
        <v>46035</v>
      </c>
      <c r="C753" t="s">
        <v>208</v>
      </c>
      <c r="D753" t="s">
        <v>3064</v>
      </c>
      <c r="E753" t="s">
        <v>22</v>
      </c>
      <c r="F753" t="s">
        <v>3065</v>
      </c>
      <c r="G753" t="s">
        <v>3066</v>
      </c>
      <c r="H753" s="4">
        <v>46083.589678449076</v>
      </c>
      <c r="J753" t="s">
        <v>179</v>
      </c>
      <c r="K753">
        <v>101376</v>
      </c>
    </row>
    <row r="754" spans="1:11" x14ac:dyDescent="0.55000000000000004">
      <c r="A754" t="s">
        <v>3067</v>
      </c>
      <c r="B754" s="4">
        <v>45848</v>
      </c>
      <c r="C754" t="s">
        <v>115</v>
      </c>
      <c r="D754" t="s">
        <v>2563</v>
      </c>
      <c r="E754" t="s">
        <v>22</v>
      </c>
      <c r="F754" t="s">
        <v>3068</v>
      </c>
      <c r="G754" t="s">
        <v>3069</v>
      </c>
      <c r="H754" s="4">
        <v>46085.211900682873</v>
      </c>
      <c r="J754" t="s">
        <v>68</v>
      </c>
      <c r="K754">
        <v>101351</v>
      </c>
    </row>
    <row r="755" spans="1:11" x14ac:dyDescent="0.55000000000000004">
      <c r="A755" t="s">
        <v>3070</v>
      </c>
      <c r="B755" s="4">
        <v>45769</v>
      </c>
      <c r="C755" t="s">
        <v>89</v>
      </c>
      <c r="D755" t="s">
        <v>3071</v>
      </c>
      <c r="E755" t="s">
        <v>15</v>
      </c>
      <c r="F755" t="s">
        <v>3072</v>
      </c>
      <c r="G755" t="s">
        <v>3073</v>
      </c>
      <c r="H755" s="4">
        <v>46070.540372905096</v>
      </c>
      <c r="J755" t="s">
        <v>248</v>
      </c>
      <c r="K755">
        <v>100406</v>
      </c>
    </row>
    <row r="756" spans="1:11" x14ac:dyDescent="0.55000000000000004">
      <c r="A756" t="s">
        <v>3074</v>
      </c>
      <c r="B756" s="4">
        <v>46044</v>
      </c>
      <c r="C756" t="s">
        <v>418</v>
      </c>
      <c r="D756" t="s">
        <v>3075</v>
      </c>
      <c r="E756" t="s">
        <v>22</v>
      </c>
      <c r="F756" t="s">
        <v>3076</v>
      </c>
      <c r="G756" t="s">
        <v>3077</v>
      </c>
      <c r="H756" s="4">
        <v>46089.095234016204</v>
      </c>
      <c r="J756" t="s">
        <v>248</v>
      </c>
      <c r="K756">
        <v>100384</v>
      </c>
    </row>
    <row r="757" spans="1:11" x14ac:dyDescent="0.55000000000000004">
      <c r="A757" t="s">
        <v>3078</v>
      </c>
      <c r="B757" s="4">
        <v>46055</v>
      </c>
      <c r="C757" t="s">
        <v>356</v>
      </c>
      <c r="D757" t="s">
        <v>3079</v>
      </c>
      <c r="E757" t="s">
        <v>22</v>
      </c>
      <c r="F757" t="s">
        <v>3080</v>
      </c>
      <c r="G757" t="s">
        <v>3081</v>
      </c>
      <c r="H757" s="4">
        <v>46089.70078958333</v>
      </c>
      <c r="J757" t="s">
        <v>248</v>
      </c>
      <c r="K757">
        <v>100693</v>
      </c>
    </row>
    <row r="758" spans="1:11" x14ac:dyDescent="0.55000000000000004">
      <c r="A758" t="s">
        <v>3082</v>
      </c>
      <c r="B758" s="4">
        <v>45762</v>
      </c>
      <c r="C758" t="s">
        <v>265</v>
      </c>
      <c r="D758" t="s">
        <v>3083</v>
      </c>
      <c r="E758" t="s">
        <v>22</v>
      </c>
      <c r="F758" t="s">
        <v>3084</v>
      </c>
      <c r="G758" t="s">
        <v>3085</v>
      </c>
      <c r="H758" s="4">
        <v>46068.151484027781</v>
      </c>
      <c r="J758" t="s">
        <v>19</v>
      </c>
      <c r="K758">
        <v>100857</v>
      </c>
    </row>
    <row r="759" spans="1:11" x14ac:dyDescent="0.55000000000000004">
      <c r="A759" t="s">
        <v>3086</v>
      </c>
      <c r="B759" s="4">
        <v>46121</v>
      </c>
      <c r="C759" t="s">
        <v>356</v>
      </c>
      <c r="D759" t="s">
        <v>3087</v>
      </c>
      <c r="E759" t="s">
        <v>15</v>
      </c>
      <c r="F759" t="s">
        <v>3088</v>
      </c>
      <c r="G759" t="s">
        <v>3089</v>
      </c>
      <c r="H759" s="4">
        <v>46056.876484039349</v>
      </c>
      <c r="I759" t="s">
        <v>217</v>
      </c>
      <c r="K759">
        <v>100319</v>
      </c>
    </row>
    <row r="760" spans="1:11" x14ac:dyDescent="0.55000000000000004">
      <c r="A760" t="s">
        <v>3090</v>
      </c>
      <c r="B760" s="4">
        <v>46027</v>
      </c>
      <c r="C760" t="s">
        <v>121</v>
      </c>
      <c r="D760" t="s">
        <v>3091</v>
      </c>
      <c r="E760" t="s">
        <v>22</v>
      </c>
      <c r="F760" t="s">
        <v>3092</v>
      </c>
      <c r="G760" t="s">
        <v>3093</v>
      </c>
      <c r="H760" s="4">
        <v>46083.904956261576</v>
      </c>
      <c r="J760" t="s">
        <v>533</v>
      </c>
      <c r="K760">
        <v>100026</v>
      </c>
    </row>
    <row r="761" spans="1:11" x14ac:dyDescent="0.55000000000000004">
      <c r="A761" t="s">
        <v>3094</v>
      </c>
      <c r="B761" s="4">
        <v>45968</v>
      </c>
      <c r="C761" t="s">
        <v>334</v>
      </c>
      <c r="D761" t="s">
        <v>3095</v>
      </c>
      <c r="E761" t="s">
        <v>15</v>
      </c>
      <c r="F761" t="s">
        <v>3096</v>
      </c>
      <c r="G761" t="s">
        <v>3097</v>
      </c>
      <c r="H761" s="4">
        <v>46082.280650706016</v>
      </c>
      <c r="J761" t="s">
        <v>19</v>
      </c>
      <c r="K761">
        <v>101433</v>
      </c>
    </row>
    <row r="762" spans="1:11" x14ac:dyDescent="0.55000000000000004">
      <c r="A762" t="s">
        <v>3098</v>
      </c>
      <c r="B762" s="4">
        <v>46028</v>
      </c>
      <c r="C762" t="s">
        <v>38</v>
      </c>
      <c r="D762" t="s">
        <v>3099</v>
      </c>
      <c r="E762" t="s">
        <v>15</v>
      </c>
      <c r="F762" t="s">
        <v>3100</v>
      </c>
      <c r="G762" t="s">
        <v>3101</v>
      </c>
      <c r="H762" s="4">
        <v>46061.738984050928</v>
      </c>
      <c r="J762" t="s">
        <v>179</v>
      </c>
      <c r="K762">
        <v>101250</v>
      </c>
    </row>
    <row r="763" spans="1:11" x14ac:dyDescent="0.55000000000000004">
      <c r="A763" t="s">
        <v>3102</v>
      </c>
      <c r="B763" s="4">
        <v>45754</v>
      </c>
      <c r="C763" t="s">
        <v>69</v>
      </c>
      <c r="D763" t="s">
        <v>3103</v>
      </c>
      <c r="E763" t="s">
        <v>15</v>
      </c>
      <c r="F763" t="s">
        <v>3104</v>
      </c>
      <c r="G763" t="s">
        <v>3105</v>
      </c>
      <c r="H763" s="4">
        <v>46069.991067384261</v>
      </c>
      <c r="J763" t="s">
        <v>179</v>
      </c>
      <c r="K763">
        <v>101283</v>
      </c>
    </row>
    <row r="764" spans="1:11" x14ac:dyDescent="0.55000000000000004">
      <c r="A764" t="s">
        <v>2113</v>
      </c>
      <c r="B764" s="4">
        <v>45977</v>
      </c>
      <c r="C764" t="s">
        <v>270</v>
      </c>
      <c r="D764" t="s">
        <v>3106</v>
      </c>
      <c r="E764" t="s">
        <v>15</v>
      </c>
      <c r="F764" t="s">
        <v>3107</v>
      </c>
      <c r="G764" t="s">
        <v>3108</v>
      </c>
      <c r="H764" s="4">
        <v>46091.952178506945</v>
      </c>
      <c r="I764" t="s">
        <v>217</v>
      </c>
      <c r="K764">
        <v>101179</v>
      </c>
    </row>
    <row r="765" spans="1:11" x14ac:dyDescent="0.55000000000000004">
      <c r="A765" t="s">
        <v>3109</v>
      </c>
      <c r="B765" s="4">
        <v>46086</v>
      </c>
      <c r="C765" t="s">
        <v>43</v>
      </c>
      <c r="D765" t="s">
        <v>3110</v>
      </c>
      <c r="E765" t="s">
        <v>22</v>
      </c>
      <c r="F765" t="s">
        <v>3111</v>
      </c>
      <c r="G765" t="s">
        <v>3112</v>
      </c>
      <c r="H765" s="4">
        <v>46079.406345173615</v>
      </c>
      <c r="J765" t="s">
        <v>37</v>
      </c>
      <c r="K765">
        <v>100774</v>
      </c>
    </row>
    <row r="766" spans="1:11" x14ac:dyDescent="0.55000000000000004">
      <c r="A766" t="s">
        <v>3113</v>
      </c>
      <c r="B766" s="4">
        <v>45740</v>
      </c>
      <c r="C766" t="s">
        <v>49</v>
      </c>
      <c r="D766" t="s">
        <v>3114</v>
      </c>
      <c r="E766" t="s">
        <v>15</v>
      </c>
      <c r="F766" t="s">
        <v>3115</v>
      </c>
      <c r="G766" t="s">
        <v>3116</v>
      </c>
      <c r="H766" s="4">
        <v>46052.093150729168</v>
      </c>
      <c r="J766" t="s">
        <v>37</v>
      </c>
      <c r="K766">
        <v>100960</v>
      </c>
    </row>
    <row r="767" spans="1:11" x14ac:dyDescent="0.55000000000000004">
      <c r="A767" t="s">
        <v>3117</v>
      </c>
      <c r="B767" s="4">
        <v>46114</v>
      </c>
      <c r="C767" t="s">
        <v>270</v>
      </c>
      <c r="D767" t="s">
        <v>3118</v>
      </c>
      <c r="E767" t="s">
        <v>15</v>
      </c>
      <c r="F767" t="s">
        <v>3119</v>
      </c>
      <c r="G767" t="s">
        <v>3120</v>
      </c>
      <c r="H767" s="4">
        <v>46052.169539629627</v>
      </c>
      <c r="J767" t="s">
        <v>19</v>
      </c>
      <c r="K767">
        <v>101009</v>
      </c>
    </row>
    <row r="768" spans="1:11" x14ac:dyDescent="0.55000000000000004">
      <c r="A768" t="s">
        <v>3121</v>
      </c>
      <c r="B768" s="4">
        <v>46136</v>
      </c>
      <c r="C768" t="s">
        <v>757</v>
      </c>
      <c r="D768" t="s">
        <v>3122</v>
      </c>
      <c r="E768" t="s">
        <v>15</v>
      </c>
      <c r="F768" t="s">
        <v>3123</v>
      </c>
      <c r="G768" t="s">
        <v>3124</v>
      </c>
      <c r="H768" s="4">
        <v>46057.645928518519</v>
      </c>
      <c r="J768" t="s">
        <v>533</v>
      </c>
      <c r="K768">
        <v>100620</v>
      </c>
    </row>
    <row r="769" spans="1:11" x14ac:dyDescent="0.55000000000000004">
      <c r="A769" t="s">
        <v>3125</v>
      </c>
      <c r="B769" s="4">
        <v>46085</v>
      </c>
      <c r="C769" t="s">
        <v>170</v>
      </c>
      <c r="D769" t="s">
        <v>3126</v>
      </c>
      <c r="E769" t="s">
        <v>22</v>
      </c>
      <c r="F769" t="s">
        <v>3127</v>
      </c>
      <c r="G769" t="s">
        <v>3128</v>
      </c>
      <c r="H769" s="4">
        <v>46070.362595196762</v>
      </c>
      <c r="J769" t="s">
        <v>179</v>
      </c>
      <c r="K769">
        <v>100171</v>
      </c>
    </row>
    <row r="770" spans="1:11" x14ac:dyDescent="0.55000000000000004">
      <c r="A770" t="s">
        <v>3129</v>
      </c>
      <c r="B770" s="4">
        <v>46009</v>
      </c>
      <c r="C770" t="s">
        <v>199</v>
      </c>
      <c r="D770" t="s">
        <v>3130</v>
      </c>
      <c r="E770" t="s">
        <v>15</v>
      </c>
      <c r="F770" t="s">
        <v>3131</v>
      </c>
      <c r="G770" t="s">
        <v>3132</v>
      </c>
      <c r="H770" s="4">
        <v>46064.786900752311</v>
      </c>
      <c r="J770" t="s">
        <v>19</v>
      </c>
      <c r="K770">
        <v>100377</v>
      </c>
    </row>
    <row r="771" spans="1:11" x14ac:dyDescent="0.55000000000000004">
      <c r="A771" t="s">
        <v>3133</v>
      </c>
      <c r="B771" s="4">
        <v>45758</v>
      </c>
      <c r="C771" t="s">
        <v>69</v>
      </c>
      <c r="D771" t="s">
        <v>3134</v>
      </c>
      <c r="E771" t="s">
        <v>22</v>
      </c>
      <c r="F771" t="s">
        <v>3135</v>
      </c>
      <c r="G771" t="s">
        <v>3136</v>
      </c>
      <c r="H771" s="4">
        <v>46067.866067430557</v>
      </c>
      <c r="J771" t="s">
        <v>68</v>
      </c>
      <c r="K771">
        <v>101307</v>
      </c>
    </row>
    <row r="772" spans="1:11" x14ac:dyDescent="0.55000000000000004">
      <c r="A772" t="s">
        <v>3137</v>
      </c>
      <c r="B772" s="4">
        <v>45919</v>
      </c>
      <c r="C772" t="s">
        <v>409</v>
      </c>
      <c r="D772" t="s">
        <v>3138</v>
      </c>
      <c r="E772" t="s">
        <v>15</v>
      </c>
      <c r="F772" t="s">
        <v>3139</v>
      </c>
      <c r="G772" t="s">
        <v>3140</v>
      </c>
      <c r="H772" s="4">
        <v>46062.454956319445</v>
      </c>
      <c r="J772" t="s">
        <v>37</v>
      </c>
      <c r="K772">
        <v>101074</v>
      </c>
    </row>
    <row r="773" spans="1:11" x14ac:dyDescent="0.55000000000000004">
      <c r="A773" t="s">
        <v>3141</v>
      </c>
      <c r="B773" s="4">
        <v>45903</v>
      </c>
      <c r="C773" t="s">
        <v>38</v>
      </c>
      <c r="D773" t="s">
        <v>3142</v>
      </c>
      <c r="E773" t="s">
        <v>15</v>
      </c>
      <c r="F773" t="s">
        <v>3143</v>
      </c>
      <c r="G773" t="s">
        <v>3144</v>
      </c>
      <c r="H773" s="4">
        <v>46056.066067430555</v>
      </c>
      <c r="J773" t="s">
        <v>533</v>
      </c>
      <c r="K773">
        <v>101006</v>
      </c>
    </row>
    <row r="774" spans="1:11" x14ac:dyDescent="0.55000000000000004">
      <c r="A774" t="s">
        <v>3145</v>
      </c>
      <c r="B774" s="4">
        <v>46091</v>
      </c>
      <c r="C774" t="s">
        <v>317</v>
      </c>
      <c r="D774" t="s">
        <v>3146</v>
      </c>
      <c r="E774" t="s">
        <v>15</v>
      </c>
      <c r="F774" t="s">
        <v>3147</v>
      </c>
      <c r="G774" t="s">
        <v>3148</v>
      </c>
      <c r="H774" s="4">
        <v>46077.244539664352</v>
      </c>
      <c r="J774" t="s">
        <v>19</v>
      </c>
      <c r="K774">
        <v>101245</v>
      </c>
    </row>
    <row r="775" spans="1:11" x14ac:dyDescent="0.55000000000000004">
      <c r="A775" t="s">
        <v>3149</v>
      </c>
      <c r="B775" s="4">
        <v>45989</v>
      </c>
      <c r="C775" t="s">
        <v>83</v>
      </c>
      <c r="D775" t="s">
        <v>3150</v>
      </c>
      <c r="E775" t="s">
        <v>15</v>
      </c>
      <c r="F775" t="s">
        <v>3151</v>
      </c>
      <c r="G775" t="s">
        <v>3152</v>
      </c>
      <c r="H775" s="4">
        <v>46074.254956331017</v>
      </c>
      <c r="J775" t="s">
        <v>248</v>
      </c>
      <c r="K775">
        <v>101343</v>
      </c>
    </row>
    <row r="776" spans="1:11" x14ac:dyDescent="0.55000000000000004">
      <c r="A776" t="s">
        <v>3153</v>
      </c>
      <c r="B776" s="4">
        <v>45980</v>
      </c>
      <c r="C776" t="s">
        <v>270</v>
      </c>
      <c r="D776" t="s">
        <v>3154</v>
      </c>
      <c r="E776" t="s">
        <v>22</v>
      </c>
      <c r="F776" t="s">
        <v>3155</v>
      </c>
      <c r="G776" t="s">
        <v>3156</v>
      </c>
      <c r="H776" s="4">
        <v>46068.863289675923</v>
      </c>
      <c r="J776" t="s">
        <v>179</v>
      </c>
      <c r="K776">
        <v>101198</v>
      </c>
    </row>
    <row r="777" spans="1:11" x14ac:dyDescent="0.55000000000000004">
      <c r="A777" t="s">
        <v>3157</v>
      </c>
      <c r="B777" s="4">
        <v>46141</v>
      </c>
      <c r="C777" t="s">
        <v>108</v>
      </c>
      <c r="D777" t="s">
        <v>3158</v>
      </c>
      <c r="E777" t="s">
        <v>22</v>
      </c>
      <c r="F777" t="s">
        <v>3159</v>
      </c>
      <c r="G777" t="s">
        <v>3160</v>
      </c>
      <c r="H777" s="4">
        <v>46092.632039675926</v>
      </c>
      <c r="I777" t="s">
        <v>112</v>
      </c>
      <c r="J777" t="s">
        <v>68</v>
      </c>
    </row>
    <row r="778" spans="1:11" x14ac:dyDescent="0.55000000000000004">
      <c r="A778" t="s">
        <v>3161</v>
      </c>
      <c r="B778" s="4">
        <v>45823</v>
      </c>
      <c r="C778" t="s">
        <v>141</v>
      </c>
      <c r="D778" t="s">
        <v>3162</v>
      </c>
      <c r="E778" t="s">
        <v>15</v>
      </c>
      <c r="F778" t="s">
        <v>3163</v>
      </c>
      <c r="G778" t="s">
        <v>3164</v>
      </c>
      <c r="H778" s="4">
        <v>46080.586900798611</v>
      </c>
      <c r="J778" t="s">
        <v>179</v>
      </c>
      <c r="K778">
        <v>101126</v>
      </c>
    </row>
    <row r="779" spans="1:11" x14ac:dyDescent="0.55000000000000004">
      <c r="A779" t="s">
        <v>3165</v>
      </c>
      <c r="B779" s="4">
        <v>45986</v>
      </c>
      <c r="C779" t="s">
        <v>115</v>
      </c>
      <c r="D779" t="s">
        <v>3166</v>
      </c>
      <c r="E779" t="s">
        <v>15</v>
      </c>
      <c r="F779" t="s">
        <v>3167</v>
      </c>
      <c r="G779" t="s">
        <v>3168</v>
      </c>
      <c r="H779" s="4">
        <v>46079.153567465277</v>
      </c>
      <c r="I779" t="s">
        <v>112</v>
      </c>
      <c r="J779" t="s">
        <v>533</v>
      </c>
    </row>
    <row r="780" spans="1:11" x14ac:dyDescent="0.55000000000000004">
      <c r="A780" t="s">
        <v>3169</v>
      </c>
      <c r="B780" s="4">
        <v>45799</v>
      </c>
      <c r="C780" t="s">
        <v>58</v>
      </c>
      <c r="D780" t="s">
        <v>3170</v>
      </c>
      <c r="E780" t="s">
        <v>22</v>
      </c>
      <c r="F780" t="s">
        <v>3171</v>
      </c>
      <c r="G780" t="s">
        <v>3172</v>
      </c>
      <c r="H780" s="4">
        <v>46056.716067465277</v>
      </c>
      <c r="J780" t="s">
        <v>19</v>
      </c>
      <c r="K780">
        <v>100894</v>
      </c>
    </row>
    <row r="781" spans="1:11" x14ac:dyDescent="0.55000000000000004">
      <c r="A781" t="s">
        <v>3173</v>
      </c>
      <c r="B781" s="4">
        <v>45828</v>
      </c>
      <c r="C781" t="s">
        <v>155</v>
      </c>
      <c r="D781" t="s">
        <v>3174</v>
      </c>
      <c r="E781" t="s">
        <v>15</v>
      </c>
      <c r="F781" t="s">
        <v>3175</v>
      </c>
      <c r="G781" t="s">
        <v>3176</v>
      </c>
      <c r="H781" s="4">
        <v>46063.829261921295</v>
      </c>
      <c r="J781" t="s">
        <v>68</v>
      </c>
      <c r="K781">
        <v>101377</v>
      </c>
    </row>
    <row r="782" spans="1:11" x14ac:dyDescent="0.55000000000000004">
      <c r="A782" t="s">
        <v>3177</v>
      </c>
      <c r="B782" s="4">
        <v>45942</v>
      </c>
      <c r="C782" t="s">
        <v>300</v>
      </c>
      <c r="D782" t="s">
        <v>3178</v>
      </c>
      <c r="E782" t="s">
        <v>22</v>
      </c>
      <c r="F782" t="s">
        <v>3179</v>
      </c>
      <c r="G782" t="s">
        <v>3180</v>
      </c>
      <c r="H782" s="4">
        <v>46068.313984143519</v>
      </c>
      <c r="J782" t="s">
        <v>68</v>
      </c>
      <c r="K782">
        <v>100636</v>
      </c>
    </row>
    <row r="783" spans="1:11" x14ac:dyDescent="0.55000000000000004">
      <c r="A783" t="s">
        <v>3181</v>
      </c>
      <c r="B783" s="4">
        <v>45799</v>
      </c>
      <c r="C783" t="s">
        <v>356</v>
      </c>
      <c r="D783" t="s">
        <v>3182</v>
      </c>
      <c r="E783" t="s">
        <v>15</v>
      </c>
      <c r="F783" t="s">
        <v>3183</v>
      </c>
      <c r="G783" t="s">
        <v>3184</v>
      </c>
      <c r="H783" s="4">
        <v>46067.217456377315</v>
      </c>
      <c r="J783" t="s">
        <v>19</v>
      </c>
      <c r="K783">
        <v>101472</v>
      </c>
    </row>
    <row r="784" spans="1:11" x14ac:dyDescent="0.55000000000000004">
      <c r="A784" t="s">
        <v>3185</v>
      </c>
      <c r="B784" s="4">
        <v>46126</v>
      </c>
      <c r="C784" t="s">
        <v>115</v>
      </c>
      <c r="D784" t="s">
        <v>3186</v>
      </c>
      <c r="E784" t="s">
        <v>22</v>
      </c>
      <c r="F784" t="s">
        <v>3187</v>
      </c>
      <c r="G784" t="s">
        <v>3188</v>
      </c>
      <c r="H784" s="4">
        <v>46079.098011932867</v>
      </c>
      <c r="J784" t="s">
        <v>68</v>
      </c>
      <c r="K784">
        <v>101160</v>
      </c>
    </row>
    <row r="785" spans="1:11" x14ac:dyDescent="0.55000000000000004">
      <c r="A785" t="s">
        <v>3189</v>
      </c>
      <c r="B785" s="4">
        <v>46048</v>
      </c>
      <c r="C785" t="s">
        <v>317</v>
      </c>
      <c r="D785" t="s">
        <v>3190</v>
      </c>
      <c r="E785" t="s">
        <v>22</v>
      </c>
      <c r="F785" t="s">
        <v>3191</v>
      </c>
      <c r="G785" t="s">
        <v>3192</v>
      </c>
      <c r="H785" s="4">
        <v>46086.496623043982</v>
      </c>
      <c r="J785" t="s">
        <v>533</v>
      </c>
      <c r="K785">
        <v>100903</v>
      </c>
    </row>
    <row r="786" spans="1:11" x14ac:dyDescent="0.55000000000000004">
      <c r="A786" t="s">
        <v>3193</v>
      </c>
      <c r="B786" s="4">
        <v>45814</v>
      </c>
      <c r="C786" t="s">
        <v>155</v>
      </c>
      <c r="D786" t="s">
        <v>3194</v>
      </c>
      <c r="E786" t="s">
        <v>15</v>
      </c>
      <c r="F786" t="s">
        <v>3195</v>
      </c>
      <c r="G786" t="s">
        <v>3196</v>
      </c>
      <c r="H786" s="4">
        <v>46076.929261944446</v>
      </c>
      <c r="J786" t="s">
        <v>533</v>
      </c>
      <c r="K786">
        <v>100031</v>
      </c>
    </row>
    <row r="787" spans="1:11" x14ac:dyDescent="0.55000000000000004">
      <c r="A787" t="s">
        <v>3197</v>
      </c>
      <c r="B787" s="4">
        <v>45957</v>
      </c>
      <c r="C787" t="s">
        <v>356</v>
      </c>
      <c r="D787" t="s">
        <v>3198</v>
      </c>
      <c r="E787" t="s">
        <v>15</v>
      </c>
      <c r="F787" t="s">
        <v>3199</v>
      </c>
      <c r="G787" t="s">
        <v>3200</v>
      </c>
      <c r="H787" s="4">
        <v>46062.696623055555</v>
      </c>
      <c r="J787" t="s">
        <v>533</v>
      </c>
      <c r="K787">
        <v>100772</v>
      </c>
    </row>
    <row r="788" spans="1:11" x14ac:dyDescent="0.55000000000000004">
      <c r="A788" t="s">
        <v>3201</v>
      </c>
      <c r="B788" s="4">
        <v>45908</v>
      </c>
      <c r="C788" t="s">
        <v>20</v>
      </c>
      <c r="D788" t="s">
        <v>3202</v>
      </c>
      <c r="E788" t="s">
        <v>22</v>
      </c>
      <c r="F788" t="s">
        <v>3203</v>
      </c>
      <c r="G788" t="s">
        <v>3204</v>
      </c>
      <c r="H788" s="4">
        <v>46063.51537306713</v>
      </c>
      <c r="J788" t="s">
        <v>68</v>
      </c>
      <c r="K788">
        <v>100041</v>
      </c>
    </row>
    <row r="789" spans="1:11" x14ac:dyDescent="0.55000000000000004">
      <c r="A789" t="s">
        <v>3205</v>
      </c>
      <c r="B789" s="4">
        <v>45886</v>
      </c>
      <c r="C789" t="s">
        <v>155</v>
      </c>
      <c r="D789" t="s">
        <v>3206</v>
      </c>
      <c r="E789" t="s">
        <v>22</v>
      </c>
      <c r="F789" t="s">
        <v>3207</v>
      </c>
      <c r="G789" t="s">
        <v>3208</v>
      </c>
      <c r="H789" s="4">
        <v>46066.539678622685</v>
      </c>
      <c r="J789" t="s">
        <v>19</v>
      </c>
      <c r="K789">
        <v>100667</v>
      </c>
    </row>
    <row r="790" spans="1:11" x14ac:dyDescent="0.55000000000000004">
      <c r="A790" t="s">
        <v>3209</v>
      </c>
      <c r="B790" s="4">
        <v>45895</v>
      </c>
      <c r="C790" t="s">
        <v>155</v>
      </c>
      <c r="D790" t="s">
        <v>3210</v>
      </c>
      <c r="E790" t="s">
        <v>22</v>
      </c>
      <c r="F790" t="s">
        <v>3211</v>
      </c>
      <c r="G790" t="s">
        <v>3212</v>
      </c>
      <c r="H790" s="4">
        <v>46056.325789733797</v>
      </c>
      <c r="J790" t="s">
        <v>179</v>
      </c>
      <c r="K790">
        <v>100070</v>
      </c>
    </row>
    <row r="791" spans="1:11" x14ac:dyDescent="0.55000000000000004">
      <c r="A791" t="s">
        <v>3213</v>
      </c>
      <c r="B791" s="4">
        <v>45880</v>
      </c>
      <c r="C791" t="s">
        <v>680</v>
      </c>
      <c r="D791" t="s">
        <v>3214</v>
      </c>
      <c r="E791" t="s">
        <v>22</v>
      </c>
      <c r="F791" t="s">
        <v>3215</v>
      </c>
      <c r="G791" t="s">
        <v>3216</v>
      </c>
      <c r="H791" s="4">
        <v>46053.586206412037</v>
      </c>
      <c r="J791" t="s">
        <v>19</v>
      </c>
      <c r="K791">
        <v>100665</v>
      </c>
    </row>
    <row r="792" spans="1:11" x14ac:dyDescent="0.55000000000000004">
      <c r="A792" t="s">
        <v>3217</v>
      </c>
      <c r="B792" s="4">
        <v>45752</v>
      </c>
      <c r="C792" t="s">
        <v>317</v>
      </c>
      <c r="D792" t="s">
        <v>3218</v>
      </c>
      <c r="E792" t="s">
        <v>15</v>
      </c>
      <c r="F792" t="s">
        <v>3219</v>
      </c>
      <c r="G792" t="s">
        <v>3220</v>
      </c>
      <c r="H792" s="4">
        <v>46078.711206412037</v>
      </c>
      <c r="J792" t="s">
        <v>19</v>
      </c>
      <c r="K792">
        <v>101111</v>
      </c>
    </row>
    <row r="793" spans="1:11" x14ac:dyDescent="0.55000000000000004">
      <c r="A793" t="s">
        <v>3221</v>
      </c>
      <c r="B793" s="4">
        <v>46048</v>
      </c>
      <c r="C793" t="s">
        <v>69</v>
      </c>
      <c r="D793" t="s">
        <v>3222</v>
      </c>
      <c r="E793" t="s">
        <v>22</v>
      </c>
      <c r="F793" t="s">
        <v>3223</v>
      </c>
      <c r="G793" t="s">
        <v>3224</v>
      </c>
      <c r="H793" s="4">
        <v>46092.282039756945</v>
      </c>
      <c r="J793" t="s">
        <v>179</v>
      </c>
      <c r="K793">
        <v>100358</v>
      </c>
    </row>
    <row r="794" spans="1:11" x14ac:dyDescent="0.55000000000000004">
      <c r="A794" t="s">
        <v>3225</v>
      </c>
      <c r="B794" s="4">
        <v>46043</v>
      </c>
      <c r="C794" t="s">
        <v>587</v>
      </c>
      <c r="D794" t="s">
        <v>3226</v>
      </c>
      <c r="E794" t="s">
        <v>22</v>
      </c>
      <c r="F794" t="s">
        <v>3227</v>
      </c>
      <c r="G794" t="s">
        <v>3228</v>
      </c>
      <c r="H794" s="4">
        <v>46085.713984201386</v>
      </c>
      <c r="J794" t="s">
        <v>37</v>
      </c>
      <c r="K794">
        <v>100053</v>
      </c>
    </row>
    <row r="795" spans="1:11" x14ac:dyDescent="0.55000000000000004">
      <c r="A795" t="s">
        <v>3229</v>
      </c>
      <c r="B795" s="4">
        <v>46007</v>
      </c>
      <c r="C795" t="s">
        <v>141</v>
      </c>
      <c r="D795" t="s">
        <v>3230</v>
      </c>
      <c r="E795" t="s">
        <v>22</v>
      </c>
      <c r="F795" t="s">
        <v>3231</v>
      </c>
      <c r="G795" t="s">
        <v>3232</v>
      </c>
      <c r="H795" s="4">
        <v>46085.048706423608</v>
      </c>
      <c r="J795" t="s">
        <v>37</v>
      </c>
      <c r="K795">
        <v>101407</v>
      </c>
    </row>
    <row r="796" spans="1:11" x14ac:dyDescent="0.55000000000000004">
      <c r="A796" t="s">
        <v>3233</v>
      </c>
      <c r="B796" s="4">
        <v>46040</v>
      </c>
      <c r="C796" t="s">
        <v>343</v>
      </c>
      <c r="D796" t="s">
        <v>3234</v>
      </c>
      <c r="E796" t="s">
        <v>22</v>
      </c>
      <c r="F796" t="s">
        <v>3235</v>
      </c>
      <c r="G796" t="s">
        <v>3236</v>
      </c>
      <c r="H796" s="4">
        <v>46088.138289768518</v>
      </c>
      <c r="J796" t="s">
        <v>68</v>
      </c>
      <c r="K796">
        <v>100767</v>
      </c>
    </row>
    <row r="797" spans="1:11" x14ac:dyDescent="0.55000000000000004">
      <c r="A797" t="s">
        <v>3237</v>
      </c>
      <c r="B797" s="4">
        <v>45929</v>
      </c>
      <c r="C797" t="s">
        <v>295</v>
      </c>
      <c r="D797" t="s">
        <v>3238</v>
      </c>
      <c r="E797" t="s">
        <v>22</v>
      </c>
      <c r="F797" t="s">
        <v>3239</v>
      </c>
      <c r="G797" t="s">
        <v>3240</v>
      </c>
      <c r="H797" s="4">
        <v>46075.308428657409</v>
      </c>
      <c r="J797" t="s">
        <v>68</v>
      </c>
      <c r="K797">
        <v>101146</v>
      </c>
    </row>
    <row r="798" spans="1:11" x14ac:dyDescent="0.55000000000000004">
      <c r="A798" t="s">
        <v>3241</v>
      </c>
      <c r="B798" s="4">
        <v>46019</v>
      </c>
      <c r="C798" t="s">
        <v>115</v>
      </c>
      <c r="D798" t="s">
        <v>3242</v>
      </c>
      <c r="E798" t="s">
        <v>22</v>
      </c>
      <c r="F798" t="s">
        <v>3243</v>
      </c>
      <c r="G798" t="s">
        <v>3244</v>
      </c>
      <c r="H798" s="4">
        <v>46071.116762002312</v>
      </c>
      <c r="J798" t="s">
        <v>179</v>
      </c>
      <c r="K798">
        <v>101185</v>
      </c>
    </row>
    <row r="799" spans="1:11" x14ac:dyDescent="0.55000000000000004">
      <c r="A799" t="s">
        <v>3245</v>
      </c>
      <c r="B799" s="4">
        <v>45815</v>
      </c>
      <c r="C799" t="s">
        <v>680</v>
      </c>
      <c r="D799" t="s">
        <v>3246</v>
      </c>
      <c r="E799" t="s">
        <v>15</v>
      </c>
      <c r="F799" t="s">
        <v>3247</v>
      </c>
      <c r="G799" t="s">
        <v>3248</v>
      </c>
      <c r="H799" s="4">
        <v>46088.450789780094</v>
      </c>
      <c r="J799" t="s">
        <v>68</v>
      </c>
      <c r="K799">
        <v>100083</v>
      </c>
    </row>
    <row r="800" spans="1:11" x14ac:dyDescent="0.55000000000000004">
      <c r="A800" t="s">
        <v>3249</v>
      </c>
      <c r="B800" s="4">
        <v>45975</v>
      </c>
      <c r="C800" t="s">
        <v>83</v>
      </c>
      <c r="D800" t="s">
        <v>3250</v>
      </c>
      <c r="E800" t="s">
        <v>15</v>
      </c>
      <c r="F800" t="s">
        <v>3251</v>
      </c>
      <c r="G800" t="s">
        <v>3252</v>
      </c>
      <c r="H800" s="4">
        <v>46097.163984236111</v>
      </c>
      <c r="J800" t="s">
        <v>68</v>
      </c>
      <c r="K800">
        <v>100258</v>
      </c>
    </row>
    <row r="801" spans="1:11" x14ac:dyDescent="0.55000000000000004">
      <c r="A801" t="s">
        <v>3253</v>
      </c>
      <c r="B801" s="4">
        <v>45944</v>
      </c>
      <c r="C801" t="s">
        <v>38</v>
      </c>
      <c r="D801" t="s">
        <v>3254</v>
      </c>
      <c r="E801" t="s">
        <v>22</v>
      </c>
      <c r="F801" t="s">
        <v>3255</v>
      </c>
      <c r="G801" t="s">
        <v>3256</v>
      </c>
      <c r="H801" s="4">
        <v>46051.938289791666</v>
      </c>
      <c r="J801" t="s">
        <v>248</v>
      </c>
      <c r="K801">
        <v>101131</v>
      </c>
    </row>
    <row r="802" spans="1:11" x14ac:dyDescent="0.55000000000000004">
      <c r="A802" t="s">
        <v>3257</v>
      </c>
      <c r="B802" s="4">
        <v>45834</v>
      </c>
      <c r="C802" t="s">
        <v>69</v>
      </c>
      <c r="D802" t="s">
        <v>3258</v>
      </c>
      <c r="E802" t="s">
        <v>22</v>
      </c>
      <c r="F802" t="s">
        <v>3259</v>
      </c>
      <c r="G802" t="s">
        <v>3260</v>
      </c>
      <c r="H802" s="4">
        <v>46062.048706458336</v>
      </c>
      <c r="J802" t="s">
        <v>533</v>
      </c>
      <c r="K802">
        <v>100770</v>
      </c>
    </row>
    <row r="803" spans="1:11" x14ac:dyDescent="0.55000000000000004">
      <c r="A803" t="s">
        <v>3261</v>
      </c>
      <c r="B803" s="4">
        <v>46153</v>
      </c>
      <c r="C803" t="s">
        <v>467</v>
      </c>
      <c r="D803" t="s">
        <v>3262</v>
      </c>
      <c r="E803" t="s">
        <v>22</v>
      </c>
      <c r="F803" t="s">
        <v>3263</v>
      </c>
      <c r="G803" t="s">
        <v>3264</v>
      </c>
      <c r="H803" s="4">
        <v>46062.08690091435</v>
      </c>
      <c r="J803" t="s">
        <v>37</v>
      </c>
      <c r="K803">
        <v>100284</v>
      </c>
    </row>
    <row r="804" spans="1:11" x14ac:dyDescent="0.55000000000000004">
      <c r="A804" t="s">
        <v>3265</v>
      </c>
      <c r="B804" s="4">
        <v>45745</v>
      </c>
      <c r="C804" t="s">
        <v>115</v>
      </c>
      <c r="D804" t="s">
        <v>3266</v>
      </c>
      <c r="E804" t="s">
        <v>22</v>
      </c>
      <c r="F804" t="s">
        <v>3267</v>
      </c>
      <c r="G804" t="s">
        <v>3268</v>
      </c>
      <c r="H804" s="4">
        <v>46077.83551203704</v>
      </c>
      <c r="J804" t="s">
        <v>248</v>
      </c>
      <c r="K804">
        <v>100809</v>
      </c>
    </row>
    <row r="805" spans="1:11" x14ac:dyDescent="0.55000000000000004">
      <c r="A805" t="s">
        <v>3269</v>
      </c>
      <c r="B805" s="4">
        <v>45795</v>
      </c>
      <c r="C805" t="s">
        <v>300</v>
      </c>
      <c r="D805" t="s">
        <v>3270</v>
      </c>
      <c r="E805" t="s">
        <v>15</v>
      </c>
      <c r="F805" t="s">
        <v>3271</v>
      </c>
      <c r="G805" t="s">
        <v>3272</v>
      </c>
      <c r="H805" s="4">
        <v>46065.768150925927</v>
      </c>
      <c r="J805" t="s">
        <v>19</v>
      </c>
      <c r="K805">
        <v>100779</v>
      </c>
    </row>
    <row r="806" spans="1:11" x14ac:dyDescent="0.55000000000000004">
      <c r="A806" t="s">
        <v>3273</v>
      </c>
      <c r="B806" s="4">
        <v>45746</v>
      </c>
      <c r="C806" t="s">
        <v>20</v>
      </c>
      <c r="D806" t="s">
        <v>3274</v>
      </c>
      <c r="E806" t="s">
        <v>22</v>
      </c>
      <c r="F806" t="s">
        <v>3275</v>
      </c>
      <c r="G806" t="s">
        <v>3276</v>
      </c>
      <c r="H806" s="4">
        <v>46092.894539814813</v>
      </c>
      <c r="J806" t="s">
        <v>248</v>
      </c>
      <c r="K806">
        <v>100345</v>
      </c>
    </row>
    <row r="807" spans="1:11" x14ac:dyDescent="0.55000000000000004">
      <c r="A807" t="s">
        <v>3277</v>
      </c>
      <c r="B807" s="4">
        <v>46029</v>
      </c>
      <c r="C807" t="s">
        <v>89</v>
      </c>
      <c r="D807" t="s">
        <v>3278</v>
      </c>
      <c r="E807" t="s">
        <v>22</v>
      </c>
      <c r="F807" t="s">
        <v>3279</v>
      </c>
      <c r="G807" t="s">
        <v>3280</v>
      </c>
      <c r="H807" s="4">
        <v>46056.770928715276</v>
      </c>
      <c r="J807" t="s">
        <v>68</v>
      </c>
      <c r="K807">
        <v>101410</v>
      </c>
    </row>
    <row r="808" spans="1:11" x14ac:dyDescent="0.55000000000000004">
      <c r="A808" t="s">
        <v>3281</v>
      </c>
      <c r="B808" s="4">
        <v>46087</v>
      </c>
      <c r="C808" t="s">
        <v>20</v>
      </c>
      <c r="D808" t="s">
        <v>3282</v>
      </c>
      <c r="E808" t="s">
        <v>15</v>
      </c>
      <c r="F808" t="s">
        <v>3283</v>
      </c>
      <c r="G808" t="s">
        <v>3284</v>
      </c>
      <c r="H808" s="4">
        <v>46081.514678715277</v>
      </c>
      <c r="I808" t="s">
        <v>217</v>
      </c>
      <c r="K808">
        <v>100465</v>
      </c>
    </row>
    <row r="809" spans="1:11" x14ac:dyDescent="0.55000000000000004">
      <c r="A809" t="s">
        <v>3285</v>
      </c>
      <c r="B809" s="4">
        <v>45761</v>
      </c>
      <c r="C809" t="s">
        <v>20</v>
      </c>
      <c r="D809" t="s">
        <v>3286</v>
      </c>
      <c r="E809" t="s">
        <v>22</v>
      </c>
      <c r="F809" t="s">
        <v>3287</v>
      </c>
      <c r="G809" t="s">
        <v>3288</v>
      </c>
      <c r="H809" s="4">
        <v>46053.553567615738</v>
      </c>
      <c r="J809" t="s">
        <v>19</v>
      </c>
      <c r="K809">
        <v>100216</v>
      </c>
    </row>
    <row r="810" spans="1:11" x14ac:dyDescent="0.55000000000000004">
      <c r="A810" t="s">
        <v>3289</v>
      </c>
      <c r="B810" s="4">
        <v>45815</v>
      </c>
      <c r="C810" t="s">
        <v>20</v>
      </c>
      <c r="D810" t="s">
        <v>3290</v>
      </c>
      <c r="E810" t="s">
        <v>22</v>
      </c>
      <c r="F810" t="s">
        <v>1680</v>
      </c>
      <c r="G810" t="s">
        <v>3291</v>
      </c>
      <c r="H810" s="4">
        <v>46070.841067615744</v>
      </c>
      <c r="J810" t="s">
        <v>68</v>
      </c>
      <c r="K810">
        <v>100335</v>
      </c>
    </row>
    <row r="811" spans="1:11" x14ac:dyDescent="0.55000000000000004">
      <c r="A811" t="s">
        <v>3292</v>
      </c>
      <c r="B811" s="4">
        <v>45756</v>
      </c>
      <c r="C811" t="s">
        <v>467</v>
      </c>
      <c r="D811" t="s">
        <v>3293</v>
      </c>
      <c r="E811" t="s">
        <v>15</v>
      </c>
      <c r="F811" t="s">
        <v>3294</v>
      </c>
      <c r="G811" t="s">
        <v>3295</v>
      </c>
      <c r="H811" s="4">
        <v>46065.470928738425</v>
      </c>
      <c r="J811" t="s">
        <v>68</v>
      </c>
      <c r="K811">
        <v>101469</v>
      </c>
    </row>
    <row r="812" spans="1:11" x14ac:dyDescent="0.55000000000000004">
      <c r="A812" t="s">
        <v>3296</v>
      </c>
      <c r="B812" s="4">
        <v>46123</v>
      </c>
      <c r="C812" t="s">
        <v>38</v>
      </c>
      <c r="D812" t="s">
        <v>3297</v>
      </c>
      <c r="E812" t="s">
        <v>15</v>
      </c>
      <c r="F812" t="s">
        <v>3298</v>
      </c>
      <c r="G812" t="s">
        <v>3299</v>
      </c>
      <c r="H812" s="4">
        <v>46063.287595405091</v>
      </c>
      <c r="J812" t="s">
        <v>533</v>
      </c>
      <c r="K812">
        <v>100266</v>
      </c>
    </row>
    <row r="813" spans="1:11" x14ac:dyDescent="0.55000000000000004">
      <c r="A813" t="s">
        <v>3300</v>
      </c>
      <c r="B813" s="4">
        <v>46155</v>
      </c>
      <c r="C813" t="s">
        <v>126</v>
      </c>
      <c r="D813" t="s">
        <v>3301</v>
      </c>
      <c r="E813" t="s">
        <v>15</v>
      </c>
      <c r="F813" t="s">
        <v>3302</v>
      </c>
      <c r="G813" t="s">
        <v>3303</v>
      </c>
      <c r="H813" s="4">
        <v>46062.921623182869</v>
      </c>
      <c r="J813" t="s">
        <v>68</v>
      </c>
      <c r="K813">
        <v>101439</v>
      </c>
    </row>
    <row r="814" spans="1:11" x14ac:dyDescent="0.55000000000000004">
      <c r="A814" t="s">
        <v>3304</v>
      </c>
      <c r="B814" s="4">
        <v>46153</v>
      </c>
      <c r="C814" t="s">
        <v>155</v>
      </c>
      <c r="D814" t="s">
        <v>3305</v>
      </c>
      <c r="E814" t="s">
        <v>15</v>
      </c>
      <c r="F814" t="s">
        <v>3306</v>
      </c>
      <c r="G814" t="s">
        <v>3307</v>
      </c>
      <c r="H814" s="4">
        <v>46064.345928750001</v>
      </c>
      <c r="J814" t="s">
        <v>68</v>
      </c>
      <c r="K814">
        <v>101369</v>
      </c>
    </row>
    <row r="815" spans="1:11" x14ac:dyDescent="0.55000000000000004">
      <c r="A815" t="s">
        <v>3308</v>
      </c>
      <c r="B815" s="4">
        <v>46130</v>
      </c>
      <c r="C815" t="s">
        <v>58</v>
      </c>
      <c r="D815" t="s">
        <v>3309</v>
      </c>
      <c r="E815" t="s">
        <v>15</v>
      </c>
      <c r="F815" t="s">
        <v>3310</v>
      </c>
      <c r="G815" t="s">
        <v>3311</v>
      </c>
      <c r="H815" s="4">
        <v>46091.436206527775</v>
      </c>
      <c r="J815" t="s">
        <v>68</v>
      </c>
      <c r="K815">
        <v>100472</v>
      </c>
    </row>
    <row r="816" spans="1:11" x14ac:dyDescent="0.55000000000000004">
      <c r="A816" t="s">
        <v>3312</v>
      </c>
      <c r="B816" s="4">
        <v>45989</v>
      </c>
      <c r="C816" t="s">
        <v>115</v>
      </c>
      <c r="D816" t="s">
        <v>3313</v>
      </c>
      <c r="E816" t="s">
        <v>15</v>
      </c>
      <c r="F816" t="s">
        <v>3314</v>
      </c>
      <c r="G816" t="s">
        <v>3315</v>
      </c>
      <c r="H816" s="4">
        <v>46071.091067650465</v>
      </c>
      <c r="J816" t="s">
        <v>533</v>
      </c>
      <c r="K816">
        <v>101275</v>
      </c>
    </row>
    <row r="817" spans="1:11" x14ac:dyDescent="0.55000000000000004">
      <c r="A817" t="s">
        <v>3316</v>
      </c>
      <c r="B817" s="4">
        <v>45791</v>
      </c>
      <c r="C817" t="s">
        <v>155</v>
      </c>
      <c r="D817" t="s">
        <v>3317</v>
      </c>
      <c r="E817" t="s">
        <v>22</v>
      </c>
      <c r="F817" t="s">
        <v>3318</v>
      </c>
      <c r="G817" t="s">
        <v>3319</v>
      </c>
      <c r="H817" s="4">
        <v>46075.302873206019</v>
      </c>
      <c r="J817" t="s">
        <v>37</v>
      </c>
      <c r="K817">
        <v>101267</v>
      </c>
    </row>
    <row r="818" spans="1:11" x14ac:dyDescent="0.55000000000000004">
      <c r="A818" t="s">
        <v>3320</v>
      </c>
      <c r="B818" s="4">
        <v>45803</v>
      </c>
      <c r="C818" t="s">
        <v>27</v>
      </c>
      <c r="D818" t="s">
        <v>3321</v>
      </c>
      <c r="E818" t="s">
        <v>22</v>
      </c>
      <c r="F818" t="s">
        <v>3322</v>
      </c>
      <c r="G818" t="s">
        <v>3323</v>
      </c>
      <c r="H818" s="4">
        <v>46086.31328988426</v>
      </c>
      <c r="J818" t="s">
        <v>68</v>
      </c>
      <c r="K818">
        <v>100658</v>
      </c>
    </row>
    <row r="819" spans="1:11" x14ac:dyDescent="0.55000000000000004">
      <c r="A819" t="s">
        <v>3324</v>
      </c>
      <c r="B819" s="4">
        <v>46113</v>
      </c>
      <c r="C819" t="s">
        <v>115</v>
      </c>
      <c r="D819" t="s">
        <v>3325</v>
      </c>
      <c r="E819" t="s">
        <v>15</v>
      </c>
      <c r="F819" t="s">
        <v>3326</v>
      </c>
      <c r="G819" t="s">
        <v>3327</v>
      </c>
      <c r="H819" s="4">
        <v>46053.543845439817</v>
      </c>
      <c r="J819" t="s">
        <v>37</v>
      </c>
      <c r="K819">
        <v>101380</v>
      </c>
    </row>
    <row r="820" spans="1:11" x14ac:dyDescent="0.55000000000000004">
      <c r="A820" t="s">
        <v>3328</v>
      </c>
      <c r="B820" s="4">
        <v>45889</v>
      </c>
      <c r="C820" t="s">
        <v>115</v>
      </c>
      <c r="D820" t="s">
        <v>3329</v>
      </c>
      <c r="E820" t="s">
        <v>15</v>
      </c>
      <c r="F820" t="s">
        <v>3330</v>
      </c>
      <c r="G820" t="s">
        <v>3331</v>
      </c>
      <c r="H820" s="4">
        <v>46092.141762118059</v>
      </c>
      <c r="J820" t="s">
        <v>248</v>
      </c>
      <c r="K820">
        <v>101449</v>
      </c>
    </row>
    <row r="821" spans="1:11" x14ac:dyDescent="0.55000000000000004">
      <c r="A821" t="s">
        <v>3332</v>
      </c>
      <c r="B821" s="4">
        <v>45771</v>
      </c>
      <c r="C821" t="s">
        <v>69</v>
      </c>
      <c r="D821" t="s">
        <v>3333</v>
      </c>
      <c r="E821" t="s">
        <v>22</v>
      </c>
      <c r="F821" t="s">
        <v>3334</v>
      </c>
      <c r="G821" t="s">
        <v>3335</v>
      </c>
      <c r="H821" s="4">
        <v>46095.466762118056</v>
      </c>
      <c r="J821" t="s">
        <v>533</v>
      </c>
      <c r="K821">
        <v>101060</v>
      </c>
    </row>
    <row r="822" spans="1:11" x14ac:dyDescent="0.55000000000000004">
      <c r="A822" t="s">
        <v>3336</v>
      </c>
      <c r="B822" s="4">
        <v>45748</v>
      </c>
      <c r="C822" t="s">
        <v>184</v>
      </c>
      <c r="D822" t="s">
        <v>3337</v>
      </c>
      <c r="E822" t="s">
        <v>22</v>
      </c>
      <c r="F822" t="s">
        <v>3338</v>
      </c>
      <c r="G822" t="s">
        <v>3339</v>
      </c>
      <c r="H822" s="4">
        <v>46090.386206574076</v>
      </c>
      <c r="J822" t="s">
        <v>533</v>
      </c>
      <c r="K822">
        <v>101132</v>
      </c>
    </row>
    <row r="823" spans="1:11" x14ac:dyDescent="0.55000000000000004">
      <c r="A823" t="s">
        <v>3340</v>
      </c>
      <c r="B823" s="4">
        <v>45765</v>
      </c>
      <c r="C823" t="s">
        <v>141</v>
      </c>
      <c r="D823" t="s">
        <v>3341</v>
      </c>
      <c r="E823" t="s">
        <v>15</v>
      </c>
      <c r="F823" t="s">
        <v>3342</v>
      </c>
      <c r="G823" t="s">
        <v>3343</v>
      </c>
      <c r="H823" s="4">
        <v>46089.890373240742</v>
      </c>
      <c r="J823" t="s">
        <v>37</v>
      </c>
      <c r="K823">
        <v>100606</v>
      </c>
    </row>
    <row r="824" spans="1:11" x14ac:dyDescent="0.55000000000000004">
      <c r="A824" t="s">
        <v>3344</v>
      </c>
      <c r="B824" s="4">
        <v>46032</v>
      </c>
      <c r="C824" t="s">
        <v>115</v>
      </c>
      <c r="D824" t="s">
        <v>3345</v>
      </c>
      <c r="E824" t="s">
        <v>22</v>
      </c>
      <c r="F824" t="s">
        <v>3346</v>
      </c>
      <c r="G824" t="s">
        <v>3347</v>
      </c>
      <c r="H824" s="4">
        <v>46096.617456585649</v>
      </c>
      <c r="J824" t="s">
        <v>248</v>
      </c>
      <c r="K824">
        <v>101190</v>
      </c>
    </row>
    <row r="825" spans="1:11" x14ac:dyDescent="0.55000000000000004">
      <c r="A825" t="s">
        <v>3348</v>
      </c>
      <c r="B825" s="4">
        <v>46114</v>
      </c>
      <c r="C825" t="s">
        <v>467</v>
      </c>
      <c r="D825" t="s">
        <v>3349</v>
      </c>
      <c r="E825" t="s">
        <v>22</v>
      </c>
      <c r="F825" t="s">
        <v>3350</v>
      </c>
      <c r="G825" t="s">
        <v>3351</v>
      </c>
      <c r="H825" s="4">
        <v>46087.034123252313</v>
      </c>
      <c r="J825" t="s">
        <v>533</v>
      </c>
      <c r="K825">
        <v>100027</v>
      </c>
    </row>
    <row r="826" spans="1:11" x14ac:dyDescent="0.55000000000000004">
      <c r="A826" t="s">
        <v>3352</v>
      </c>
      <c r="B826" s="4">
        <v>45855</v>
      </c>
      <c r="C826" t="s">
        <v>184</v>
      </c>
      <c r="D826" t="s">
        <v>3353</v>
      </c>
      <c r="E826" t="s">
        <v>15</v>
      </c>
      <c r="F826" t="s">
        <v>3354</v>
      </c>
      <c r="G826" t="s">
        <v>3355</v>
      </c>
      <c r="H826" s="4">
        <v>46064.43759548611</v>
      </c>
      <c r="J826" t="s">
        <v>19</v>
      </c>
      <c r="K826">
        <v>101144</v>
      </c>
    </row>
    <row r="827" spans="1:11" x14ac:dyDescent="0.55000000000000004">
      <c r="A827" t="s">
        <v>3356</v>
      </c>
      <c r="B827" s="4">
        <v>45876</v>
      </c>
      <c r="C827" t="s">
        <v>38</v>
      </c>
      <c r="D827" t="s">
        <v>3357</v>
      </c>
      <c r="E827" t="s">
        <v>15</v>
      </c>
      <c r="F827" t="s">
        <v>3358</v>
      </c>
      <c r="G827" t="s">
        <v>3359</v>
      </c>
      <c r="H827" s="4">
        <v>46091.441762152775</v>
      </c>
      <c r="J827" t="s">
        <v>248</v>
      </c>
      <c r="K827">
        <v>100637</v>
      </c>
    </row>
    <row r="828" spans="1:11" x14ac:dyDescent="0.55000000000000004">
      <c r="A828" t="s">
        <v>3360</v>
      </c>
      <c r="B828" s="4">
        <v>46094</v>
      </c>
      <c r="C828" t="s">
        <v>467</v>
      </c>
      <c r="D828" t="s">
        <v>3361</v>
      </c>
      <c r="E828" t="s">
        <v>15</v>
      </c>
      <c r="F828" t="s">
        <v>3362</v>
      </c>
      <c r="G828" t="s">
        <v>3363</v>
      </c>
      <c r="H828" s="4">
        <v>46068.788289942131</v>
      </c>
      <c r="J828" t="s">
        <v>19</v>
      </c>
      <c r="K828">
        <v>101361</v>
      </c>
    </row>
    <row r="829" spans="1:11" x14ac:dyDescent="0.55000000000000004">
      <c r="A829" t="s">
        <v>3364</v>
      </c>
      <c r="B829" s="4">
        <v>45824</v>
      </c>
      <c r="C829" t="s">
        <v>757</v>
      </c>
      <c r="D829" t="s">
        <v>3365</v>
      </c>
      <c r="E829" t="s">
        <v>15</v>
      </c>
      <c r="F829" t="s">
        <v>3366</v>
      </c>
      <c r="G829" t="s">
        <v>3367</v>
      </c>
      <c r="H829" s="4">
        <v>46065.422317719909</v>
      </c>
      <c r="J829" t="s">
        <v>533</v>
      </c>
      <c r="K829">
        <v>100478</v>
      </c>
    </row>
    <row r="830" spans="1:11" x14ac:dyDescent="0.55000000000000004">
      <c r="A830" t="s">
        <v>3368</v>
      </c>
      <c r="B830" s="4">
        <v>45789</v>
      </c>
      <c r="C830" t="s">
        <v>334</v>
      </c>
      <c r="D830" t="s">
        <v>3369</v>
      </c>
      <c r="E830" t="s">
        <v>15</v>
      </c>
      <c r="F830" t="s">
        <v>3370</v>
      </c>
      <c r="G830" t="s">
        <v>3371</v>
      </c>
      <c r="H830" s="4">
        <v>46064.552873287037</v>
      </c>
      <c r="J830" t="s">
        <v>179</v>
      </c>
      <c r="K830">
        <v>100169</v>
      </c>
    </row>
    <row r="831" spans="1:11" x14ac:dyDescent="0.55000000000000004">
      <c r="A831" t="s">
        <v>3372</v>
      </c>
      <c r="B831" s="4">
        <v>46122</v>
      </c>
      <c r="C831" t="s">
        <v>49</v>
      </c>
      <c r="D831" t="s">
        <v>3373</v>
      </c>
      <c r="E831" t="s">
        <v>15</v>
      </c>
      <c r="F831" t="s">
        <v>3374</v>
      </c>
      <c r="G831" t="s">
        <v>3375</v>
      </c>
      <c r="H831" s="4">
        <v>46092.279956620368</v>
      </c>
      <c r="J831" t="s">
        <v>19</v>
      </c>
      <c r="K831">
        <v>101374</v>
      </c>
    </row>
    <row r="832" spans="1:11" x14ac:dyDescent="0.55000000000000004">
      <c r="A832" t="s">
        <v>3376</v>
      </c>
      <c r="B832" s="4">
        <v>45791</v>
      </c>
      <c r="C832" t="s">
        <v>58</v>
      </c>
      <c r="D832" t="s">
        <v>3377</v>
      </c>
      <c r="E832" t="s">
        <v>22</v>
      </c>
      <c r="F832" t="s">
        <v>3378</v>
      </c>
      <c r="G832" t="s">
        <v>3379</v>
      </c>
      <c r="H832" s="4">
        <v>46054.11467884259</v>
      </c>
      <c r="J832" t="s">
        <v>19</v>
      </c>
      <c r="K832">
        <v>100414</v>
      </c>
    </row>
    <row r="833" spans="1:11" x14ac:dyDescent="0.55000000000000004">
      <c r="A833" t="s">
        <v>3380</v>
      </c>
      <c r="B833" s="4">
        <v>46015</v>
      </c>
      <c r="C833" t="s">
        <v>58</v>
      </c>
      <c r="D833" t="s">
        <v>3381</v>
      </c>
      <c r="E833" t="s">
        <v>15</v>
      </c>
      <c r="F833" t="s">
        <v>3382</v>
      </c>
      <c r="G833" t="s">
        <v>3383</v>
      </c>
      <c r="H833" s="4">
        <v>46093.069539965276</v>
      </c>
      <c r="J833" t="s">
        <v>248</v>
      </c>
      <c r="K833">
        <v>101295</v>
      </c>
    </row>
    <row r="834" spans="1:11" x14ac:dyDescent="0.55000000000000004">
      <c r="A834" t="s">
        <v>3384</v>
      </c>
      <c r="B834" s="4">
        <v>45823</v>
      </c>
      <c r="C834" t="s">
        <v>317</v>
      </c>
      <c r="D834" t="s">
        <v>3385</v>
      </c>
      <c r="E834" t="s">
        <v>22</v>
      </c>
      <c r="F834" t="s">
        <v>3386</v>
      </c>
      <c r="G834" t="s">
        <v>3387</v>
      </c>
      <c r="H834" s="4">
        <v>46054.59662329861</v>
      </c>
      <c r="J834" t="s">
        <v>68</v>
      </c>
      <c r="K834">
        <v>100695</v>
      </c>
    </row>
    <row r="835" spans="1:11" x14ac:dyDescent="0.55000000000000004">
      <c r="A835" t="s">
        <v>3388</v>
      </c>
      <c r="B835" s="4">
        <v>45956</v>
      </c>
      <c r="C835" t="s">
        <v>184</v>
      </c>
      <c r="D835" t="s">
        <v>3389</v>
      </c>
      <c r="E835" t="s">
        <v>15</v>
      </c>
      <c r="F835" t="s">
        <v>3390</v>
      </c>
      <c r="G835" t="s">
        <v>3391</v>
      </c>
      <c r="H835" s="4">
        <v>46072.176484421296</v>
      </c>
      <c r="J835" t="s">
        <v>179</v>
      </c>
      <c r="K835">
        <v>100684</v>
      </c>
    </row>
    <row r="836" spans="1:11" x14ac:dyDescent="0.55000000000000004">
      <c r="A836" t="s">
        <v>3392</v>
      </c>
      <c r="B836" s="4">
        <v>45784</v>
      </c>
      <c r="C836" t="s">
        <v>199</v>
      </c>
      <c r="D836" t="s">
        <v>3393</v>
      </c>
      <c r="E836" t="s">
        <v>15</v>
      </c>
      <c r="F836" t="s">
        <v>3394</v>
      </c>
      <c r="G836" t="s">
        <v>3395</v>
      </c>
      <c r="H836" s="4">
        <v>46076.461206643522</v>
      </c>
      <c r="J836" t="s">
        <v>19</v>
      </c>
      <c r="K836">
        <v>100344</v>
      </c>
    </row>
    <row r="837" spans="1:11" x14ac:dyDescent="0.55000000000000004">
      <c r="A837" t="s">
        <v>3396</v>
      </c>
      <c r="B837" s="4">
        <v>45938</v>
      </c>
      <c r="C837" t="s">
        <v>115</v>
      </c>
      <c r="D837" t="s">
        <v>3397</v>
      </c>
      <c r="E837" t="s">
        <v>22</v>
      </c>
      <c r="F837" t="s">
        <v>3398</v>
      </c>
      <c r="G837" t="s">
        <v>3399</v>
      </c>
      <c r="H837" s="4">
        <v>46066.350095543981</v>
      </c>
      <c r="J837" t="s">
        <v>19</v>
      </c>
      <c r="K837">
        <v>100863</v>
      </c>
    </row>
    <row r="838" spans="1:11" x14ac:dyDescent="0.55000000000000004">
      <c r="A838" t="s">
        <v>3400</v>
      </c>
      <c r="B838" s="4">
        <v>46035</v>
      </c>
      <c r="C838" t="s">
        <v>757</v>
      </c>
      <c r="D838" t="s">
        <v>3401</v>
      </c>
      <c r="E838" t="s">
        <v>22</v>
      </c>
      <c r="F838" t="s">
        <v>3402</v>
      </c>
      <c r="G838" t="s">
        <v>3403</v>
      </c>
      <c r="H838" s="4">
        <v>46066.798012222222</v>
      </c>
      <c r="I838" t="s">
        <v>112</v>
      </c>
      <c r="J838" t="s">
        <v>19</v>
      </c>
    </row>
    <row r="839" spans="1:11" x14ac:dyDescent="0.55000000000000004">
      <c r="A839" t="s">
        <v>3404</v>
      </c>
      <c r="B839" s="4">
        <v>45939</v>
      </c>
      <c r="C839" t="s">
        <v>467</v>
      </c>
      <c r="D839" t="s">
        <v>3405</v>
      </c>
      <c r="E839" t="s">
        <v>15</v>
      </c>
      <c r="F839" t="s">
        <v>3406</v>
      </c>
      <c r="G839" t="s">
        <v>3407</v>
      </c>
      <c r="H839" s="4">
        <v>46068.592456666665</v>
      </c>
      <c r="J839" t="s">
        <v>19</v>
      </c>
      <c r="K839">
        <v>101261</v>
      </c>
    </row>
    <row r="840" spans="1:11" x14ac:dyDescent="0.55000000000000004">
      <c r="A840" t="s">
        <v>3408</v>
      </c>
      <c r="B840" s="4">
        <v>45860</v>
      </c>
      <c r="C840" t="s">
        <v>418</v>
      </c>
      <c r="D840" t="s">
        <v>3409</v>
      </c>
      <c r="E840" t="s">
        <v>15</v>
      </c>
      <c r="F840" t="s">
        <v>3410</v>
      </c>
      <c r="G840" t="s">
        <v>3411</v>
      </c>
      <c r="H840" s="4">
        <v>46096.604956678239</v>
      </c>
      <c r="J840" t="s">
        <v>533</v>
      </c>
      <c r="K840">
        <v>100446</v>
      </c>
    </row>
    <row r="841" spans="1:11" x14ac:dyDescent="0.55000000000000004">
      <c r="A841" t="s">
        <v>3412</v>
      </c>
      <c r="B841" s="4">
        <v>46157</v>
      </c>
      <c r="C841" t="s">
        <v>69</v>
      </c>
      <c r="D841" t="s">
        <v>3413</v>
      </c>
      <c r="E841" t="s">
        <v>15</v>
      </c>
      <c r="F841" t="s">
        <v>3414</v>
      </c>
      <c r="G841" t="s">
        <v>3415</v>
      </c>
      <c r="H841" s="4">
        <v>46086.202178900465</v>
      </c>
      <c r="J841" t="s">
        <v>37</v>
      </c>
      <c r="K841">
        <v>100279</v>
      </c>
    </row>
    <row r="842" spans="1:11" x14ac:dyDescent="0.55000000000000004">
      <c r="A842" t="s">
        <v>3416</v>
      </c>
      <c r="B842" s="4">
        <v>46079</v>
      </c>
      <c r="C842" t="s">
        <v>356</v>
      </c>
      <c r="D842" t="s">
        <v>3417</v>
      </c>
      <c r="E842" t="s">
        <v>15</v>
      </c>
      <c r="F842" t="s">
        <v>3418</v>
      </c>
      <c r="G842" t="s">
        <v>3419</v>
      </c>
      <c r="H842" s="4">
        <v>46092.806345578705</v>
      </c>
      <c r="J842" t="s">
        <v>19</v>
      </c>
      <c r="K842">
        <v>101075</v>
      </c>
    </row>
    <row r="843" spans="1:11" x14ac:dyDescent="0.55000000000000004">
      <c r="A843" t="s">
        <v>3420</v>
      </c>
      <c r="B843" s="4">
        <v>46124</v>
      </c>
      <c r="C843" t="s">
        <v>418</v>
      </c>
      <c r="D843" t="s">
        <v>3421</v>
      </c>
      <c r="E843" t="s">
        <v>22</v>
      </c>
      <c r="F843" t="s">
        <v>3422</v>
      </c>
      <c r="G843" t="s">
        <v>3423</v>
      </c>
      <c r="H843" s="4">
        <v>46055.038290023149</v>
      </c>
      <c r="J843" t="s">
        <v>19</v>
      </c>
      <c r="K843">
        <v>100499</v>
      </c>
    </row>
    <row r="844" spans="1:11" x14ac:dyDescent="0.55000000000000004">
      <c r="A844" t="s">
        <v>3424</v>
      </c>
      <c r="B844" s="4">
        <v>45990</v>
      </c>
      <c r="C844" t="s">
        <v>467</v>
      </c>
      <c r="D844" t="s">
        <v>3425</v>
      </c>
      <c r="E844" t="s">
        <v>15</v>
      </c>
      <c r="F844" t="s">
        <v>3426</v>
      </c>
      <c r="G844" t="s">
        <v>3427</v>
      </c>
      <c r="H844" s="4">
        <v>46095.134123356482</v>
      </c>
      <c r="J844" t="s">
        <v>19</v>
      </c>
      <c r="K844">
        <v>100225</v>
      </c>
    </row>
    <row r="845" spans="1:11" x14ac:dyDescent="0.55000000000000004">
      <c r="A845" t="s">
        <v>3428</v>
      </c>
      <c r="B845" s="4">
        <v>45928</v>
      </c>
      <c r="C845" t="s">
        <v>58</v>
      </c>
      <c r="D845" t="s">
        <v>3429</v>
      </c>
      <c r="E845" t="s">
        <v>22</v>
      </c>
      <c r="F845" t="s">
        <v>3430</v>
      </c>
      <c r="G845" t="s">
        <v>3431</v>
      </c>
      <c r="H845" s="4">
        <v>46068.695234479164</v>
      </c>
      <c r="J845" t="s">
        <v>533</v>
      </c>
      <c r="K845">
        <v>100617</v>
      </c>
    </row>
    <row r="846" spans="1:11" x14ac:dyDescent="0.55000000000000004">
      <c r="A846" t="s">
        <v>3432</v>
      </c>
      <c r="B846" s="4">
        <v>45822</v>
      </c>
      <c r="C846" t="s">
        <v>562</v>
      </c>
      <c r="D846" t="s">
        <v>3433</v>
      </c>
      <c r="E846" t="s">
        <v>22</v>
      </c>
      <c r="F846" t="s">
        <v>3434</v>
      </c>
      <c r="G846" t="s">
        <v>3435</v>
      </c>
      <c r="H846" s="4">
        <v>46070.554956701388</v>
      </c>
      <c r="J846" t="s">
        <v>37</v>
      </c>
      <c r="K846">
        <v>100819</v>
      </c>
    </row>
    <row r="847" spans="1:11" x14ac:dyDescent="0.55000000000000004">
      <c r="A847" t="s">
        <v>3436</v>
      </c>
      <c r="B847" s="4">
        <v>46098</v>
      </c>
      <c r="C847" t="s">
        <v>334</v>
      </c>
      <c r="D847" t="s">
        <v>3437</v>
      </c>
      <c r="E847" t="s">
        <v>22</v>
      </c>
      <c r="F847" t="s">
        <v>3438</v>
      </c>
      <c r="G847" t="s">
        <v>3439</v>
      </c>
      <c r="H847" s="4">
        <v>46054.958428935184</v>
      </c>
      <c r="J847" t="s">
        <v>68</v>
      </c>
      <c r="K847">
        <v>100559</v>
      </c>
    </row>
    <row r="848" spans="1:11" x14ac:dyDescent="0.55000000000000004">
      <c r="A848" t="s">
        <v>3440</v>
      </c>
      <c r="B848" s="4">
        <v>46024</v>
      </c>
      <c r="C848" t="s">
        <v>89</v>
      </c>
      <c r="D848" t="s">
        <v>3441</v>
      </c>
      <c r="E848" t="s">
        <v>15</v>
      </c>
      <c r="F848" t="s">
        <v>3442</v>
      </c>
      <c r="G848" t="s">
        <v>3443</v>
      </c>
      <c r="H848" s="4">
        <v>46065.66676226852</v>
      </c>
      <c r="J848" t="s">
        <v>19</v>
      </c>
      <c r="K848">
        <v>100752</v>
      </c>
    </row>
    <row r="849" spans="1:11" x14ac:dyDescent="0.55000000000000004">
      <c r="A849" t="s">
        <v>3444</v>
      </c>
      <c r="B849" s="4">
        <v>45866</v>
      </c>
      <c r="C849" t="s">
        <v>89</v>
      </c>
      <c r="D849" t="s">
        <v>3445</v>
      </c>
      <c r="E849" t="s">
        <v>22</v>
      </c>
      <c r="F849" t="s">
        <v>3446</v>
      </c>
      <c r="G849" t="s">
        <v>3447</v>
      </c>
      <c r="H849" s="4">
        <v>46079.290373379627</v>
      </c>
      <c r="J849" t="s">
        <v>179</v>
      </c>
      <c r="K849">
        <v>101329</v>
      </c>
    </row>
    <row r="850" spans="1:11" x14ac:dyDescent="0.55000000000000004">
      <c r="A850" t="s">
        <v>3448</v>
      </c>
      <c r="B850" s="4">
        <v>45746</v>
      </c>
      <c r="C850" t="s">
        <v>199</v>
      </c>
      <c r="D850" t="s">
        <v>3449</v>
      </c>
      <c r="E850" t="s">
        <v>22</v>
      </c>
      <c r="F850" t="s">
        <v>3450</v>
      </c>
      <c r="G850" t="s">
        <v>3451</v>
      </c>
      <c r="H850" s="4">
        <v>46060.707734502314</v>
      </c>
      <c r="J850" t="s">
        <v>37</v>
      </c>
      <c r="K850">
        <v>100551</v>
      </c>
    </row>
    <row r="851" spans="1:11" x14ac:dyDescent="0.55000000000000004">
      <c r="A851" t="s">
        <v>3452</v>
      </c>
      <c r="B851" s="4">
        <v>45926</v>
      </c>
      <c r="C851" t="s">
        <v>69</v>
      </c>
      <c r="D851" t="s">
        <v>3453</v>
      </c>
      <c r="E851" t="s">
        <v>22</v>
      </c>
      <c r="F851" t="s">
        <v>3454</v>
      </c>
      <c r="G851" t="s">
        <v>3455</v>
      </c>
      <c r="H851" s="4">
        <v>46075.160512291666</v>
      </c>
      <c r="J851" t="s">
        <v>68</v>
      </c>
      <c r="K851">
        <v>101421</v>
      </c>
    </row>
    <row r="852" spans="1:11" x14ac:dyDescent="0.55000000000000004">
      <c r="A852" t="s">
        <v>3456</v>
      </c>
      <c r="B852" s="4">
        <v>45760</v>
      </c>
      <c r="C852" t="s">
        <v>587</v>
      </c>
      <c r="D852" t="s">
        <v>3457</v>
      </c>
      <c r="E852" t="s">
        <v>22</v>
      </c>
      <c r="F852" t="s">
        <v>3458</v>
      </c>
      <c r="G852" t="s">
        <v>3459</v>
      </c>
      <c r="H852" s="4">
        <v>46060.625790069447</v>
      </c>
      <c r="J852" t="s">
        <v>68</v>
      </c>
      <c r="K852">
        <v>100399</v>
      </c>
    </row>
    <row r="853" spans="1:11" x14ac:dyDescent="0.55000000000000004">
      <c r="A853" t="s">
        <v>3460</v>
      </c>
      <c r="B853" s="4">
        <v>45888</v>
      </c>
      <c r="C853" t="s">
        <v>20</v>
      </c>
      <c r="D853" t="s">
        <v>3461</v>
      </c>
      <c r="E853" t="s">
        <v>15</v>
      </c>
      <c r="F853" t="s">
        <v>3462</v>
      </c>
      <c r="G853" t="s">
        <v>3463</v>
      </c>
      <c r="H853" s="4">
        <v>46095.980651180558</v>
      </c>
      <c r="J853" t="s">
        <v>37</v>
      </c>
      <c r="K853">
        <v>100771</v>
      </c>
    </row>
    <row r="854" spans="1:11" x14ac:dyDescent="0.55000000000000004">
      <c r="A854" t="s">
        <v>3464</v>
      </c>
      <c r="B854" s="4">
        <v>45751</v>
      </c>
      <c r="C854" t="s">
        <v>757</v>
      </c>
      <c r="D854" t="s">
        <v>3465</v>
      </c>
      <c r="E854" t="s">
        <v>22</v>
      </c>
      <c r="F854" t="s">
        <v>3466</v>
      </c>
      <c r="G854" t="s">
        <v>3467</v>
      </c>
      <c r="H854" s="4">
        <v>46080.717456747683</v>
      </c>
      <c r="J854" t="s">
        <v>68</v>
      </c>
      <c r="K854">
        <v>101109</v>
      </c>
    </row>
    <row r="855" spans="1:11" x14ac:dyDescent="0.55000000000000004">
      <c r="A855" t="s">
        <v>3468</v>
      </c>
      <c r="B855" s="4">
        <v>46033</v>
      </c>
      <c r="C855" t="s">
        <v>20</v>
      </c>
      <c r="D855" t="s">
        <v>3469</v>
      </c>
      <c r="E855" t="s">
        <v>22</v>
      </c>
      <c r="F855" t="s">
        <v>3470</v>
      </c>
      <c r="G855" t="s">
        <v>3471</v>
      </c>
      <c r="H855" s="4">
        <v>46061.191067858796</v>
      </c>
      <c r="J855" t="s">
        <v>19</v>
      </c>
      <c r="K855">
        <v>100360</v>
      </c>
    </row>
    <row r="856" spans="1:11" x14ac:dyDescent="0.55000000000000004">
      <c r="A856" t="s">
        <v>3472</v>
      </c>
      <c r="B856" s="4">
        <v>46025</v>
      </c>
      <c r="C856" t="s">
        <v>69</v>
      </c>
      <c r="D856" t="s">
        <v>3473</v>
      </c>
      <c r="E856" t="s">
        <v>15</v>
      </c>
      <c r="F856" t="s">
        <v>3474</v>
      </c>
      <c r="G856" t="s">
        <v>3475</v>
      </c>
      <c r="H856" s="4">
        <v>46052.786206759258</v>
      </c>
      <c r="J856" t="s">
        <v>68</v>
      </c>
      <c r="K856">
        <v>101390</v>
      </c>
    </row>
    <row r="857" spans="1:11" x14ac:dyDescent="0.55000000000000004">
      <c r="A857" t="s">
        <v>3476</v>
      </c>
      <c r="B857" s="4">
        <v>45904</v>
      </c>
      <c r="C857" t="s">
        <v>467</v>
      </c>
      <c r="D857" t="s">
        <v>3477</v>
      </c>
      <c r="E857" t="s">
        <v>15</v>
      </c>
      <c r="F857" t="s">
        <v>3478</v>
      </c>
      <c r="G857" t="s">
        <v>3479</v>
      </c>
      <c r="H857" s="4">
        <v>46058.320234537037</v>
      </c>
      <c r="J857" t="s">
        <v>248</v>
      </c>
      <c r="K857">
        <v>101171</v>
      </c>
    </row>
    <row r="858" spans="1:11" x14ac:dyDescent="0.55000000000000004">
      <c r="A858" t="s">
        <v>3480</v>
      </c>
      <c r="B858" s="4">
        <v>45955</v>
      </c>
      <c r="C858" t="s">
        <v>69</v>
      </c>
      <c r="D858" t="s">
        <v>3481</v>
      </c>
      <c r="E858" t="s">
        <v>15</v>
      </c>
      <c r="F858" t="s">
        <v>3482</v>
      </c>
      <c r="G858" t="s">
        <v>3483</v>
      </c>
      <c r="H858" s="4">
        <v>46063.441762326387</v>
      </c>
      <c r="J858" t="s">
        <v>68</v>
      </c>
      <c r="K858">
        <v>101045</v>
      </c>
    </row>
    <row r="859" spans="1:11" x14ac:dyDescent="0.55000000000000004">
      <c r="A859" t="s">
        <v>2841</v>
      </c>
      <c r="B859" s="4">
        <v>45867</v>
      </c>
      <c r="C859" t="s">
        <v>20</v>
      </c>
      <c r="D859" t="s">
        <v>3484</v>
      </c>
      <c r="E859" t="s">
        <v>22</v>
      </c>
      <c r="F859" t="s">
        <v>3485</v>
      </c>
      <c r="G859" t="s">
        <v>3486</v>
      </c>
      <c r="H859" s="4">
        <v>46082.857734548612</v>
      </c>
      <c r="J859" t="s">
        <v>68</v>
      </c>
      <c r="K859">
        <v>100962</v>
      </c>
    </row>
    <row r="860" spans="1:11" x14ac:dyDescent="0.55000000000000004">
      <c r="A860" t="s">
        <v>3487</v>
      </c>
      <c r="B860" s="4">
        <v>46099</v>
      </c>
      <c r="C860" t="s">
        <v>343</v>
      </c>
      <c r="D860" t="s">
        <v>3488</v>
      </c>
      <c r="E860" t="s">
        <v>22</v>
      </c>
      <c r="F860" t="s">
        <v>3489</v>
      </c>
      <c r="G860" t="s">
        <v>3490</v>
      </c>
      <c r="H860" s="4">
        <v>46092.940373437501</v>
      </c>
      <c r="J860" t="s">
        <v>37</v>
      </c>
      <c r="K860">
        <v>101302</v>
      </c>
    </row>
    <row r="861" spans="1:11" x14ac:dyDescent="0.55000000000000004">
      <c r="A861" t="s">
        <v>3491</v>
      </c>
      <c r="B861" s="4">
        <v>45975</v>
      </c>
      <c r="C861" t="s">
        <v>356</v>
      </c>
      <c r="D861" t="s">
        <v>3492</v>
      </c>
      <c r="E861" t="s">
        <v>15</v>
      </c>
      <c r="F861" t="s">
        <v>3493</v>
      </c>
      <c r="G861" t="s">
        <v>3494</v>
      </c>
      <c r="H861" s="4">
        <v>46056.316762337963</v>
      </c>
      <c r="J861" t="s">
        <v>19</v>
      </c>
      <c r="K861">
        <v>100020</v>
      </c>
    </row>
    <row r="862" spans="1:11" x14ac:dyDescent="0.55000000000000004">
      <c r="A862" t="s">
        <v>3495</v>
      </c>
      <c r="B862" s="4">
        <v>46143</v>
      </c>
      <c r="C862" t="s">
        <v>89</v>
      </c>
      <c r="D862" t="s">
        <v>3496</v>
      </c>
      <c r="E862" t="s">
        <v>22</v>
      </c>
      <c r="F862" t="s">
        <v>3497</v>
      </c>
      <c r="G862" t="s">
        <v>3498</v>
      </c>
      <c r="H862" s="4">
        <v>46085.157040115744</v>
      </c>
      <c r="J862" t="s">
        <v>19</v>
      </c>
      <c r="K862">
        <v>101386</v>
      </c>
    </row>
    <row r="863" spans="1:11" x14ac:dyDescent="0.55000000000000004">
      <c r="A863" t="s">
        <v>3499</v>
      </c>
      <c r="B863" s="4">
        <v>45860</v>
      </c>
      <c r="C863" t="s">
        <v>43</v>
      </c>
      <c r="D863" t="s">
        <v>3500</v>
      </c>
      <c r="E863" t="s">
        <v>15</v>
      </c>
      <c r="F863" t="s">
        <v>3501</v>
      </c>
      <c r="G863" t="s">
        <v>3502</v>
      </c>
      <c r="H863" s="4">
        <v>46056.745929016201</v>
      </c>
      <c r="J863" t="s">
        <v>179</v>
      </c>
      <c r="K863">
        <v>100598</v>
      </c>
    </row>
    <row r="864" spans="1:11" x14ac:dyDescent="0.55000000000000004">
      <c r="A864" t="s">
        <v>3503</v>
      </c>
      <c r="B864" s="4">
        <v>45827</v>
      </c>
      <c r="C864" t="s">
        <v>680</v>
      </c>
      <c r="D864" t="s">
        <v>3504</v>
      </c>
      <c r="E864" t="s">
        <v>22</v>
      </c>
      <c r="F864" t="s">
        <v>3505</v>
      </c>
      <c r="G864" t="s">
        <v>3506</v>
      </c>
      <c r="H864" s="4">
        <v>46056.988290127316</v>
      </c>
      <c r="J864" t="s">
        <v>19</v>
      </c>
      <c r="K864">
        <v>101235</v>
      </c>
    </row>
    <row r="865" spans="1:11" x14ac:dyDescent="0.55000000000000004">
      <c r="A865" t="s">
        <v>3507</v>
      </c>
      <c r="B865" s="4">
        <v>46125</v>
      </c>
      <c r="C865" t="s">
        <v>170</v>
      </c>
      <c r="D865" t="s">
        <v>3508</v>
      </c>
      <c r="E865" t="s">
        <v>15</v>
      </c>
      <c r="F865" t="s">
        <v>3509</v>
      </c>
      <c r="G865" t="s">
        <v>3510</v>
      </c>
      <c r="H865" s="4">
        <v>46074.088290127314</v>
      </c>
      <c r="J865" t="s">
        <v>19</v>
      </c>
      <c r="K865">
        <v>100398</v>
      </c>
    </row>
    <row r="866" spans="1:11" x14ac:dyDescent="0.55000000000000004">
      <c r="A866" t="s">
        <v>3511</v>
      </c>
      <c r="B866" s="4">
        <v>45855</v>
      </c>
      <c r="C866" t="s">
        <v>317</v>
      </c>
      <c r="D866" t="s">
        <v>3512</v>
      </c>
      <c r="E866" t="s">
        <v>22</v>
      </c>
      <c r="F866" t="s">
        <v>3513</v>
      </c>
      <c r="G866" t="s">
        <v>3514</v>
      </c>
      <c r="H866" s="4">
        <v>46070.162595694441</v>
      </c>
      <c r="J866" t="s">
        <v>533</v>
      </c>
      <c r="K866">
        <v>101241</v>
      </c>
    </row>
    <row r="867" spans="1:11" x14ac:dyDescent="0.55000000000000004">
      <c r="A867" t="s">
        <v>3515</v>
      </c>
      <c r="B867" s="4">
        <v>46157</v>
      </c>
      <c r="C867" t="s">
        <v>317</v>
      </c>
      <c r="D867" t="s">
        <v>3516</v>
      </c>
      <c r="E867" t="s">
        <v>15</v>
      </c>
      <c r="F867" t="s">
        <v>3517</v>
      </c>
      <c r="G867" t="s">
        <v>3518</v>
      </c>
      <c r="H867" s="4">
        <v>46071.366762361111</v>
      </c>
      <c r="J867" t="s">
        <v>68</v>
      </c>
      <c r="K867">
        <v>100852</v>
      </c>
    </row>
    <row r="868" spans="1:11" x14ac:dyDescent="0.55000000000000004">
      <c r="A868" t="s">
        <v>3519</v>
      </c>
      <c r="B868" s="4">
        <v>46062</v>
      </c>
      <c r="C868" t="s">
        <v>20</v>
      </c>
      <c r="D868" t="s">
        <v>3520</v>
      </c>
      <c r="E868" t="s">
        <v>15</v>
      </c>
      <c r="F868" t="s">
        <v>3521</v>
      </c>
      <c r="G868" t="s">
        <v>3522</v>
      </c>
      <c r="H868" s="4">
        <v>46072.407040150465</v>
      </c>
      <c r="J868" t="s">
        <v>68</v>
      </c>
      <c r="K868">
        <v>100211</v>
      </c>
    </row>
    <row r="869" spans="1:11" x14ac:dyDescent="0.55000000000000004">
      <c r="A869" t="s">
        <v>3523</v>
      </c>
      <c r="B869" s="4">
        <v>45808</v>
      </c>
      <c r="C869" t="s">
        <v>155</v>
      </c>
      <c r="D869" t="s">
        <v>3524</v>
      </c>
      <c r="E869" t="s">
        <v>15</v>
      </c>
      <c r="F869" t="s">
        <v>3525</v>
      </c>
      <c r="G869" t="s">
        <v>3526</v>
      </c>
      <c r="H869" s="4">
        <v>46078.086206817126</v>
      </c>
      <c r="J869" t="s">
        <v>533</v>
      </c>
      <c r="K869">
        <v>100063</v>
      </c>
    </row>
    <row r="870" spans="1:11" x14ac:dyDescent="0.55000000000000004">
      <c r="A870" t="s">
        <v>3527</v>
      </c>
      <c r="B870" s="4">
        <v>46018</v>
      </c>
      <c r="C870" t="s">
        <v>334</v>
      </c>
      <c r="D870" t="s">
        <v>3528</v>
      </c>
      <c r="E870" t="s">
        <v>15</v>
      </c>
      <c r="F870" t="s">
        <v>3529</v>
      </c>
      <c r="G870" t="s">
        <v>3530</v>
      </c>
      <c r="H870" s="4">
        <v>46087.358429039348</v>
      </c>
      <c r="I870" t="s">
        <v>139</v>
      </c>
      <c r="J870" t="s">
        <v>19</v>
      </c>
      <c r="K870">
        <v>100730</v>
      </c>
    </row>
    <row r="871" spans="1:11" x14ac:dyDescent="0.55000000000000004">
      <c r="A871" t="s">
        <v>3531</v>
      </c>
      <c r="B871" s="4">
        <v>45746</v>
      </c>
      <c r="C871" t="s">
        <v>467</v>
      </c>
      <c r="D871" t="s">
        <v>3532</v>
      </c>
      <c r="E871" t="s">
        <v>15</v>
      </c>
      <c r="F871" t="s">
        <v>3533</v>
      </c>
      <c r="G871" t="s">
        <v>3534</v>
      </c>
      <c r="H871" s="4">
        <v>46056.686206828701</v>
      </c>
      <c r="J871" t="s">
        <v>533</v>
      </c>
      <c r="K871">
        <v>100477</v>
      </c>
    </row>
    <row r="872" spans="1:11" x14ac:dyDescent="0.55000000000000004">
      <c r="A872" t="s">
        <v>3535</v>
      </c>
      <c r="B872" s="4">
        <v>46132</v>
      </c>
      <c r="C872" t="s">
        <v>155</v>
      </c>
      <c r="D872" t="s">
        <v>3536</v>
      </c>
      <c r="E872" t="s">
        <v>15</v>
      </c>
      <c r="F872" t="s">
        <v>3537</v>
      </c>
      <c r="G872" t="s">
        <v>3538</v>
      </c>
      <c r="H872" s="4">
        <v>46076.890373495371</v>
      </c>
      <c r="J872" t="s">
        <v>19</v>
      </c>
      <c r="K872">
        <v>100555</v>
      </c>
    </row>
    <row r="873" spans="1:11" x14ac:dyDescent="0.55000000000000004">
      <c r="A873" t="s">
        <v>3539</v>
      </c>
      <c r="B873" s="4">
        <v>45764</v>
      </c>
      <c r="C873" t="s">
        <v>295</v>
      </c>
      <c r="D873" t="s">
        <v>3540</v>
      </c>
      <c r="E873" t="s">
        <v>22</v>
      </c>
      <c r="F873" t="s">
        <v>3541</v>
      </c>
      <c r="G873" t="s">
        <v>3542</v>
      </c>
      <c r="H873" s="4">
        <v>46089.41051238426</v>
      </c>
      <c r="J873" t="s">
        <v>68</v>
      </c>
      <c r="K873">
        <v>101304</v>
      </c>
    </row>
    <row r="874" spans="1:11" x14ac:dyDescent="0.55000000000000004">
      <c r="A874" t="s">
        <v>3543</v>
      </c>
      <c r="B874" s="4">
        <v>46024</v>
      </c>
      <c r="C874" t="s">
        <v>343</v>
      </c>
      <c r="D874" t="s">
        <v>3544</v>
      </c>
      <c r="E874" t="s">
        <v>22</v>
      </c>
      <c r="F874" t="s">
        <v>3545</v>
      </c>
      <c r="G874" t="s">
        <v>3546</v>
      </c>
      <c r="H874" s="4">
        <v>46092.407734618057</v>
      </c>
      <c r="J874" t="s">
        <v>533</v>
      </c>
      <c r="K874">
        <v>100417</v>
      </c>
    </row>
    <row r="875" spans="1:11" x14ac:dyDescent="0.55000000000000004">
      <c r="A875" t="s">
        <v>3547</v>
      </c>
      <c r="B875" s="4">
        <v>45794</v>
      </c>
      <c r="C875" t="s">
        <v>467</v>
      </c>
      <c r="D875" t="s">
        <v>3548</v>
      </c>
      <c r="E875" t="s">
        <v>22</v>
      </c>
      <c r="F875" t="s">
        <v>3549</v>
      </c>
      <c r="G875" t="s">
        <v>3550</v>
      </c>
      <c r="H875" s="4">
        <v>46082.144540173613</v>
      </c>
      <c r="J875" t="s">
        <v>19</v>
      </c>
      <c r="K875">
        <v>100965</v>
      </c>
    </row>
    <row r="876" spans="1:11" x14ac:dyDescent="0.55000000000000004">
      <c r="A876" t="s">
        <v>3551</v>
      </c>
      <c r="B876" s="4">
        <v>45805</v>
      </c>
      <c r="C876" t="s">
        <v>115</v>
      </c>
      <c r="D876" t="s">
        <v>3552</v>
      </c>
      <c r="E876" t="s">
        <v>15</v>
      </c>
      <c r="F876" t="s">
        <v>3553</v>
      </c>
      <c r="G876" t="s">
        <v>3554</v>
      </c>
      <c r="H876" s="4">
        <v>46080.120929074074</v>
      </c>
      <c r="J876" t="s">
        <v>248</v>
      </c>
      <c r="K876">
        <v>101418</v>
      </c>
    </row>
    <row r="877" spans="1:11" x14ac:dyDescent="0.55000000000000004">
      <c r="A877" t="s">
        <v>3555</v>
      </c>
      <c r="B877" s="4">
        <v>45862</v>
      </c>
      <c r="C877" t="s">
        <v>83</v>
      </c>
      <c r="D877" t="s">
        <v>3556</v>
      </c>
      <c r="E877" t="s">
        <v>15</v>
      </c>
      <c r="F877" t="s">
        <v>3557</v>
      </c>
      <c r="G877" t="s">
        <v>3558</v>
      </c>
      <c r="H877" s="4">
        <v>46076.970234629633</v>
      </c>
      <c r="J877" t="s">
        <v>179</v>
      </c>
      <c r="K877">
        <v>101136</v>
      </c>
    </row>
    <row r="878" spans="1:11" x14ac:dyDescent="0.55000000000000004">
      <c r="A878" t="s">
        <v>3559</v>
      </c>
      <c r="B878" s="4">
        <v>45975</v>
      </c>
      <c r="C878" t="s">
        <v>562</v>
      </c>
      <c r="D878" t="s">
        <v>3560</v>
      </c>
      <c r="E878" t="s">
        <v>22</v>
      </c>
      <c r="F878" t="s">
        <v>3561</v>
      </c>
      <c r="G878" t="s">
        <v>3562</v>
      </c>
      <c r="H878" s="4">
        <v>46067.223012407405</v>
      </c>
      <c r="J878" t="s">
        <v>179</v>
      </c>
      <c r="K878">
        <v>100723</v>
      </c>
    </row>
    <row r="879" spans="1:11" x14ac:dyDescent="0.55000000000000004">
      <c r="A879" t="s">
        <v>3563</v>
      </c>
      <c r="B879" s="4">
        <v>45742</v>
      </c>
      <c r="C879" t="s">
        <v>184</v>
      </c>
      <c r="D879" t="s">
        <v>3564</v>
      </c>
      <c r="E879" t="s">
        <v>15</v>
      </c>
      <c r="F879" t="s">
        <v>3565</v>
      </c>
      <c r="G879" t="s">
        <v>3566</v>
      </c>
      <c r="H879" s="4">
        <v>46080.960512418984</v>
      </c>
      <c r="J879" t="s">
        <v>68</v>
      </c>
      <c r="K879">
        <v>100156</v>
      </c>
    </row>
    <row r="880" spans="1:11" x14ac:dyDescent="0.55000000000000004">
      <c r="A880" t="s">
        <v>3567</v>
      </c>
      <c r="B880" s="4">
        <v>45890</v>
      </c>
      <c r="C880" t="s">
        <v>13</v>
      </c>
      <c r="D880" t="s">
        <v>3568</v>
      </c>
      <c r="E880" t="s">
        <v>15</v>
      </c>
      <c r="F880" t="s">
        <v>3569</v>
      </c>
      <c r="G880" t="s">
        <v>3570</v>
      </c>
      <c r="H880" s="4">
        <v>46069.193845752314</v>
      </c>
      <c r="J880" t="s">
        <v>179</v>
      </c>
      <c r="K880">
        <v>100710</v>
      </c>
    </row>
    <row r="881" spans="1:11" x14ac:dyDescent="0.55000000000000004">
      <c r="A881" t="s">
        <v>3571</v>
      </c>
      <c r="B881" s="4">
        <v>45933</v>
      </c>
      <c r="C881" t="s">
        <v>295</v>
      </c>
      <c r="D881" t="s">
        <v>3572</v>
      </c>
      <c r="E881" t="s">
        <v>15</v>
      </c>
      <c r="F881" t="s">
        <v>3573</v>
      </c>
      <c r="G881" t="s">
        <v>3574</v>
      </c>
      <c r="H881" s="4">
        <v>46078.447317986109</v>
      </c>
      <c r="J881" t="s">
        <v>37</v>
      </c>
      <c r="K881">
        <v>101026</v>
      </c>
    </row>
    <row r="882" spans="1:11" x14ac:dyDescent="0.55000000000000004">
      <c r="A882" t="s">
        <v>3575</v>
      </c>
      <c r="B882" s="4">
        <v>45956</v>
      </c>
      <c r="C882" t="s">
        <v>83</v>
      </c>
      <c r="D882" t="s">
        <v>3576</v>
      </c>
      <c r="E882" t="s">
        <v>22</v>
      </c>
      <c r="F882" t="s">
        <v>3577</v>
      </c>
      <c r="G882" t="s">
        <v>3578</v>
      </c>
      <c r="H882" s="4">
        <v>46092.047317986115</v>
      </c>
      <c r="J882" t="s">
        <v>533</v>
      </c>
      <c r="K882">
        <v>101048</v>
      </c>
    </row>
    <row r="883" spans="1:11" x14ac:dyDescent="0.55000000000000004">
      <c r="A883" t="s">
        <v>3579</v>
      </c>
      <c r="B883" s="4">
        <v>46109</v>
      </c>
      <c r="C883" t="s">
        <v>58</v>
      </c>
      <c r="D883" t="s">
        <v>3580</v>
      </c>
      <c r="E883" t="s">
        <v>15</v>
      </c>
      <c r="F883" t="s">
        <v>3581</v>
      </c>
      <c r="G883" t="s">
        <v>3582</v>
      </c>
      <c r="H883" s="4">
        <v>46086.752873541664</v>
      </c>
      <c r="J883" t="s">
        <v>19</v>
      </c>
      <c r="K883">
        <v>101201</v>
      </c>
    </row>
    <row r="884" spans="1:11" x14ac:dyDescent="0.55000000000000004">
      <c r="A884" t="s">
        <v>6036</v>
      </c>
      <c r="B884" s="4">
        <v>45991</v>
      </c>
      <c r="C884" t="s">
        <v>20</v>
      </c>
      <c r="D884" t="s">
        <v>3584</v>
      </c>
      <c r="E884" t="s">
        <v>22</v>
      </c>
      <c r="F884" t="s">
        <v>3585</v>
      </c>
      <c r="G884" t="s">
        <v>3586</v>
      </c>
      <c r="H884" s="4">
        <v>46058.967456886574</v>
      </c>
      <c r="I884" t="s">
        <v>119</v>
      </c>
      <c r="J884" t="s">
        <v>248</v>
      </c>
      <c r="K884">
        <v>101406</v>
      </c>
    </row>
    <row r="885" spans="1:11" x14ac:dyDescent="0.55000000000000004">
      <c r="A885" t="s">
        <v>3587</v>
      </c>
      <c r="B885" s="4">
        <v>45964</v>
      </c>
      <c r="C885" t="s">
        <v>108</v>
      </c>
      <c r="D885" t="s">
        <v>3588</v>
      </c>
      <c r="E885" t="s">
        <v>22</v>
      </c>
      <c r="F885" t="s">
        <v>3589</v>
      </c>
      <c r="G885" t="s">
        <v>3590</v>
      </c>
      <c r="H885" s="4">
        <v>46056.552873553243</v>
      </c>
      <c r="J885" t="s">
        <v>68</v>
      </c>
      <c r="K885">
        <v>100082</v>
      </c>
    </row>
    <row r="886" spans="1:11" x14ac:dyDescent="0.55000000000000004">
      <c r="A886" t="s">
        <v>3591</v>
      </c>
      <c r="B886" s="4">
        <v>45937</v>
      </c>
      <c r="C886" t="s">
        <v>317</v>
      </c>
      <c r="D886" t="s">
        <v>3592</v>
      </c>
      <c r="E886" t="s">
        <v>22</v>
      </c>
      <c r="F886" t="s">
        <v>3593</v>
      </c>
      <c r="G886" t="s">
        <v>3594</v>
      </c>
      <c r="H886" s="4">
        <v>46076.927179120372</v>
      </c>
      <c r="J886" t="s">
        <v>37</v>
      </c>
      <c r="K886">
        <v>100553</v>
      </c>
    </row>
    <row r="887" spans="1:11" x14ac:dyDescent="0.55000000000000004">
      <c r="A887" t="s">
        <v>3595</v>
      </c>
      <c r="B887" s="4">
        <v>45788</v>
      </c>
      <c r="C887" t="s">
        <v>115</v>
      </c>
      <c r="D887" t="s">
        <v>3596</v>
      </c>
      <c r="E887" t="s">
        <v>15</v>
      </c>
      <c r="F887" t="s">
        <v>3597</v>
      </c>
      <c r="G887" t="s">
        <v>3598</v>
      </c>
      <c r="H887" s="4">
        <v>46058.770929120372</v>
      </c>
      <c r="I887" t="s">
        <v>217</v>
      </c>
      <c r="J887" t="s">
        <v>248</v>
      </c>
      <c r="K887">
        <v>101364</v>
      </c>
    </row>
    <row r="888" spans="1:11" x14ac:dyDescent="0.55000000000000004">
      <c r="A888" t="s">
        <v>3599</v>
      </c>
      <c r="B888" s="4">
        <v>46137</v>
      </c>
      <c r="C888" t="s">
        <v>757</v>
      </c>
      <c r="D888" t="s">
        <v>3600</v>
      </c>
      <c r="E888" t="s">
        <v>15</v>
      </c>
      <c r="F888" t="s">
        <v>3601</v>
      </c>
      <c r="G888" t="s">
        <v>3602</v>
      </c>
      <c r="H888" s="4">
        <v>46081.499401342589</v>
      </c>
      <c r="J888" t="s">
        <v>179</v>
      </c>
      <c r="K888">
        <v>100986</v>
      </c>
    </row>
    <row r="889" spans="1:11" x14ac:dyDescent="0.55000000000000004">
      <c r="A889" t="s">
        <v>3603</v>
      </c>
      <c r="B889" s="4">
        <v>46155</v>
      </c>
      <c r="C889" t="s">
        <v>356</v>
      </c>
      <c r="D889" t="s">
        <v>3604</v>
      </c>
      <c r="E889" t="s">
        <v>15</v>
      </c>
      <c r="F889" t="s">
        <v>3605</v>
      </c>
      <c r="G889" t="s">
        <v>3606</v>
      </c>
      <c r="H889" s="4">
        <v>46071.223706909725</v>
      </c>
      <c r="J889" t="s">
        <v>19</v>
      </c>
      <c r="K889">
        <v>100278</v>
      </c>
    </row>
    <row r="890" spans="1:11" x14ac:dyDescent="0.55000000000000004">
      <c r="A890" t="s">
        <v>3607</v>
      </c>
      <c r="B890" s="4">
        <v>45933</v>
      </c>
      <c r="C890" t="s">
        <v>409</v>
      </c>
      <c r="D890" t="s">
        <v>3608</v>
      </c>
      <c r="E890" t="s">
        <v>15</v>
      </c>
      <c r="F890" t="s">
        <v>3609</v>
      </c>
      <c r="G890" t="s">
        <v>3610</v>
      </c>
      <c r="H890" s="4">
        <v>46095.952179131942</v>
      </c>
      <c r="I890" t="s">
        <v>217</v>
      </c>
      <c r="K890">
        <v>100981</v>
      </c>
    </row>
    <row r="891" spans="1:11" x14ac:dyDescent="0.55000000000000004">
      <c r="A891" t="s">
        <v>3611</v>
      </c>
      <c r="B891" s="4">
        <v>46052</v>
      </c>
      <c r="C891" t="s">
        <v>155</v>
      </c>
      <c r="D891" t="s">
        <v>3612</v>
      </c>
      <c r="E891" t="s">
        <v>22</v>
      </c>
      <c r="F891" t="s">
        <v>3613</v>
      </c>
      <c r="G891" t="s">
        <v>3614</v>
      </c>
      <c r="H891" s="4">
        <v>46085.373706921295</v>
      </c>
      <c r="J891" t="s">
        <v>19</v>
      </c>
      <c r="K891">
        <v>101491</v>
      </c>
    </row>
    <row r="892" spans="1:11" x14ac:dyDescent="0.55000000000000004">
      <c r="A892" t="s">
        <v>3615</v>
      </c>
      <c r="B892" s="4">
        <v>45757</v>
      </c>
      <c r="C892" t="s">
        <v>89</v>
      </c>
      <c r="D892" t="s">
        <v>3616</v>
      </c>
      <c r="E892" t="s">
        <v>22</v>
      </c>
      <c r="F892" t="s">
        <v>3617</v>
      </c>
      <c r="G892" t="s">
        <v>3618</v>
      </c>
      <c r="H892" s="4">
        <v>46088.619540254629</v>
      </c>
      <c r="J892" t="s">
        <v>533</v>
      </c>
      <c r="K892">
        <v>100730</v>
      </c>
    </row>
    <row r="893" spans="1:11" x14ac:dyDescent="0.55000000000000004">
      <c r="A893" t="s">
        <v>3619</v>
      </c>
      <c r="B893" s="4">
        <v>45819</v>
      </c>
      <c r="C893" t="s">
        <v>243</v>
      </c>
      <c r="D893" t="s">
        <v>3620</v>
      </c>
      <c r="E893" t="s">
        <v>22</v>
      </c>
      <c r="F893" t="s">
        <v>3621</v>
      </c>
      <c r="G893" t="s">
        <v>3622</v>
      </c>
      <c r="H893" s="4">
        <v>46054.043151377315</v>
      </c>
      <c r="J893" t="s">
        <v>68</v>
      </c>
      <c r="K893">
        <v>101079</v>
      </c>
    </row>
    <row r="894" spans="1:11" x14ac:dyDescent="0.55000000000000004">
      <c r="A894" t="s">
        <v>3623</v>
      </c>
      <c r="B894" s="4">
        <v>45846</v>
      </c>
      <c r="C894" t="s">
        <v>562</v>
      </c>
      <c r="D894" t="s">
        <v>3624</v>
      </c>
      <c r="E894" t="s">
        <v>22</v>
      </c>
      <c r="F894" t="s">
        <v>3625</v>
      </c>
      <c r="G894" t="s">
        <v>3626</v>
      </c>
      <c r="H894" s="4">
        <v>46066.202873599534</v>
      </c>
      <c r="J894" t="s">
        <v>533</v>
      </c>
      <c r="K894">
        <v>100450</v>
      </c>
    </row>
    <row r="895" spans="1:11" x14ac:dyDescent="0.55000000000000004">
      <c r="A895" t="s">
        <v>3627</v>
      </c>
      <c r="B895" s="4">
        <v>45952</v>
      </c>
      <c r="C895" t="s">
        <v>38</v>
      </c>
      <c r="D895" t="s">
        <v>3628</v>
      </c>
      <c r="E895" t="s">
        <v>15</v>
      </c>
      <c r="F895" t="s">
        <v>3629</v>
      </c>
      <c r="G895" t="s">
        <v>3630</v>
      </c>
      <c r="H895" s="4">
        <v>46078.783429166666</v>
      </c>
      <c r="J895" t="s">
        <v>533</v>
      </c>
      <c r="K895">
        <v>100281</v>
      </c>
    </row>
    <row r="896" spans="1:11" x14ac:dyDescent="0.55000000000000004">
      <c r="A896" t="s">
        <v>3631</v>
      </c>
      <c r="B896" s="4">
        <v>45946</v>
      </c>
      <c r="C896" t="s">
        <v>69</v>
      </c>
      <c r="D896" t="s">
        <v>3632</v>
      </c>
      <c r="E896" t="s">
        <v>15</v>
      </c>
      <c r="F896" t="s">
        <v>3633</v>
      </c>
      <c r="G896" t="s">
        <v>3634</v>
      </c>
      <c r="H896" s="4">
        <v>46096.333429166669</v>
      </c>
      <c r="J896" t="s">
        <v>248</v>
      </c>
      <c r="K896">
        <v>100244</v>
      </c>
    </row>
    <row r="897" spans="1:11" x14ac:dyDescent="0.55000000000000004">
      <c r="A897" t="s">
        <v>3635</v>
      </c>
      <c r="B897" s="4">
        <v>45852</v>
      </c>
      <c r="C897" t="s">
        <v>208</v>
      </c>
      <c r="D897" t="s">
        <v>3636</v>
      </c>
      <c r="E897" t="s">
        <v>22</v>
      </c>
      <c r="F897" t="s">
        <v>3637</v>
      </c>
      <c r="G897" t="s">
        <v>3638</v>
      </c>
      <c r="H897" s="4">
        <v>46092.731345844906</v>
      </c>
      <c r="J897" t="s">
        <v>248</v>
      </c>
      <c r="K897">
        <v>100641</v>
      </c>
    </row>
    <row r="898" spans="1:11" x14ac:dyDescent="0.55000000000000004">
      <c r="A898" t="s">
        <v>3639</v>
      </c>
      <c r="B898" s="4">
        <v>45800</v>
      </c>
      <c r="C898" t="s">
        <v>757</v>
      </c>
      <c r="D898" t="s">
        <v>3640</v>
      </c>
      <c r="E898" t="s">
        <v>15</v>
      </c>
      <c r="F898" t="s">
        <v>3641</v>
      </c>
      <c r="G898" t="s">
        <v>3642</v>
      </c>
      <c r="H898" s="4">
        <v>46052.200790300929</v>
      </c>
      <c r="J898" t="s">
        <v>19</v>
      </c>
      <c r="K898">
        <v>100496</v>
      </c>
    </row>
    <row r="899" spans="1:11" x14ac:dyDescent="0.55000000000000004">
      <c r="A899" t="s">
        <v>3643</v>
      </c>
      <c r="B899" s="4">
        <v>46108</v>
      </c>
      <c r="C899" t="s">
        <v>343</v>
      </c>
      <c r="D899" t="s">
        <v>3644</v>
      </c>
      <c r="E899" t="s">
        <v>15</v>
      </c>
      <c r="F899" t="s">
        <v>3645</v>
      </c>
      <c r="G899" t="s">
        <v>3646</v>
      </c>
      <c r="H899" s="4">
        <v>46094.273012523146</v>
      </c>
      <c r="J899" t="s">
        <v>179</v>
      </c>
      <c r="K899">
        <v>100533</v>
      </c>
    </row>
    <row r="900" spans="1:11" x14ac:dyDescent="0.55000000000000004">
      <c r="A900" t="s">
        <v>3647</v>
      </c>
      <c r="B900" s="4">
        <v>45973</v>
      </c>
      <c r="C900" t="s">
        <v>27</v>
      </c>
      <c r="D900" t="s">
        <v>3648</v>
      </c>
      <c r="E900" t="s">
        <v>15</v>
      </c>
      <c r="F900" t="s">
        <v>3649</v>
      </c>
      <c r="G900" t="s">
        <v>3650</v>
      </c>
      <c r="H900" s="4">
        <v>46097.385512523149</v>
      </c>
      <c r="J900" t="s">
        <v>248</v>
      </c>
      <c r="K900">
        <v>100796</v>
      </c>
    </row>
    <row r="901" spans="1:11" x14ac:dyDescent="0.55000000000000004">
      <c r="A901" t="s">
        <v>3651</v>
      </c>
      <c r="B901" s="4">
        <v>46049</v>
      </c>
      <c r="C901" t="s">
        <v>58</v>
      </c>
      <c r="D901" t="s">
        <v>3652</v>
      </c>
      <c r="E901" t="s">
        <v>22</v>
      </c>
      <c r="F901" t="s">
        <v>3653</v>
      </c>
      <c r="G901" t="s">
        <v>3654</v>
      </c>
      <c r="H901" s="4">
        <v>46088.950790312498</v>
      </c>
      <c r="J901" t="s">
        <v>19</v>
      </c>
      <c r="K901">
        <v>100784</v>
      </c>
    </row>
    <row r="902" spans="1:11" x14ac:dyDescent="0.55000000000000004">
      <c r="A902" t="s">
        <v>3655</v>
      </c>
      <c r="B902" s="4">
        <v>46029</v>
      </c>
      <c r="C902" t="s">
        <v>20</v>
      </c>
      <c r="D902" t="s">
        <v>3656</v>
      </c>
      <c r="E902" t="s">
        <v>15</v>
      </c>
      <c r="F902" t="s">
        <v>3657</v>
      </c>
      <c r="G902" t="s">
        <v>3658</v>
      </c>
      <c r="H902" s="4">
        <v>46065.045234756944</v>
      </c>
      <c r="J902" t="s">
        <v>37</v>
      </c>
      <c r="K902">
        <v>101420</v>
      </c>
    </row>
    <row r="903" spans="1:11" x14ac:dyDescent="0.55000000000000004">
      <c r="A903" t="s">
        <v>3659</v>
      </c>
      <c r="B903" s="4">
        <v>45971</v>
      </c>
      <c r="C903" t="s">
        <v>155</v>
      </c>
      <c r="D903" t="s">
        <v>3660</v>
      </c>
      <c r="E903" t="s">
        <v>22</v>
      </c>
      <c r="F903" t="s">
        <v>3661</v>
      </c>
      <c r="G903" t="s">
        <v>3662</v>
      </c>
      <c r="H903" s="4">
        <v>46051.991762534723</v>
      </c>
      <c r="J903" t="s">
        <v>68</v>
      </c>
      <c r="K903">
        <v>100652</v>
      </c>
    </row>
    <row r="904" spans="1:11" x14ac:dyDescent="0.55000000000000004">
      <c r="A904" t="s">
        <v>3663</v>
      </c>
      <c r="B904" s="4">
        <v>45804</v>
      </c>
      <c r="C904" t="s">
        <v>295</v>
      </c>
      <c r="D904" t="s">
        <v>3664</v>
      </c>
      <c r="E904" t="s">
        <v>15</v>
      </c>
      <c r="F904" t="s">
        <v>3665</v>
      </c>
      <c r="G904" t="s">
        <v>3666</v>
      </c>
      <c r="H904" s="4">
        <v>46089.036206990742</v>
      </c>
      <c r="J904" t="s">
        <v>179</v>
      </c>
      <c r="K904">
        <v>100860</v>
      </c>
    </row>
    <row r="905" spans="1:11" x14ac:dyDescent="0.55000000000000004">
      <c r="A905" t="s">
        <v>3667</v>
      </c>
      <c r="B905" s="4">
        <v>46114</v>
      </c>
      <c r="C905" t="s">
        <v>58</v>
      </c>
      <c r="D905" t="s">
        <v>3668</v>
      </c>
      <c r="E905" t="s">
        <v>22</v>
      </c>
      <c r="F905" t="s">
        <v>3669</v>
      </c>
      <c r="G905" t="s">
        <v>3670</v>
      </c>
      <c r="H905" s="4">
        <v>46058.370929212964</v>
      </c>
      <c r="J905" t="s">
        <v>248</v>
      </c>
      <c r="K905">
        <v>100253</v>
      </c>
    </row>
    <row r="906" spans="1:11" x14ac:dyDescent="0.55000000000000004">
      <c r="A906" t="s">
        <v>3671</v>
      </c>
      <c r="B906" s="4">
        <v>45892</v>
      </c>
      <c r="C906" t="s">
        <v>356</v>
      </c>
      <c r="D906" t="s">
        <v>3672</v>
      </c>
      <c r="E906" t="s">
        <v>22</v>
      </c>
      <c r="F906" t="s">
        <v>3673</v>
      </c>
      <c r="G906" t="s">
        <v>3674</v>
      </c>
      <c r="H906" s="4">
        <v>46087.955651446762</v>
      </c>
      <c r="J906" t="s">
        <v>19</v>
      </c>
      <c r="K906">
        <v>100997</v>
      </c>
    </row>
    <row r="907" spans="1:11" x14ac:dyDescent="0.55000000000000004">
      <c r="A907" t="s">
        <v>3607</v>
      </c>
      <c r="B907" s="4">
        <v>45759</v>
      </c>
      <c r="C907" t="s">
        <v>115</v>
      </c>
      <c r="D907" t="s">
        <v>3675</v>
      </c>
      <c r="E907" t="s">
        <v>15</v>
      </c>
      <c r="F907" t="s">
        <v>3676</v>
      </c>
      <c r="G907" t="s">
        <v>3677</v>
      </c>
      <c r="H907" s="4">
        <v>46083.485512557869</v>
      </c>
      <c r="J907" t="s">
        <v>179</v>
      </c>
      <c r="K907">
        <v>100265</v>
      </c>
    </row>
    <row r="908" spans="1:11" x14ac:dyDescent="0.55000000000000004">
      <c r="A908" t="s">
        <v>3678</v>
      </c>
      <c r="B908" s="4">
        <v>45972</v>
      </c>
      <c r="C908" t="s">
        <v>418</v>
      </c>
      <c r="D908" t="s">
        <v>3679</v>
      </c>
      <c r="E908" t="s">
        <v>22</v>
      </c>
      <c r="F908" t="s">
        <v>3680</v>
      </c>
      <c r="G908" t="s">
        <v>3681</v>
      </c>
      <c r="H908" s="4">
        <v>46090.042457002317</v>
      </c>
      <c r="J908" t="s">
        <v>37</v>
      </c>
      <c r="K908">
        <v>101288</v>
      </c>
    </row>
    <row r="909" spans="1:11" x14ac:dyDescent="0.55000000000000004">
      <c r="A909" t="s">
        <v>3682</v>
      </c>
      <c r="B909" s="4">
        <v>45958</v>
      </c>
      <c r="C909" t="s">
        <v>27</v>
      </c>
      <c r="D909" t="s">
        <v>3683</v>
      </c>
      <c r="E909" t="s">
        <v>22</v>
      </c>
      <c r="F909" t="s">
        <v>3684</v>
      </c>
      <c r="G909" t="s">
        <v>3685</v>
      </c>
      <c r="H909" s="4">
        <v>46068.045234791665</v>
      </c>
      <c r="J909" t="s">
        <v>37</v>
      </c>
      <c r="K909">
        <v>100971</v>
      </c>
    </row>
    <row r="910" spans="1:11" x14ac:dyDescent="0.55000000000000004">
      <c r="A910" t="s">
        <v>3686</v>
      </c>
      <c r="B910" s="4">
        <v>46100</v>
      </c>
      <c r="C910" t="s">
        <v>155</v>
      </c>
      <c r="D910" t="s">
        <v>3687</v>
      </c>
      <c r="E910" t="s">
        <v>22</v>
      </c>
      <c r="F910" t="s">
        <v>3688</v>
      </c>
      <c r="G910" t="s">
        <v>3689</v>
      </c>
      <c r="H910" s="4">
        <v>46092.456345902778</v>
      </c>
      <c r="J910" t="s">
        <v>533</v>
      </c>
      <c r="K910">
        <v>101255</v>
      </c>
    </row>
    <row r="911" spans="1:11" x14ac:dyDescent="0.55000000000000004">
      <c r="A911" t="s">
        <v>3690</v>
      </c>
      <c r="B911" s="4">
        <v>45824</v>
      </c>
      <c r="C911" t="s">
        <v>317</v>
      </c>
      <c r="D911" t="s">
        <v>3691</v>
      </c>
      <c r="E911" t="s">
        <v>22</v>
      </c>
      <c r="F911" t="s">
        <v>3692</v>
      </c>
      <c r="G911" t="s">
        <v>3693</v>
      </c>
      <c r="H911" s="4">
        <v>46060.802873692126</v>
      </c>
      <c r="J911" t="s">
        <v>68</v>
      </c>
      <c r="K911">
        <v>100761</v>
      </c>
    </row>
    <row r="912" spans="1:11" x14ac:dyDescent="0.55000000000000004">
      <c r="A912" t="s">
        <v>3694</v>
      </c>
      <c r="B912" s="4">
        <v>45840</v>
      </c>
      <c r="C912" t="s">
        <v>528</v>
      </c>
      <c r="D912" t="s">
        <v>3695</v>
      </c>
      <c r="E912" t="s">
        <v>22</v>
      </c>
      <c r="F912" t="s">
        <v>3696</v>
      </c>
      <c r="G912" t="s">
        <v>3697</v>
      </c>
      <c r="H912" s="4">
        <v>46093.395929247687</v>
      </c>
      <c r="J912" t="s">
        <v>19</v>
      </c>
      <c r="K912">
        <v>100162</v>
      </c>
    </row>
    <row r="913" spans="1:11" x14ac:dyDescent="0.55000000000000004">
      <c r="A913" t="s">
        <v>3698</v>
      </c>
      <c r="B913" s="4">
        <v>46078</v>
      </c>
      <c r="C913" t="s">
        <v>20</v>
      </c>
      <c r="D913" t="s">
        <v>3699</v>
      </c>
      <c r="E913" t="s">
        <v>15</v>
      </c>
      <c r="F913" t="s">
        <v>3700</v>
      </c>
      <c r="G913" t="s">
        <v>3701</v>
      </c>
      <c r="H913" s="4">
        <v>46078.777179247685</v>
      </c>
      <c r="J913" t="s">
        <v>19</v>
      </c>
      <c r="K913">
        <v>101071</v>
      </c>
    </row>
    <row r="914" spans="1:11" x14ac:dyDescent="0.55000000000000004">
      <c r="A914" t="s">
        <v>3702</v>
      </c>
      <c r="B914" s="4">
        <v>45933</v>
      </c>
      <c r="C914" t="s">
        <v>170</v>
      </c>
      <c r="D914" t="s">
        <v>3703</v>
      </c>
      <c r="E914" t="s">
        <v>22</v>
      </c>
      <c r="F914" t="s">
        <v>3704</v>
      </c>
      <c r="G914" t="s">
        <v>3705</v>
      </c>
      <c r="H914" s="4">
        <v>46088.704957037036</v>
      </c>
      <c r="J914" t="s">
        <v>533</v>
      </c>
      <c r="K914">
        <v>101018</v>
      </c>
    </row>
    <row r="915" spans="1:11" x14ac:dyDescent="0.55000000000000004">
      <c r="A915" t="s">
        <v>3706</v>
      </c>
      <c r="B915" s="4">
        <v>45967</v>
      </c>
      <c r="C915" t="s">
        <v>213</v>
      </c>
      <c r="D915" t="s">
        <v>3707</v>
      </c>
      <c r="E915" t="s">
        <v>22</v>
      </c>
      <c r="F915" t="s">
        <v>3708</v>
      </c>
      <c r="G915" t="s">
        <v>3709</v>
      </c>
      <c r="H915" s="4">
        <v>46058.810512592594</v>
      </c>
      <c r="J915" t="s">
        <v>37</v>
      </c>
      <c r="K915">
        <v>100850</v>
      </c>
    </row>
    <row r="916" spans="1:11" x14ac:dyDescent="0.55000000000000004">
      <c r="A916" t="s">
        <v>3710</v>
      </c>
      <c r="B916" s="4">
        <v>45900</v>
      </c>
      <c r="C916" t="s">
        <v>317</v>
      </c>
      <c r="D916" t="s">
        <v>3711</v>
      </c>
      <c r="E916" t="s">
        <v>22</v>
      </c>
      <c r="F916" t="s">
        <v>3712</v>
      </c>
      <c r="G916" t="s">
        <v>3713</v>
      </c>
      <c r="H916" s="4">
        <v>46076.936901493056</v>
      </c>
      <c r="J916" t="s">
        <v>37</v>
      </c>
      <c r="K916">
        <v>101177</v>
      </c>
    </row>
    <row r="917" spans="1:11" x14ac:dyDescent="0.55000000000000004">
      <c r="A917" t="s">
        <v>3714</v>
      </c>
      <c r="B917" s="4">
        <v>45840</v>
      </c>
      <c r="C917" t="s">
        <v>317</v>
      </c>
      <c r="D917" t="s">
        <v>3715</v>
      </c>
      <c r="E917" t="s">
        <v>22</v>
      </c>
      <c r="F917" t="s">
        <v>3716</v>
      </c>
      <c r="G917" t="s">
        <v>3717</v>
      </c>
      <c r="H917" s="4">
        <v>46077.667457048614</v>
      </c>
      <c r="J917" t="s">
        <v>533</v>
      </c>
      <c r="K917">
        <v>100516</v>
      </c>
    </row>
    <row r="918" spans="1:11" x14ac:dyDescent="0.55000000000000004">
      <c r="A918" t="s">
        <v>3718</v>
      </c>
      <c r="B918" s="4">
        <v>46012</v>
      </c>
      <c r="C918" t="s">
        <v>243</v>
      </c>
      <c r="D918" t="s">
        <v>3719</v>
      </c>
      <c r="E918" t="s">
        <v>22</v>
      </c>
      <c r="F918" t="s">
        <v>3720</v>
      </c>
      <c r="G918" t="s">
        <v>3721</v>
      </c>
      <c r="H918" s="4">
        <v>46086.40495704861</v>
      </c>
      <c r="J918" t="s">
        <v>37</v>
      </c>
      <c r="K918">
        <v>100913</v>
      </c>
    </row>
    <row r="919" spans="1:11" x14ac:dyDescent="0.55000000000000004">
      <c r="A919" t="s">
        <v>3722</v>
      </c>
      <c r="B919" s="4">
        <v>45777</v>
      </c>
      <c r="C919" t="s">
        <v>115</v>
      </c>
      <c r="D919" t="s">
        <v>3723</v>
      </c>
      <c r="E919" t="s">
        <v>15</v>
      </c>
      <c r="F919" t="s">
        <v>3724</v>
      </c>
      <c r="G919" t="s">
        <v>3725</v>
      </c>
      <c r="H919" s="4">
        <v>46073.173707060188</v>
      </c>
      <c r="J919" t="s">
        <v>179</v>
      </c>
      <c r="K919">
        <v>100736</v>
      </c>
    </row>
    <row r="920" spans="1:11" x14ac:dyDescent="0.55000000000000004">
      <c r="A920" t="s">
        <v>3726</v>
      </c>
      <c r="B920" s="4">
        <v>46063</v>
      </c>
      <c r="C920" t="s">
        <v>199</v>
      </c>
      <c r="D920" t="s">
        <v>3727</v>
      </c>
      <c r="E920" t="s">
        <v>22</v>
      </c>
      <c r="F920" t="s">
        <v>3728</v>
      </c>
      <c r="G920" t="s">
        <v>3729</v>
      </c>
      <c r="H920" s="4">
        <v>46070.304957060187</v>
      </c>
      <c r="J920" t="s">
        <v>68</v>
      </c>
      <c r="K920">
        <v>100834</v>
      </c>
    </row>
    <row r="921" spans="1:11" x14ac:dyDescent="0.55000000000000004">
      <c r="A921" t="s">
        <v>3730</v>
      </c>
      <c r="B921" s="4">
        <v>45799</v>
      </c>
      <c r="C921" t="s">
        <v>141</v>
      </c>
      <c r="D921" t="s">
        <v>3731</v>
      </c>
      <c r="E921" t="s">
        <v>22</v>
      </c>
      <c r="F921" t="s">
        <v>3732</v>
      </c>
      <c r="G921" t="s">
        <v>3733</v>
      </c>
      <c r="H921" s="4">
        <v>46065.461901504626</v>
      </c>
      <c r="J921" t="s">
        <v>19</v>
      </c>
      <c r="K921">
        <v>100627</v>
      </c>
    </row>
    <row r="922" spans="1:11" x14ac:dyDescent="0.55000000000000004">
      <c r="A922" t="s">
        <v>3734</v>
      </c>
      <c r="B922" s="4">
        <v>45960</v>
      </c>
      <c r="C922" t="s">
        <v>58</v>
      </c>
      <c r="D922" t="s">
        <v>3735</v>
      </c>
      <c r="E922" t="s">
        <v>22</v>
      </c>
      <c r="F922" t="s">
        <v>3736</v>
      </c>
      <c r="G922" t="s">
        <v>3737</v>
      </c>
      <c r="H922" s="4">
        <v>46092.145234849537</v>
      </c>
      <c r="J922" t="s">
        <v>19</v>
      </c>
      <c r="K922">
        <v>100453</v>
      </c>
    </row>
    <row r="923" spans="1:11" x14ac:dyDescent="0.55000000000000004">
      <c r="A923" t="s">
        <v>3738</v>
      </c>
      <c r="B923" s="4">
        <v>46046</v>
      </c>
      <c r="C923" t="s">
        <v>69</v>
      </c>
      <c r="D923" t="s">
        <v>3739</v>
      </c>
      <c r="E923" t="s">
        <v>22</v>
      </c>
      <c r="F923" t="s">
        <v>3740</v>
      </c>
      <c r="G923" t="s">
        <v>3741</v>
      </c>
      <c r="H923" s="4">
        <v>46092.688984849534</v>
      </c>
      <c r="J923" t="s">
        <v>68</v>
      </c>
      <c r="K923">
        <v>100912</v>
      </c>
    </row>
    <row r="924" spans="1:11" x14ac:dyDescent="0.55000000000000004">
      <c r="A924" t="s">
        <v>3742</v>
      </c>
      <c r="B924" s="4">
        <v>45906</v>
      </c>
      <c r="C924" t="s">
        <v>189</v>
      </c>
      <c r="D924" t="s">
        <v>3743</v>
      </c>
      <c r="E924" t="s">
        <v>15</v>
      </c>
      <c r="F924" t="s">
        <v>3744</v>
      </c>
      <c r="G924" t="s">
        <v>3745</v>
      </c>
      <c r="H924" s="4">
        <v>46065.996623749998</v>
      </c>
      <c r="J924" t="s">
        <v>19</v>
      </c>
      <c r="K924">
        <v>100773</v>
      </c>
    </row>
    <row r="925" spans="1:11" x14ac:dyDescent="0.55000000000000004">
      <c r="A925" t="s">
        <v>3746</v>
      </c>
      <c r="B925" s="4">
        <v>45774</v>
      </c>
      <c r="C925" t="s">
        <v>757</v>
      </c>
      <c r="D925" t="s">
        <v>3747</v>
      </c>
      <c r="E925" t="s">
        <v>15</v>
      </c>
      <c r="F925" t="s">
        <v>3748</v>
      </c>
      <c r="G925" t="s">
        <v>3749</v>
      </c>
      <c r="H925" s="4">
        <v>46067.318845972222</v>
      </c>
      <c r="J925" t="s">
        <v>19</v>
      </c>
      <c r="K925">
        <v>100324</v>
      </c>
    </row>
    <row r="926" spans="1:11" x14ac:dyDescent="0.55000000000000004">
      <c r="A926" t="s">
        <v>3750</v>
      </c>
      <c r="B926" s="4">
        <v>45797</v>
      </c>
      <c r="C926" t="s">
        <v>208</v>
      </c>
      <c r="D926" t="s">
        <v>3751</v>
      </c>
      <c r="E926" t="s">
        <v>22</v>
      </c>
      <c r="F926" t="s">
        <v>3752</v>
      </c>
      <c r="G926" t="s">
        <v>3753</v>
      </c>
      <c r="H926" s="4">
        <v>46061.678568206022</v>
      </c>
      <c r="J926" t="s">
        <v>533</v>
      </c>
      <c r="K926">
        <v>100609</v>
      </c>
    </row>
    <row r="927" spans="1:11" x14ac:dyDescent="0.55000000000000004">
      <c r="A927" t="s">
        <v>3754</v>
      </c>
      <c r="B927" s="4">
        <v>45771</v>
      </c>
      <c r="C927" t="s">
        <v>38</v>
      </c>
      <c r="D927" t="s">
        <v>3755</v>
      </c>
      <c r="E927" t="s">
        <v>15</v>
      </c>
      <c r="F927" t="s">
        <v>3756</v>
      </c>
      <c r="G927" t="s">
        <v>3757</v>
      </c>
      <c r="H927" s="4">
        <v>46065.141762650463</v>
      </c>
      <c r="J927" t="s">
        <v>19</v>
      </c>
      <c r="K927">
        <v>100572</v>
      </c>
    </row>
    <row r="928" spans="1:11" x14ac:dyDescent="0.55000000000000004">
      <c r="A928" t="s">
        <v>3758</v>
      </c>
      <c r="B928" s="4">
        <v>45780</v>
      </c>
      <c r="C928" t="s">
        <v>27</v>
      </c>
      <c r="D928" t="s">
        <v>3759</v>
      </c>
      <c r="E928" t="s">
        <v>22</v>
      </c>
      <c r="F928" t="s">
        <v>3760</v>
      </c>
      <c r="G928" t="s">
        <v>3761</v>
      </c>
      <c r="H928" s="4">
        <v>46075.384123761571</v>
      </c>
      <c r="J928" t="s">
        <v>179</v>
      </c>
      <c r="K928">
        <v>101055</v>
      </c>
    </row>
    <row r="929" spans="1:11" x14ac:dyDescent="0.55000000000000004">
      <c r="A929" t="s">
        <v>3762</v>
      </c>
      <c r="B929" s="4">
        <v>45773</v>
      </c>
      <c r="C929" t="s">
        <v>243</v>
      </c>
      <c r="D929" t="s">
        <v>3763</v>
      </c>
      <c r="E929" t="s">
        <v>15</v>
      </c>
      <c r="F929" t="s">
        <v>3764</v>
      </c>
      <c r="G929" t="s">
        <v>3765</v>
      </c>
      <c r="H929" s="4">
        <v>46086.187595995369</v>
      </c>
      <c r="J929" t="s">
        <v>19</v>
      </c>
      <c r="K929">
        <v>101118</v>
      </c>
    </row>
    <row r="930" spans="1:11" x14ac:dyDescent="0.55000000000000004">
      <c r="A930" t="s">
        <v>3766</v>
      </c>
      <c r="B930" s="4">
        <v>45774</v>
      </c>
      <c r="C930" t="s">
        <v>49</v>
      </c>
      <c r="D930" t="s">
        <v>3767</v>
      </c>
      <c r="E930" t="s">
        <v>22</v>
      </c>
      <c r="F930" t="s">
        <v>3768</v>
      </c>
      <c r="G930" t="s">
        <v>3769</v>
      </c>
      <c r="H930" s="4">
        <v>46060.099401550928</v>
      </c>
      <c r="I930" t="s">
        <v>217</v>
      </c>
      <c r="K930">
        <v>100937</v>
      </c>
    </row>
    <row r="931" spans="1:11" x14ac:dyDescent="0.55000000000000004">
      <c r="A931" t="s">
        <v>3770</v>
      </c>
      <c r="B931" s="4">
        <v>46051</v>
      </c>
      <c r="C931" t="s">
        <v>356</v>
      </c>
      <c r="D931" t="s">
        <v>3771</v>
      </c>
      <c r="E931" t="s">
        <v>15</v>
      </c>
      <c r="F931" t="s">
        <v>3772</v>
      </c>
      <c r="G931" t="s">
        <v>3773</v>
      </c>
      <c r="H931" s="4">
        <v>46086.634818229169</v>
      </c>
      <c r="J931" t="s">
        <v>179</v>
      </c>
      <c r="K931">
        <v>100820</v>
      </c>
    </row>
    <row r="932" spans="1:11" x14ac:dyDescent="0.55000000000000004">
      <c r="A932" t="s">
        <v>3774</v>
      </c>
      <c r="B932" s="4">
        <v>45864</v>
      </c>
      <c r="C932" t="s">
        <v>243</v>
      </c>
      <c r="D932" t="s">
        <v>3775</v>
      </c>
      <c r="E932" t="s">
        <v>15</v>
      </c>
      <c r="F932" t="s">
        <v>3776</v>
      </c>
      <c r="G932" t="s">
        <v>3777</v>
      </c>
      <c r="H932" s="4">
        <v>46072.580651562501</v>
      </c>
      <c r="J932" t="s">
        <v>19</v>
      </c>
      <c r="K932">
        <v>100136</v>
      </c>
    </row>
    <row r="933" spans="1:11" x14ac:dyDescent="0.55000000000000004">
      <c r="A933" t="s">
        <v>3778</v>
      </c>
      <c r="B933" s="4">
        <v>45819</v>
      </c>
      <c r="C933" t="s">
        <v>213</v>
      </c>
      <c r="D933" t="s">
        <v>3779</v>
      </c>
      <c r="E933" t="s">
        <v>22</v>
      </c>
      <c r="F933" t="s">
        <v>3780</v>
      </c>
      <c r="G933" t="s">
        <v>3781</v>
      </c>
      <c r="H933" s="4">
        <v>46077.866762673613</v>
      </c>
      <c r="J933" t="s">
        <v>37</v>
      </c>
      <c r="K933">
        <v>100467</v>
      </c>
    </row>
    <row r="934" spans="1:11" x14ac:dyDescent="0.55000000000000004">
      <c r="A934" t="s">
        <v>3782</v>
      </c>
      <c r="B934" s="4">
        <v>45916</v>
      </c>
      <c r="C934" t="s">
        <v>300</v>
      </c>
      <c r="D934" t="s">
        <v>3783</v>
      </c>
      <c r="E934" t="s">
        <v>15</v>
      </c>
      <c r="F934" t="s">
        <v>3784</v>
      </c>
      <c r="G934" t="s">
        <v>3785</v>
      </c>
      <c r="H934" s="4">
        <v>46089.554262685182</v>
      </c>
      <c r="J934" t="s">
        <v>19</v>
      </c>
      <c r="K934">
        <v>101200</v>
      </c>
    </row>
    <row r="935" spans="1:11" x14ac:dyDescent="0.55000000000000004">
      <c r="A935" t="s">
        <v>3786</v>
      </c>
      <c r="B935" s="4">
        <v>45829</v>
      </c>
      <c r="C935" t="s">
        <v>155</v>
      </c>
      <c r="D935" t="s">
        <v>3787</v>
      </c>
      <c r="E935" t="s">
        <v>15</v>
      </c>
      <c r="F935" t="s">
        <v>3788</v>
      </c>
      <c r="G935" t="s">
        <v>3789</v>
      </c>
      <c r="H935" s="4">
        <v>46096.448707129632</v>
      </c>
      <c r="J935" t="s">
        <v>37</v>
      </c>
      <c r="K935">
        <v>100868</v>
      </c>
    </row>
    <row r="936" spans="1:11" x14ac:dyDescent="0.55000000000000004">
      <c r="A936" t="s">
        <v>3790</v>
      </c>
      <c r="B936" s="4">
        <v>46064</v>
      </c>
      <c r="C936" t="s">
        <v>317</v>
      </c>
      <c r="D936" t="s">
        <v>3791</v>
      </c>
      <c r="E936" t="s">
        <v>15</v>
      </c>
      <c r="F936" t="s">
        <v>3792</v>
      </c>
      <c r="G936" t="s">
        <v>3793</v>
      </c>
      <c r="H936" s="4">
        <v>46069.855651574071</v>
      </c>
      <c r="J936" t="s">
        <v>19</v>
      </c>
      <c r="K936">
        <v>101481</v>
      </c>
    </row>
    <row r="937" spans="1:11" x14ac:dyDescent="0.55000000000000004">
      <c r="A937" t="s">
        <v>3794</v>
      </c>
      <c r="B937" s="4">
        <v>45829</v>
      </c>
      <c r="C937" t="s">
        <v>20</v>
      </c>
      <c r="D937" t="s">
        <v>3795</v>
      </c>
      <c r="E937" t="s">
        <v>22</v>
      </c>
      <c r="F937" t="s">
        <v>3796</v>
      </c>
      <c r="G937" t="s">
        <v>3797</v>
      </c>
      <c r="H937" s="4">
        <v>46088.072318252314</v>
      </c>
      <c r="J937" t="s">
        <v>19</v>
      </c>
      <c r="K937">
        <v>101066</v>
      </c>
    </row>
    <row r="938" spans="1:11" x14ac:dyDescent="0.55000000000000004">
      <c r="A938" t="s">
        <v>3798</v>
      </c>
      <c r="B938" s="4">
        <v>45743</v>
      </c>
      <c r="C938" t="s">
        <v>115</v>
      </c>
      <c r="D938" t="s">
        <v>2846</v>
      </c>
      <c r="E938" t="s">
        <v>15</v>
      </c>
      <c r="F938" t="s">
        <v>3799</v>
      </c>
      <c r="G938" t="s">
        <v>3800</v>
      </c>
      <c r="H938" s="4">
        <v>46053.113290474539</v>
      </c>
      <c r="J938" t="s">
        <v>179</v>
      </c>
      <c r="K938">
        <v>101497</v>
      </c>
    </row>
    <row r="939" spans="1:11" x14ac:dyDescent="0.55000000000000004">
      <c r="A939" t="s">
        <v>3801</v>
      </c>
      <c r="B939" s="4">
        <v>45973</v>
      </c>
      <c r="C939" t="s">
        <v>69</v>
      </c>
      <c r="D939" t="s">
        <v>3802</v>
      </c>
      <c r="E939" t="s">
        <v>15</v>
      </c>
      <c r="F939" t="s">
        <v>3803</v>
      </c>
      <c r="G939" t="s">
        <v>3804</v>
      </c>
      <c r="H939" s="4">
        <v>46085.327179363427</v>
      </c>
      <c r="J939" t="s">
        <v>19</v>
      </c>
      <c r="K939">
        <v>100475</v>
      </c>
    </row>
    <row r="940" spans="1:11" x14ac:dyDescent="0.55000000000000004">
      <c r="A940" t="s">
        <v>3805</v>
      </c>
      <c r="B940" s="4">
        <v>46156</v>
      </c>
      <c r="C940" t="s">
        <v>295</v>
      </c>
      <c r="D940" t="s">
        <v>3806</v>
      </c>
      <c r="E940" t="s">
        <v>15</v>
      </c>
      <c r="F940" t="s">
        <v>3807</v>
      </c>
      <c r="G940" t="s">
        <v>3808</v>
      </c>
      <c r="H940" s="4">
        <v>46090.849401597225</v>
      </c>
      <c r="J940" t="s">
        <v>19</v>
      </c>
      <c r="K940">
        <v>100530</v>
      </c>
    </row>
    <row r="941" spans="1:11" x14ac:dyDescent="0.55000000000000004">
      <c r="A941" t="s">
        <v>3809</v>
      </c>
      <c r="B941" s="4">
        <v>45944</v>
      </c>
      <c r="C941" t="s">
        <v>27</v>
      </c>
      <c r="D941" t="s">
        <v>3810</v>
      </c>
      <c r="E941" t="s">
        <v>22</v>
      </c>
      <c r="F941" t="s">
        <v>3811</v>
      </c>
      <c r="G941" t="s">
        <v>3812</v>
      </c>
      <c r="H941" s="4">
        <v>46095.052873819448</v>
      </c>
      <c r="J941" t="s">
        <v>179</v>
      </c>
      <c r="K941">
        <v>100712</v>
      </c>
    </row>
    <row r="942" spans="1:11" x14ac:dyDescent="0.55000000000000004">
      <c r="A942" t="s">
        <v>3813</v>
      </c>
      <c r="B942" s="4">
        <v>45980</v>
      </c>
      <c r="C942" t="s">
        <v>213</v>
      </c>
      <c r="D942" t="s">
        <v>3814</v>
      </c>
      <c r="E942" t="s">
        <v>15</v>
      </c>
      <c r="F942" t="s">
        <v>3815</v>
      </c>
      <c r="G942" t="s">
        <v>3816</v>
      </c>
      <c r="H942" s="4">
        <v>46052.659818275461</v>
      </c>
      <c r="J942" t="s">
        <v>179</v>
      </c>
      <c r="K942">
        <v>100823</v>
      </c>
    </row>
    <row r="943" spans="1:11" x14ac:dyDescent="0.55000000000000004">
      <c r="A943" t="s">
        <v>3817</v>
      </c>
      <c r="B943" s="4">
        <v>45741</v>
      </c>
      <c r="C943" t="s">
        <v>467</v>
      </c>
      <c r="D943" t="s">
        <v>3818</v>
      </c>
      <c r="E943" t="s">
        <v>15</v>
      </c>
      <c r="F943" t="s">
        <v>3819</v>
      </c>
      <c r="G943" t="s">
        <v>3820</v>
      </c>
      <c r="H943" s="4">
        <v>46079.824401608799</v>
      </c>
      <c r="J943" t="s">
        <v>19</v>
      </c>
      <c r="K943">
        <v>100180</v>
      </c>
    </row>
    <row r="944" spans="1:11" x14ac:dyDescent="0.55000000000000004">
      <c r="A944" t="s">
        <v>3821</v>
      </c>
      <c r="B944" s="4">
        <v>45974</v>
      </c>
      <c r="C944" t="s">
        <v>69</v>
      </c>
      <c r="D944" t="s">
        <v>3822</v>
      </c>
      <c r="E944" t="s">
        <v>22</v>
      </c>
      <c r="F944" t="s">
        <v>3823</v>
      </c>
      <c r="G944" t="s">
        <v>3824</v>
      </c>
      <c r="H944" s="4">
        <v>46068.754262719907</v>
      </c>
      <c r="J944" t="s">
        <v>179</v>
      </c>
      <c r="K944">
        <v>101367</v>
      </c>
    </row>
    <row r="945" spans="1:11" x14ac:dyDescent="0.55000000000000004">
      <c r="A945" t="s">
        <v>3825</v>
      </c>
      <c r="B945" s="4">
        <v>45742</v>
      </c>
      <c r="C945" t="s">
        <v>20</v>
      </c>
      <c r="D945" t="s">
        <v>3826</v>
      </c>
      <c r="E945" t="s">
        <v>15</v>
      </c>
      <c r="F945" t="s">
        <v>3827</v>
      </c>
      <c r="G945" t="s">
        <v>3828</v>
      </c>
      <c r="H945" s="4">
        <v>46067.257040509263</v>
      </c>
      <c r="J945" t="s">
        <v>179</v>
      </c>
      <c r="K945">
        <v>101391</v>
      </c>
    </row>
    <row r="946" spans="1:11" x14ac:dyDescent="0.55000000000000004">
      <c r="A946" t="s">
        <v>3829</v>
      </c>
      <c r="B946" s="4">
        <v>45850</v>
      </c>
      <c r="C946" t="s">
        <v>160</v>
      </c>
      <c r="D946" t="s">
        <v>3830</v>
      </c>
      <c r="E946" t="s">
        <v>22</v>
      </c>
      <c r="F946" t="s">
        <v>3831</v>
      </c>
      <c r="G946" t="s">
        <v>3832</v>
      </c>
      <c r="H946" s="4">
        <v>46089.32926273148</v>
      </c>
      <c r="J946" t="s">
        <v>179</v>
      </c>
      <c r="K946">
        <v>100797</v>
      </c>
    </row>
    <row r="947" spans="1:11" x14ac:dyDescent="0.55000000000000004">
      <c r="A947" t="s">
        <v>3833</v>
      </c>
      <c r="B947" s="4">
        <v>45945</v>
      </c>
      <c r="C947" t="s">
        <v>300</v>
      </c>
      <c r="D947" t="s">
        <v>3834</v>
      </c>
      <c r="E947" t="s">
        <v>15</v>
      </c>
      <c r="F947" t="s">
        <v>3835</v>
      </c>
      <c r="G947" t="s">
        <v>3836</v>
      </c>
      <c r="H947" s="4">
        <v>46058.451484953701</v>
      </c>
      <c r="J947" t="s">
        <v>179</v>
      </c>
      <c r="K947">
        <v>100109</v>
      </c>
    </row>
    <row r="948" spans="1:11" x14ac:dyDescent="0.55000000000000004">
      <c r="A948" t="s">
        <v>3837</v>
      </c>
      <c r="B948" s="4">
        <v>46085</v>
      </c>
      <c r="C948" t="s">
        <v>121</v>
      </c>
      <c r="D948" t="s">
        <v>3838</v>
      </c>
      <c r="E948" t="s">
        <v>15</v>
      </c>
      <c r="F948" t="s">
        <v>3839</v>
      </c>
      <c r="G948" t="s">
        <v>3840</v>
      </c>
      <c r="H948" s="4">
        <v>46085.523707187502</v>
      </c>
      <c r="J948" t="s">
        <v>68</v>
      </c>
      <c r="K948">
        <v>100906</v>
      </c>
    </row>
    <row r="949" spans="1:11" x14ac:dyDescent="0.55000000000000004">
      <c r="A949" t="s">
        <v>3841</v>
      </c>
      <c r="B949" s="4">
        <v>45983</v>
      </c>
      <c r="C949" t="s">
        <v>69</v>
      </c>
      <c r="D949" t="s">
        <v>3842</v>
      </c>
      <c r="E949" t="s">
        <v>22</v>
      </c>
      <c r="F949" t="s">
        <v>3843</v>
      </c>
      <c r="G949" t="s">
        <v>3844</v>
      </c>
      <c r="H949" s="4">
        <v>46078.412596076392</v>
      </c>
      <c r="I949" t="s">
        <v>217</v>
      </c>
      <c r="K949">
        <v>101046</v>
      </c>
    </row>
    <row r="950" spans="1:11" x14ac:dyDescent="0.55000000000000004">
      <c r="A950" t="s">
        <v>3845</v>
      </c>
      <c r="B950" s="4">
        <v>46017</v>
      </c>
      <c r="C950" t="s">
        <v>155</v>
      </c>
      <c r="D950" t="s">
        <v>3846</v>
      </c>
      <c r="E950" t="s">
        <v>22</v>
      </c>
      <c r="F950" t="s">
        <v>3847</v>
      </c>
      <c r="G950" t="s">
        <v>3848</v>
      </c>
      <c r="H950" s="4">
        <v>46081.238290532405</v>
      </c>
      <c r="J950" t="s">
        <v>248</v>
      </c>
      <c r="K950">
        <v>100881</v>
      </c>
    </row>
    <row r="951" spans="1:11" x14ac:dyDescent="0.55000000000000004">
      <c r="A951" t="s">
        <v>3849</v>
      </c>
      <c r="B951" s="4">
        <v>45821</v>
      </c>
      <c r="C951" t="s">
        <v>13</v>
      </c>
      <c r="D951" t="s">
        <v>3850</v>
      </c>
      <c r="E951" t="s">
        <v>22</v>
      </c>
      <c r="F951" t="s">
        <v>3851</v>
      </c>
      <c r="G951" t="s">
        <v>3852</v>
      </c>
      <c r="H951" s="4">
        <v>46089.868151643517</v>
      </c>
      <c r="J951" t="s">
        <v>533</v>
      </c>
      <c r="K951">
        <v>100768</v>
      </c>
    </row>
    <row r="952" spans="1:11" x14ac:dyDescent="0.55000000000000004">
      <c r="A952" t="s">
        <v>3853</v>
      </c>
      <c r="B952" s="4">
        <v>45793</v>
      </c>
      <c r="C952" t="s">
        <v>208</v>
      </c>
      <c r="D952" t="s">
        <v>3854</v>
      </c>
      <c r="E952" t="s">
        <v>22</v>
      </c>
      <c r="F952" t="s">
        <v>3855</v>
      </c>
      <c r="G952" t="s">
        <v>3856</v>
      </c>
      <c r="H952" s="4">
        <v>46075.679957210647</v>
      </c>
      <c r="J952" t="s">
        <v>248</v>
      </c>
      <c r="K952">
        <v>100914</v>
      </c>
    </row>
    <row r="953" spans="1:11" x14ac:dyDescent="0.55000000000000004">
      <c r="A953" t="s">
        <v>3857</v>
      </c>
      <c r="B953" s="4">
        <v>45868</v>
      </c>
      <c r="C953" t="s">
        <v>317</v>
      </c>
      <c r="D953" t="s">
        <v>3858</v>
      </c>
      <c r="E953" t="s">
        <v>15</v>
      </c>
      <c r="F953" t="s">
        <v>3859</v>
      </c>
      <c r="G953" t="s">
        <v>3860</v>
      </c>
      <c r="H953" s="4">
        <v>46052.674401655095</v>
      </c>
      <c r="J953" t="s">
        <v>19</v>
      </c>
      <c r="K953">
        <v>100005</v>
      </c>
    </row>
    <row r="954" spans="1:11" x14ac:dyDescent="0.55000000000000004">
      <c r="A954" t="s">
        <v>3861</v>
      </c>
      <c r="B954" s="4">
        <v>46141</v>
      </c>
      <c r="C954" t="s">
        <v>141</v>
      </c>
      <c r="D954" t="s">
        <v>3862</v>
      </c>
      <c r="E954" t="s">
        <v>15</v>
      </c>
      <c r="F954" t="s">
        <v>3863</v>
      </c>
      <c r="G954" t="s">
        <v>3864</v>
      </c>
      <c r="H954" s="4">
        <v>46062.686901666668</v>
      </c>
      <c r="J954" t="s">
        <v>179</v>
      </c>
      <c r="K954">
        <v>101453</v>
      </c>
    </row>
    <row r="955" spans="1:11" x14ac:dyDescent="0.55000000000000004">
      <c r="A955" t="s">
        <v>3865</v>
      </c>
      <c r="B955" s="4">
        <v>45785</v>
      </c>
      <c r="C955" t="s">
        <v>317</v>
      </c>
      <c r="D955" t="s">
        <v>3866</v>
      </c>
      <c r="E955" t="s">
        <v>15</v>
      </c>
      <c r="F955" t="s">
        <v>3867</v>
      </c>
      <c r="G955" t="s">
        <v>3868</v>
      </c>
      <c r="H955" s="4">
        <v>46084.232040555558</v>
      </c>
      <c r="J955" t="s">
        <v>19</v>
      </c>
      <c r="K955">
        <v>100671</v>
      </c>
    </row>
    <row r="956" spans="1:11" x14ac:dyDescent="0.55000000000000004">
      <c r="A956" t="s">
        <v>3869</v>
      </c>
      <c r="B956" s="4">
        <v>46104</v>
      </c>
      <c r="C956" t="s">
        <v>757</v>
      </c>
      <c r="D956" t="s">
        <v>3870</v>
      </c>
      <c r="E956" t="s">
        <v>22</v>
      </c>
      <c r="F956" t="s">
        <v>3871</v>
      </c>
      <c r="G956" t="s">
        <v>3872</v>
      </c>
      <c r="H956" s="4">
        <v>46091.527179456018</v>
      </c>
      <c r="J956" t="s">
        <v>533</v>
      </c>
      <c r="K956">
        <v>100151</v>
      </c>
    </row>
    <row r="957" spans="1:11" x14ac:dyDescent="0.55000000000000004">
      <c r="A957" t="s">
        <v>3873</v>
      </c>
      <c r="B957" s="4">
        <v>45903</v>
      </c>
      <c r="C957" t="s">
        <v>155</v>
      </c>
      <c r="D957" t="s">
        <v>3874</v>
      </c>
      <c r="E957" t="s">
        <v>15</v>
      </c>
      <c r="F957" t="s">
        <v>3875</v>
      </c>
      <c r="G957" t="s">
        <v>3876</v>
      </c>
      <c r="H957" s="4">
        <v>46069.154957233797</v>
      </c>
      <c r="J957" t="s">
        <v>68</v>
      </c>
      <c r="K957">
        <v>100249</v>
      </c>
    </row>
    <row r="958" spans="1:11" x14ac:dyDescent="0.55000000000000004">
      <c r="A958" t="s">
        <v>6037</v>
      </c>
      <c r="B958" s="4">
        <v>45857</v>
      </c>
      <c r="C958" t="s">
        <v>49</v>
      </c>
      <c r="D958" t="s">
        <v>3878</v>
      </c>
      <c r="E958" t="s">
        <v>15</v>
      </c>
      <c r="F958" t="s">
        <v>3879</v>
      </c>
      <c r="G958" t="s">
        <v>3880</v>
      </c>
      <c r="H958" s="4">
        <v>46092.368151689814</v>
      </c>
      <c r="I958" t="s">
        <v>119</v>
      </c>
      <c r="J958" t="s">
        <v>37</v>
      </c>
      <c r="K958">
        <v>100409</v>
      </c>
    </row>
    <row r="959" spans="1:11" x14ac:dyDescent="0.55000000000000004">
      <c r="A959" t="s">
        <v>3881</v>
      </c>
      <c r="B959" s="4">
        <v>46098</v>
      </c>
      <c r="C959" t="s">
        <v>356</v>
      </c>
      <c r="D959" t="s">
        <v>3882</v>
      </c>
      <c r="E959" t="s">
        <v>15</v>
      </c>
      <c r="F959" t="s">
        <v>3883</v>
      </c>
      <c r="G959" t="s">
        <v>3884</v>
      </c>
      <c r="H959" s="4">
        <v>46064.146623912035</v>
      </c>
      <c r="J959" t="s">
        <v>68</v>
      </c>
      <c r="K959">
        <v>100506</v>
      </c>
    </row>
    <row r="960" spans="1:11" x14ac:dyDescent="0.55000000000000004">
      <c r="A960" t="s">
        <v>3885</v>
      </c>
      <c r="B960" s="4">
        <v>45802</v>
      </c>
      <c r="C960" t="s">
        <v>757</v>
      </c>
      <c r="D960" t="s">
        <v>3886</v>
      </c>
      <c r="E960" t="s">
        <v>22</v>
      </c>
      <c r="F960" t="s">
        <v>3887</v>
      </c>
      <c r="G960" t="s">
        <v>3888</v>
      </c>
      <c r="H960" s="4">
        <v>46063.7757905787</v>
      </c>
      <c r="J960" t="s">
        <v>248</v>
      </c>
      <c r="K960">
        <v>101438</v>
      </c>
    </row>
    <row r="961" spans="1:11" x14ac:dyDescent="0.55000000000000004">
      <c r="A961" t="s">
        <v>3889</v>
      </c>
      <c r="B961" s="4">
        <v>45747</v>
      </c>
      <c r="C961" t="s">
        <v>265</v>
      </c>
      <c r="D961" t="s">
        <v>3890</v>
      </c>
      <c r="E961" t="s">
        <v>15</v>
      </c>
      <c r="F961" t="s">
        <v>3891</v>
      </c>
      <c r="G961" t="s">
        <v>3892</v>
      </c>
      <c r="H961" s="4">
        <v>46092.265373923612</v>
      </c>
      <c r="J961" t="s">
        <v>68</v>
      </c>
      <c r="K961">
        <v>100713</v>
      </c>
    </row>
    <row r="962" spans="1:11" x14ac:dyDescent="0.55000000000000004">
      <c r="A962" t="s">
        <v>3893</v>
      </c>
      <c r="B962" s="4">
        <v>45937</v>
      </c>
      <c r="C962" t="s">
        <v>69</v>
      </c>
      <c r="D962" t="s">
        <v>3894</v>
      </c>
      <c r="E962" t="s">
        <v>15</v>
      </c>
      <c r="F962" t="s">
        <v>3895</v>
      </c>
      <c r="G962" t="s">
        <v>3896</v>
      </c>
      <c r="H962" s="4">
        <v>46072.693846145834</v>
      </c>
      <c r="J962" t="s">
        <v>68</v>
      </c>
      <c r="K962">
        <v>101454</v>
      </c>
    </row>
    <row r="963" spans="1:11" x14ac:dyDescent="0.55000000000000004">
      <c r="A963" t="s">
        <v>3897</v>
      </c>
      <c r="B963" s="4">
        <v>46026</v>
      </c>
      <c r="C963" t="s">
        <v>317</v>
      </c>
      <c r="D963" t="s">
        <v>3898</v>
      </c>
      <c r="E963" t="s">
        <v>22</v>
      </c>
      <c r="F963" t="s">
        <v>3899</v>
      </c>
      <c r="G963" t="s">
        <v>3900</v>
      </c>
      <c r="H963" s="4">
        <v>46071.174401701392</v>
      </c>
      <c r="J963" t="s">
        <v>533</v>
      </c>
      <c r="K963">
        <v>100199</v>
      </c>
    </row>
    <row r="964" spans="1:11" x14ac:dyDescent="0.55000000000000004">
      <c r="A964" t="s">
        <v>3901</v>
      </c>
      <c r="B964" s="4">
        <v>45887</v>
      </c>
      <c r="C964" t="s">
        <v>126</v>
      </c>
      <c r="D964" t="s">
        <v>3902</v>
      </c>
      <c r="E964" t="s">
        <v>15</v>
      </c>
      <c r="F964" t="s">
        <v>3903</v>
      </c>
      <c r="G964" t="s">
        <v>3904</v>
      </c>
      <c r="H964" s="4">
        <v>46079.995929490738</v>
      </c>
      <c r="J964" t="s">
        <v>19</v>
      </c>
      <c r="K964">
        <v>100589</v>
      </c>
    </row>
    <row r="965" spans="1:11" x14ac:dyDescent="0.55000000000000004">
      <c r="A965" t="s">
        <v>3905</v>
      </c>
      <c r="B965" s="4">
        <v>45807</v>
      </c>
      <c r="C965" t="s">
        <v>680</v>
      </c>
      <c r="D965" t="s">
        <v>3906</v>
      </c>
      <c r="E965" t="s">
        <v>22</v>
      </c>
      <c r="F965" t="s">
        <v>3907</v>
      </c>
      <c r="G965" t="s">
        <v>3908</v>
      </c>
      <c r="H965" s="4">
        <v>46053.254957268517</v>
      </c>
      <c r="J965" t="s">
        <v>19</v>
      </c>
      <c r="K965">
        <v>101392</v>
      </c>
    </row>
    <row r="966" spans="1:11" x14ac:dyDescent="0.55000000000000004">
      <c r="A966" t="s">
        <v>3909</v>
      </c>
      <c r="B966" s="4">
        <v>46129</v>
      </c>
      <c r="C966" t="s">
        <v>20</v>
      </c>
      <c r="D966" t="s">
        <v>3910</v>
      </c>
      <c r="E966" t="s">
        <v>15</v>
      </c>
      <c r="F966" t="s">
        <v>3911</v>
      </c>
      <c r="G966" t="s">
        <v>3912</v>
      </c>
      <c r="H966" s="4">
        <v>46094.982040613424</v>
      </c>
      <c r="J966" t="s">
        <v>179</v>
      </c>
      <c r="K966">
        <v>101480</v>
      </c>
    </row>
    <row r="967" spans="1:11" x14ac:dyDescent="0.55000000000000004">
      <c r="A967" t="s">
        <v>3913</v>
      </c>
      <c r="B967" s="4">
        <v>45931</v>
      </c>
      <c r="C967" t="s">
        <v>562</v>
      </c>
      <c r="D967" t="s">
        <v>3914</v>
      </c>
      <c r="E967" t="s">
        <v>15</v>
      </c>
      <c r="F967" t="s">
        <v>3915</v>
      </c>
      <c r="G967" t="s">
        <v>3916</v>
      </c>
      <c r="H967" s="4">
        <v>46092.018846168983</v>
      </c>
      <c r="J967" t="s">
        <v>68</v>
      </c>
      <c r="K967">
        <v>100424</v>
      </c>
    </row>
    <row r="968" spans="1:11" x14ac:dyDescent="0.55000000000000004">
      <c r="A968" t="s">
        <v>3917</v>
      </c>
      <c r="B968" s="4">
        <v>45891</v>
      </c>
      <c r="C968" t="s">
        <v>199</v>
      </c>
      <c r="D968" t="s">
        <v>3918</v>
      </c>
      <c r="E968" t="s">
        <v>15</v>
      </c>
      <c r="F968" t="s">
        <v>3919</v>
      </c>
      <c r="G968" t="s">
        <v>3920</v>
      </c>
      <c r="H968" s="4">
        <v>46062.903568402777</v>
      </c>
      <c r="J968" t="s">
        <v>19</v>
      </c>
      <c r="K968">
        <v>101072</v>
      </c>
    </row>
    <row r="969" spans="1:11" x14ac:dyDescent="0.55000000000000004">
      <c r="A969" t="s">
        <v>3369</v>
      </c>
      <c r="B969" s="4">
        <v>45855</v>
      </c>
      <c r="C969" t="s">
        <v>757</v>
      </c>
      <c r="D969" t="s">
        <v>3921</v>
      </c>
      <c r="E969" t="s">
        <v>15</v>
      </c>
      <c r="F969" t="s">
        <v>3922</v>
      </c>
      <c r="G969" t="s">
        <v>3923</v>
      </c>
      <c r="H969" s="4">
        <v>46094.216068402777</v>
      </c>
      <c r="J969" t="s">
        <v>248</v>
      </c>
      <c r="K969">
        <v>100074</v>
      </c>
    </row>
    <row r="970" spans="1:11" x14ac:dyDescent="0.55000000000000004">
      <c r="A970" t="s">
        <v>3924</v>
      </c>
      <c r="B970" s="4">
        <v>46053</v>
      </c>
      <c r="C970" t="s">
        <v>343</v>
      </c>
      <c r="D970" t="s">
        <v>3925</v>
      </c>
      <c r="E970" t="s">
        <v>15</v>
      </c>
      <c r="F970" t="s">
        <v>3926</v>
      </c>
      <c r="G970" t="s">
        <v>3927</v>
      </c>
      <c r="H970" s="4">
        <v>46069.32231841435</v>
      </c>
      <c r="J970" t="s">
        <v>248</v>
      </c>
      <c r="K970">
        <v>100786</v>
      </c>
    </row>
    <row r="971" spans="1:11" x14ac:dyDescent="0.55000000000000004">
      <c r="A971" t="s">
        <v>3928</v>
      </c>
      <c r="B971" s="4">
        <v>46109</v>
      </c>
      <c r="C971" t="s">
        <v>69</v>
      </c>
      <c r="D971" t="s">
        <v>3929</v>
      </c>
      <c r="E971" t="s">
        <v>22</v>
      </c>
      <c r="F971" t="s">
        <v>3930</v>
      </c>
      <c r="G971" t="s">
        <v>3931</v>
      </c>
      <c r="H971" s="4">
        <v>46081.918846192129</v>
      </c>
      <c r="J971" t="s">
        <v>19</v>
      </c>
      <c r="K971">
        <v>100870</v>
      </c>
    </row>
    <row r="972" spans="1:11" x14ac:dyDescent="0.55000000000000004">
      <c r="A972" t="s">
        <v>3932</v>
      </c>
      <c r="B972" s="4">
        <v>46097</v>
      </c>
      <c r="C972" t="s">
        <v>587</v>
      </c>
      <c r="D972" t="s">
        <v>3933</v>
      </c>
      <c r="E972" t="s">
        <v>22</v>
      </c>
      <c r="F972" t="s">
        <v>3934</v>
      </c>
      <c r="G972" t="s">
        <v>3935</v>
      </c>
      <c r="H972" s="4">
        <v>46078.341762870368</v>
      </c>
      <c r="J972" t="s">
        <v>19</v>
      </c>
      <c r="K972">
        <v>101073</v>
      </c>
    </row>
    <row r="973" spans="1:11" x14ac:dyDescent="0.55000000000000004">
      <c r="A973" t="s">
        <v>3936</v>
      </c>
      <c r="B973" s="4">
        <v>46076</v>
      </c>
      <c r="C973" t="s">
        <v>317</v>
      </c>
      <c r="D973" t="s">
        <v>3937</v>
      </c>
      <c r="E973" t="s">
        <v>22</v>
      </c>
      <c r="F973" t="s">
        <v>3938</v>
      </c>
      <c r="G973" t="s">
        <v>3939</v>
      </c>
      <c r="H973" s="4">
        <v>46064.393846203704</v>
      </c>
      <c r="J973" t="s">
        <v>19</v>
      </c>
      <c r="K973">
        <v>100486</v>
      </c>
    </row>
    <row r="974" spans="1:11" x14ac:dyDescent="0.55000000000000004">
      <c r="A974" t="s">
        <v>3940</v>
      </c>
      <c r="B974" s="4">
        <v>45899</v>
      </c>
      <c r="C974" t="s">
        <v>160</v>
      </c>
      <c r="D974" t="s">
        <v>3941</v>
      </c>
      <c r="E974" t="s">
        <v>22</v>
      </c>
      <c r="F974" t="s">
        <v>3942</v>
      </c>
      <c r="G974" t="s">
        <v>3943</v>
      </c>
      <c r="H974" s="4">
        <v>46091.537596203707</v>
      </c>
      <c r="J974" t="s">
        <v>533</v>
      </c>
      <c r="K974">
        <v>100250</v>
      </c>
    </row>
    <row r="975" spans="1:11" x14ac:dyDescent="0.55000000000000004">
      <c r="A975" t="s">
        <v>3944</v>
      </c>
      <c r="B975" s="4">
        <v>46156</v>
      </c>
      <c r="C975" t="s">
        <v>141</v>
      </c>
      <c r="D975" t="s">
        <v>3945</v>
      </c>
      <c r="E975" t="s">
        <v>15</v>
      </c>
      <c r="F975" t="s">
        <v>3946</v>
      </c>
      <c r="G975" t="s">
        <v>3947</v>
      </c>
      <c r="H975" s="4">
        <v>46070.561207326391</v>
      </c>
      <c r="J975" t="s">
        <v>179</v>
      </c>
      <c r="K975">
        <v>100047</v>
      </c>
    </row>
    <row r="976" spans="1:11" x14ac:dyDescent="0.55000000000000004">
      <c r="A976" t="s">
        <v>3948</v>
      </c>
      <c r="B976" s="4">
        <v>45841</v>
      </c>
      <c r="C976" t="s">
        <v>295</v>
      </c>
      <c r="D976" t="s">
        <v>3949</v>
      </c>
      <c r="E976" t="s">
        <v>22</v>
      </c>
      <c r="F976" t="s">
        <v>3950</v>
      </c>
      <c r="G976" t="s">
        <v>3951</v>
      </c>
      <c r="H976" s="4">
        <v>46059.951485104168</v>
      </c>
      <c r="J976" t="s">
        <v>19</v>
      </c>
      <c r="K976">
        <v>100025</v>
      </c>
    </row>
    <row r="977" spans="1:11" x14ac:dyDescent="0.55000000000000004">
      <c r="A977" t="s">
        <v>3952</v>
      </c>
      <c r="B977" s="4">
        <v>46130</v>
      </c>
      <c r="C977" t="s">
        <v>467</v>
      </c>
      <c r="D977" t="s">
        <v>3953</v>
      </c>
      <c r="E977" t="s">
        <v>22</v>
      </c>
      <c r="F977" t="s">
        <v>3954</v>
      </c>
      <c r="G977" t="s">
        <v>3955</v>
      </c>
      <c r="H977" s="4">
        <v>46057.143846226849</v>
      </c>
      <c r="J977" t="s">
        <v>19</v>
      </c>
      <c r="K977">
        <v>101159</v>
      </c>
    </row>
    <row r="978" spans="1:11" x14ac:dyDescent="0.55000000000000004">
      <c r="A978" t="s">
        <v>3956</v>
      </c>
      <c r="B978" s="4">
        <v>46084</v>
      </c>
      <c r="C978" t="s">
        <v>757</v>
      </c>
      <c r="D978" t="s">
        <v>3957</v>
      </c>
      <c r="E978" t="s">
        <v>15</v>
      </c>
      <c r="F978" t="s">
        <v>3958</v>
      </c>
      <c r="G978" t="s">
        <v>3959</v>
      </c>
      <c r="H978" s="4">
        <v>46088.027179560188</v>
      </c>
      <c r="J978" t="s">
        <v>179</v>
      </c>
      <c r="K978">
        <v>100203</v>
      </c>
    </row>
    <row r="979" spans="1:11" x14ac:dyDescent="0.55000000000000004">
      <c r="A979" t="s">
        <v>3960</v>
      </c>
      <c r="B979" s="4">
        <v>45980</v>
      </c>
      <c r="C979" t="s">
        <v>121</v>
      </c>
      <c r="D979" t="s">
        <v>3961</v>
      </c>
      <c r="E979" t="s">
        <v>15</v>
      </c>
      <c r="F979" t="s">
        <v>3962</v>
      </c>
      <c r="G979" t="s">
        <v>3963</v>
      </c>
      <c r="H979" s="4">
        <v>46068.073012905093</v>
      </c>
      <c r="J979" t="s">
        <v>533</v>
      </c>
      <c r="K979">
        <v>100825</v>
      </c>
    </row>
    <row r="980" spans="1:11" x14ac:dyDescent="0.55000000000000004">
      <c r="A980" t="s">
        <v>3964</v>
      </c>
      <c r="B980" s="4">
        <v>46114</v>
      </c>
      <c r="C980" t="s">
        <v>38</v>
      </c>
      <c r="D980" t="s">
        <v>3965</v>
      </c>
      <c r="E980" t="s">
        <v>22</v>
      </c>
      <c r="F980" t="s">
        <v>3966</v>
      </c>
      <c r="G980" t="s">
        <v>3967</v>
      </c>
      <c r="H980" s="4">
        <v>46089.890374016206</v>
      </c>
      <c r="J980" t="s">
        <v>37</v>
      </c>
      <c r="K980">
        <v>100230</v>
      </c>
    </row>
    <row r="981" spans="1:11" x14ac:dyDescent="0.55000000000000004">
      <c r="A981" t="s">
        <v>3968</v>
      </c>
      <c r="B981" s="4">
        <v>45788</v>
      </c>
      <c r="C981" t="s">
        <v>20</v>
      </c>
      <c r="D981" t="s">
        <v>3969</v>
      </c>
      <c r="E981" t="s">
        <v>22</v>
      </c>
      <c r="F981" t="s">
        <v>3970</v>
      </c>
      <c r="G981" t="s">
        <v>3971</v>
      </c>
      <c r="H981" s="4">
        <v>46095.002874016202</v>
      </c>
      <c r="J981" t="s">
        <v>179</v>
      </c>
      <c r="K981">
        <v>101207</v>
      </c>
    </row>
    <row r="982" spans="1:11" x14ac:dyDescent="0.55000000000000004">
      <c r="A982" t="s">
        <v>3972</v>
      </c>
      <c r="B982" s="4">
        <v>45792</v>
      </c>
      <c r="C982" t="s">
        <v>49</v>
      </c>
      <c r="D982" t="s">
        <v>3973</v>
      </c>
      <c r="E982" t="s">
        <v>22</v>
      </c>
      <c r="F982" t="s">
        <v>3974</v>
      </c>
      <c r="G982" t="s">
        <v>3975</v>
      </c>
      <c r="H982" s="4">
        <v>46079.054957361113</v>
      </c>
      <c r="J982" t="s">
        <v>533</v>
      </c>
      <c r="K982">
        <v>100688</v>
      </c>
    </row>
    <row r="983" spans="1:11" x14ac:dyDescent="0.55000000000000004">
      <c r="A983" t="s">
        <v>3976</v>
      </c>
      <c r="B983" s="4">
        <v>46137</v>
      </c>
      <c r="C983" t="s">
        <v>115</v>
      </c>
      <c r="D983" t="s">
        <v>3977</v>
      </c>
      <c r="E983" t="s">
        <v>22</v>
      </c>
      <c r="F983" t="s">
        <v>3978</v>
      </c>
      <c r="G983" t="s">
        <v>3979</v>
      </c>
      <c r="H983" s="4">
        <v>46094.312596249998</v>
      </c>
      <c r="J983" t="s">
        <v>37</v>
      </c>
      <c r="K983">
        <v>100240</v>
      </c>
    </row>
    <row r="984" spans="1:11" x14ac:dyDescent="0.55000000000000004">
      <c r="A984" t="s">
        <v>3980</v>
      </c>
      <c r="B984" s="4">
        <v>45842</v>
      </c>
      <c r="C984" t="s">
        <v>317</v>
      </c>
      <c r="D984" t="s">
        <v>3981</v>
      </c>
      <c r="E984" t="s">
        <v>22</v>
      </c>
      <c r="F984" t="s">
        <v>3982</v>
      </c>
      <c r="G984" t="s">
        <v>3983</v>
      </c>
      <c r="H984" s="4">
        <v>46097.572318483799</v>
      </c>
      <c r="J984" t="s">
        <v>68</v>
      </c>
      <c r="K984">
        <v>100769</v>
      </c>
    </row>
    <row r="985" spans="1:11" x14ac:dyDescent="0.55000000000000004">
      <c r="A985" t="s">
        <v>3984</v>
      </c>
      <c r="B985" s="4">
        <v>45910</v>
      </c>
      <c r="C985" t="s">
        <v>155</v>
      </c>
      <c r="D985" t="s">
        <v>3985</v>
      </c>
      <c r="E985" t="s">
        <v>22</v>
      </c>
      <c r="F985" t="s">
        <v>3986</v>
      </c>
      <c r="G985" t="s">
        <v>3987</v>
      </c>
      <c r="H985" s="4">
        <v>46066.931346261576</v>
      </c>
      <c r="J985" t="s">
        <v>19</v>
      </c>
      <c r="K985">
        <v>100974</v>
      </c>
    </row>
    <row r="986" spans="1:11" x14ac:dyDescent="0.55000000000000004">
      <c r="A986" t="s">
        <v>3988</v>
      </c>
      <c r="B986" s="4">
        <v>46021</v>
      </c>
      <c r="C986" t="s">
        <v>58</v>
      </c>
      <c r="D986" t="s">
        <v>3989</v>
      </c>
      <c r="E986" t="s">
        <v>22</v>
      </c>
      <c r="F986" t="s">
        <v>3990</v>
      </c>
      <c r="G986" t="s">
        <v>3991</v>
      </c>
      <c r="H986" s="4">
        <v>46059.557735162038</v>
      </c>
      <c r="J986" t="s">
        <v>68</v>
      </c>
      <c r="K986">
        <v>100838</v>
      </c>
    </row>
    <row r="987" spans="1:11" x14ac:dyDescent="0.55000000000000004">
      <c r="A987" t="s">
        <v>3992</v>
      </c>
      <c r="B987" s="4">
        <v>45990</v>
      </c>
      <c r="C987" t="s">
        <v>213</v>
      </c>
      <c r="D987" t="s">
        <v>3993</v>
      </c>
      <c r="E987" t="s">
        <v>15</v>
      </c>
      <c r="F987" t="s">
        <v>3994</v>
      </c>
      <c r="G987" t="s">
        <v>3995</v>
      </c>
      <c r="H987" s="4">
        <v>46077.619540717591</v>
      </c>
      <c r="J987" t="s">
        <v>533</v>
      </c>
      <c r="K987">
        <v>100095</v>
      </c>
    </row>
    <row r="988" spans="1:11" x14ac:dyDescent="0.55000000000000004">
      <c r="A988" t="s">
        <v>3996</v>
      </c>
      <c r="B988" s="4">
        <v>46072</v>
      </c>
      <c r="C988" t="s">
        <v>680</v>
      </c>
      <c r="D988" t="s">
        <v>3997</v>
      </c>
      <c r="E988" t="s">
        <v>22</v>
      </c>
      <c r="F988" t="s">
        <v>3998</v>
      </c>
      <c r="G988" t="s">
        <v>3999</v>
      </c>
      <c r="H988" s="4">
        <v>46075.977179618058</v>
      </c>
      <c r="J988" t="s">
        <v>19</v>
      </c>
      <c r="K988">
        <v>100343</v>
      </c>
    </row>
    <row r="989" spans="1:11" x14ac:dyDescent="0.55000000000000004">
      <c r="A989" t="s">
        <v>4000</v>
      </c>
      <c r="B989" s="4">
        <v>46075</v>
      </c>
      <c r="C989" t="s">
        <v>49</v>
      </c>
      <c r="D989" t="s">
        <v>4001</v>
      </c>
      <c r="E989" t="s">
        <v>15</v>
      </c>
      <c r="F989" t="s">
        <v>4002</v>
      </c>
      <c r="G989" t="s">
        <v>4003</v>
      </c>
      <c r="H989" s="4">
        <v>46087.711207395834</v>
      </c>
      <c r="J989" t="s">
        <v>37</v>
      </c>
      <c r="K989">
        <v>100634</v>
      </c>
    </row>
    <row r="990" spans="1:11" x14ac:dyDescent="0.55000000000000004">
      <c r="A990" t="s">
        <v>4004</v>
      </c>
      <c r="B990" s="4">
        <v>46054</v>
      </c>
      <c r="C990" t="s">
        <v>343</v>
      </c>
      <c r="D990" t="s">
        <v>4005</v>
      </c>
      <c r="E990" t="s">
        <v>15</v>
      </c>
      <c r="F990" t="s">
        <v>4006</v>
      </c>
      <c r="G990" t="s">
        <v>4007</v>
      </c>
      <c r="H990" s="4">
        <v>46084.866068506948</v>
      </c>
      <c r="J990" t="s">
        <v>19</v>
      </c>
      <c r="K990">
        <v>100648</v>
      </c>
    </row>
    <row r="991" spans="1:11" x14ac:dyDescent="0.55000000000000004">
      <c r="A991" t="s">
        <v>4008</v>
      </c>
      <c r="B991" s="4">
        <v>46027</v>
      </c>
      <c r="C991" t="s">
        <v>38</v>
      </c>
      <c r="D991" t="s">
        <v>4009</v>
      </c>
      <c r="E991" t="s">
        <v>15</v>
      </c>
      <c r="F991" t="s">
        <v>4010</v>
      </c>
      <c r="G991" t="s">
        <v>4011</v>
      </c>
      <c r="H991" s="4">
        <v>46067.031346296295</v>
      </c>
      <c r="J991" t="s">
        <v>19</v>
      </c>
      <c r="K991">
        <v>100679</v>
      </c>
    </row>
    <row r="992" spans="1:11" x14ac:dyDescent="0.55000000000000004">
      <c r="A992" t="s">
        <v>4012</v>
      </c>
      <c r="B992" s="4">
        <v>45793</v>
      </c>
      <c r="C992" t="s">
        <v>528</v>
      </c>
      <c r="D992" t="s">
        <v>4013</v>
      </c>
      <c r="E992" t="s">
        <v>22</v>
      </c>
      <c r="F992" t="s">
        <v>4014</v>
      </c>
      <c r="G992" t="s">
        <v>4015</v>
      </c>
      <c r="H992" s="4">
        <v>46084.397318518517</v>
      </c>
      <c r="J992" t="s">
        <v>37</v>
      </c>
      <c r="K992">
        <v>100527</v>
      </c>
    </row>
    <row r="993" spans="1:11" x14ac:dyDescent="0.55000000000000004">
      <c r="A993" t="s">
        <v>4016</v>
      </c>
      <c r="B993" s="4">
        <v>45959</v>
      </c>
      <c r="C993" t="s">
        <v>38</v>
      </c>
      <c r="D993" t="s">
        <v>4017</v>
      </c>
      <c r="E993" t="s">
        <v>22</v>
      </c>
      <c r="F993" t="s">
        <v>4018</v>
      </c>
      <c r="G993" t="s">
        <v>4019</v>
      </c>
      <c r="H993" s="4">
        <v>46071.908429641204</v>
      </c>
      <c r="J993" t="s">
        <v>19</v>
      </c>
      <c r="K993">
        <v>100290</v>
      </c>
    </row>
    <row r="994" spans="1:11" x14ac:dyDescent="0.55000000000000004">
      <c r="A994" t="s">
        <v>4020</v>
      </c>
      <c r="B994" s="4">
        <v>45983</v>
      </c>
      <c r="C994" t="s">
        <v>20</v>
      </c>
      <c r="D994" t="s">
        <v>4021</v>
      </c>
      <c r="E994" t="s">
        <v>22</v>
      </c>
      <c r="F994" t="s">
        <v>4022</v>
      </c>
      <c r="G994" t="s">
        <v>4023</v>
      </c>
      <c r="H994" s="4">
        <v>46086.156346307871</v>
      </c>
      <c r="J994" t="s">
        <v>37</v>
      </c>
      <c r="K994">
        <v>100086</v>
      </c>
    </row>
    <row r="995" spans="1:11" x14ac:dyDescent="0.55000000000000004">
      <c r="A995" t="s">
        <v>4024</v>
      </c>
      <c r="B995" s="4">
        <v>46002</v>
      </c>
      <c r="C995" t="s">
        <v>58</v>
      </c>
      <c r="D995" t="s">
        <v>4025</v>
      </c>
      <c r="E995" t="s">
        <v>15</v>
      </c>
      <c r="F995" t="s">
        <v>4026</v>
      </c>
      <c r="G995" t="s">
        <v>4027</v>
      </c>
      <c r="H995" s="4">
        <v>46090.604957430558</v>
      </c>
      <c r="J995" t="s">
        <v>37</v>
      </c>
      <c r="K995">
        <v>100674</v>
      </c>
    </row>
    <row r="996" spans="1:11" x14ac:dyDescent="0.55000000000000004">
      <c r="A996" t="s">
        <v>4028</v>
      </c>
      <c r="B996" s="4">
        <v>45818</v>
      </c>
      <c r="C996" t="s">
        <v>189</v>
      </c>
      <c r="D996" t="s">
        <v>4029</v>
      </c>
      <c r="E996" t="s">
        <v>22</v>
      </c>
      <c r="F996" t="s">
        <v>4030</v>
      </c>
      <c r="G996" t="s">
        <v>4031</v>
      </c>
      <c r="H996" s="4">
        <v>46092.527179652781</v>
      </c>
      <c r="J996" t="s">
        <v>19</v>
      </c>
      <c r="K996">
        <v>100173</v>
      </c>
    </row>
    <row r="997" spans="1:11" x14ac:dyDescent="0.55000000000000004">
      <c r="A997" t="s">
        <v>4032</v>
      </c>
      <c r="B997" s="4">
        <v>45940</v>
      </c>
      <c r="C997" t="s">
        <v>199</v>
      </c>
      <c r="D997" t="s">
        <v>4033</v>
      </c>
      <c r="E997" t="s">
        <v>15</v>
      </c>
      <c r="F997" t="s">
        <v>4034</v>
      </c>
      <c r="G997" t="s">
        <v>4035</v>
      </c>
      <c r="H997" s="4">
        <v>46096.663290763892</v>
      </c>
      <c r="J997" t="s">
        <v>68</v>
      </c>
      <c r="K997">
        <v>100753</v>
      </c>
    </row>
    <row r="998" spans="1:11" x14ac:dyDescent="0.55000000000000004">
      <c r="A998" t="s">
        <v>4036</v>
      </c>
      <c r="B998" s="4">
        <v>45931</v>
      </c>
      <c r="C998" t="s">
        <v>20</v>
      </c>
      <c r="D998" t="s">
        <v>4037</v>
      </c>
      <c r="E998" t="s">
        <v>15</v>
      </c>
      <c r="F998" t="s">
        <v>4038</v>
      </c>
      <c r="G998" t="s">
        <v>4039</v>
      </c>
      <c r="H998" s="4">
        <v>46071.285512997689</v>
      </c>
      <c r="J998" t="s">
        <v>68</v>
      </c>
      <c r="K998">
        <v>100815</v>
      </c>
    </row>
    <row r="999" spans="1:11" x14ac:dyDescent="0.55000000000000004">
      <c r="A999" t="s">
        <v>4040</v>
      </c>
      <c r="B999" s="4">
        <v>45924</v>
      </c>
      <c r="C999" t="s">
        <v>155</v>
      </c>
      <c r="D999" t="s">
        <v>4041</v>
      </c>
      <c r="E999" t="s">
        <v>15</v>
      </c>
      <c r="F999" t="s">
        <v>4042</v>
      </c>
      <c r="G999" t="s">
        <v>4043</v>
      </c>
      <c r="H999" s="4">
        <v>46081.897318553238</v>
      </c>
      <c r="J999" t="s">
        <v>248</v>
      </c>
      <c r="K999">
        <v>100982</v>
      </c>
    </row>
    <row r="1000" spans="1:11" x14ac:dyDescent="0.55000000000000004">
      <c r="A1000" t="s">
        <v>4044</v>
      </c>
      <c r="B1000" s="4">
        <v>45853</v>
      </c>
      <c r="C1000" t="s">
        <v>27</v>
      </c>
      <c r="D1000" t="s">
        <v>4045</v>
      </c>
      <c r="E1000" t="s">
        <v>22</v>
      </c>
      <c r="F1000" t="s">
        <v>4046</v>
      </c>
      <c r="G1000" t="s">
        <v>4047</v>
      </c>
      <c r="H1000" s="4">
        <v>46090.363290787034</v>
      </c>
      <c r="J1000" t="s">
        <v>19</v>
      </c>
      <c r="K1000">
        <v>100922</v>
      </c>
    </row>
    <row r="1001" spans="1:11" x14ac:dyDescent="0.55000000000000004">
      <c r="A1001" t="s">
        <v>4048</v>
      </c>
      <c r="B1001" s="4">
        <v>45894</v>
      </c>
      <c r="C1001" t="s">
        <v>89</v>
      </c>
      <c r="D1001" t="s">
        <v>4049</v>
      </c>
      <c r="E1001" t="s">
        <v>15</v>
      </c>
      <c r="F1001" t="s">
        <v>4050</v>
      </c>
      <c r="G1001" t="s">
        <v>4051</v>
      </c>
      <c r="H1001" s="4">
        <v>46067.704957453701</v>
      </c>
      <c r="J1001" t="s">
        <v>37</v>
      </c>
      <c r="K1001">
        <v>100812</v>
      </c>
    </row>
    <row r="1002" spans="1:11" x14ac:dyDescent="0.55000000000000004">
      <c r="A1002" t="s">
        <v>4052</v>
      </c>
      <c r="B1002" s="4">
        <v>46056</v>
      </c>
      <c r="C1002" t="s">
        <v>155</v>
      </c>
      <c r="D1002" t="s">
        <v>4053</v>
      </c>
      <c r="E1002" t="s">
        <v>22</v>
      </c>
      <c r="F1002" t="s">
        <v>4054</v>
      </c>
      <c r="G1002" t="s">
        <v>4055</v>
      </c>
      <c r="H1002" s="4">
        <v>46061.91259634259</v>
      </c>
      <c r="J1002" t="s">
        <v>179</v>
      </c>
      <c r="K1002">
        <v>101092</v>
      </c>
    </row>
    <row r="1003" spans="1:11" x14ac:dyDescent="0.55000000000000004">
      <c r="A1003" t="s">
        <v>4056</v>
      </c>
      <c r="B1003" s="4">
        <v>45858</v>
      </c>
      <c r="C1003" t="s">
        <v>562</v>
      </c>
      <c r="D1003" t="s">
        <v>4057</v>
      </c>
      <c r="E1003" t="s">
        <v>22</v>
      </c>
      <c r="F1003" t="s">
        <v>4058</v>
      </c>
      <c r="G1003" t="s">
        <v>4059</v>
      </c>
      <c r="H1003" s="4">
        <v>46069.627179687501</v>
      </c>
      <c r="J1003" t="s">
        <v>533</v>
      </c>
      <c r="K1003">
        <v>100523</v>
      </c>
    </row>
    <row r="1004" spans="1:11" x14ac:dyDescent="0.55000000000000004">
      <c r="A1004" t="s">
        <v>4060</v>
      </c>
      <c r="B1004" s="4">
        <v>45836</v>
      </c>
      <c r="C1004" t="s">
        <v>20</v>
      </c>
      <c r="D1004" t="s">
        <v>4061</v>
      </c>
      <c r="E1004" t="s">
        <v>15</v>
      </c>
      <c r="F1004" t="s">
        <v>4062</v>
      </c>
      <c r="G1004" t="s">
        <v>4063</v>
      </c>
      <c r="H1004" s="4">
        <v>46081.982040798612</v>
      </c>
      <c r="J1004" t="s">
        <v>19</v>
      </c>
      <c r="K1004">
        <v>100218</v>
      </c>
    </row>
    <row r="1005" spans="1:11" x14ac:dyDescent="0.55000000000000004">
      <c r="A1005" t="s">
        <v>4064</v>
      </c>
      <c r="B1005" s="4">
        <v>46016</v>
      </c>
      <c r="C1005" t="s">
        <v>141</v>
      </c>
      <c r="D1005" t="s">
        <v>4065</v>
      </c>
      <c r="E1005" t="s">
        <v>22</v>
      </c>
      <c r="F1005" t="s">
        <v>4066</v>
      </c>
      <c r="G1005" t="s">
        <v>4067</v>
      </c>
      <c r="H1005" s="4">
        <v>46058.334818587966</v>
      </c>
      <c r="J1005" t="s">
        <v>179</v>
      </c>
      <c r="K1005">
        <v>100691</v>
      </c>
    </row>
    <row r="1006" spans="1:11" x14ac:dyDescent="0.55000000000000004">
      <c r="A1006" t="s">
        <v>4068</v>
      </c>
      <c r="B1006" s="4">
        <v>45732</v>
      </c>
      <c r="C1006" t="s">
        <v>69</v>
      </c>
      <c r="D1006" t="s">
        <v>4069</v>
      </c>
      <c r="E1006" t="s">
        <v>22</v>
      </c>
      <c r="F1006" t="s">
        <v>4070</v>
      </c>
      <c r="G1006" t="s">
        <v>4071</v>
      </c>
      <c r="H1006" s="4">
        <v>46059.389679699074</v>
      </c>
      <c r="I1006" t="s">
        <v>139</v>
      </c>
      <c r="J1006" t="s">
        <v>533</v>
      </c>
      <c r="K1006">
        <v>101458</v>
      </c>
    </row>
    <row r="1007" spans="1:11" x14ac:dyDescent="0.55000000000000004">
      <c r="A1007" t="s">
        <v>4072</v>
      </c>
      <c r="B1007" s="4">
        <v>45911</v>
      </c>
      <c r="C1007" t="s">
        <v>160</v>
      </c>
      <c r="D1007" t="s">
        <v>4073</v>
      </c>
      <c r="E1007" t="s">
        <v>15</v>
      </c>
      <c r="F1007" t="s">
        <v>4074</v>
      </c>
      <c r="G1007" t="s">
        <v>4075</v>
      </c>
      <c r="H1007" s="4">
        <v>46086.986901932869</v>
      </c>
      <c r="J1007" t="s">
        <v>179</v>
      </c>
      <c r="K1007">
        <v>100452</v>
      </c>
    </row>
    <row r="1008" spans="1:11" x14ac:dyDescent="0.55000000000000004">
      <c r="A1008" t="s">
        <v>4076</v>
      </c>
      <c r="B1008" s="4">
        <v>45767</v>
      </c>
      <c r="C1008" t="s">
        <v>334</v>
      </c>
      <c r="D1008" t="s">
        <v>4077</v>
      </c>
      <c r="E1008" t="s">
        <v>15</v>
      </c>
      <c r="F1008" t="s">
        <v>4078</v>
      </c>
      <c r="G1008" t="s">
        <v>4079</v>
      </c>
      <c r="H1008" s="4">
        <v>46088.954957488429</v>
      </c>
      <c r="J1008" t="s">
        <v>19</v>
      </c>
      <c r="K1008">
        <v>101431</v>
      </c>
    </row>
    <row r="1009" spans="1:11" x14ac:dyDescent="0.55000000000000004">
      <c r="A1009" t="s">
        <v>4080</v>
      </c>
      <c r="B1009" s="4">
        <v>45953</v>
      </c>
      <c r="C1009" t="s">
        <v>38</v>
      </c>
      <c r="D1009" t="s">
        <v>4081</v>
      </c>
      <c r="E1009" t="s">
        <v>22</v>
      </c>
      <c r="F1009" t="s">
        <v>4082</v>
      </c>
      <c r="G1009" t="s">
        <v>4083</v>
      </c>
      <c r="H1009" s="4">
        <v>46054.259124155091</v>
      </c>
      <c r="J1009" t="s">
        <v>248</v>
      </c>
      <c r="K1009">
        <v>100329</v>
      </c>
    </row>
    <row r="1010" spans="1:11" x14ac:dyDescent="0.55000000000000004">
      <c r="A1010" t="s">
        <v>4084</v>
      </c>
      <c r="B1010" s="4">
        <v>46117</v>
      </c>
      <c r="C1010" t="s">
        <v>208</v>
      </c>
      <c r="D1010" t="s">
        <v>4085</v>
      </c>
      <c r="E1010" t="s">
        <v>22</v>
      </c>
      <c r="F1010" t="s">
        <v>4086</v>
      </c>
      <c r="G1010" t="s">
        <v>4087</v>
      </c>
      <c r="H1010" s="4">
        <v>46076.446624166667</v>
      </c>
      <c r="J1010" t="s">
        <v>248</v>
      </c>
      <c r="K1010">
        <v>100670</v>
      </c>
    </row>
    <row r="1011" spans="1:11" x14ac:dyDescent="0.55000000000000004">
      <c r="A1011" t="s">
        <v>4088</v>
      </c>
      <c r="B1011" s="4">
        <v>46038</v>
      </c>
      <c r="C1011" t="s">
        <v>265</v>
      </c>
      <c r="D1011" t="s">
        <v>774</v>
      </c>
      <c r="E1011" t="s">
        <v>15</v>
      </c>
      <c r="F1011" t="s">
        <v>4089</v>
      </c>
      <c r="G1011" t="s">
        <v>4090</v>
      </c>
      <c r="H1011" s="4">
        <v>46059.068846388887</v>
      </c>
      <c r="J1011" t="s">
        <v>179</v>
      </c>
      <c r="K1011">
        <v>100621</v>
      </c>
    </row>
    <row r="1012" spans="1:11" x14ac:dyDescent="0.55000000000000004">
      <c r="A1012" t="s">
        <v>4091</v>
      </c>
      <c r="B1012" s="4">
        <v>45736</v>
      </c>
      <c r="C1012" t="s">
        <v>43</v>
      </c>
      <c r="D1012" t="s">
        <v>4092</v>
      </c>
      <c r="E1012" t="s">
        <v>22</v>
      </c>
      <c r="F1012" t="s">
        <v>4093</v>
      </c>
      <c r="G1012" t="s">
        <v>4094</v>
      </c>
      <c r="H1012" s="4">
        <v>46063.630651944448</v>
      </c>
      <c r="J1012" t="s">
        <v>37</v>
      </c>
      <c r="K1012">
        <v>100593</v>
      </c>
    </row>
    <row r="1013" spans="1:11" x14ac:dyDescent="0.55000000000000004">
      <c r="A1013" t="s">
        <v>4095</v>
      </c>
      <c r="B1013" s="4">
        <v>46007</v>
      </c>
      <c r="C1013" t="s">
        <v>317</v>
      </c>
      <c r="D1013" t="s">
        <v>4096</v>
      </c>
      <c r="E1013" t="s">
        <v>22</v>
      </c>
      <c r="F1013" t="s">
        <v>4097</v>
      </c>
      <c r="G1013" t="s">
        <v>4098</v>
      </c>
      <c r="H1013" s="4">
        <v>46054.570929733796</v>
      </c>
      <c r="J1013" t="s">
        <v>37</v>
      </c>
      <c r="K1013">
        <v>100804</v>
      </c>
    </row>
    <row r="1014" spans="1:11" x14ac:dyDescent="0.55000000000000004">
      <c r="A1014" t="s">
        <v>4099</v>
      </c>
      <c r="B1014" s="4">
        <v>46148</v>
      </c>
      <c r="C1014" t="s">
        <v>467</v>
      </c>
      <c r="D1014" t="s">
        <v>4100</v>
      </c>
      <c r="E1014" t="s">
        <v>22</v>
      </c>
      <c r="F1014" t="s">
        <v>4101</v>
      </c>
      <c r="G1014" t="s">
        <v>4102</v>
      </c>
      <c r="H1014" s="4">
        <v>46085.754957511577</v>
      </c>
      <c r="I1014" t="s">
        <v>139</v>
      </c>
      <c r="J1014" t="s">
        <v>68</v>
      </c>
      <c r="K1014">
        <v>100071</v>
      </c>
    </row>
    <row r="1015" spans="1:11" x14ac:dyDescent="0.55000000000000004">
      <c r="A1015" t="s">
        <v>4103</v>
      </c>
      <c r="B1015" s="4">
        <v>45795</v>
      </c>
      <c r="C1015" t="s">
        <v>356</v>
      </c>
      <c r="D1015" t="s">
        <v>4104</v>
      </c>
      <c r="E1015" t="s">
        <v>22</v>
      </c>
      <c r="F1015" t="s">
        <v>4105</v>
      </c>
      <c r="G1015" t="s">
        <v>4106</v>
      </c>
      <c r="H1015" s="4">
        <v>46097.431346412035</v>
      </c>
      <c r="J1015" t="s">
        <v>37</v>
      </c>
      <c r="K1015">
        <v>100215</v>
      </c>
    </row>
    <row r="1016" spans="1:11" x14ac:dyDescent="0.55000000000000004">
      <c r="A1016" t="s">
        <v>4107</v>
      </c>
      <c r="B1016" s="4">
        <v>46120</v>
      </c>
      <c r="C1016" t="s">
        <v>49</v>
      </c>
      <c r="D1016" t="s">
        <v>4108</v>
      </c>
      <c r="E1016" t="s">
        <v>15</v>
      </c>
      <c r="F1016" t="s">
        <v>4109</v>
      </c>
      <c r="G1016" t="s">
        <v>4110</v>
      </c>
      <c r="H1016" s="4">
        <v>46091.873707523147</v>
      </c>
      <c r="J1016" t="s">
        <v>37</v>
      </c>
      <c r="K1016">
        <v>100293</v>
      </c>
    </row>
    <row r="1017" spans="1:11" x14ac:dyDescent="0.55000000000000004">
      <c r="A1017" t="s">
        <v>4111</v>
      </c>
      <c r="B1017" s="4">
        <v>46145</v>
      </c>
      <c r="C1017" t="s">
        <v>680</v>
      </c>
      <c r="D1017" t="s">
        <v>4112</v>
      </c>
      <c r="E1017" t="s">
        <v>22</v>
      </c>
      <c r="F1017" t="s">
        <v>4113</v>
      </c>
      <c r="G1017" t="s">
        <v>4114</v>
      </c>
      <c r="H1017" s="4">
        <v>46095.34731863426</v>
      </c>
      <c r="J1017" t="s">
        <v>68</v>
      </c>
      <c r="K1017">
        <v>100311</v>
      </c>
    </row>
    <row r="1018" spans="1:11" x14ac:dyDescent="0.55000000000000004">
      <c r="A1018" t="s">
        <v>4115</v>
      </c>
      <c r="B1018" s="4">
        <v>46092</v>
      </c>
      <c r="C1018" t="s">
        <v>528</v>
      </c>
      <c r="D1018" t="s">
        <v>4116</v>
      </c>
      <c r="E1018" t="s">
        <v>15</v>
      </c>
      <c r="F1018" t="s">
        <v>4117</v>
      </c>
      <c r="G1018" t="s">
        <v>4118</v>
      </c>
      <c r="H1018" s="4">
        <v>46057.182735312497</v>
      </c>
      <c r="J1018" t="s">
        <v>19</v>
      </c>
      <c r="K1018">
        <v>100000</v>
      </c>
    </row>
    <row r="1019" spans="1:11" x14ac:dyDescent="0.55000000000000004">
      <c r="A1019" t="s">
        <v>4119</v>
      </c>
      <c r="B1019" s="4">
        <v>45874</v>
      </c>
      <c r="C1019" t="s">
        <v>43</v>
      </c>
      <c r="D1019" t="s">
        <v>4120</v>
      </c>
      <c r="E1019" t="s">
        <v>15</v>
      </c>
      <c r="F1019" t="s">
        <v>4121</v>
      </c>
      <c r="G1019" t="s">
        <v>4122</v>
      </c>
      <c r="H1019" s="4">
        <v>46054.941763090275</v>
      </c>
      <c r="J1019" t="s">
        <v>533</v>
      </c>
      <c r="K1019">
        <v>100853</v>
      </c>
    </row>
    <row r="1020" spans="1:11" x14ac:dyDescent="0.55000000000000004">
      <c r="A1020" t="s">
        <v>4123</v>
      </c>
      <c r="B1020" s="4">
        <v>46021</v>
      </c>
      <c r="C1020" t="s">
        <v>155</v>
      </c>
      <c r="D1020" t="s">
        <v>4124</v>
      </c>
      <c r="E1020" t="s">
        <v>15</v>
      </c>
      <c r="F1020" t="s">
        <v>4125</v>
      </c>
      <c r="G1020" t="s">
        <v>4126</v>
      </c>
      <c r="H1020" s="4">
        <v>46093.565374212965</v>
      </c>
      <c r="J1020" t="s">
        <v>19</v>
      </c>
      <c r="K1020">
        <v>100561</v>
      </c>
    </row>
    <row r="1021" spans="1:11" x14ac:dyDescent="0.55000000000000004">
      <c r="A1021" t="s">
        <v>4127</v>
      </c>
      <c r="B1021" s="4">
        <v>46023</v>
      </c>
      <c r="C1021" t="s">
        <v>38</v>
      </c>
      <c r="D1021" t="s">
        <v>2943</v>
      </c>
      <c r="E1021" t="s">
        <v>22</v>
      </c>
      <c r="F1021" t="s">
        <v>4128</v>
      </c>
      <c r="G1021" t="s">
        <v>4129</v>
      </c>
      <c r="H1021" s="4">
        <v>46084.782040879632</v>
      </c>
      <c r="J1021" t="s">
        <v>248</v>
      </c>
      <c r="K1021">
        <v>100415</v>
      </c>
    </row>
    <row r="1022" spans="1:11" x14ac:dyDescent="0.55000000000000004">
      <c r="A1022" t="s">
        <v>4130</v>
      </c>
      <c r="B1022" s="4">
        <v>46086</v>
      </c>
      <c r="C1022" t="s">
        <v>126</v>
      </c>
      <c r="D1022" t="s">
        <v>4131</v>
      </c>
      <c r="E1022" t="s">
        <v>22</v>
      </c>
      <c r="F1022" t="s">
        <v>4132</v>
      </c>
      <c r="G1022" t="s">
        <v>4133</v>
      </c>
      <c r="H1022" s="4">
        <v>46097.138985324076</v>
      </c>
      <c r="I1022" t="s">
        <v>217</v>
      </c>
      <c r="K1022">
        <v>100308</v>
      </c>
    </row>
    <row r="1023" spans="1:11" x14ac:dyDescent="0.55000000000000004">
      <c r="A1023" t="s">
        <v>4134</v>
      </c>
      <c r="B1023" s="4">
        <v>45897</v>
      </c>
      <c r="C1023" t="s">
        <v>58</v>
      </c>
      <c r="D1023" t="s">
        <v>4135</v>
      </c>
      <c r="E1023" t="s">
        <v>15</v>
      </c>
      <c r="F1023" t="s">
        <v>4136</v>
      </c>
      <c r="G1023" t="s">
        <v>4137</v>
      </c>
      <c r="H1023" s="4">
        <v>46054.00912422454</v>
      </c>
      <c r="J1023" t="s">
        <v>37</v>
      </c>
      <c r="K1023">
        <v>100582</v>
      </c>
    </row>
    <row r="1024" spans="1:11" x14ac:dyDescent="0.55000000000000004">
      <c r="A1024" t="s">
        <v>4138</v>
      </c>
      <c r="B1024" s="4">
        <v>45985</v>
      </c>
      <c r="C1024" t="s">
        <v>170</v>
      </c>
      <c r="D1024" t="s">
        <v>4139</v>
      </c>
      <c r="E1024" t="s">
        <v>15</v>
      </c>
      <c r="F1024" t="s">
        <v>4140</v>
      </c>
      <c r="G1024" t="s">
        <v>4141</v>
      </c>
      <c r="H1024" s="4">
        <v>46094.350790891207</v>
      </c>
      <c r="J1024" t="s">
        <v>179</v>
      </c>
      <c r="K1024">
        <v>100630</v>
      </c>
    </row>
    <row r="1025" spans="1:11" x14ac:dyDescent="0.55000000000000004">
      <c r="A1025" t="s">
        <v>4142</v>
      </c>
      <c r="B1025" s="4">
        <v>46004</v>
      </c>
      <c r="C1025" t="s">
        <v>295</v>
      </c>
      <c r="D1025" t="s">
        <v>4143</v>
      </c>
      <c r="E1025" t="s">
        <v>22</v>
      </c>
      <c r="F1025" t="s">
        <v>4144</v>
      </c>
      <c r="G1025" t="s">
        <v>4145</v>
      </c>
      <c r="H1025" s="4">
        <v>46085.270235335651</v>
      </c>
      <c r="J1025" t="s">
        <v>179</v>
      </c>
      <c r="K1025">
        <v>100356</v>
      </c>
    </row>
    <row r="1026" spans="1:11" x14ac:dyDescent="0.55000000000000004">
      <c r="A1026" t="s">
        <v>4146</v>
      </c>
      <c r="B1026" s="4">
        <v>46024</v>
      </c>
      <c r="C1026" t="s">
        <v>317</v>
      </c>
      <c r="D1026" t="s">
        <v>4147</v>
      </c>
      <c r="E1026" t="s">
        <v>15</v>
      </c>
      <c r="F1026" t="s">
        <v>4148</v>
      </c>
      <c r="G1026" t="s">
        <v>4149</v>
      </c>
      <c r="H1026" s="4">
        <v>46053.143846458333</v>
      </c>
      <c r="J1026" t="s">
        <v>37</v>
      </c>
      <c r="K1026">
        <v>101216</v>
      </c>
    </row>
    <row r="1027" spans="1:11" x14ac:dyDescent="0.55000000000000004">
      <c r="A1027" t="s">
        <v>4150</v>
      </c>
      <c r="B1027" s="4">
        <v>45859</v>
      </c>
      <c r="C1027" t="s">
        <v>115</v>
      </c>
      <c r="D1027" t="s">
        <v>4151</v>
      </c>
      <c r="E1027" t="s">
        <v>22</v>
      </c>
      <c r="F1027" t="s">
        <v>4152</v>
      </c>
      <c r="G1027" t="s">
        <v>4153</v>
      </c>
      <c r="H1027" s="4">
        <v>46078.657040902777</v>
      </c>
      <c r="J1027" t="s">
        <v>37</v>
      </c>
      <c r="K1027">
        <v>100861</v>
      </c>
    </row>
    <row r="1028" spans="1:11" x14ac:dyDescent="0.55000000000000004">
      <c r="A1028" t="s">
        <v>1469</v>
      </c>
      <c r="B1028" s="4">
        <v>45746</v>
      </c>
      <c r="C1028" t="s">
        <v>334</v>
      </c>
      <c r="D1028" t="s">
        <v>4155</v>
      </c>
      <c r="E1028" t="s">
        <v>22</v>
      </c>
      <c r="F1028" t="s">
        <v>4156</v>
      </c>
      <c r="G1028" t="s">
        <v>4157</v>
      </c>
      <c r="H1028" s="4">
        <v>46081.394540914349</v>
      </c>
      <c r="I1028" t="s">
        <v>119</v>
      </c>
      <c r="J1028" t="s">
        <v>533</v>
      </c>
      <c r="K1028">
        <v>101243</v>
      </c>
    </row>
    <row r="1029" spans="1:11" x14ac:dyDescent="0.55000000000000004">
      <c r="A1029" t="s">
        <v>4158</v>
      </c>
      <c r="B1029" s="4">
        <v>45974</v>
      </c>
      <c r="C1029" t="s">
        <v>20</v>
      </c>
      <c r="D1029" t="s">
        <v>4159</v>
      </c>
      <c r="E1029" t="s">
        <v>15</v>
      </c>
      <c r="F1029" t="s">
        <v>4160</v>
      </c>
      <c r="G1029" t="s">
        <v>4161</v>
      </c>
      <c r="H1029" s="4">
        <v>46076.007040914352</v>
      </c>
      <c r="J1029" t="s">
        <v>533</v>
      </c>
      <c r="K1029">
        <v>100260</v>
      </c>
    </row>
    <row r="1030" spans="1:11" x14ac:dyDescent="0.55000000000000004">
      <c r="A1030" t="s">
        <v>4162</v>
      </c>
      <c r="B1030" s="4">
        <v>45769</v>
      </c>
      <c r="C1030" t="s">
        <v>270</v>
      </c>
      <c r="D1030" t="s">
        <v>4163</v>
      </c>
      <c r="E1030" t="s">
        <v>22</v>
      </c>
      <c r="F1030" t="s">
        <v>4164</v>
      </c>
      <c r="G1030" t="s">
        <v>4165</v>
      </c>
      <c r="H1030" s="4">
        <v>46060.568846469905</v>
      </c>
      <c r="J1030" t="s">
        <v>248</v>
      </c>
      <c r="K1030">
        <v>100605</v>
      </c>
    </row>
    <row r="1031" spans="1:11" x14ac:dyDescent="0.55000000000000004">
      <c r="A1031" t="s">
        <v>4166</v>
      </c>
      <c r="B1031" s="4">
        <v>45763</v>
      </c>
      <c r="C1031" t="s">
        <v>69</v>
      </c>
      <c r="D1031" t="s">
        <v>4167</v>
      </c>
      <c r="E1031" t="s">
        <v>22</v>
      </c>
      <c r="F1031" t="s">
        <v>4168</v>
      </c>
      <c r="G1031" t="s">
        <v>4169</v>
      </c>
      <c r="H1031" s="4">
        <v>46053.653568703703</v>
      </c>
      <c r="J1031" t="s">
        <v>37</v>
      </c>
      <c r="K1031">
        <v>101332</v>
      </c>
    </row>
    <row r="1032" spans="1:11" x14ac:dyDescent="0.55000000000000004">
      <c r="A1032" t="s">
        <v>4170</v>
      </c>
      <c r="B1032" s="4">
        <v>45763</v>
      </c>
      <c r="C1032" t="s">
        <v>295</v>
      </c>
      <c r="D1032" t="s">
        <v>4171</v>
      </c>
      <c r="E1032" t="s">
        <v>22</v>
      </c>
      <c r="F1032" t="s">
        <v>4172</v>
      </c>
      <c r="G1032" t="s">
        <v>4173</v>
      </c>
      <c r="H1032" s="4">
        <v>46093.601485370367</v>
      </c>
      <c r="J1032" t="s">
        <v>533</v>
      </c>
      <c r="K1032">
        <v>100668</v>
      </c>
    </row>
    <row r="1033" spans="1:11" x14ac:dyDescent="0.55000000000000004">
      <c r="A1033" t="s">
        <v>4174</v>
      </c>
      <c r="B1033" s="4">
        <v>46018</v>
      </c>
      <c r="C1033" t="s">
        <v>20</v>
      </c>
      <c r="D1033" t="s">
        <v>4175</v>
      </c>
      <c r="E1033" t="s">
        <v>22</v>
      </c>
      <c r="F1033" t="s">
        <v>4176</v>
      </c>
      <c r="G1033" t="s">
        <v>4177</v>
      </c>
      <c r="H1033" s="4">
        <v>46072.609818715275</v>
      </c>
      <c r="J1033" t="s">
        <v>37</v>
      </c>
      <c r="K1033">
        <v>100836</v>
      </c>
    </row>
    <row r="1034" spans="1:11" x14ac:dyDescent="0.55000000000000004">
      <c r="A1034" t="s">
        <v>4178</v>
      </c>
      <c r="B1034" s="4">
        <v>46117</v>
      </c>
      <c r="C1034" t="s">
        <v>409</v>
      </c>
      <c r="D1034" t="s">
        <v>4179</v>
      </c>
      <c r="E1034" t="s">
        <v>15</v>
      </c>
      <c r="F1034" t="s">
        <v>4180</v>
      </c>
      <c r="G1034" t="s">
        <v>4181</v>
      </c>
      <c r="H1034" s="4">
        <v>46068.200096493056</v>
      </c>
      <c r="J1034" t="s">
        <v>19</v>
      </c>
      <c r="K1034">
        <v>100633</v>
      </c>
    </row>
    <row r="1035" spans="1:11" x14ac:dyDescent="0.55000000000000004">
      <c r="A1035" t="s">
        <v>4182</v>
      </c>
      <c r="B1035" s="4">
        <v>46139</v>
      </c>
      <c r="C1035" t="s">
        <v>27</v>
      </c>
      <c r="D1035" t="s">
        <v>4183</v>
      </c>
      <c r="E1035" t="s">
        <v>15</v>
      </c>
      <c r="F1035" t="s">
        <v>4184</v>
      </c>
      <c r="G1035" t="s">
        <v>4185</v>
      </c>
      <c r="H1035" s="4">
        <v>46075.820235381943</v>
      </c>
      <c r="J1035" t="s">
        <v>179</v>
      </c>
      <c r="K1035">
        <v>100615</v>
      </c>
    </row>
    <row r="1036" spans="1:11" x14ac:dyDescent="0.55000000000000004">
      <c r="A1036" t="s">
        <v>515</v>
      </c>
      <c r="B1036" s="4">
        <v>45964</v>
      </c>
      <c r="C1036" t="s">
        <v>160</v>
      </c>
      <c r="D1036" t="s">
        <v>4187</v>
      </c>
      <c r="E1036" t="s">
        <v>15</v>
      </c>
      <c r="F1036" t="s">
        <v>4188</v>
      </c>
      <c r="G1036" t="s">
        <v>4189</v>
      </c>
      <c r="H1036" s="4">
        <v>46091.728568726852</v>
      </c>
      <c r="I1036" t="s">
        <v>119</v>
      </c>
      <c r="J1036" t="s">
        <v>37</v>
      </c>
      <c r="K1036">
        <v>101447</v>
      </c>
    </row>
    <row r="1037" spans="1:11" x14ac:dyDescent="0.55000000000000004">
      <c r="A1037" t="s">
        <v>4190</v>
      </c>
      <c r="B1037" s="4">
        <v>46097</v>
      </c>
      <c r="C1037" t="s">
        <v>38</v>
      </c>
      <c r="D1037" t="s">
        <v>4191</v>
      </c>
      <c r="E1037" t="s">
        <v>15</v>
      </c>
      <c r="F1037" t="s">
        <v>4192</v>
      </c>
      <c r="G1037" t="s">
        <v>4193</v>
      </c>
      <c r="H1037" s="4">
        <v>46061.566763171293</v>
      </c>
      <c r="J1037" t="s">
        <v>19</v>
      </c>
      <c r="K1037">
        <v>101050</v>
      </c>
    </row>
    <row r="1038" spans="1:11" x14ac:dyDescent="0.55000000000000004">
      <c r="A1038" t="s">
        <v>4194</v>
      </c>
      <c r="B1038" s="4">
        <v>45863</v>
      </c>
      <c r="C1038" t="s">
        <v>757</v>
      </c>
      <c r="D1038" t="s">
        <v>4195</v>
      </c>
      <c r="E1038" t="s">
        <v>22</v>
      </c>
      <c r="F1038" t="s">
        <v>4196</v>
      </c>
      <c r="G1038" t="s">
        <v>4197</v>
      </c>
      <c r="H1038" s="4">
        <v>46086.400790960652</v>
      </c>
      <c r="J1038" t="s">
        <v>19</v>
      </c>
      <c r="K1038">
        <v>101273</v>
      </c>
    </row>
    <row r="1039" spans="1:11" x14ac:dyDescent="0.55000000000000004">
      <c r="A1039" t="s">
        <v>4198</v>
      </c>
      <c r="B1039" s="4">
        <v>46140</v>
      </c>
      <c r="C1039" t="s">
        <v>155</v>
      </c>
      <c r="D1039" t="s">
        <v>4199</v>
      </c>
      <c r="E1039" t="s">
        <v>15</v>
      </c>
      <c r="F1039" t="s">
        <v>4200</v>
      </c>
      <c r="G1039" t="s">
        <v>4201</v>
      </c>
      <c r="H1039" s="4">
        <v>46077.914679849535</v>
      </c>
      <c r="J1039" t="s">
        <v>533</v>
      </c>
      <c r="K1039">
        <v>100143</v>
      </c>
    </row>
    <row r="1040" spans="1:11" x14ac:dyDescent="0.55000000000000004">
      <c r="A1040" t="s">
        <v>4202</v>
      </c>
      <c r="B1040" s="4">
        <v>45994</v>
      </c>
      <c r="C1040" t="s">
        <v>562</v>
      </c>
      <c r="D1040" t="s">
        <v>4203</v>
      </c>
      <c r="E1040" t="s">
        <v>15</v>
      </c>
      <c r="F1040" t="s">
        <v>4204</v>
      </c>
      <c r="G1040" t="s">
        <v>4205</v>
      </c>
      <c r="H1040" s="4">
        <v>46067.30704097222</v>
      </c>
      <c r="J1040" t="s">
        <v>179</v>
      </c>
      <c r="K1040">
        <v>100883</v>
      </c>
    </row>
    <row r="1041" spans="1:11" x14ac:dyDescent="0.55000000000000004">
      <c r="A1041" t="s">
        <v>4206</v>
      </c>
      <c r="B1041" s="4">
        <v>45907</v>
      </c>
      <c r="C1041" t="s">
        <v>295</v>
      </c>
      <c r="D1041" t="s">
        <v>4207</v>
      </c>
      <c r="E1041" t="s">
        <v>15</v>
      </c>
      <c r="F1041" t="s">
        <v>4208</v>
      </c>
      <c r="G1041" t="s">
        <v>4209</v>
      </c>
      <c r="H1041" s="4">
        <v>46094.408429861112</v>
      </c>
      <c r="J1041" t="s">
        <v>19</v>
      </c>
      <c r="K1041">
        <v>100745</v>
      </c>
    </row>
    <row r="1042" spans="1:11" x14ac:dyDescent="0.55000000000000004">
      <c r="A1042" t="s">
        <v>4210</v>
      </c>
      <c r="B1042" s="4">
        <v>46151</v>
      </c>
      <c r="C1042" t="s">
        <v>83</v>
      </c>
      <c r="D1042" t="s">
        <v>4211</v>
      </c>
      <c r="E1042" t="s">
        <v>15</v>
      </c>
      <c r="F1042" t="s">
        <v>4212</v>
      </c>
      <c r="G1042" t="s">
        <v>4213</v>
      </c>
      <c r="H1042" s="4">
        <v>46084.835513194441</v>
      </c>
      <c r="J1042" t="s">
        <v>19</v>
      </c>
      <c r="K1042">
        <v>100403</v>
      </c>
    </row>
    <row r="1043" spans="1:11" x14ac:dyDescent="0.55000000000000004">
      <c r="A1043" t="s">
        <v>4214</v>
      </c>
      <c r="B1043" s="4">
        <v>46134</v>
      </c>
      <c r="C1043" t="s">
        <v>20</v>
      </c>
      <c r="D1043" t="s">
        <v>4215</v>
      </c>
      <c r="E1043" t="s">
        <v>15</v>
      </c>
      <c r="F1043" t="s">
        <v>4216</v>
      </c>
      <c r="G1043" t="s">
        <v>4217</v>
      </c>
      <c r="H1043" s="4">
        <v>46055.069540983794</v>
      </c>
      <c r="J1043" t="s">
        <v>248</v>
      </c>
      <c r="K1043">
        <v>100003</v>
      </c>
    </row>
    <row r="1044" spans="1:11" x14ac:dyDescent="0.55000000000000004">
      <c r="A1044" t="s">
        <v>4218</v>
      </c>
      <c r="B1044" s="4">
        <v>46039</v>
      </c>
      <c r="C1044" t="s">
        <v>126</v>
      </c>
      <c r="D1044" t="s">
        <v>4219</v>
      </c>
      <c r="E1044" t="s">
        <v>22</v>
      </c>
      <c r="F1044" t="s">
        <v>4220</v>
      </c>
      <c r="G1044" t="s">
        <v>4221</v>
      </c>
      <c r="H1044" s="4">
        <v>46071.278568761576</v>
      </c>
      <c r="J1044" t="s">
        <v>179</v>
      </c>
      <c r="K1044">
        <v>101049</v>
      </c>
    </row>
    <row r="1045" spans="1:11" x14ac:dyDescent="0.55000000000000004">
      <c r="A1045" t="s">
        <v>4222</v>
      </c>
      <c r="B1045" s="4">
        <v>45785</v>
      </c>
      <c r="C1045" t="s">
        <v>334</v>
      </c>
      <c r="D1045" t="s">
        <v>4223</v>
      </c>
      <c r="E1045" t="s">
        <v>15</v>
      </c>
      <c r="F1045" t="s">
        <v>4224</v>
      </c>
      <c r="G1045" t="s">
        <v>4225</v>
      </c>
      <c r="H1045" s="4">
        <v>46096.837596550926</v>
      </c>
      <c r="J1045" t="s">
        <v>533</v>
      </c>
      <c r="K1045">
        <v>101120</v>
      </c>
    </row>
    <row r="1046" spans="1:11" x14ac:dyDescent="0.55000000000000004">
      <c r="A1046" t="s">
        <v>4226</v>
      </c>
      <c r="B1046" s="4">
        <v>46086</v>
      </c>
      <c r="C1046" t="s">
        <v>69</v>
      </c>
      <c r="D1046" t="s">
        <v>4227</v>
      </c>
      <c r="E1046" t="s">
        <v>15</v>
      </c>
      <c r="F1046" t="s">
        <v>4228</v>
      </c>
      <c r="G1046" t="s">
        <v>4229</v>
      </c>
      <c r="H1046" s="4">
        <v>46082.062596550924</v>
      </c>
      <c r="J1046" t="s">
        <v>248</v>
      </c>
      <c r="K1046">
        <v>100521</v>
      </c>
    </row>
    <row r="1047" spans="1:11" x14ac:dyDescent="0.55000000000000004">
      <c r="A1047" t="s">
        <v>413</v>
      </c>
      <c r="B1047" s="4">
        <v>46145</v>
      </c>
      <c r="C1047" t="s">
        <v>680</v>
      </c>
      <c r="D1047" t="s">
        <v>4230</v>
      </c>
      <c r="E1047" t="s">
        <v>15</v>
      </c>
      <c r="F1047" t="s">
        <v>4231</v>
      </c>
      <c r="G1047" t="s">
        <v>4232</v>
      </c>
      <c r="H1047" s="4">
        <v>46097.229957685187</v>
      </c>
      <c r="J1047" t="s">
        <v>68</v>
      </c>
      <c r="K1047">
        <v>101426</v>
      </c>
    </row>
    <row r="1048" spans="1:11" x14ac:dyDescent="0.55000000000000004">
      <c r="A1048" t="s">
        <v>4233</v>
      </c>
      <c r="B1048" s="4">
        <v>45769</v>
      </c>
      <c r="C1048" t="s">
        <v>170</v>
      </c>
      <c r="D1048" t="s">
        <v>4234</v>
      </c>
      <c r="E1048" t="s">
        <v>15</v>
      </c>
      <c r="F1048" t="s">
        <v>4235</v>
      </c>
      <c r="G1048" t="s">
        <v>4236</v>
      </c>
      <c r="H1048" s="4">
        <v>46088.332735497686</v>
      </c>
      <c r="J1048" t="s">
        <v>37</v>
      </c>
      <c r="K1048">
        <v>101360</v>
      </c>
    </row>
    <row r="1049" spans="1:11" x14ac:dyDescent="0.55000000000000004">
      <c r="A1049" t="s">
        <v>2101</v>
      </c>
      <c r="B1049" s="4">
        <v>45831</v>
      </c>
      <c r="C1049" t="s">
        <v>343</v>
      </c>
      <c r="D1049" t="s">
        <v>4237</v>
      </c>
      <c r="E1049" t="s">
        <v>15</v>
      </c>
      <c r="F1049" t="s">
        <v>4238</v>
      </c>
      <c r="G1049" t="s">
        <v>4239</v>
      </c>
      <c r="H1049" s="4">
        <v>46085.464679965276</v>
      </c>
      <c r="J1049" t="s">
        <v>179</v>
      </c>
      <c r="K1049">
        <v>101058</v>
      </c>
    </row>
    <row r="1050" spans="1:11" x14ac:dyDescent="0.55000000000000004">
      <c r="A1050" t="s">
        <v>4240</v>
      </c>
      <c r="B1050" s="4">
        <v>45821</v>
      </c>
      <c r="C1050" t="s">
        <v>20</v>
      </c>
      <c r="D1050" t="s">
        <v>4241</v>
      </c>
      <c r="E1050" t="s">
        <v>15</v>
      </c>
      <c r="F1050" t="s">
        <v>4242</v>
      </c>
      <c r="G1050" t="s">
        <v>4243</v>
      </c>
      <c r="H1050" s="4">
        <v>46075.957731481481</v>
      </c>
      <c r="J1050" t="s">
        <v>68</v>
      </c>
      <c r="K1050">
        <v>101047</v>
      </c>
    </row>
    <row r="1051" spans="1:11" x14ac:dyDescent="0.55000000000000004">
      <c r="A1051" t="s">
        <v>4244</v>
      </c>
      <c r="B1051" s="4">
        <v>45823</v>
      </c>
      <c r="C1051" t="s">
        <v>155</v>
      </c>
      <c r="D1051" t="s">
        <v>4245</v>
      </c>
      <c r="E1051" t="s">
        <v>15</v>
      </c>
      <c r="F1051" t="s">
        <v>4246</v>
      </c>
      <c r="G1051" t="s">
        <v>4247</v>
      </c>
      <c r="H1051" s="4">
        <v>46081.602180000002</v>
      </c>
      <c r="J1051" t="s">
        <v>248</v>
      </c>
      <c r="K1051">
        <v>100893</v>
      </c>
    </row>
    <row r="1052" spans="1:11" x14ac:dyDescent="0.55000000000000004">
      <c r="A1052" t="s">
        <v>4248</v>
      </c>
      <c r="B1052" s="4">
        <v>46157</v>
      </c>
      <c r="C1052" t="s">
        <v>121</v>
      </c>
      <c r="D1052" t="s">
        <v>4249</v>
      </c>
      <c r="E1052" t="s">
        <v>22</v>
      </c>
      <c r="F1052" t="s">
        <v>4250</v>
      </c>
      <c r="G1052" t="s">
        <v>4251</v>
      </c>
      <c r="H1052" s="4">
        <v>46084.312596678239</v>
      </c>
      <c r="J1052" t="s">
        <v>37</v>
      </c>
      <c r="K1052">
        <v>101199</v>
      </c>
    </row>
    <row r="1053" spans="1:11" x14ac:dyDescent="0.55000000000000004">
      <c r="A1053" t="s">
        <v>4252</v>
      </c>
      <c r="B1053" s="4">
        <v>45854</v>
      </c>
      <c r="C1053" t="s">
        <v>356</v>
      </c>
      <c r="D1053" t="s">
        <v>4253</v>
      </c>
      <c r="E1053" t="s">
        <v>22</v>
      </c>
      <c r="F1053" t="s">
        <v>4254</v>
      </c>
      <c r="G1053" t="s">
        <v>4255</v>
      </c>
      <c r="H1053" s="4">
        <v>46052.65356890046</v>
      </c>
      <c r="J1053" t="s">
        <v>179</v>
      </c>
      <c r="K1053">
        <v>100707</v>
      </c>
    </row>
    <row r="1054" spans="1:11" x14ac:dyDescent="0.55000000000000004">
      <c r="A1054" t="s">
        <v>4256</v>
      </c>
      <c r="B1054" s="4">
        <v>45805</v>
      </c>
      <c r="C1054" t="s">
        <v>115</v>
      </c>
      <c r="D1054" t="s">
        <v>4257</v>
      </c>
      <c r="E1054" t="s">
        <v>15</v>
      </c>
      <c r="F1054" t="s">
        <v>4258</v>
      </c>
      <c r="G1054" t="s">
        <v>4259</v>
      </c>
      <c r="H1054" s="4">
        <v>46063.208430023151</v>
      </c>
      <c r="I1054" t="s">
        <v>4260</v>
      </c>
    </row>
    <row r="1055" spans="1:11" x14ac:dyDescent="0.55000000000000004">
      <c r="A1055" t="s">
        <v>4261</v>
      </c>
      <c r="B1055" s="4">
        <v>45894</v>
      </c>
      <c r="C1055" t="s">
        <v>121</v>
      </c>
      <c r="D1055" t="s">
        <v>4262</v>
      </c>
      <c r="E1055" t="s">
        <v>15</v>
      </c>
      <c r="F1055" t="s">
        <v>4263</v>
      </c>
      <c r="G1055" t="s">
        <v>4264</v>
      </c>
      <c r="H1055" s="4">
        <v>46063.327874479168</v>
      </c>
      <c r="J1055" t="s">
        <v>68</v>
      </c>
      <c r="K1055">
        <v>100222</v>
      </c>
    </row>
    <row r="1056" spans="1:11" x14ac:dyDescent="0.55000000000000004">
      <c r="A1056" t="s">
        <v>4265</v>
      </c>
      <c r="B1056" s="4">
        <v>45899</v>
      </c>
      <c r="C1056" t="s">
        <v>155</v>
      </c>
      <c r="D1056" t="s">
        <v>4266</v>
      </c>
      <c r="E1056" t="s">
        <v>22</v>
      </c>
      <c r="F1056" t="s">
        <v>4267</v>
      </c>
      <c r="G1056" t="s">
        <v>4268</v>
      </c>
      <c r="H1056" s="4">
        <v>46089.023707824075</v>
      </c>
      <c r="J1056" t="s">
        <v>533</v>
      </c>
      <c r="K1056">
        <v>100078</v>
      </c>
    </row>
    <row r="1057" spans="1:11" x14ac:dyDescent="0.55000000000000004">
      <c r="A1057" t="s">
        <v>4269</v>
      </c>
      <c r="B1057" s="4">
        <v>45982</v>
      </c>
      <c r="C1057" t="s">
        <v>317</v>
      </c>
      <c r="D1057" t="s">
        <v>4270</v>
      </c>
      <c r="E1057" t="s">
        <v>15</v>
      </c>
      <c r="F1057" t="s">
        <v>4271</v>
      </c>
      <c r="G1057" t="s">
        <v>4272</v>
      </c>
      <c r="H1057" s="4">
        <v>46066.802874490742</v>
      </c>
      <c r="J1057" t="s">
        <v>19</v>
      </c>
      <c r="K1057">
        <v>101155</v>
      </c>
    </row>
    <row r="1058" spans="1:11" x14ac:dyDescent="0.55000000000000004">
      <c r="A1058" t="s">
        <v>4273</v>
      </c>
      <c r="B1058" s="4">
        <v>45765</v>
      </c>
      <c r="C1058" t="s">
        <v>38</v>
      </c>
      <c r="D1058" t="s">
        <v>4274</v>
      </c>
      <c r="E1058" t="s">
        <v>22</v>
      </c>
      <c r="F1058" t="s">
        <v>4275</v>
      </c>
      <c r="G1058" t="s">
        <v>4276</v>
      </c>
      <c r="H1058" s="4">
        <v>46056.022318946758</v>
      </c>
      <c r="J1058" t="s">
        <v>19</v>
      </c>
      <c r="K1058">
        <v>101339</v>
      </c>
    </row>
    <row r="1059" spans="1:11" x14ac:dyDescent="0.55000000000000004">
      <c r="A1059" t="s">
        <v>4277</v>
      </c>
      <c r="B1059" s="4">
        <v>45987</v>
      </c>
      <c r="C1059" t="s">
        <v>208</v>
      </c>
      <c r="D1059" t="s">
        <v>4278</v>
      </c>
      <c r="E1059" t="s">
        <v>22</v>
      </c>
      <c r="F1059" t="s">
        <v>4279</v>
      </c>
      <c r="G1059" t="s">
        <v>4280</v>
      </c>
      <c r="H1059" s="4">
        <v>46063.758430057867</v>
      </c>
      <c r="J1059" t="s">
        <v>68</v>
      </c>
      <c r="K1059">
        <v>101174</v>
      </c>
    </row>
    <row r="1060" spans="1:11" x14ac:dyDescent="0.55000000000000004">
      <c r="A1060" t="s">
        <v>4281</v>
      </c>
      <c r="B1060" s="4">
        <v>46098</v>
      </c>
      <c r="C1060" t="s">
        <v>58</v>
      </c>
      <c r="D1060" t="s">
        <v>4282</v>
      </c>
      <c r="E1060" t="s">
        <v>22</v>
      </c>
      <c r="F1060" t="s">
        <v>4283</v>
      </c>
      <c r="G1060" t="s">
        <v>4284</v>
      </c>
      <c r="H1060" s="4">
        <v>46056.916068958337</v>
      </c>
      <c r="J1060" t="s">
        <v>19</v>
      </c>
      <c r="K1060">
        <v>101137</v>
      </c>
    </row>
    <row r="1061" spans="1:11" x14ac:dyDescent="0.55000000000000004">
      <c r="A1061" t="s">
        <v>4285</v>
      </c>
      <c r="B1061" s="4">
        <v>45838</v>
      </c>
      <c r="C1061" t="s">
        <v>115</v>
      </c>
      <c r="D1061" t="s">
        <v>4286</v>
      </c>
      <c r="E1061" t="s">
        <v>22</v>
      </c>
      <c r="F1061" t="s">
        <v>4287</v>
      </c>
      <c r="G1061" t="s">
        <v>4288</v>
      </c>
      <c r="H1061" s="4">
        <v>46082.183430081015</v>
      </c>
      <c r="J1061" t="s">
        <v>37</v>
      </c>
      <c r="K1061">
        <v>100056</v>
      </c>
    </row>
    <row r="1062" spans="1:11" x14ac:dyDescent="0.55000000000000004">
      <c r="A1062" t="s">
        <v>4289</v>
      </c>
      <c r="B1062" s="4">
        <v>45888</v>
      </c>
      <c r="C1062" t="s">
        <v>89</v>
      </c>
      <c r="D1062" t="s">
        <v>4290</v>
      </c>
      <c r="E1062" t="s">
        <v>15</v>
      </c>
      <c r="F1062" t="s">
        <v>4291</v>
      </c>
      <c r="G1062" t="s">
        <v>4292</v>
      </c>
      <c r="H1062" s="4">
        <v>46074.384124525466</v>
      </c>
      <c r="J1062" t="s">
        <v>248</v>
      </c>
      <c r="K1062">
        <v>100678</v>
      </c>
    </row>
    <row r="1063" spans="1:11" x14ac:dyDescent="0.55000000000000004">
      <c r="A1063" t="s">
        <v>4293</v>
      </c>
      <c r="B1063" s="4">
        <v>45775</v>
      </c>
      <c r="C1063" t="s">
        <v>155</v>
      </c>
      <c r="D1063" t="s">
        <v>4294</v>
      </c>
      <c r="E1063" t="s">
        <v>22</v>
      </c>
      <c r="F1063" t="s">
        <v>4295</v>
      </c>
      <c r="G1063" t="s">
        <v>4296</v>
      </c>
      <c r="H1063" s="4">
        <v>46069.008430081019</v>
      </c>
      <c r="J1063" t="s">
        <v>19</v>
      </c>
      <c r="K1063">
        <v>100818</v>
      </c>
    </row>
    <row r="1064" spans="1:11" x14ac:dyDescent="0.55000000000000004">
      <c r="A1064" t="s">
        <v>4297</v>
      </c>
      <c r="B1064" s="4">
        <v>45849</v>
      </c>
      <c r="C1064" t="s">
        <v>83</v>
      </c>
      <c r="D1064" t="s">
        <v>4298</v>
      </c>
      <c r="E1064" t="s">
        <v>22</v>
      </c>
      <c r="F1064" t="s">
        <v>4299</v>
      </c>
      <c r="G1064" t="s">
        <v>4300</v>
      </c>
      <c r="H1064" s="4">
        <v>46069.08134675926</v>
      </c>
      <c r="J1064" t="s">
        <v>68</v>
      </c>
      <c r="K1064">
        <v>101371</v>
      </c>
    </row>
    <row r="1065" spans="1:11" x14ac:dyDescent="0.55000000000000004">
      <c r="A1065" t="s">
        <v>4301</v>
      </c>
      <c r="B1065" s="4">
        <v>45941</v>
      </c>
      <c r="C1065" t="s">
        <v>58</v>
      </c>
      <c r="D1065" t="s">
        <v>4302</v>
      </c>
      <c r="E1065" t="s">
        <v>22</v>
      </c>
      <c r="F1065" t="s">
        <v>4303</v>
      </c>
      <c r="G1065" t="s">
        <v>4304</v>
      </c>
      <c r="H1065" s="4">
        <v>46073.711207870372</v>
      </c>
      <c r="J1065" t="s">
        <v>179</v>
      </c>
      <c r="K1065">
        <v>100719</v>
      </c>
    </row>
    <row r="1066" spans="1:11" x14ac:dyDescent="0.55000000000000004">
      <c r="A1066" t="s">
        <v>4305</v>
      </c>
      <c r="B1066" s="4">
        <v>45958</v>
      </c>
      <c r="C1066" t="s">
        <v>20</v>
      </c>
      <c r="D1066" t="s">
        <v>4306</v>
      </c>
      <c r="E1066" t="s">
        <v>15</v>
      </c>
      <c r="F1066" t="s">
        <v>4307</v>
      </c>
      <c r="G1066" t="s">
        <v>4308</v>
      </c>
      <c r="H1066" s="4">
        <v>46075.629263437499</v>
      </c>
      <c r="J1066" t="s">
        <v>533</v>
      </c>
      <c r="K1066">
        <v>100571</v>
      </c>
    </row>
    <row r="1067" spans="1:11" x14ac:dyDescent="0.55000000000000004">
      <c r="A1067" t="s">
        <v>4309</v>
      </c>
      <c r="B1067" s="4">
        <v>45988</v>
      </c>
      <c r="C1067" t="s">
        <v>343</v>
      </c>
      <c r="D1067" t="s">
        <v>4310</v>
      </c>
      <c r="E1067" t="s">
        <v>15</v>
      </c>
      <c r="F1067" t="s">
        <v>4311</v>
      </c>
      <c r="G1067" t="s">
        <v>4312</v>
      </c>
      <c r="H1067" s="4">
        <v>46091.577874560186</v>
      </c>
      <c r="I1067" t="s">
        <v>112</v>
      </c>
      <c r="J1067" t="s">
        <v>68</v>
      </c>
    </row>
    <row r="1068" spans="1:11" x14ac:dyDescent="0.55000000000000004">
      <c r="A1068" t="s">
        <v>4313</v>
      </c>
      <c r="B1068" s="4">
        <v>45916</v>
      </c>
      <c r="C1068" t="s">
        <v>38</v>
      </c>
      <c r="D1068" t="s">
        <v>4314</v>
      </c>
      <c r="E1068" t="s">
        <v>15</v>
      </c>
      <c r="F1068" t="s">
        <v>4315</v>
      </c>
      <c r="G1068" t="s">
        <v>4316</v>
      </c>
      <c r="H1068" s="4">
        <v>46076.466763449076</v>
      </c>
      <c r="J1068" t="s">
        <v>37</v>
      </c>
      <c r="K1068">
        <v>101452</v>
      </c>
    </row>
    <row r="1069" spans="1:11" x14ac:dyDescent="0.55000000000000004">
      <c r="A1069" t="s">
        <v>4317</v>
      </c>
      <c r="B1069" s="4">
        <v>45860</v>
      </c>
      <c r="C1069" t="s">
        <v>49</v>
      </c>
      <c r="D1069" t="s">
        <v>4318</v>
      </c>
      <c r="E1069" t="s">
        <v>15</v>
      </c>
      <c r="F1069" t="s">
        <v>4319</v>
      </c>
      <c r="G1069" t="s">
        <v>4320</v>
      </c>
      <c r="H1069" s="4">
        <v>46051.886902349535</v>
      </c>
      <c r="J1069" t="s">
        <v>68</v>
      </c>
      <c r="K1069">
        <v>100672</v>
      </c>
    </row>
    <row r="1070" spans="1:11" x14ac:dyDescent="0.55000000000000004">
      <c r="A1070" t="s">
        <v>4321</v>
      </c>
      <c r="B1070" s="4">
        <v>46117</v>
      </c>
      <c r="C1070" t="s">
        <v>126</v>
      </c>
      <c r="D1070" t="s">
        <v>4322</v>
      </c>
      <c r="E1070" t="s">
        <v>15</v>
      </c>
      <c r="F1070" t="s">
        <v>4323</v>
      </c>
      <c r="G1070" t="s">
        <v>4324</v>
      </c>
      <c r="H1070" s="4">
        <v>46078.345235682871</v>
      </c>
      <c r="J1070" t="s">
        <v>533</v>
      </c>
      <c r="K1070">
        <v>100816</v>
      </c>
    </row>
    <row r="1071" spans="1:11" x14ac:dyDescent="0.55000000000000004">
      <c r="A1071" t="s">
        <v>4325</v>
      </c>
      <c r="B1071" s="4">
        <v>46132</v>
      </c>
      <c r="C1071" t="s">
        <v>89</v>
      </c>
      <c r="D1071" t="s">
        <v>4326</v>
      </c>
      <c r="E1071" t="s">
        <v>15</v>
      </c>
      <c r="F1071" t="s">
        <v>4327</v>
      </c>
      <c r="G1071" t="s">
        <v>4328</v>
      </c>
      <c r="H1071" s="4">
        <v>46066.816069016204</v>
      </c>
      <c r="J1071" t="s">
        <v>68</v>
      </c>
      <c r="K1071">
        <v>100395</v>
      </c>
    </row>
    <row r="1072" spans="1:11" x14ac:dyDescent="0.55000000000000004">
      <c r="A1072" t="s">
        <v>4329</v>
      </c>
      <c r="B1072" s="4">
        <v>46121</v>
      </c>
      <c r="C1072" t="s">
        <v>69</v>
      </c>
      <c r="D1072" t="s">
        <v>4330</v>
      </c>
      <c r="E1072" t="s">
        <v>15</v>
      </c>
      <c r="F1072" t="s">
        <v>4331</v>
      </c>
      <c r="G1072" t="s">
        <v>4332</v>
      </c>
      <c r="H1072" s="4">
        <v>46083.448013472225</v>
      </c>
      <c r="J1072" t="s">
        <v>19</v>
      </c>
      <c r="K1072">
        <v>100048</v>
      </c>
    </row>
    <row r="1073" spans="1:11" x14ac:dyDescent="0.55000000000000004">
      <c r="A1073" t="s">
        <v>4333</v>
      </c>
      <c r="B1073" s="4">
        <v>45851</v>
      </c>
      <c r="C1073" t="s">
        <v>213</v>
      </c>
      <c r="D1073" t="s">
        <v>4334</v>
      </c>
      <c r="E1073" t="s">
        <v>22</v>
      </c>
      <c r="F1073" t="s">
        <v>4335</v>
      </c>
      <c r="G1073" t="s">
        <v>4336</v>
      </c>
      <c r="H1073" s="4">
        <v>46076.624402361114</v>
      </c>
      <c r="J1073" t="s">
        <v>19</v>
      </c>
      <c r="K1073">
        <v>100456</v>
      </c>
    </row>
    <row r="1074" spans="1:11" x14ac:dyDescent="0.55000000000000004">
      <c r="A1074" t="s">
        <v>4337</v>
      </c>
      <c r="B1074" s="4">
        <v>45828</v>
      </c>
      <c r="C1074" t="s">
        <v>757</v>
      </c>
      <c r="D1074" t="s">
        <v>4338</v>
      </c>
      <c r="E1074" t="s">
        <v>15</v>
      </c>
      <c r="F1074" t="s">
        <v>4339</v>
      </c>
      <c r="G1074" t="s">
        <v>4340</v>
      </c>
      <c r="H1074" s="4">
        <v>46069.106346817127</v>
      </c>
      <c r="J1074" t="s">
        <v>68</v>
      </c>
      <c r="K1074">
        <v>101434</v>
      </c>
    </row>
    <row r="1075" spans="1:11" x14ac:dyDescent="0.55000000000000004">
      <c r="A1075" t="s">
        <v>4341</v>
      </c>
      <c r="B1075" s="4">
        <v>45747</v>
      </c>
      <c r="C1075" t="s">
        <v>409</v>
      </c>
      <c r="D1075" t="s">
        <v>4342</v>
      </c>
      <c r="E1075" t="s">
        <v>15</v>
      </c>
      <c r="F1075" t="s">
        <v>4343</v>
      </c>
      <c r="G1075" t="s">
        <v>4344</v>
      </c>
      <c r="H1075" s="4">
        <v>46078.73273570602</v>
      </c>
      <c r="J1075" t="s">
        <v>19</v>
      </c>
      <c r="K1075">
        <v>100625</v>
      </c>
    </row>
    <row r="1076" spans="1:11" x14ac:dyDescent="0.55000000000000004">
      <c r="A1076" t="s">
        <v>4345</v>
      </c>
      <c r="B1076" s="4">
        <v>46146</v>
      </c>
      <c r="C1076" t="s">
        <v>562</v>
      </c>
      <c r="D1076" t="s">
        <v>1380</v>
      </c>
      <c r="E1076" t="s">
        <v>22</v>
      </c>
      <c r="F1076" t="s">
        <v>4346</v>
      </c>
      <c r="G1076" t="s">
        <v>4347</v>
      </c>
      <c r="H1076" s="4">
        <v>46069.770930162034</v>
      </c>
      <c r="J1076" t="s">
        <v>19</v>
      </c>
      <c r="K1076">
        <v>100716</v>
      </c>
    </row>
    <row r="1077" spans="1:11" x14ac:dyDescent="0.55000000000000004">
      <c r="A1077" t="s">
        <v>4348</v>
      </c>
      <c r="B1077" s="4">
        <v>46122</v>
      </c>
      <c r="C1077" t="s">
        <v>126</v>
      </c>
      <c r="D1077" t="s">
        <v>4349</v>
      </c>
      <c r="E1077" t="s">
        <v>15</v>
      </c>
      <c r="F1077" t="s">
        <v>4350</v>
      </c>
      <c r="G1077" t="s">
        <v>4351</v>
      </c>
      <c r="H1077" s="4">
        <v>46061.70079127315</v>
      </c>
      <c r="J1077" t="s">
        <v>179</v>
      </c>
      <c r="K1077">
        <v>100942</v>
      </c>
    </row>
    <row r="1078" spans="1:11" x14ac:dyDescent="0.55000000000000004">
      <c r="A1078" t="s">
        <v>4352</v>
      </c>
      <c r="B1078" s="4">
        <v>45810</v>
      </c>
      <c r="C1078" t="s">
        <v>27</v>
      </c>
      <c r="D1078" t="s">
        <v>4353</v>
      </c>
      <c r="E1078" t="s">
        <v>22</v>
      </c>
      <c r="F1078" t="s">
        <v>4354</v>
      </c>
      <c r="G1078" t="s">
        <v>4355</v>
      </c>
      <c r="H1078" s="4">
        <v>46073.455652395831</v>
      </c>
      <c r="J1078" t="s">
        <v>533</v>
      </c>
      <c r="K1078">
        <v>100408</v>
      </c>
    </row>
    <row r="1079" spans="1:11" x14ac:dyDescent="0.55000000000000004">
      <c r="A1079" t="s">
        <v>4356</v>
      </c>
      <c r="B1079" s="4">
        <v>45764</v>
      </c>
      <c r="C1079" t="s">
        <v>680</v>
      </c>
      <c r="D1079" t="s">
        <v>4357</v>
      </c>
      <c r="E1079" t="s">
        <v>15</v>
      </c>
      <c r="F1079" t="s">
        <v>4358</v>
      </c>
      <c r="G1079" t="s">
        <v>4359</v>
      </c>
      <c r="H1079" s="4">
        <v>46075.936207951388</v>
      </c>
      <c r="J1079" t="s">
        <v>179</v>
      </c>
      <c r="K1079">
        <v>100455</v>
      </c>
    </row>
    <row r="1080" spans="1:11" x14ac:dyDescent="0.55000000000000004">
      <c r="A1080" t="s">
        <v>4360</v>
      </c>
      <c r="B1080" s="4">
        <v>46059</v>
      </c>
      <c r="C1080" t="s">
        <v>265</v>
      </c>
      <c r="D1080" t="s">
        <v>4361</v>
      </c>
      <c r="E1080" t="s">
        <v>15</v>
      </c>
      <c r="F1080" t="s">
        <v>4362</v>
      </c>
      <c r="G1080" t="s">
        <v>4363</v>
      </c>
      <c r="H1080" s="4">
        <v>46053.959819074073</v>
      </c>
      <c r="J1080" t="s">
        <v>179</v>
      </c>
      <c r="K1080">
        <v>100963</v>
      </c>
    </row>
    <row r="1081" spans="1:11" x14ac:dyDescent="0.55000000000000004">
      <c r="A1081" t="s">
        <v>4364</v>
      </c>
      <c r="B1081" s="4">
        <v>45748</v>
      </c>
      <c r="C1081" t="s">
        <v>270</v>
      </c>
      <c r="D1081" t="s">
        <v>4365</v>
      </c>
      <c r="E1081" t="s">
        <v>15</v>
      </c>
      <c r="F1081" t="s">
        <v>4366</v>
      </c>
      <c r="G1081" t="s">
        <v>4367</v>
      </c>
      <c r="H1081" s="4">
        <v>46085.647319074073</v>
      </c>
      <c r="J1081" t="s">
        <v>533</v>
      </c>
      <c r="K1081">
        <v>100079</v>
      </c>
    </row>
    <row r="1082" spans="1:11" x14ac:dyDescent="0.55000000000000004">
      <c r="A1082" t="s">
        <v>4368</v>
      </c>
      <c r="B1082" s="4">
        <v>45877</v>
      </c>
      <c r="C1082" t="s">
        <v>115</v>
      </c>
      <c r="D1082" t="s">
        <v>4369</v>
      </c>
      <c r="E1082" t="s">
        <v>22</v>
      </c>
      <c r="F1082" t="s">
        <v>4370</v>
      </c>
      <c r="G1082" t="s">
        <v>4371</v>
      </c>
      <c r="H1082" s="4">
        <v>46055.000791307873</v>
      </c>
      <c r="J1082" t="s">
        <v>179</v>
      </c>
      <c r="K1082">
        <v>100783</v>
      </c>
    </row>
    <row r="1083" spans="1:11" x14ac:dyDescent="0.55000000000000004">
      <c r="A1083" t="s">
        <v>4372</v>
      </c>
      <c r="B1083" s="4">
        <v>45964</v>
      </c>
      <c r="C1083" t="s">
        <v>20</v>
      </c>
      <c r="D1083" t="s">
        <v>4373</v>
      </c>
      <c r="E1083" t="s">
        <v>15</v>
      </c>
      <c r="F1083" t="s">
        <v>4374</v>
      </c>
      <c r="G1083" t="s">
        <v>4375</v>
      </c>
      <c r="H1083" s="4">
        <v>46087.281346863427</v>
      </c>
      <c r="J1083" t="s">
        <v>37</v>
      </c>
      <c r="K1083">
        <v>100221</v>
      </c>
    </row>
    <row r="1084" spans="1:11" x14ac:dyDescent="0.55000000000000004">
      <c r="A1084" t="s">
        <v>4376</v>
      </c>
      <c r="B1084" s="4">
        <v>45932</v>
      </c>
      <c r="C1084" t="s">
        <v>155</v>
      </c>
      <c r="D1084" t="s">
        <v>4377</v>
      </c>
      <c r="E1084" t="s">
        <v>15</v>
      </c>
      <c r="F1084" t="s">
        <v>4378</v>
      </c>
      <c r="G1084" t="s">
        <v>4379</v>
      </c>
      <c r="H1084" s="4">
        <v>46063.15148576389</v>
      </c>
      <c r="J1084" t="s">
        <v>179</v>
      </c>
      <c r="K1084">
        <v>101476</v>
      </c>
    </row>
    <row r="1085" spans="1:11" x14ac:dyDescent="0.55000000000000004">
      <c r="A1085" t="s">
        <v>4380</v>
      </c>
      <c r="B1085" s="4">
        <v>46112</v>
      </c>
      <c r="C1085" t="s">
        <v>69</v>
      </c>
      <c r="D1085" t="s">
        <v>4381</v>
      </c>
      <c r="E1085" t="s">
        <v>15</v>
      </c>
      <c r="F1085" t="s">
        <v>4382</v>
      </c>
      <c r="G1085" t="s">
        <v>4383</v>
      </c>
      <c r="H1085" s="4">
        <v>46089.453569097219</v>
      </c>
      <c r="J1085" t="s">
        <v>19</v>
      </c>
      <c r="K1085">
        <v>101350</v>
      </c>
    </row>
    <row r="1086" spans="1:11" x14ac:dyDescent="0.55000000000000004">
      <c r="A1086" t="s">
        <v>4384</v>
      </c>
      <c r="B1086" s="4">
        <v>45953</v>
      </c>
      <c r="C1086" t="s">
        <v>680</v>
      </c>
      <c r="D1086" t="s">
        <v>4385</v>
      </c>
      <c r="E1086" t="s">
        <v>22</v>
      </c>
      <c r="F1086" t="s">
        <v>4386</v>
      </c>
      <c r="G1086" t="s">
        <v>4387</v>
      </c>
      <c r="H1086" s="4">
        <v>46060.457735775461</v>
      </c>
      <c r="J1086" t="s">
        <v>68</v>
      </c>
      <c r="K1086">
        <v>100508</v>
      </c>
    </row>
    <row r="1087" spans="1:11" x14ac:dyDescent="0.55000000000000004">
      <c r="A1087" t="s">
        <v>4388</v>
      </c>
      <c r="B1087" s="4">
        <v>46098</v>
      </c>
      <c r="C1087" t="s">
        <v>208</v>
      </c>
      <c r="D1087" t="s">
        <v>4389</v>
      </c>
      <c r="E1087" t="s">
        <v>15</v>
      </c>
      <c r="F1087" t="s">
        <v>210</v>
      </c>
      <c r="G1087" t="s">
        <v>4390</v>
      </c>
      <c r="H1087" s="4">
        <v>46088.112596886574</v>
      </c>
      <c r="J1087" t="s">
        <v>19</v>
      </c>
      <c r="K1087">
        <v>100843</v>
      </c>
    </row>
    <row r="1088" spans="1:11" x14ac:dyDescent="0.55000000000000004">
      <c r="A1088" t="s">
        <v>4391</v>
      </c>
      <c r="B1088" s="4">
        <v>46154</v>
      </c>
      <c r="C1088" t="s">
        <v>409</v>
      </c>
      <c r="D1088" t="s">
        <v>4392</v>
      </c>
      <c r="E1088" t="s">
        <v>22</v>
      </c>
      <c r="F1088" t="s">
        <v>4393</v>
      </c>
      <c r="G1088" t="s">
        <v>4394</v>
      </c>
      <c r="H1088" s="4">
        <v>46061.048013553242</v>
      </c>
      <c r="J1088" t="s">
        <v>37</v>
      </c>
      <c r="K1088">
        <v>100680</v>
      </c>
    </row>
    <row r="1089" spans="1:11" x14ac:dyDescent="0.55000000000000004">
      <c r="A1089" t="s">
        <v>4395</v>
      </c>
      <c r="B1089" s="4">
        <v>45968</v>
      </c>
      <c r="C1089" t="s">
        <v>13</v>
      </c>
      <c r="D1089" t="s">
        <v>4396</v>
      </c>
      <c r="E1089" t="s">
        <v>22</v>
      </c>
      <c r="F1089" t="s">
        <v>4397</v>
      </c>
      <c r="G1089" t="s">
        <v>4398</v>
      </c>
      <c r="H1089" s="4">
        <v>46074.750096898148</v>
      </c>
      <c r="J1089" t="s">
        <v>179</v>
      </c>
      <c r="K1089">
        <v>100367</v>
      </c>
    </row>
    <row r="1090" spans="1:11" x14ac:dyDescent="0.55000000000000004">
      <c r="A1090" t="s">
        <v>4399</v>
      </c>
      <c r="B1090" s="4">
        <v>45932</v>
      </c>
      <c r="C1090" t="s">
        <v>680</v>
      </c>
      <c r="D1090" t="s">
        <v>4400</v>
      </c>
      <c r="E1090" t="s">
        <v>15</v>
      </c>
      <c r="F1090" t="s">
        <v>4401</v>
      </c>
      <c r="G1090" t="s">
        <v>4402</v>
      </c>
      <c r="H1090" s="4">
        <v>46058.132041354169</v>
      </c>
      <c r="J1090" t="s">
        <v>68</v>
      </c>
      <c r="K1090">
        <v>100050</v>
      </c>
    </row>
    <row r="1091" spans="1:11" x14ac:dyDescent="0.55000000000000004">
      <c r="A1091" t="s">
        <v>4403</v>
      </c>
      <c r="B1091" s="4">
        <v>45928</v>
      </c>
      <c r="C1091" t="s">
        <v>528</v>
      </c>
      <c r="D1091" t="s">
        <v>4404</v>
      </c>
      <c r="E1091" t="s">
        <v>22</v>
      </c>
      <c r="F1091" t="s">
        <v>4405</v>
      </c>
      <c r="G1091" t="s">
        <v>4406</v>
      </c>
      <c r="H1091" s="4">
        <v>46053.684124687497</v>
      </c>
      <c r="J1091" t="s">
        <v>179</v>
      </c>
      <c r="K1091">
        <v>100844</v>
      </c>
    </row>
    <row r="1092" spans="1:11" x14ac:dyDescent="0.55000000000000004">
      <c r="A1092" t="s">
        <v>4407</v>
      </c>
      <c r="B1092" s="4">
        <v>45812</v>
      </c>
      <c r="C1092" t="s">
        <v>27</v>
      </c>
      <c r="D1092" t="s">
        <v>4408</v>
      </c>
      <c r="E1092" t="s">
        <v>22</v>
      </c>
      <c r="F1092" t="s">
        <v>4409</v>
      </c>
      <c r="G1092" t="s">
        <v>4410</v>
      </c>
      <c r="H1092" s="4">
        <v>46055.651485810187</v>
      </c>
      <c r="J1092" t="s">
        <v>248</v>
      </c>
      <c r="K1092">
        <v>100362</v>
      </c>
    </row>
    <row r="1093" spans="1:11" x14ac:dyDescent="0.55000000000000004">
      <c r="A1093" t="s">
        <v>4411</v>
      </c>
      <c r="B1093" s="4">
        <v>45984</v>
      </c>
      <c r="C1093" t="s">
        <v>170</v>
      </c>
      <c r="D1093" t="s">
        <v>4412</v>
      </c>
      <c r="E1093" t="s">
        <v>22</v>
      </c>
      <c r="F1093" t="s">
        <v>4413</v>
      </c>
      <c r="G1093" t="s">
        <v>4414</v>
      </c>
      <c r="H1093" s="4">
        <v>46093.596624710648</v>
      </c>
      <c r="J1093" t="s">
        <v>248</v>
      </c>
      <c r="K1093">
        <v>100332</v>
      </c>
    </row>
    <row r="1094" spans="1:11" x14ac:dyDescent="0.55000000000000004">
      <c r="A1094" t="s">
        <v>4415</v>
      </c>
      <c r="B1094" s="4">
        <v>46124</v>
      </c>
      <c r="C1094" t="s">
        <v>757</v>
      </c>
      <c r="D1094" t="s">
        <v>4416</v>
      </c>
      <c r="E1094" t="s">
        <v>15</v>
      </c>
      <c r="F1094" t="s">
        <v>4417</v>
      </c>
      <c r="G1094" t="s">
        <v>4418</v>
      </c>
      <c r="H1094" s="4">
        <v>46081.451485833335</v>
      </c>
      <c r="J1094" t="s">
        <v>19</v>
      </c>
      <c r="K1094">
        <v>101225</v>
      </c>
    </row>
    <row r="1095" spans="1:11" x14ac:dyDescent="0.55000000000000004">
      <c r="A1095" t="s">
        <v>4419</v>
      </c>
      <c r="B1095" s="4">
        <v>45754</v>
      </c>
      <c r="C1095" t="s">
        <v>141</v>
      </c>
      <c r="D1095" t="s">
        <v>4420</v>
      </c>
      <c r="E1095" t="s">
        <v>22</v>
      </c>
      <c r="F1095" t="s">
        <v>4421</v>
      </c>
      <c r="G1095" t="s">
        <v>4422</v>
      </c>
      <c r="H1095" s="4">
        <v>46073.257735844905</v>
      </c>
      <c r="J1095" t="s">
        <v>19</v>
      </c>
      <c r="K1095">
        <v>100316</v>
      </c>
    </row>
    <row r="1096" spans="1:11" x14ac:dyDescent="0.55000000000000004">
      <c r="A1096" t="s">
        <v>4423</v>
      </c>
      <c r="B1096" s="4">
        <v>45831</v>
      </c>
      <c r="C1096" t="s">
        <v>141</v>
      </c>
      <c r="D1096" t="s">
        <v>4424</v>
      </c>
      <c r="E1096" t="s">
        <v>22</v>
      </c>
      <c r="F1096" t="s">
        <v>4425</v>
      </c>
      <c r="G1096" t="s">
        <v>4426</v>
      </c>
      <c r="H1096" s="4">
        <v>46090.552180300925</v>
      </c>
      <c r="J1096" t="s">
        <v>179</v>
      </c>
      <c r="K1096">
        <v>101223</v>
      </c>
    </row>
    <row r="1097" spans="1:11" x14ac:dyDescent="0.55000000000000004">
      <c r="A1097" t="s">
        <v>4427</v>
      </c>
      <c r="B1097" s="4">
        <v>46075</v>
      </c>
      <c r="C1097" t="s">
        <v>213</v>
      </c>
      <c r="D1097" t="s">
        <v>4428</v>
      </c>
      <c r="E1097" t="s">
        <v>15</v>
      </c>
      <c r="F1097" t="s">
        <v>4429</v>
      </c>
      <c r="G1097" t="s">
        <v>4430</v>
      </c>
      <c r="H1097" s="4">
        <v>46091.966069189817</v>
      </c>
      <c r="J1097" t="s">
        <v>68</v>
      </c>
      <c r="K1097">
        <v>100724</v>
      </c>
    </row>
    <row r="1098" spans="1:11" x14ac:dyDescent="0.55000000000000004">
      <c r="A1098" t="s">
        <v>4431</v>
      </c>
      <c r="B1098" s="4">
        <v>46097</v>
      </c>
      <c r="C1098" t="s">
        <v>418</v>
      </c>
      <c r="D1098" t="s">
        <v>4432</v>
      </c>
      <c r="E1098" t="s">
        <v>22</v>
      </c>
      <c r="F1098" t="s">
        <v>4433</v>
      </c>
      <c r="G1098" t="s">
        <v>4434</v>
      </c>
      <c r="H1098" s="4">
        <v>46087.503569201392</v>
      </c>
      <c r="J1098" t="s">
        <v>248</v>
      </c>
      <c r="K1098">
        <v>100210</v>
      </c>
    </row>
    <row r="1099" spans="1:11" x14ac:dyDescent="0.55000000000000004">
      <c r="A1099" t="s">
        <v>4435</v>
      </c>
      <c r="B1099" s="4">
        <v>46042</v>
      </c>
      <c r="C1099" t="s">
        <v>115</v>
      </c>
      <c r="D1099" t="s">
        <v>4436</v>
      </c>
      <c r="E1099" t="s">
        <v>22</v>
      </c>
      <c r="F1099" t="s">
        <v>4437</v>
      </c>
      <c r="G1099" t="s">
        <v>4438</v>
      </c>
      <c r="H1099" s="4">
        <v>46089.986208101851</v>
      </c>
      <c r="J1099" t="s">
        <v>37</v>
      </c>
      <c r="K1099">
        <v>101234</v>
      </c>
    </row>
    <row r="1100" spans="1:11" x14ac:dyDescent="0.55000000000000004">
      <c r="A1100" t="s">
        <v>4439</v>
      </c>
      <c r="B1100" s="4">
        <v>45818</v>
      </c>
      <c r="C1100" t="s">
        <v>317</v>
      </c>
      <c r="D1100" t="s">
        <v>4440</v>
      </c>
      <c r="E1100" t="s">
        <v>15</v>
      </c>
      <c r="F1100" t="s">
        <v>4441</v>
      </c>
      <c r="G1100" t="s">
        <v>4442</v>
      </c>
      <c r="H1100" s="4">
        <v>46054.357735879632</v>
      </c>
      <c r="J1100" t="s">
        <v>179</v>
      </c>
      <c r="K1100">
        <v>100430</v>
      </c>
    </row>
    <row r="1101" spans="1:11" x14ac:dyDescent="0.55000000000000004">
      <c r="A1101" t="s">
        <v>4443</v>
      </c>
      <c r="B1101" s="4">
        <v>45957</v>
      </c>
      <c r="C1101" t="s">
        <v>189</v>
      </c>
      <c r="D1101" t="s">
        <v>4444</v>
      </c>
      <c r="E1101" t="s">
        <v>15</v>
      </c>
      <c r="F1101" t="s">
        <v>4445</v>
      </c>
      <c r="G1101" t="s">
        <v>4446</v>
      </c>
      <c r="H1101" s="4">
        <v>46053.988985891207</v>
      </c>
      <c r="J1101" t="s">
        <v>533</v>
      </c>
      <c r="K1101">
        <v>100732</v>
      </c>
    </row>
    <row r="1102" spans="1:11" x14ac:dyDescent="0.55000000000000004">
      <c r="A1102" t="s">
        <v>4447</v>
      </c>
      <c r="B1102" s="4">
        <v>45958</v>
      </c>
      <c r="C1102" t="s">
        <v>184</v>
      </c>
      <c r="D1102" t="s">
        <v>4448</v>
      </c>
      <c r="E1102" t="s">
        <v>22</v>
      </c>
      <c r="F1102" t="s">
        <v>4449</v>
      </c>
      <c r="G1102" t="s">
        <v>4450</v>
      </c>
      <c r="H1102" s="4">
        <v>46053.307735891205</v>
      </c>
      <c r="J1102" t="s">
        <v>248</v>
      </c>
      <c r="K1102">
        <v>101263</v>
      </c>
    </row>
    <row r="1103" spans="1:11" x14ac:dyDescent="0.55000000000000004">
      <c r="A1103" t="s">
        <v>4451</v>
      </c>
      <c r="B1103" s="4">
        <v>45758</v>
      </c>
      <c r="C1103" t="s">
        <v>243</v>
      </c>
      <c r="D1103" t="s">
        <v>4452</v>
      </c>
      <c r="E1103" t="s">
        <v>15</v>
      </c>
      <c r="F1103" t="s">
        <v>4453</v>
      </c>
      <c r="G1103" t="s">
        <v>4454</v>
      </c>
      <c r="H1103" s="4">
        <v>46082.213291458334</v>
      </c>
      <c r="J1103" t="s">
        <v>179</v>
      </c>
      <c r="K1103">
        <v>100746</v>
      </c>
    </row>
    <row r="1104" spans="1:11" x14ac:dyDescent="0.55000000000000004">
      <c r="A1104" t="s">
        <v>2951</v>
      </c>
      <c r="B1104" s="4">
        <v>45834</v>
      </c>
      <c r="C1104" t="s">
        <v>155</v>
      </c>
      <c r="D1104" t="s">
        <v>4455</v>
      </c>
      <c r="E1104" t="s">
        <v>22</v>
      </c>
      <c r="F1104" t="s">
        <v>4456</v>
      </c>
      <c r="G1104" t="s">
        <v>4457</v>
      </c>
      <c r="H1104" s="4">
        <v>46096.725791458332</v>
      </c>
      <c r="J1104" t="s">
        <v>248</v>
      </c>
      <c r="K1104">
        <v>100631</v>
      </c>
    </row>
    <row r="1105" spans="1:11" x14ac:dyDescent="0.55000000000000004">
      <c r="A1105" t="s">
        <v>4458</v>
      </c>
      <c r="B1105" s="4">
        <v>46152</v>
      </c>
      <c r="C1105" t="s">
        <v>317</v>
      </c>
      <c r="D1105" t="s">
        <v>4459</v>
      </c>
      <c r="E1105" t="s">
        <v>15</v>
      </c>
      <c r="F1105" t="s">
        <v>4460</v>
      </c>
      <c r="G1105" t="s">
        <v>4461</v>
      </c>
      <c r="H1105" s="4">
        <v>46083.609124803239</v>
      </c>
      <c r="J1105" t="s">
        <v>68</v>
      </c>
      <c r="K1105">
        <v>100085</v>
      </c>
    </row>
    <row r="1106" spans="1:11" x14ac:dyDescent="0.55000000000000004">
      <c r="A1106" t="s">
        <v>4462</v>
      </c>
      <c r="B1106" s="4">
        <v>46102</v>
      </c>
      <c r="C1106" t="s">
        <v>155</v>
      </c>
      <c r="D1106" t="s">
        <v>4463</v>
      </c>
      <c r="E1106" t="s">
        <v>22</v>
      </c>
      <c r="F1106" t="s">
        <v>4464</v>
      </c>
      <c r="G1106" t="s">
        <v>4465</v>
      </c>
      <c r="H1106" s="4">
        <v>46065.593152581016</v>
      </c>
      <c r="J1106" t="s">
        <v>533</v>
      </c>
      <c r="K1106">
        <v>100261</v>
      </c>
    </row>
    <row r="1107" spans="1:11" x14ac:dyDescent="0.55000000000000004">
      <c r="A1107" t="s">
        <v>4466</v>
      </c>
      <c r="B1107" s="4">
        <v>45897</v>
      </c>
      <c r="C1107" t="s">
        <v>587</v>
      </c>
      <c r="D1107" t="s">
        <v>4467</v>
      </c>
      <c r="E1107" t="s">
        <v>22</v>
      </c>
      <c r="F1107" t="s">
        <v>4468</v>
      </c>
      <c r="G1107" t="s">
        <v>4469</v>
      </c>
      <c r="H1107" s="4">
        <v>46070.574402592596</v>
      </c>
      <c r="J1107" t="s">
        <v>68</v>
      </c>
      <c r="K1107">
        <v>100880</v>
      </c>
    </row>
    <row r="1108" spans="1:11" x14ac:dyDescent="0.55000000000000004">
      <c r="A1108" t="s">
        <v>4470</v>
      </c>
      <c r="B1108" s="4">
        <v>45841</v>
      </c>
      <c r="C1108" t="s">
        <v>20</v>
      </c>
      <c r="D1108" t="s">
        <v>4471</v>
      </c>
      <c r="E1108" t="s">
        <v>22</v>
      </c>
      <c r="F1108" t="s">
        <v>4472</v>
      </c>
      <c r="G1108" t="s">
        <v>4473</v>
      </c>
      <c r="H1108" s="4">
        <v>46086.725097037037</v>
      </c>
      <c r="J1108" t="s">
        <v>248</v>
      </c>
      <c r="K1108">
        <v>100303</v>
      </c>
    </row>
    <row r="1109" spans="1:11" x14ac:dyDescent="0.55000000000000004">
      <c r="A1109" t="s">
        <v>4474</v>
      </c>
      <c r="B1109" s="4">
        <v>46066</v>
      </c>
      <c r="C1109" t="s">
        <v>334</v>
      </c>
      <c r="D1109" t="s">
        <v>4475</v>
      </c>
      <c r="E1109" t="s">
        <v>15</v>
      </c>
      <c r="F1109" t="s">
        <v>4476</v>
      </c>
      <c r="G1109" t="s">
        <v>4477</v>
      </c>
      <c r="H1109" s="4">
        <v>46068.433430381941</v>
      </c>
      <c r="J1109" t="s">
        <v>179</v>
      </c>
      <c r="K1109">
        <v>101150</v>
      </c>
    </row>
    <row r="1110" spans="1:11" x14ac:dyDescent="0.55000000000000004">
      <c r="A1110" t="s">
        <v>4478</v>
      </c>
      <c r="B1110" s="4">
        <v>46068</v>
      </c>
      <c r="C1110" t="s">
        <v>27</v>
      </c>
      <c r="D1110" t="s">
        <v>4479</v>
      </c>
      <c r="E1110" t="s">
        <v>22</v>
      </c>
      <c r="F1110" t="s">
        <v>4480</v>
      </c>
      <c r="G1110" t="s">
        <v>4481</v>
      </c>
      <c r="H1110" s="4">
        <v>46095.650791493055</v>
      </c>
      <c r="J1110" t="s">
        <v>37</v>
      </c>
      <c r="K1110">
        <v>100073</v>
      </c>
    </row>
    <row r="1111" spans="1:11" x14ac:dyDescent="0.55000000000000004">
      <c r="A1111" t="s">
        <v>4482</v>
      </c>
      <c r="B1111" s="4">
        <v>45942</v>
      </c>
      <c r="C1111" t="s">
        <v>89</v>
      </c>
      <c r="D1111" t="s">
        <v>2878</v>
      </c>
      <c r="E1111" t="s">
        <v>15</v>
      </c>
      <c r="F1111" t="s">
        <v>4483</v>
      </c>
      <c r="G1111" t="s">
        <v>4484</v>
      </c>
      <c r="H1111" s="4">
        <v>46051.98343039352</v>
      </c>
      <c r="I1111" t="s">
        <v>112</v>
      </c>
      <c r="J1111" t="s">
        <v>248</v>
      </c>
    </row>
    <row r="1112" spans="1:11" x14ac:dyDescent="0.55000000000000004">
      <c r="A1112" t="s">
        <v>4485</v>
      </c>
      <c r="B1112" s="4">
        <v>45819</v>
      </c>
      <c r="C1112" t="s">
        <v>170</v>
      </c>
      <c r="D1112" t="s">
        <v>4486</v>
      </c>
      <c r="E1112" t="s">
        <v>22</v>
      </c>
      <c r="F1112" t="s">
        <v>4487</v>
      </c>
      <c r="G1112" t="s">
        <v>4488</v>
      </c>
      <c r="H1112" s="4">
        <v>46056.755652627318</v>
      </c>
      <c r="J1112" t="s">
        <v>19</v>
      </c>
      <c r="K1112">
        <v>101233</v>
      </c>
    </row>
    <row r="1113" spans="1:11" x14ac:dyDescent="0.55000000000000004">
      <c r="A1113" t="s">
        <v>4489</v>
      </c>
      <c r="B1113" s="4">
        <v>46079</v>
      </c>
      <c r="C1113" t="s">
        <v>562</v>
      </c>
      <c r="D1113" t="s">
        <v>4490</v>
      </c>
      <c r="E1113" t="s">
        <v>22</v>
      </c>
      <c r="F1113" t="s">
        <v>4491</v>
      </c>
      <c r="G1113" t="s">
        <v>4492</v>
      </c>
      <c r="H1113" s="4">
        <v>46055.060513738426</v>
      </c>
      <c r="J1113" t="s">
        <v>179</v>
      </c>
      <c r="K1113">
        <v>101320</v>
      </c>
    </row>
    <row r="1114" spans="1:11" x14ac:dyDescent="0.55000000000000004">
      <c r="A1114" t="s">
        <v>4493</v>
      </c>
      <c r="B1114" s="4">
        <v>45903</v>
      </c>
      <c r="C1114" t="s">
        <v>38</v>
      </c>
      <c r="D1114" t="s">
        <v>4494</v>
      </c>
      <c r="E1114" t="s">
        <v>22</v>
      </c>
      <c r="F1114" t="s">
        <v>4495</v>
      </c>
      <c r="G1114" t="s">
        <v>4496</v>
      </c>
      <c r="H1114" s="4">
        <v>46073.019541527778</v>
      </c>
      <c r="J1114" t="s">
        <v>37</v>
      </c>
      <c r="K1114">
        <v>101163</v>
      </c>
    </row>
    <row r="1115" spans="1:11" x14ac:dyDescent="0.55000000000000004">
      <c r="A1115" t="s">
        <v>4497</v>
      </c>
      <c r="B1115" s="4">
        <v>45989</v>
      </c>
      <c r="C1115" t="s">
        <v>108</v>
      </c>
      <c r="D1115" t="s">
        <v>4498</v>
      </c>
      <c r="E1115" t="s">
        <v>15</v>
      </c>
      <c r="F1115" t="s">
        <v>4499</v>
      </c>
      <c r="G1115" t="s">
        <v>4500</v>
      </c>
      <c r="H1115" s="4">
        <v>46058.569541539349</v>
      </c>
      <c r="J1115" t="s">
        <v>248</v>
      </c>
      <c r="K1115">
        <v>100875</v>
      </c>
    </row>
    <row r="1116" spans="1:11" x14ac:dyDescent="0.55000000000000004">
      <c r="A1116" t="s">
        <v>4501</v>
      </c>
      <c r="B1116" s="4">
        <v>45853</v>
      </c>
      <c r="C1116" t="s">
        <v>121</v>
      </c>
      <c r="D1116" t="s">
        <v>4502</v>
      </c>
      <c r="E1116" t="s">
        <v>15</v>
      </c>
      <c r="F1116" t="s">
        <v>4503</v>
      </c>
      <c r="G1116" t="s">
        <v>4504</v>
      </c>
      <c r="H1116" s="4">
        <v>46089.213291539352</v>
      </c>
      <c r="J1116" t="s">
        <v>68</v>
      </c>
      <c r="K1116">
        <v>100904</v>
      </c>
    </row>
    <row r="1117" spans="1:11" x14ac:dyDescent="0.55000000000000004">
      <c r="A1117" t="s">
        <v>4505</v>
      </c>
      <c r="B1117" s="4">
        <v>45883</v>
      </c>
      <c r="C1117" t="s">
        <v>115</v>
      </c>
      <c r="D1117" t="s">
        <v>4506</v>
      </c>
      <c r="E1117" t="s">
        <v>22</v>
      </c>
      <c r="F1117" t="s">
        <v>4507</v>
      </c>
      <c r="G1117" t="s">
        <v>4508</v>
      </c>
      <c r="H1117" s="4">
        <v>46083.833430439816</v>
      </c>
      <c r="J1117" t="s">
        <v>19</v>
      </c>
      <c r="K1117">
        <v>101328</v>
      </c>
    </row>
    <row r="1118" spans="1:11" x14ac:dyDescent="0.55000000000000004">
      <c r="A1118" t="s">
        <v>4509</v>
      </c>
      <c r="B1118" s="4">
        <v>45853</v>
      </c>
      <c r="C1118" t="s">
        <v>495</v>
      </c>
      <c r="D1118" t="s">
        <v>4510</v>
      </c>
      <c r="E1118" t="s">
        <v>15</v>
      </c>
      <c r="F1118" t="s">
        <v>4511</v>
      </c>
      <c r="G1118" t="s">
        <v>4512</v>
      </c>
      <c r="H1118" s="4">
        <v>46080.294541550924</v>
      </c>
      <c r="J1118" t="s">
        <v>37</v>
      </c>
      <c r="K1118">
        <v>100536</v>
      </c>
    </row>
    <row r="1119" spans="1:11" x14ac:dyDescent="0.55000000000000004">
      <c r="A1119" t="s">
        <v>4513</v>
      </c>
      <c r="B1119" s="4">
        <v>45998</v>
      </c>
      <c r="C1119" t="s">
        <v>49</v>
      </c>
      <c r="D1119" t="s">
        <v>4514</v>
      </c>
      <c r="E1119" t="s">
        <v>15</v>
      </c>
      <c r="F1119" t="s">
        <v>4515</v>
      </c>
      <c r="G1119" t="s">
        <v>4516</v>
      </c>
      <c r="H1119" s="4">
        <v>46083.275097118058</v>
      </c>
      <c r="J1119" t="s">
        <v>37</v>
      </c>
      <c r="K1119">
        <v>100267</v>
      </c>
    </row>
    <row r="1120" spans="1:11" x14ac:dyDescent="0.55000000000000004">
      <c r="A1120" t="s">
        <v>4517</v>
      </c>
      <c r="B1120" s="4">
        <v>45856</v>
      </c>
      <c r="C1120" t="s">
        <v>38</v>
      </c>
      <c r="D1120" t="s">
        <v>4518</v>
      </c>
      <c r="E1120" t="s">
        <v>15</v>
      </c>
      <c r="F1120" t="s">
        <v>4519</v>
      </c>
      <c r="G1120" t="s">
        <v>4520</v>
      </c>
      <c r="H1120" s="4">
        <v>46055.393152673612</v>
      </c>
      <c r="J1120" t="s">
        <v>68</v>
      </c>
      <c r="K1120">
        <v>100683</v>
      </c>
    </row>
    <row r="1121" spans="1:11" x14ac:dyDescent="0.55000000000000004">
      <c r="A1121" t="s">
        <v>4521</v>
      </c>
      <c r="B1121" s="4">
        <v>46043</v>
      </c>
      <c r="C1121" t="s">
        <v>467</v>
      </c>
      <c r="D1121" t="s">
        <v>4522</v>
      </c>
      <c r="E1121" t="s">
        <v>15</v>
      </c>
      <c r="F1121" t="s">
        <v>4523</v>
      </c>
      <c r="G1121" t="s">
        <v>4524</v>
      </c>
      <c r="H1121" s="4">
        <v>46068.850791562501</v>
      </c>
      <c r="J1121" t="s">
        <v>248</v>
      </c>
      <c r="K1121">
        <v>100007</v>
      </c>
    </row>
    <row r="1122" spans="1:11" x14ac:dyDescent="0.55000000000000004">
      <c r="A1122" t="s">
        <v>4525</v>
      </c>
      <c r="B1122" s="4">
        <v>45765</v>
      </c>
      <c r="C1122" t="s">
        <v>265</v>
      </c>
      <c r="D1122" t="s">
        <v>4526</v>
      </c>
      <c r="E1122" t="s">
        <v>15</v>
      </c>
      <c r="F1122" t="s">
        <v>4527</v>
      </c>
      <c r="G1122" t="s">
        <v>4528</v>
      </c>
      <c r="H1122" s="4">
        <v>46057.545236018515</v>
      </c>
      <c r="I1122" t="s">
        <v>217</v>
      </c>
      <c r="K1122">
        <v>100090</v>
      </c>
    </row>
    <row r="1123" spans="1:11" x14ac:dyDescent="0.55000000000000004">
      <c r="A1123" t="s">
        <v>4529</v>
      </c>
      <c r="B1123" s="4">
        <v>45796</v>
      </c>
      <c r="C1123" t="s">
        <v>115</v>
      </c>
      <c r="D1123" t="s">
        <v>4530</v>
      </c>
      <c r="E1123" t="s">
        <v>15</v>
      </c>
      <c r="F1123" t="s">
        <v>4531</v>
      </c>
      <c r="G1123" t="s">
        <v>4532</v>
      </c>
      <c r="H1123" s="4">
        <v>46082.024402685187</v>
      </c>
      <c r="J1123" t="s">
        <v>248</v>
      </c>
      <c r="K1123">
        <v>100566</v>
      </c>
    </row>
    <row r="1124" spans="1:11" x14ac:dyDescent="0.55000000000000004">
      <c r="A1124" t="s">
        <v>4533</v>
      </c>
      <c r="B1124" s="4">
        <v>45950</v>
      </c>
      <c r="C1124" t="s">
        <v>208</v>
      </c>
      <c r="D1124" t="s">
        <v>4534</v>
      </c>
      <c r="E1124" t="s">
        <v>15</v>
      </c>
      <c r="F1124" t="s">
        <v>4535</v>
      </c>
      <c r="G1124" t="s">
        <v>4536</v>
      </c>
      <c r="H1124" s="4">
        <v>46082.143152696757</v>
      </c>
      <c r="J1124" t="s">
        <v>37</v>
      </c>
      <c r="K1124">
        <v>101253</v>
      </c>
    </row>
    <row r="1125" spans="1:11" x14ac:dyDescent="0.55000000000000004">
      <c r="A1125" t="s">
        <v>4537</v>
      </c>
      <c r="B1125" s="4">
        <v>46042</v>
      </c>
      <c r="C1125" t="s">
        <v>20</v>
      </c>
      <c r="D1125" t="s">
        <v>4538</v>
      </c>
      <c r="E1125" t="s">
        <v>22</v>
      </c>
      <c r="F1125" t="s">
        <v>4539</v>
      </c>
      <c r="G1125" t="s">
        <v>4540</v>
      </c>
      <c r="H1125" s="4">
        <v>46061.108430474538</v>
      </c>
      <c r="J1125" t="s">
        <v>533</v>
      </c>
      <c r="K1125">
        <v>101457</v>
      </c>
    </row>
    <row r="1126" spans="1:11" x14ac:dyDescent="0.55000000000000004">
      <c r="A1126" t="s">
        <v>4541</v>
      </c>
      <c r="B1126" s="4">
        <v>45871</v>
      </c>
      <c r="C1126" t="s">
        <v>295</v>
      </c>
      <c r="D1126" t="s">
        <v>4542</v>
      </c>
      <c r="E1126" t="s">
        <v>22</v>
      </c>
      <c r="F1126" t="s">
        <v>4543</v>
      </c>
      <c r="G1126" t="s">
        <v>4544</v>
      </c>
      <c r="H1126" s="4">
        <v>46073.507736041669</v>
      </c>
      <c r="J1126" t="s">
        <v>248</v>
      </c>
      <c r="K1126">
        <v>100104</v>
      </c>
    </row>
    <row r="1127" spans="1:11" x14ac:dyDescent="0.55000000000000004">
      <c r="A1127" t="s">
        <v>4545</v>
      </c>
      <c r="B1127" s="4">
        <v>45957</v>
      </c>
      <c r="C1127" t="s">
        <v>27</v>
      </c>
      <c r="D1127" t="s">
        <v>4546</v>
      </c>
      <c r="E1127" t="s">
        <v>22</v>
      </c>
      <c r="F1127" t="s">
        <v>4547</v>
      </c>
      <c r="G1127" t="s">
        <v>4548</v>
      </c>
      <c r="H1127" s="4">
        <v>46088.060513819444</v>
      </c>
      <c r="J1127" t="s">
        <v>19</v>
      </c>
      <c r="K1127">
        <v>101355</v>
      </c>
    </row>
    <row r="1128" spans="1:11" x14ac:dyDescent="0.55000000000000004">
      <c r="A1128" t="s">
        <v>4549</v>
      </c>
      <c r="B1128" s="4">
        <v>46122</v>
      </c>
      <c r="C1128" t="s">
        <v>334</v>
      </c>
      <c r="D1128" t="s">
        <v>4550</v>
      </c>
      <c r="E1128" t="s">
        <v>22</v>
      </c>
      <c r="F1128" t="s">
        <v>4551</v>
      </c>
      <c r="G1128" t="s">
        <v>4552</v>
      </c>
      <c r="H1128" s="4">
        <v>46058.982041608797</v>
      </c>
      <c r="J1128" t="s">
        <v>37</v>
      </c>
      <c r="K1128">
        <v>101322</v>
      </c>
    </row>
    <row r="1129" spans="1:11" x14ac:dyDescent="0.55000000000000004">
      <c r="A1129" t="s">
        <v>4553</v>
      </c>
      <c r="B1129" s="4">
        <v>46015</v>
      </c>
      <c r="C1129" t="s">
        <v>208</v>
      </c>
      <c r="D1129" t="s">
        <v>4554</v>
      </c>
      <c r="E1129" t="s">
        <v>22</v>
      </c>
      <c r="F1129" t="s">
        <v>4555</v>
      </c>
      <c r="G1129" t="s">
        <v>4556</v>
      </c>
      <c r="H1129" s="4">
        <v>46078.101486053238</v>
      </c>
      <c r="J1129" t="s">
        <v>533</v>
      </c>
      <c r="K1129">
        <v>101035</v>
      </c>
    </row>
    <row r="1130" spans="1:11" x14ac:dyDescent="0.55000000000000004">
      <c r="A1130" t="s">
        <v>4557</v>
      </c>
      <c r="B1130" s="4">
        <v>45924</v>
      </c>
      <c r="C1130" t="s">
        <v>270</v>
      </c>
      <c r="D1130" t="s">
        <v>4558</v>
      </c>
      <c r="E1130" t="s">
        <v>22</v>
      </c>
      <c r="F1130" t="s">
        <v>4559</v>
      </c>
      <c r="G1130" t="s">
        <v>4560</v>
      </c>
      <c r="H1130" s="4">
        <v>46089.078569398145</v>
      </c>
      <c r="J1130" t="s">
        <v>68</v>
      </c>
      <c r="K1130">
        <v>100540</v>
      </c>
    </row>
    <row r="1131" spans="1:11" x14ac:dyDescent="0.55000000000000004">
      <c r="A1131" t="s">
        <v>4561</v>
      </c>
      <c r="B1131" s="4">
        <v>45811</v>
      </c>
      <c r="C1131" t="s">
        <v>155</v>
      </c>
      <c r="D1131" t="s">
        <v>4562</v>
      </c>
      <c r="E1131" t="s">
        <v>15</v>
      </c>
      <c r="F1131" t="s">
        <v>4563</v>
      </c>
      <c r="G1131" t="s">
        <v>4564</v>
      </c>
      <c r="H1131" s="4">
        <v>46065.213986064817</v>
      </c>
      <c r="J1131" t="s">
        <v>248</v>
      </c>
      <c r="K1131">
        <v>100416</v>
      </c>
    </row>
    <row r="1132" spans="1:11" x14ac:dyDescent="0.55000000000000004">
      <c r="A1132" t="s">
        <v>4565</v>
      </c>
      <c r="B1132" s="4">
        <v>45939</v>
      </c>
      <c r="C1132" t="s">
        <v>58</v>
      </c>
      <c r="D1132" t="s">
        <v>4566</v>
      </c>
      <c r="E1132" t="s">
        <v>22</v>
      </c>
      <c r="F1132" t="s">
        <v>4567</v>
      </c>
      <c r="G1132" t="s">
        <v>4568</v>
      </c>
      <c r="H1132" s="4">
        <v>46066.308430520832</v>
      </c>
      <c r="J1132" t="s">
        <v>19</v>
      </c>
      <c r="K1132">
        <v>100702</v>
      </c>
    </row>
    <row r="1133" spans="1:11" x14ac:dyDescent="0.55000000000000004">
      <c r="A1133" t="s">
        <v>4569</v>
      </c>
      <c r="B1133" s="4">
        <v>45768</v>
      </c>
      <c r="C1133" t="s">
        <v>141</v>
      </c>
      <c r="D1133" t="s">
        <v>4570</v>
      </c>
      <c r="E1133" t="s">
        <v>22</v>
      </c>
      <c r="F1133" t="s">
        <v>4571</v>
      </c>
      <c r="G1133" t="s">
        <v>4572</v>
      </c>
      <c r="H1133" s="4">
        <v>46061.515374965275</v>
      </c>
      <c r="J1133" t="s">
        <v>19</v>
      </c>
      <c r="K1133">
        <v>100431</v>
      </c>
    </row>
    <row r="1134" spans="1:11" x14ac:dyDescent="0.55000000000000004">
      <c r="A1134" t="s">
        <v>4573</v>
      </c>
      <c r="B1134" s="4">
        <v>46122</v>
      </c>
      <c r="C1134" t="s">
        <v>49</v>
      </c>
      <c r="D1134" t="s">
        <v>4574</v>
      </c>
      <c r="E1134" t="s">
        <v>22</v>
      </c>
      <c r="F1134" t="s">
        <v>4575</v>
      </c>
      <c r="G1134" t="s">
        <v>4576</v>
      </c>
      <c r="H1134" s="4">
        <v>46056.766763865744</v>
      </c>
      <c r="J1134" t="s">
        <v>248</v>
      </c>
      <c r="K1134">
        <v>100577</v>
      </c>
    </row>
    <row r="1135" spans="1:11" x14ac:dyDescent="0.55000000000000004">
      <c r="A1135" t="s">
        <v>6038</v>
      </c>
      <c r="B1135" s="4">
        <v>46088</v>
      </c>
      <c r="C1135" t="s">
        <v>317</v>
      </c>
      <c r="D1135" t="s">
        <v>4578</v>
      </c>
      <c r="E1135" t="s">
        <v>22</v>
      </c>
      <c r="F1135" t="s">
        <v>4579</v>
      </c>
      <c r="G1135" t="s">
        <v>4580</v>
      </c>
      <c r="H1135" s="4">
        <v>46070.395236087963</v>
      </c>
      <c r="I1135" t="s">
        <v>119</v>
      </c>
      <c r="J1135" t="s">
        <v>68</v>
      </c>
      <c r="K1135">
        <v>100557</v>
      </c>
    </row>
    <row r="1136" spans="1:11" x14ac:dyDescent="0.55000000000000004">
      <c r="A1136" t="s">
        <v>4581</v>
      </c>
      <c r="B1136" s="4">
        <v>45976</v>
      </c>
      <c r="C1136" t="s">
        <v>20</v>
      </c>
      <c r="D1136" t="s">
        <v>4582</v>
      </c>
      <c r="E1136" t="s">
        <v>15</v>
      </c>
      <c r="F1136" t="s">
        <v>4583</v>
      </c>
      <c r="G1136" t="s">
        <v>4584</v>
      </c>
      <c r="H1136" s="4">
        <v>46052.799402766206</v>
      </c>
      <c r="J1136" t="s">
        <v>248</v>
      </c>
      <c r="K1136">
        <v>101461</v>
      </c>
    </row>
    <row r="1137" spans="1:11" x14ac:dyDescent="0.55000000000000004">
      <c r="A1137" t="s">
        <v>4585</v>
      </c>
      <c r="B1137" s="4">
        <v>45865</v>
      </c>
      <c r="C1137" t="s">
        <v>208</v>
      </c>
      <c r="D1137" t="s">
        <v>4586</v>
      </c>
      <c r="E1137" t="s">
        <v>15</v>
      </c>
      <c r="F1137" t="s">
        <v>4587</v>
      </c>
      <c r="G1137" t="s">
        <v>4588</v>
      </c>
      <c r="H1137" s="4">
        <v>46058.923708321759</v>
      </c>
      <c r="J1137" t="s">
        <v>533</v>
      </c>
      <c r="K1137">
        <v>101435</v>
      </c>
    </row>
    <row r="1138" spans="1:11" x14ac:dyDescent="0.55000000000000004">
      <c r="A1138" t="s">
        <v>4589</v>
      </c>
      <c r="B1138" s="4">
        <v>45738</v>
      </c>
      <c r="C1138" t="s">
        <v>155</v>
      </c>
      <c r="D1138" t="s">
        <v>4590</v>
      </c>
      <c r="E1138" t="s">
        <v>22</v>
      </c>
      <c r="F1138" t="s">
        <v>4591</v>
      </c>
      <c r="G1138" t="s">
        <v>4592</v>
      </c>
      <c r="H1138" s="4">
        <v>46071.912597210649</v>
      </c>
      <c r="J1138" t="s">
        <v>533</v>
      </c>
      <c r="K1138">
        <v>100219</v>
      </c>
    </row>
    <row r="1139" spans="1:11" x14ac:dyDescent="0.55000000000000004">
      <c r="A1139" t="s">
        <v>4593</v>
      </c>
      <c r="B1139" s="4">
        <v>45997</v>
      </c>
      <c r="C1139" t="s">
        <v>69</v>
      </c>
      <c r="D1139" t="s">
        <v>4594</v>
      </c>
      <c r="E1139" t="s">
        <v>15</v>
      </c>
      <c r="F1139" t="s">
        <v>4595</v>
      </c>
      <c r="G1139" t="s">
        <v>4596</v>
      </c>
      <c r="H1139" s="4">
        <v>46070.386902777776</v>
      </c>
      <c r="J1139" t="s">
        <v>37</v>
      </c>
      <c r="K1139">
        <v>100236</v>
      </c>
    </row>
    <row r="1140" spans="1:11" x14ac:dyDescent="0.55000000000000004">
      <c r="A1140" t="s">
        <v>4597</v>
      </c>
      <c r="B1140" s="4">
        <v>45988</v>
      </c>
      <c r="C1140" t="s">
        <v>300</v>
      </c>
      <c r="D1140" t="s">
        <v>4598</v>
      </c>
      <c r="E1140" t="s">
        <v>22</v>
      </c>
      <c r="F1140" t="s">
        <v>4599</v>
      </c>
      <c r="G1140" t="s">
        <v>4600</v>
      </c>
      <c r="H1140" s="4">
        <v>46092.591069444446</v>
      </c>
      <c r="J1140" t="s">
        <v>68</v>
      </c>
      <c r="K1140">
        <v>101451</v>
      </c>
    </row>
    <row r="1141" spans="1:11" x14ac:dyDescent="0.55000000000000004">
      <c r="A1141" t="s">
        <v>4601</v>
      </c>
      <c r="B1141" s="4">
        <v>46129</v>
      </c>
      <c r="C1141" t="s">
        <v>356</v>
      </c>
      <c r="D1141" t="s">
        <v>4602</v>
      </c>
      <c r="E1141" t="s">
        <v>15</v>
      </c>
      <c r="F1141" t="s">
        <v>4603</v>
      </c>
      <c r="G1141" t="s">
        <v>4604</v>
      </c>
      <c r="H1141" s="4">
        <v>46071.752180567128</v>
      </c>
      <c r="J1141" t="s">
        <v>19</v>
      </c>
      <c r="K1141">
        <v>100275</v>
      </c>
    </row>
    <row r="1142" spans="1:11" x14ac:dyDescent="0.55000000000000004">
      <c r="A1142" t="s">
        <v>4605</v>
      </c>
      <c r="B1142" s="4">
        <v>45735</v>
      </c>
      <c r="C1142" t="s">
        <v>69</v>
      </c>
      <c r="D1142" t="s">
        <v>4606</v>
      </c>
      <c r="E1142" t="s">
        <v>15</v>
      </c>
      <c r="F1142" t="s">
        <v>4607</v>
      </c>
      <c r="G1142" t="s">
        <v>4608</v>
      </c>
      <c r="H1142" s="4">
        <v>46091.646625011577</v>
      </c>
      <c r="J1142" t="s">
        <v>68</v>
      </c>
      <c r="K1142">
        <v>100212</v>
      </c>
    </row>
    <row r="1143" spans="1:11" x14ac:dyDescent="0.55000000000000004">
      <c r="A1143" t="s">
        <v>4609</v>
      </c>
      <c r="B1143" s="4">
        <v>46000</v>
      </c>
      <c r="C1143" t="s">
        <v>49</v>
      </c>
      <c r="D1143" t="s">
        <v>4610</v>
      </c>
      <c r="E1143" t="s">
        <v>22</v>
      </c>
      <c r="F1143" t="s">
        <v>4611</v>
      </c>
      <c r="G1143" t="s">
        <v>4612</v>
      </c>
      <c r="H1143" s="4">
        <v>46087.495236122682</v>
      </c>
      <c r="J1143" t="s">
        <v>179</v>
      </c>
      <c r="K1143">
        <v>100613</v>
      </c>
    </row>
    <row r="1144" spans="1:11" x14ac:dyDescent="0.55000000000000004">
      <c r="A1144" t="s">
        <v>4613</v>
      </c>
      <c r="B1144" s="4">
        <v>45827</v>
      </c>
      <c r="C1144" t="s">
        <v>680</v>
      </c>
      <c r="D1144" t="s">
        <v>4614</v>
      </c>
      <c r="E1144" t="s">
        <v>15</v>
      </c>
      <c r="F1144" t="s">
        <v>4615</v>
      </c>
      <c r="G1144" t="s">
        <v>4616</v>
      </c>
      <c r="H1144" s="4">
        <v>46065.589680578705</v>
      </c>
      <c r="J1144" t="s">
        <v>68</v>
      </c>
      <c r="K1144">
        <v>101135</v>
      </c>
    </row>
    <row r="1145" spans="1:11" x14ac:dyDescent="0.55000000000000004">
      <c r="A1145" t="s">
        <v>4617</v>
      </c>
      <c r="B1145" s="4">
        <v>46022</v>
      </c>
      <c r="C1145" t="s">
        <v>115</v>
      </c>
      <c r="D1145" t="s">
        <v>4618</v>
      </c>
      <c r="E1145" t="s">
        <v>15</v>
      </c>
      <c r="F1145" t="s">
        <v>4619</v>
      </c>
      <c r="G1145" t="s">
        <v>4620</v>
      </c>
      <c r="H1145" s="4">
        <v>46094.48620835648</v>
      </c>
      <c r="J1145" t="s">
        <v>179</v>
      </c>
      <c r="K1145">
        <v>100016</v>
      </c>
    </row>
    <row r="1146" spans="1:11" x14ac:dyDescent="0.55000000000000004">
      <c r="A1146" t="s">
        <v>4621</v>
      </c>
      <c r="B1146" s="4">
        <v>45864</v>
      </c>
      <c r="C1146" t="s">
        <v>89</v>
      </c>
      <c r="D1146" t="s">
        <v>4622</v>
      </c>
      <c r="E1146" t="s">
        <v>15</v>
      </c>
      <c r="F1146" t="s">
        <v>4623</v>
      </c>
      <c r="G1146" t="s">
        <v>4624</v>
      </c>
      <c r="H1146" s="4">
        <v>46057.509819479164</v>
      </c>
      <c r="J1146" t="s">
        <v>248</v>
      </c>
      <c r="K1146">
        <v>101356</v>
      </c>
    </row>
    <row r="1147" spans="1:11" x14ac:dyDescent="0.55000000000000004">
      <c r="A1147" t="s">
        <v>4625</v>
      </c>
      <c r="B1147" s="4">
        <v>45882</v>
      </c>
      <c r="C1147" t="s">
        <v>69</v>
      </c>
      <c r="D1147" t="s">
        <v>4626</v>
      </c>
      <c r="E1147" t="s">
        <v>15</v>
      </c>
      <c r="F1147" t="s">
        <v>4627</v>
      </c>
      <c r="G1147" t="s">
        <v>4628</v>
      </c>
      <c r="H1147" s="4">
        <v>46080.654958368053</v>
      </c>
      <c r="J1147" t="s">
        <v>37</v>
      </c>
      <c r="K1147">
        <v>100619</v>
      </c>
    </row>
    <row r="1148" spans="1:11" x14ac:dyDescent="0.55000000000000004">
      <c r="A1148" t="s">
        <v>4629</v>
      </c>
      <c r="B1148" s="4">
        <v>45747</v>
      </c>
      <c r="C1148" t="s">
        <v>43</v>
      </c>
      <c r="D1148" t="s">
        <v>4630</v>
      </c>
      <c r="E1148" t="s">
        <v>15</v>
      </c>
      <c r="F1148" t="s">
        <v>4631</v>
      </c>
      <c r="G1148" t="s">
        <v>4632</v>
      </c>
      <c r="H1148" s="4">
        <v>46097.659125034719</v>
      </c>
      <c r="J1148" t="s">
        <v>68</v>
      </c>
      <c r="K1148">
        <v>101112</v>
      </c>
    </row>
    <row r="1149" spans="1:11" x14ac:dyDescent="0.55000000000000004">
      <c r="A1149" t="s">
        <v>4633</v>
      </c>
      <c r="B1149" s="4">
        <v>46116</v>
      </c>
      <c r="C1149" t="s">
        <v>317</v>
      </c>
      <c r="D1149" t="s">
        <v>4634</v>
      </c>
      <c r="E1149" t="s">
        <v>15</v>
      </c>
      <c r="F1149" t="s">
        <v>4635</v>
      </c>
      <c r="G1149" t="s">
        <v>4636</v>
      </c>
      <c r="H1149" s="4">
        <v>46091.445930601854</v>
      </c>
      <c r="J1149" t="s">
        <v>248</v>
      </c>
      <c r="K1149">
        <v>101293</v>
      </c>
    </row>
    <row r="1150" spans="1:11" x14ac:dyDescent="0.55000000000000004">
      <c r="A1150" t="s">
        <v>4637</v>
      </c>
      <c r="B1150" s="4">
        <v>46137</v>
      </c>
      <c r="C1150" t="s">
        <v>69</v>
      </c>
      <c r="D1150" t="s">
        <v>4638</v>
      </c>
      <c r="E1150" t="s">
        <v>22</v>
      </c>
      <c r="F1150" t="s">
        <v>4639</v>
      </c>
      <c r="G1150" t="s">
        <v>4640</v>
      </c>
      <c r="H1150" s="4">
        <v>46066.073013935187</v>
      </c>
      <c r="J1150" t="s">
        <v>19</v>
      </c>
      <c r="K1150">
        <v>101344</v>
      </c>
    </row>
    <row r="1151" spans="1:11" x14ac:dyDescent="0.55000000000000004">
      <c r="A1151" t="s">
        <v>4641</v>
      </c>
      <c r="B1151" s="4">
        <v>46041</v>
      </c>
      <c r="C1151" t="s">
        <v>49</v>
      </c>
      <c r="D1151" t="s">
        <v>4642</v>
      </c>
      <c r="E1151" t="s">
        <v>22</v>
      </c>
      <c r="F1151" t="s">
        <v>4643</v>
      </c>
      <c r="G1151" t="s">
        <v>4644</v>
      </c>
      <c r="H1151" s="4">
        <v>46077.405652835645</v>
      </c>
      <c r="J1151" t="s">
        <v>68</v>
      </c>
      <c r="K1151">
        <v>100583</v>
      </c>
    </row>
    <row r="1152" spans="1:11" x14ac:dyDescent="0.55000000000000004">
      <c r="A1152" t="s">
        <v>4645</v>
      </c>
      <c r="B1152" s="4">
        <v>46072</v>
      </c>
      <c r="C1152" t="s">
        <v>89</v>
      </c>
      <c r="D1152" t="s">
        <v>4646</v>
      </c>
      <c r="E1152" t="s">
        <v>15</v>
      </c>
      <c r="F1152" t="s">
        <v>4647</v>
      </c>
      <c r="G1152" t="s">
        <v>4648</v>
      </c>
      <c r="H1152" s="4">
        <v>46075.276486168979</v>
      </c>
      <c r="J1152" t="s">
        <v>68</v>
      </c>
      <c r="K1152">
        <v>100756</v>
      </c>
    </row>
    <row r="1153" spans="1:11" x14ac:dyDescent="0.55000000000000004">
      <c r="A1153" t="s">
        <v>4649</v>
      </c>
      <c r="B1153" s="4">
        <v>45733</v>
      </c>
      <c r="C1153" t="s">
        <v>757</v>
      </c>
      <c r="D1153" t="s">
        <v>4650</v>
      </c>
      <c r="E1153" t="s">
        <v>15</v>
      </c>
      <c r="F1153" t="s">
        <v>4651</v>
      </c>
      <c r="G1153" t="s">
        <v>4652</v>
      </c>
      <c r="H1153" s="4">
        <v>46095.890375057868</v>
      </c>
      <c r="J1153" t="s">
        <v>533</v>
      </c>
      <c r="K1153">
        <v>100500</v>
      </c>
    </row>
    <row r="1154" spans="1:11" x14ac:dyDescent="0.55000000000000004">
      <c r="A1154" t="s">
        <v>4653</v>
      </c>
      <c r="B1154" s="4">
        <v>46003</v>
      </c>
      <c r="C1154" t="s">
        <v>189</v>
      </c>
      <c r="D1154" t="s">
        <v>4654</v>
      </c>
      <c r="E1154" t="s">
        <v>22</v>
      </c>
      <c r="F1154" t="s">
        <v>4655</v>
      </c>
      <c r="G1154" t="s">
        <v>4656</v>
      </c>
      <c r="H1154" s="4">
        <v>46068.866763958336</v>
      </c>
      <c r="J1154" t="s">
        <v>533</v>
      </c>
      <c r="K1154">
        <v>101187</v>
      </c>
    </row>
    <row r="1155" spans="1:11" x14ac:dyDescent="0.55000000000000004">
      <c r="A1155" t="s">
        <v>4657</v>
      </c>
      <c r="B1155" s="4">
        <v>45995</v>
      </c>
      <c r="C1155" t="s">
        <v>189</v>
      </c>
      <c r="D1155" t="s">
        <v>4658</v>
      </c>
      <c r="E1155" t="s">
        <v>15</v>
      </c>
      <c r="F1155" t="s">
        <v>4659</v>
      </c>
      <c r="G1155" t="s">
        <v>4660</v>
      </c>
      <c r="H1155" s="4">
        <v>46057.288291736113</v>
      </c>
      <c r="J1155" t="s">
        <v>19</v>
      </c>
      <c r="K1155">
        <v>100714</v>
      </c>
    </row>
    <row r="1156" spans="1:11" x14ac:dyDescent="0.55000000000000004">
      <c r="A1156" t="s">
        <v>4661</v>
      </c>
      <c r="B1156" s="4">
        <v>46056</v>
      </c>
      <c r="C1156" t="s">
        <v>295</v>
      </c>
      <c r="D1156" t="s">
        <v>4662</v>
      </c>
      <c r="E1156" t="s">
        <v>22</v>
      </c>
      <c r="F1156" t="s">
        <v>4663</v>
      </c>
      <c r="G1156" t="s">
        <v>4664</v>
      </c>
      <c r="H1156" s="4">
        <v>46082.883430636575</v>
      </c>
      <c r="J1156" t="s">
        <v>37</v>
      </c>
      <c r="K1156">
        <v>100271</v>
      </c>
    </row>
    <row r="1157" spans="1:11" x14ac:dyDescent="0.55000000000000004">
      <c r="A1157" t="s">
        <v>4665</v>
      </c>
      <c r="B1157" s="4">
        <v>45936</v>
      </c>
      <c r="C1157" t="s">
        <v>343</v>
      </c>
      <c r="D1157" t="s">
        <v>4666</v>
      </c>
      <c r="E1157" t="s">
        <v>22</v>
      </c>
      <c r="F1157" t="s">
        <v>4667</v>
      </c>
      <c r="G1157" t="s">
        <v>4668</v>
      </c>
      <c r="H1157" s="4">
        <v>46066.809819525464</v>
      </c>
      <c r="J1157" t="s">
        <v>19</v>
      </c>
      <c r="K1157">
        <v>101170</v>
      </c>
    </row>
    <row r="1158" spans="1:11" x14ac:dyDescent="0.55000000000000004">
      <c r="A1158" t="s">
        <v>4669</v>
      </c>
      <c r="B1158" s="4">
        <v>46107</v>
      </c>
      <c r="C1158" t="s">
        <v>467</v>
      </c>
      <c r="D1158" t="s">
        <v>4670</v>
      </c>
      <c r="E1158" t="s">
        <v>15</v>
      </c>
      <c r="F1158" t="s">
        <v>4671</v>
      </c>
      <c r="G1158" t="s">
        <v>4672</v>
      </c>
      <c r="H1158" s="4">
        <v>46052.542458414355</v>
      </c>
      <c r="J1158" t="s">
        <v>533</v>
      </c>
      <c r="K1158">
        <v>101036</v>
      </c>
    </row>
    <row r="1159" spans="1:11" x14ac:dyDescent="0.55000000000000004">
      <c r="A1159" t="s">
        <v>4673</v>
      </c>
      <c r="B1159" s="4">
        <v>46024</v>
      </c>
      <c r="C1159" t="s">
        <v>528</v>
      </c>
      <c r="D1159" t="s">
        <v>4674</v>
      </c>
      <c r="E1159" t="s">
        <v>22</v>
      </c>
      <c r="F1159" t="s">
        <v>4675</v>
      </c>
      <c r="G1159" t="s">
        <v>4676</v>
      </c>
      <c r="H1159" s="4">
        <v>46092.317458425925</v>
      </c>
      <c r="J1159" t="s">
        <v>19</v>
      </c>
      <c r="K1159">
        <v>100436</v>
      </c>
    </row>
    <row r="1160" spans="1:11" x14ac:dyDescent="0.55000000000000004">
      <c r="A1160" t="s">
        <v>4677</v>
      </c>
      <c r="B1160" s="4">
        <v>45971</v>
      </c>
      <c r="C1160" t="s">
        <v>69</v>
      </c>
      <c r="D1160" t="s">
        <v>4678</v>
      </c>
      <c r="E1160" t="s">
        <v>15</v>
      </c>
      <c r="F1160" t="s">
        <v>4679</v>
      </c>
      <c r="G1160" t="s">
        <v>4680</v>
      </c>
      <c r="H1160" s="4">
        <v>46066.803569537034</v>
      </c>
      <c r="J1160" t="s">
        <v>19</v>
      </c>
      <c r="K1160">
        <v>101101</v>
      </c>
    </row>
    <row r="1161" spans="1:11" x14ac:dyDescent="0.55000000000000004">
      <c r="A1161" t="s">
        <v>4681</v>
      </c>
      <c r="B1161" s="4">
        <v>45855</v>
      </c>
      <c r="C1161" t="s">
        <v>115</v>
      </c>
      <c r="D1161" t="s">
        <v>4682</v>
      </c>
      <c r="E1161" t="s">
        <v>15</v>
      </c>
      <c r="F1161" t="s">
        <v>4683</v>
      </c>
      <c r="G1161" t="s">
        <v>4684</v>
      </c>
      <c r="H1161" s="4">
        <v>46054.750791770835</v>
      </c>
      <c r="J1161" t="s">
        <v>19</v>
      </c>
      <c r="K1161">
        <v>100150</v>
      </c>
    </row>
    <row r="1162" spans="1:11" x14ac:dyDescent="0.55000000000000004">
      <c r="A1162" t="s">
        <v>4685</v>
      </c>
      <c r="B1162" s="4">
        <v>45786</v>
      </c>
      <c r="C1162" t="s">
        <v>141</v>
      </c>
      <c r="D1162" t="s">
        <v>4686</v>
      </c>
      <c r="E1162" t="s">
        <v>15</v>
      </c>
      <c r="F1162" t="s">
        <v>4687</v>
      </c>
      <c r="G1162" t="s">
        <v>4688</v>
      </c>
      <c r="H1162" s="4">
        <v>46077.200791770832</v>
      </c>
      <c r="J1162" t="s">
        <v>37</v>
      </c>
      <c r="K1162">
        <v>100204</v>
      </c>
    </row>
    <row r="1163" spans="1:11" x14ac:dyDescent="0.55000000000000004">
      <c r="A1163" t="s">
        <v>4689</v>
      </c>
      <c r="B1163" s="4">
        <v>45844</v>
      </c>
      <c r="C1163" t="s">
        <v>83</v>
      </c>
      <c r="D1163" t="s">
        <v>4690</v>
      </c>
      <c r="E1163" t="s">
        <v>15</v>
      </c>
      <c r="F1163" t="s">
        <v>4691</v>
      </c>
      <c r="G1163" t="s">
        <v>4692</v>
      </c>
      <c r="H1163" s="4">
        <v>46062.845236215275</v>
      </c>
      <c r="J1163" t="s">
        <v>248</v>
      </c>
      <c r="K1163">
        <v>101153</v>
      </c>
    </row>
    <row r="1164" spans="1:11" x14ac:dyDescent="0.55000000000000004">
      <c r="A1164" t="s">
        <v>4693</v>
      </c>
      <c r="B1164" s="4">
        <v>45778</v>
      </c>
      <c r="C1164" t="s">
        <v>199</v>
      </c>
      <c r="D1164" t="s">
        <v>4694</v>
      </c>
      <c r="E1164" t="s">
        <v>22</v>
      </c>
      <c r="F1164" t="s">
        <v>4695</v>
      </c>
      <c r="G1164" t="s">
        <v>4696</v>
      </c>
      <c r="H1164" s="4">
        <v>46073.203569560188</v>
      </c>
      <c r="J1164" t="s">
        <v>19</v>
      </c>
      <c r="K1164">
        <v>100938</v>
      </c>
    </row>
    <row r="1165" spans="1:11" x14ac:dyDescent="0.55000000000000004">
      <c r="A1165" t="s">
        <v>4697</v>
      </c>
      <c r="B1165" s="4">
        <v>45955</v>
      </c>
      <c r="C1165" t="s">
        <v>115</v>
      </c>
      <c r="D1165" t="s">
        <v>4698</v>
      </c>
      <c r="E1165" t="s">
        <v>22</v>
      </c>
      <c r="F1165" t="s">
        <v>4699</v>
      </c>
      <c r="G1165" t="s">
        <v>4700</v>
      </c>
      <c r="H1165" s="4">
        <v>46090.332736226854</v>
      </c>
      <c r="J1165" t="s">
        <v>19</v>
      </c>
      <c r="K1165">
        <v>100019</v>
      </c>
    </row>
    <row r="1166" spans="1:11" x14ac:dyDescent="0.55000000000000004">
      <c r="A1166" t="s">
        <v>4701</v>
      </c>
      <c r="B1166" s="4">
        <v>45789</v>
      </c>
      <c r="C1166" t="s">
        <v>20</v>
      </c>
      <c r="D1166" t="s">
        <v>4702</v>
      </c>
      <c r="E1166" t="s">
        <v>15</v>
      </c>
      <c r="F1166" t="s">
        <v>4703</v>
      </c>
      <c r="G1166" t="s">
        <v>4704</v>
      </c>
      <c r="H1166" s="4">
        <v>46089.931347337966</v>
      </c>
      <c r="I1166" t="s">
        <v>112</v>
      </c>
      <c r="J1166" t="s">
        <v>37</v>
      </c>
    </row>
    <row r="1167" spans="1:11" x14ac:dyDescent="0.55000000000000004">
      <c r="A1167" t="s">
        <v>4705</v>
      </c>
      <c r="B1167" s="4">
        <v>45797</v>
      </c>
      <c r="C1167" t="s">
        <v>89</v>
      </c>
      <c r="D1167" t="s">
        <v>4706</v>
      </c>
      <c r="E1167" t="s">
        <v>15</v>
      </c>
      <c r="F1167" t="s">
        <v>4707</v>
      </c>
      <c r="G1167" t="s">
        <v>4708</v>
      </c>
      <c r="H1167" s="4">
        <v>46078.658430682874</v>
      </c>
      <c r="J1167" t="s">
        <v>68</v>
      </c>
      <c r="K1167">
        <v>101175</v>
      </c>
    </row>
    <row r="1168" spans="1:11" x14ac:dyDescent="0.55000000000000004">
      <c r="A1168" t="s">
        <v>4709</v>
      </c>
      <c r="B1168" s="4">
        <v>46006</v>
      </c>
      <c r="C1168" t="s">
        <v>69</v>
      </c>
      <c r="D1168" t="s">
        <v>1259</v>
      </c>
      <c r="E1168" t="s">
        <v>22</v>
      </c>
      <c r="F1168" t="s">
        <v>4710</v>
      </c>
      <c r="G1168" t="s">
        <v>4711</v>
      </c>
      <c r="H1168" s="4">
        <v>46077.227180682872</v>
      </c>
      <c r="J1168" t="s">
        <v>19</v>
      </c>
      <c r="K1168">
        <v>100936</v>
      </c>
    </row>
    <row r="1169" spans="1:11" x14ac:dyDescent="0.55000000000000004">
      <c r="A1169" t="s">
        <v>2817</v>
      </c>
      <c r="B1169" s="4">
        <v>45998</v>
      </c>
      <c r="C1169" t="s">
        <v>587</v>
      </c>
      <c r="D1169" t="s">
        <v>4712</v>
      </c>
      <c r="E1169" t="s">
        <v>15</v>
      </c>
      <c r="F1169" t="s">
        <v>4713</v>
      </c>
      <c r="G1169" t="s">
        <v>4714</v>
      </c>
      <c r="H1169" s="4">
        <v>46072.733430694447</v>
      </c>
      <c r="J1169" t="s">
        <v>533</v>
      </c>
      <c r="K1169">
        <v>100614</v>
      </c>
    </row>
    <row r="1170" spans="1:11" x14ac:dyDescent="0.55000000000000004">
      <c r="A1170" t="s">
        <v>6039</v>
      </c>
      <c r="B1170" s="4">
        <v>45967</v>
      </c>
      <c r="C1170" t="s">
        <v>356</v>
      </c>
      <c r="D1170" t="s">
        <v>4716</v>
      </c>
      <c r="E1170" t="s">
        <v>15</v>
      </c>
      <c r="F1170" t="s">
        <v>4717</v>
      </c>
      <c r="G1170" t="s">
        <v>4718</v>
      </c>
      <c r="H1170" s="4">
        <v>46065.779264027777</v>
      </c>
      <c r="I1170" t="s">
        <v>119</v>
      </c>
      <c r="J1170" t="s">
        <v>19</v>
      </c>
      <c r="K1170">
        <v>100268</v>
      </c>
    </row>
    <row r="1171" spans="1:11" x14ac:dyDescent="0.55000000000000004">
      <c r="A1171" t="s">
        <v>4719</v>
      </c>
      <c r="B1171" s="4">
        <v>45807</v>
      </c>
      <c r="C1171" t="s">
        <v>199</v>
      </c>
      <c r="D1171" t="s">
        <v>4720</v>
      </c>
      <c r="E1171" t="s">
        <v>22</v>
      </c>
      <c r="F1171" t="s">
        <v>4721</v>
      </c>
      <c r="G1171" t="s">
        <v>4722</v>
      </c>
      <c r="H1171" s="4">
        <v>46078.032041817132</v>
      </c>
      <c r="J1171" t="s">
        <v>179</v>
      </c>
      <c r="K1171">
        <v>101388</v>
      </c>
    </row>
    <row r="1172" spans="1:11" x14ac:dyDescent="0.55000000000000004">
      <c r="A1172" t="s">
        <v>3141</v>
      </c>
      <c r="B1172" s="4">
        <v>45872</v>
      </c>
      <c r="C1172" t="s">
        <v>43</v>
      </c>
      <c r="D1172" t="s">
        <v>4723</v>
      </c>
      <c r="E1172" t="s">
        <v>22</v>
      </c>
      <c r="F1172" t="s">
        <v>4724</v>
      </c>
      <c r="G1172" t="s">
        <v>4725</v>
      </c>
      <c r="H1172" s="4">
        <v>46079.210514050923</v>
      </c>
      <c r="J1172" t="s">
        <v>533</v>
      </c>
      <c r="K1172">
        <v>101213</v>
      </c>
    </row>
    <row r="1173" spans="1:11" x14ac:dyDescent="0.55000000000000004">
      <c r="A1173" t="s">
        <v>4726</v>
      </c>
      <c r="B1173" s="4">
        <v>46146</v>
      </c>
      <c r="C1173" t="s">
        <v>189</v>
      </c>
      <c r="D1173" t="s">
        <v>4727</v>
      </c>
      <c r="E1173" t="s">
        <v>15</v>
      </c>
      <c r="F1173" t="s">
        <v>4728</v>
      </c>
      <c r="G1173" t="s">
        <v>4729</v>
      </c>
      <c r="H1173" s="4">
        <v>46053.671625162038</v>
      </c>
      <c r="J1173" t="s">
        <v>37</v>
      </c>
      <c r="K1173">
        <v>100488</v>
      </c>
    </row>
    <row r="1174" spans="1:11" x14ac:dyDescent="0.55000000000000004">
      <c r="A1174" t="s">
        <v>4730</v>
      </c>
      <c r="B1174" s="4">
        <v>45981</v>
      </c>
      <c r="C1174" t="s">
        <v>208</v>
      </c>
      <c r="D1174" t="s">
        <v>4731</v>
      </c>
      <c r="E1174" t="s">
        <v>15</v>
      </c>
      <c r="F1174" t="s">
        <v>4732</v>
      </c>
      <c r="G1174" t="s">
        <v>4733</v>
      </c>
      <c r="H1174" s="4">
        <v>46062.188291840277</v>
      </c>
      <c r="J1174" t="s">
        <v>533</v>
      </c>
      <c r="K1174">
        <v>100643</v>
      </c>
    </row>
    <row r="1175" spans="1:11" x14ac:dyDescent="0.55000000000000004">
      <c r="A1175" t="s">
        <v>2137</v>
      </c>
      <c r="B1175" s="4">
        <v>45948</v>
      </c>
      <c r="C1175" t="s">
        <v>300</v>
      </c>
      <c r="D1175" t="s">
        <v>4734</v>
      </c>
      <c r="E1175" t="s">
        <v>22</v>
      </c>
      <c r="F1175" t="s">
        <v>4735</v>
      </c>
      <c r="G1175" t="s">
        <v>4736</v>
      </c>
      <c r="H1175" s="4">
        <v>46092.995236296294</v>
      </c>
      <c r="J1175" t="s">
        <v>68</v>
      </c>
      <c r="K1175">
        <v>100418</v>
      </c>
    </row>
    <row r="1176" spans="1:11" x14ac:dyDescent="0.55000000000000004">
      <c r="A1176" t="s">
        <v>6040</v>
      </c>
      <c r="B1176" s="4">
        <v>45876</v>
      </c>
      <c r="C1176" t="s">
        <v>43</v>
      </c>
      <c r="D1176" t="s">
        <v>4738</v>
      </c>
      <c r="E1176" t="s">
        <v>15</v>
      </c>
      <c r="F1176" t="s">
        <v>4739</v>
      </c>
      <c r="G1176" t="s">
        <v>4740</v>
      </c>
      <c r="H1176" s="4">
        <v>46089.286208530095</v>
      </c>
      <c r="I1176" t="s">
        <v>119</v>
      </c>
      <c r="J1176" t="s">
        <v>68</v>
      </c>
      <c r="K1176">
        <v>100534</v>
      </c>
    </row>
    <row r="1177" spans="1:11" x14ac:dyDescent="0.55000000000000004">
      <c r="A1177" t="s">
        <v>4741</v>
      </c>
      <c r="B1177" s="4">
        <v>46144</v>
      </c>
      <c r="C1177" t="s">
        <v>317</v>
      </c>
      <c r="D1177" t="s">
        <v>4742</v>
      </c>
      <c r="E1177" t="s">
        <v>22</v>
      </c>
      <c r="F1177" t="s">
        <v>4743</v>
      </c>
      <c r="G1177" t="s">
        <v>4744</v>
      </c>
      <c r="H1177" s="4">
        <v>46067.815375196762</v>
      </c>
      <c r="J1177" t="s">
        <v>19</v>
      </c>
      <c r="K1177">
        <v>100647</v>
      </c>
    </row>
    <row r="1178" spans="1:11" x14ac:dyDescent="0.55000000000000004">
      <c r="A1178" t="s">
        <v>4745</v>
      </c>
      <c r="B1178" s="4">
        <v>46027</v>
      </c>
      <c r="C1178" t="s">
        <v>69</v>
      </c>
      <c r="D1178" t="s">
        <v>4746</v>
      </c>
      <c r="E1178" t="s">
        <v>22</v>
      </c>
      <c r="F1178" t="s">
        <v>4747</v>
      </c>
      <c r="G1178" t="s">
        <v>4748</v>
      </c>
      <c r="H1178" s="4">
        <v>46079.540375196761</v>
      </c>
      <c r="J1178" t="s">
        <v>533</v>
      </c>
      <c r="K1178">
        <v>101070</v>
      </c>
    </row>
    <row r="1179" spans="1:11" x14ac:dyDescent="0.55000000000000004">
      <c r="A1179" t="s">
        <v>4749</v>
      </c>
      <c r="B1179" s="4">
        <v>45843</v>
      </c>
      <c r="C1179" t="s">
        <v>199</v>
      </c>
      <c r="D1179" t="s">
        <v>4750</v>
      </c>
      <c r="E1179" t="s">
        <v>15</v>
      </c>
      <c r="F1179" t="s">
        <v>4751</v>
      </c>
      <c r="G1179" t="s">
        <v>4752</v>
      </c>
      <c r="H1179" s="4">
        <v>46054.536208541664</v>
      </c>
      <c r="J1179" t="s">
        <v>248</v>
      </c>
      <c r="K1179">
        <v>101157</v>
      </c>
    </row>
    <row r="1180" spans="1:11" x14ac:dyDescent="0.55000000000000004">
      <c r="A1180" t="s">
        <v>4753</v>
      </c>
      <c r="B1180" s="4">
        <v>45950</v>
      </c>
      <c r="C1180" t="s">
        <v>528</v>
      </c>
      <c r="D1180" t="s">
        <v>4754</v>
      </c>
      <c r="E1180" t="s">
        <v>22</v>
      </c>
      <c r="F1180" t="s">
        <v>714</v>
      </c>
      <c r="G1180" t="s">
        <v>4755</v>
      </c>
      <c r="H1180" s="4">
        <v>46067.49106965278</v>
      </c>
      <c r="J1180" t="s">
        <v>179</v>
      </c>
      <c r="K1180">
        <v>100858</v>
      </c>
    </row>
    <row r="1181" spans="1:11" x14ac:dyDescent="0.55000000000000004">
      <c r="A1181" t="s">
        <v>4756</v>
      </c>
      <c r="B1181" s="4">
        <v>45792</v>
      </c>
      <c r="C1181" t="s">
        <v>300</v>
      </c>
      <c r="D1181" t="s">
        <v>4757</v>
      </c>
      <c r="E1181" t="s">
        <v>15</v>
      </c>
      <c r="F1181" t="s">
        <v>4758</v>
      </c>
      <c r="G1181" t="s">
        <v>4759</v>
      </c>
      <c r="H1181" s="4">
        <v>46057.171625219904</v>
      </c>
      <c r="J1181" t="s">
        <v>37</v>
      </c>
      <c r="K1181">
        <v>100167</v>
      </c>
    </row>
    <row r="1182" spans="1:11" x14ac:dyDescent="0.55000000000000004">
      <c r="A1182" t="s">
        <v>4760</v>
      </c>
      <c r="B1182" s="4">
        <v>45749</v>
      </c>
      <c r="C1182" t="s">
        <v>115</v>
      </c>
      <c r="D1182" t="s">
        <v>4761</v>
      </c>
      <c r="E1182" t="s">
        <v>22</v>
      </c>
      <c r="F1182" t="s">
        <v>4762</v>
      </c>
      <c r="G1182" t="s">
        <v>4763</v>
      </c>
      <c r="H1182" s="4">
        <v>46066.316069664354</v>
      </c>
      <c r="I1182" t="s">
        <v>217</v>
      </c>
      <c r="K1182">
        <v>100081</v>
      </c>
    </row>
    <row r="1183" spans="1:11" x14ac:dyDescent="0.55000000000000004">
      <c r="A1183" t="s">
        <v>4764</v>
      </c>
      <c r="B1183" s="4">
        <v>45820</v>
      </c>
      <c r="C1183" t="s">
        <v>243</v>
      </c>
      <c r="D1183" t="s">
        <v>4765</v>
      </c>
      <c r="E1183" t="s">
        <v>22</v>
      </c>
      <c r="F1183" t="s">
        <v>4766</v>
      </c>
      <c r="G1183" t="s">
        <v>4767</v>
      </c>
      <c r="H1183" s="4">
        <v>46056.202875219904</v>
      </c>
      <c r="J1183" t="s">
        <v>19</v>
      </c>
      <c r="K1183">
        <v>100504</v>
      </c>
    </row>
    <row r="1184" spans="1:11" x14ac:dyDescent="0.55000000000000004">
      <c r="A1184" t="s">
        <v>4768</v>
      </c>
      <c r="B1184" s="4">
        <v>46055</v>
      </c>
      <c r="C1184" t="s">
        <v>83</v>
      </c>
      <c r="D1184" t="s">
        <v>4769</v>
      </c>
      <c r="E1184" t="s">
        <v>15</v>
      </c>
      <c r="F1184" t="s">
        <v>4770</v>
      </c>
      <c r="G1184" t="s">
        <v>4771</v>
      </c>
      <c r="H1184" s="4">
        <v>46090.628569675922</v>
      </c>
      <c r="J1184" t="s">
        <v>248</v>
      </c>
      <c r="K1184">
        <v>101166</v>
      </c>
    </row>
    <row r="1185" spans="1:11" x14ac:dyDescent="0.55000000000000004">
      <c r="A1185" t="s">
        <v>4772</v>
      </c>
      <c r="B1185" s="4">
        <v>45982</v>
      </c>
      <c r="C1185" t="s">
        <v>587</v>
      </c>
      <c r="D1185" t="s">
        <v>4773</v>
      </c>
      <c r="E1185" t="s">
        <v>15</v>
      </c>
      <c r="F1185" t="s">
        <v>4774</v>
      </c>
      <c r="G1185" t="s">
        <v>4775</v>
      </c>
      <c r="H1185" s="4">
        <v>46059.931347453705</v>
      </c>
      <c r="J1185" t="s">
        <v>533</v>
      </c>
      <c r="K1185">
        <v>100245</v>
      </c>
    </row>
    <row r="1186" spans="1:11" x14ac:dyDescent="0.55000000000000004">
      <c r="A1186" t="s">
        <v>4776</v>
      </c>
      <c r="B1186" s="4">
        <v>45977</v>
      </c>
      <c r="C1186" t="s">
        <v>141</v>
      </c>
      <c r="D1186" t="s">
        <v>4777</v>
      </c>
      <c r="E1186" t="s">
        <v>15</v>
      </c>
      <c r="F1186" t="s">
        <v>4778</v>
      </c>
      <c r="G1186" t="s">
        <v>4779</v>
      </c>
      <c r="H1186" s="4">
        <v>46073.057736342591</v>
      </c>
      <c r="J1186" t="s">
        <v>19</v>
      </c>
      <c r="K1186">
        <v>100826</v>
      </c>
    </row>
    <row r="1187" spans="1:11" x14ac:dyDescent="0.55000000000000004">
      <c r="A1187" t="s">
        <v>2026</v>
      </c>
      <c r="B1187" s="4">
        <v>45884</v>
      </c>
      <c r="C1187" t="s">
        <v>199</v>
      </c>
      <c r="D1187" t="s">
        <v>4781</v>
      </c>
      <c r="E1187" t="s">
        <v>15</v>
      </c>
      <c r="F1187" t="s">
        <v>4782</v>
      </c>
      <c r="G1187" t="s">
        <v>4783</v>
      </c>
      <c r="H1187" s="4">
        <v>46051.982041909723</v>
      </c>
      <c r="I1187" t="s">
        <v>119</v>
      </c>
      <c r="J1187" t="s">
        <v>179</v>
      </c>
      <c r="K1187">
        <v>100481</v>
      </c>
    </row>
    <row r="1188" spans="1:11" x14ac:dyDescent="0.55000000000000004">
      <c r="A1188" t="s">
        <v>4784</v>
      </c>
      <c r="B1188" s="4">
        <v>45939</v>
      </c>
      <c r="C1188" t="s">
        <v>270</v>
      </c>
      <c r="D1188" t="s">
        <v>4785</v>
      </c>
      <c r="E1188" t="s">
        <v>15</v>
      </c>
      <c r="F1188" t="s">
        <v>4786</v>
      </c>
      <c r="G1188" t="s">
        <v>4787</v>
      </c>
      <c r="H1188" s="4">
        <v>46063.914680810187</v>
      </c>
      <c r="J1188" t="s">
        <v>533</v>
      </c>
      <c r="K1188">
        <v>100139</v>
      </c>
    </row>
    <row r="1189" spans="1:11" x14ac:dyDescent="0.55000000000000004">
      <c r="A1189" t="s">
        <v>4788</v>
      </c>
      <c r="B1189" s="4">
        <v>46097</v>
      </c>
      <c r="C1189" t="s">
        <v>108</v>
      </c>
      <c r="D1189" t="s">
        <v>4789</v>
      </c>
      <c r="E1189" t="s">
        <v>15</v>
      </c>
      <c r="F1189" t="s">
        <v>4790</v>
      </c>
      <c r="G1189" t="s">
        <v>4791</v>
      </c>
      <c r="H1189" s="4">
        <v>46058.75773636574</v>
      </c>
      <c r="J1189" t="s">
        <v>19</v>
      </c>
      <c r="K1189">
        <v>100140</v>
      </c>
    </row>
    <row r="1190" spans="1:11" x14ac:dyDescent="0.55000000000000004">
      <c r="A1190" t="s">
        <v>4792</v>
      </c>
      <c r="B1190" s="4">
        <v>45734</v>
      </c>
      <c r="C1190" t="s">
        <v>83</v>
      </c>
      <c r="D1190" t="s">
        <v>4793</v>
      </c>
      <c r="E1190" t="s">
        <v>15</v>
      </c>
      <c r="F1190" t="s">
        <v>4794</v>
      </c>
      <c r="G1190" t="s">
        <v>4795</v>
      </c>
      <c r="H1190" s="4">
        <v>46088.928569710646</v>
      </c>
      <c r="J1190" t="s">
        <v>533</v>
      </c>
      <c r="K1190">
        <v>100380</v>
      </c>
    </row>
    <row r="1191" spans="1:11" x14ac:dyDescent="0.55000000000000004">
      <c r="A1191" t="s">
        <v>4796</v>
      </c>
      <c r="B1191" s="4">
        <v>46066</v>
      </c>
      <c r="C1191" t="s">
        <v>155</v>
      </c>
      <c r="D1191" t="s">
        <v>4562</v>
      </c>
      <c r="E1191" t="s">
        <v>22</v>
      </c>
      <c r="F1191" t="s">
        <v>4797</v>
      </c>
      <c r="G1191" t="s">
        <v>4798</v>
      </c>
      <c r="H1191" s="4">
        <v>46095.625791932871</v>
      </c>
      <c r="J1191" t="s">
        <v>248</v>
      </c>
      <c r="K1191">
        <v>100164</v>
      </c>
    </row>
    <row r="1192" spans="1:11" x14ac:dyDescent="0.55000000000000004">
      <c r="A1192" t="s">
        <v>4799</v>
      </c>
      <c r="B1192" s="4">
        <v>45991</v>
      </c>
      <c r="C1192" t="s">
        <v>467</v>
      </c>
      <c r="D1192" t="s">
        <v>4800</v>
      </c>
      <c r="E1192" t="s">
        <v>15</v>
      </c>
      <c r="F1192" t="s">
        <v>4801</v>
      </c>
      <c r="G1192" t="s">
        <v>4802</v>
      </c>
      <c r="H1192" s="4">
        <v>46069.810514166667</v>
      </c>
      <c r="J1192" t="s">
        <v>533</v>
      </c>
      <c r="K1192">
        <v>101040</v>
      </c>
    </row>
    <row r="1193" spans="1:11" x14ac:dyDescent="0.55000000000000004">
      <c r="A1193" t="s">
        <v>4803</v>
      </c>
      <c r="B1193" s="4">
        <v>45859</v>
      </c>
      <c r="C1193" t="s">
        <v>170</v>
      </c>
      <c r="D1193" t="s">
        <v>4804</v>
      </c>
      <c r="E1193" t="s">
        <v>22</v>
      </c>
      <c r="F1193" t="s">
        <v>4805</v>
      </c>
      <c r="G1193" t="s">
        <v>4806</v>
      </c>
      <c r="H1193" s="4">
        <v>46054.986903055556</v>
      </c>
      <c r="J1193" t="s">
        <v>37</v>
      </c>
      <c r="K1193">
        <v>100116</v>
      </c>
    </row>
    <row r="1194" spans="1:11" x14ac:dyDescent="0.55000000000000004">
      <c r="A1194" t="s">
        <v>4807</v>
      </c>
      <c r="B1194" s="4">
        <v>45803</v>
      </c>
      <c r="C1194" t="s">
        <v>495</v>
      </c>
      <c r="D1194" t="s">
        <v>4808</v>
      </c>
      <c r="E1194" t="s">
        <v>15</v>
      </c>
      <c r="F1194" t="s">
        <v>4809</v>
      </c>
      <c r="G1194" t="s">
        <v>4810</v>
      </c>
      <c r="H1194" s="4">
        <v>46053.605653067127</v>
      </c>
      <c r="J1194" t="s">
        <v>179</v>
      </c>
      <c r="K1194">
        <v>100322</v>
      </c>
    </row>
    <row r="1195" spans="1:11" x14ac:dyDescent="0.55000000000000004">
      <c r="A1195" t="s">
        <v>4811</v>
      </c>
      <c r="B1195" s="4">
        <v>45853</v>
      </c>
      <c r="C1195" t="s">
        <v>115</v>
      </c>
      <c r="D1195" t="s">
        <v>4812</v>
      </c>
      <c r="E1195" t="s">
        <v>15</v>
      </c>
      <c r="F1195" t="s">
        <v>4813</v>
      </c>
      <c r="G1195" t="s">
        <v>4814</v>
      </c>
      <c r="H1195" s="4">
        <v>46078.440375289349</v>
      </c>
      <c r="J1195" t="s">
        <v>37</v>
      </c>
      <c r="K1195">
        <v>101087</v>
      </c>
    </row>
    <row r="1196" spans="1:11" x14ac:dyDescent="0.55000000000000004">
      <c r="A1196" t="s">
        <v>4815</v>
      </c>
      <c r="B1196" s="4">
        <v>46040</v>
      </c>
      <c r="C1196" t="s">
        <v>160</v>
      </c>
      <c r="D1196" t="s">
        <v>4816</v>
      </c>
      <c r="E1196" t="s">
        <v>22</v>
      </c>
      <c r="F1196" t="s">
        <v>4817</v>
      </c>
      <c r="G1196" t="s">
        <v>4818</v>
      </c>
      <c r="H1196" s="4">
        <v>46088.861208634262</v>
      </c>
      <c r="J1196" t="s">
        <v>533</v>
      </c>
      <c r="K1196">
        <v>101029</v>
      </c>
    </row>
    <row r="1197" spans="1:11" x14ac:dyDescent="0.55000000000000004">
      <c r="A1197" t="s">
        <v>4819</v>
      </c>
      <c r="B1197" s="4">
        <v>45770</v>
      </c>
      <c r="C1197" t="s">
        <v>300</v>
      </c>
      <c r="D1197" t="s">
        <v>4820</v>
      </c>
      <c r="E1197" t="s">
        <v>15</v>
      </c>
      <c r="F1197" t="s">
        <v>4821</v>
      </c>
      <c r="G1197" t="s">
        <v>4822</v>
      </c>
      <c r="H1197" s="4">
        <v>46072.097319745371</v>
      </c>
      <c r="J1197" t="s">
        <v>179</v>
      </c>
      <c r="K1197">
        <v>100976</v>
      </c>
    </row>
    <row r="1198" spans="1:11" x14ac:dyDescent="0.55000000000000004">
      <c r="A1198" t="s">
        <v>4823</v>
      </c>
      <c r="B1198" s="4">
        <v>45862</v>
      </c>
      <c r="C1198" t="s">
        <v>43</v>
      </c>
      <c r="D1198" t="s">
        <v>4824</v>
      </c>
      <c r="E1198" t="s">
        <v>15</v>
      </c>
      <c r="F1198" t="s">
        <v>4825</v>
      </c>
      <c r="G1198" t="s">
        <v>4826</v>
      </c>
      <c r="H1198" s="4">
        <v>46057.363291979163</v>
      </c>
      <c r="J1198" t="s">
        <v>37</v>
      </c>
      <c r="K1198">
        <v>101196</v>
      </c>
    </row>
    <row r="1199" spans="1:11" x14ac:dyDescent="0.55000000000000004">
      <c r="A1199" t="s">
        <v>4827</v>
      </c>
      <c r="B1199" s="4">
        <v>46097</v>
      </c>
      <c r="C1199" t="s">
        <v>27</v>
      </c>
      <c r="D1199" t="s">
        <v>4828</v>
      </c>
      <c r="E1199" t="s">
        <v>15</v>
      </c>
      <c r="F1199" t="s">
        <v>4829</v>
      </c>
      <c r="G1199" t="s">
        <v>4830</v>
      </c>
      <c r="H1199" s="4">
        <v>46071.527875312502</v>
      </c>
      <c r="J1199" t="s">
        <v>248</v>
      </c>
      <c r="K1199">
        <v>100102</v>
      </c>
    </row>
    <row r="1200" spans="1:11" x14ac:dyDescent="0.55000000000000004">
      <c r="A1200" t="s">
        <v>4831</v>
      </c>
      <c r="B1200" s="4">
        <v>46135</v>
      </c>
      <c r="C1200" t="s">
        <v>334</v>
      </c>
      <c r="D1200" t="s">
        <v>4832</v>
      </c>
      <c r="E1200" t="s">
        <v>15</v>
      </c>
      <c r="F1200" t="s">
        <v>4833</v>
      </c>
      <c r="G1200" t="s">
        <v>4834</v>
      </c>
      <c r="H1200" s="4">
        <v>46093.361903101853</v>
      </c>
      <c r="J1200" t="s">
        <v>68</v>
      </c>
      <c r="K1200">
        <v>100117</v>
      </c>
    </row>
    <row r="1201" spans="1:11" x14ac:dyDescent="0.55000000000000004">
      <c r="A1201" t="s">
        <v>4835</v>
      </c>
      <c r="B1201" s="4">
        <v>46004</v>
      </c>
      <c r="C1201" t="s">
        <v>317</v>
      </c>
      <c r="D1201" t="s">
        <v>4836</v>
      </c>
      <c r="E1201" t="s">
        <v>22</v>
      </c>
      <c r="F1201" t="s">
        <v>4837</v>
      </c>
      <c r="G1201" t="s">
        <v>4838</v>
      </c>
      <c r="H1201" s="4">
        <v>46093.277875324071</v>
      </c>
      <c r="J1201" t="s">
        <v>533</v>
      </c>
      <c r="K1201">
        <v>100642</v>
      </c>
    </row>
    <row r="1202" spans="1:11" x14ac:dyDescent="0.55000000000000004">
      <c r="A1202" t="s">
        <v>4839</v>
      </c>
      <c r="B1202" s="4">
        <v>45917</v>
      </c>
      <c r="C1202" t="s">
        <v>356</v>
      </c>
      <c r="D1202" t="s">
        <v>4840</v>
      </c>
      <c r="E1202" t="s">
        <v>15</v>
      </c>
      <c r="F1202" t="s">
        <v>4841</v>
      </c>
      <c r="G1202" t="s">
        <v>4842</v>
      </c>
      <c r="H1202" s="4">
        <v>46080.732041990741</v>
      </c>
      <c r="J1202" t="s">
        <v>37</v>
      </c>
      <c r="K1202">
        <v>101248</v>
      </c>
    </row>
    <row r="1203" spans="1:11" x14ac:dyDescent="0.55000000000000004">
      <c r="A1203" t="s">
        <v>4843</v>
      </c>
      <c r="B1203" s="4">
        <v>45925</v>
      </c>
      <c r="C1203" t="s">
        <v>69</v>
      </c>
      <c r="D1203" t="s">
        <v>4844</v>
      </c>
      <c r="E1203" t="s">
        <v>15</v>
      </c>
      <c r="F1203" t="s">
        <v>4845</v>
      </c>
      <c r="G1203" t="s">
        <v>4846</v>
      </c>
      <c r="H1203" s="4">
        <v>46090.496625335647</v>
      </c>
      <c r="J1203" t="s">
        <v>533</v>
      </c>
      <c r="K1203">
        <v>101110</v>
      </c>
    </row>
    <row r="1204" spans="1:11" x14ac:dyDescent="0.55000000000000004">
      <c r="A1204" t="s">
        <v>4847</v>
      </c>
      <c r="B1204" s="4">
        <v>46104</v>
      </c>
      <c r="C1204" t="s">
        <v>89</v>
      </c>
      <c r="D1204" t="s">
        <v>4848</v>
      </c>
      <c r="E1204" t="s">
        <v>15</v>
      </c>
      <c r="F1204" t="s">
        <v>4849</v>
      </c>
      <c r="G1204" t="s">
        <v>4850</v>
      </c>
      <c r="H1204" s="4">
        <v>46064.250097557873</v>
      </c>
      <c r="J1204" t="s">
        <v>19</v>
      </c>
      <c r="K1204">
        <v>101186</v>
      </c>
    </row>
    <row r="1205" spans="1:11" x14ac:dyDescent="0.55000000000000004">
      <c r="A1205" t="s">
        <v>4851</v>
      </c>
      <c r="B1205" s="4">
        <v>45876</v>
      </c>
      <c r="C1205" t="s">
        <v>343</v>
      </c>
      <c r="D1205" t="s">
        <v>4852</v>
      </c>
      <c r="E1205" t="s">
        <v>15</v>
      </c>
      <c r="F1205" t="s">
        <v>4853</v>
      </c>
      <c r="G1205" t="s">
        <v>4854</v>
      </c>
      <c r="H1205" s="4">
        <v>46087.293847569446</v>
      </c>
      <c r="J1205" t="s">
        <v>19</v>
      </c>
      <c r="K1205">
        <v>100119</v>
      </c>
    </row>
    <row r="1206" spans="1:11" x14ac:dyDescent="0.55000000000000004">
      <c r="A1206" t="s">
        <v>4855</v>
      </c>
      <c r="B1206" s="4">
        <v>45824</v>
      </c>
      <c r="C1206" t="s">
        <v>27</v>
      </c>
      <c r="D1206" t="s">
        <v>3564</v>
      </c>
      <c r="E1206" t="s">
        <v>22</v>
      </c>
      <c r="F1206" t="s">
        <v>4856</v>
      </c>
      <c r="G1206" t="s">
        <v>4857</v>
      </c>
      <c r="H1206" s="4">
        <v>46066.90356979167</v>
      </c>
      <c r="J1206" t="s">
        <v>179</v>
      </c>
      <c r="K1206">
        <v>100445</v>
      </c>
    </row>
    <row r="1207" spans="1:11" x14ac:dyDescent="0.55000000000000004">
      <c r="A1207" t="s">
        <v>4858</v>
      </c>
      <c r="B1207" s="4">
        <v>45864</v>
      </c>
      <c r="C1207" t="s">
        <v>317</v>
      </c>
      <c r="D1207" t="s">
        <v>4859</v>
      </c>
      <c r="E1207" t="s">
        <v>15</v>
      </c>
      <c r="F1207" t="s">
        <v>4860</v>
      </c>
      <c r="G1207" t="s">
        <v>4861</v>
      </c>
      <c r="H1207" s="4">
        <v>46055.566764247684</v>
      </c>
      <c r="J1207" t="s">
        <v>533</v>
      </c>
      <c r="K1207">
        <v>100607</v>
      </c>
    </row>
    <row r="1208" spans="1:11" x14ac:dyDescent="0.55000000000000004">
      <c r="A1208" t="s">
        <v>4862</v>
      </c>
      <c r="B1208" s="4">
        <v>45925</v>
      </c>
      <c r="C1208" t="s">
        <v>13</v>
      </c>
      <c r="D1208" t="s">
        <v>4863</v>
      </c>
      <c r="E1208" t="s">
        <v>22</v>
      </c>
      <c r="F1208" t="s">
        <v>4864</v>
      </c>
      <c r="G1208" t="s">
        <v>4865</v>
      </c>
      <c r="H1208" s="4">
        <v>46052.391764247688</v>
      </c>
      <c r="J1208" t="s">
        <v>533</v>
      </c>
      <c r="K1208">
        <v>100388</v>
      </c>
    </row>
    <row r="1209" spans="1:11" x14ac:dyDescent="0.55000000000000004">
      <c r="A1209" t="s">
        <v>4866</v>
      </c>
      <c r="B1209" s="4">
        <v>45946</v>
      </c>
      <c r="C1209" t="s">
        <v>680</v>
      </c>
      <c r="D1209" t="s">
        <v>4867</v>
      </c>
      <c r="E1209" t="s">
        <v>22</v>
      </c>
      <c r="F1209" t="s">
        <v>4868</v>
      </c>
      <c r="G1209" t="s">
        <v>4869</v>
      </c>
      <c r="H1209" s="4">
        <v>46068.032042025465</v>
      </c>
      <c r="J1209" t="s">
        <v>19</v>
      </c>
      <c r="K1209">
        <v>100317</v>
      </c>
    </row>
    <row r="1210" spans="1:11" x14ac:dyDescent="0.55000000000000004">
      <c r="A1210" t="s">
        <v>4870</v>
      </c>
      <c r="B1210" s="4">
        <v>45873</v>
      </c>
      <c r="C1210" t="s">
        <v>409</v>
      </c>
      <c r="D1210" t="s">
        <v>4871</v>
      </c>
      <c r="E1210" t="s">
        <v>22</v>
      </c>
      <c r="F1210" t="s">
        <v>4872</v>
      </c>
      <c r="G1210" t="s">
        <v>4873</v>
      </c>
      <c r="H1210" s="4">
        <v>46057.622319814815</v>
      </c>
      <c r="J1210" t="s">
        <v>68</v>
      </c>
      <c r="K1210">
        <v>100996</v>
      </c>
    </row>
    <row r="1211" spans="1:11" x14ac:dyDescent="0.55000000000000004">
      <c r="A1211" t="s">
        <v>4874</v>
      </c>
      <c r="B1211" s="4">
        <v>45940</v>
      </c>
      <c r="C1211" t="s">
        <v>141</v>
      </c>
      <c r="D1211" t="s">
        <v>4875</v>
      </c>
      <c r="E1211" t="s">
        <v>15</v>
      </c>
      <c r="F1211" t="s">
        <v>4876</v>
      </c>
      <c r="G1211" t="s">
        <v>4877</v>
      </c>
      <c r="H1211" s="4">
        <v>46082.613292037036</v>
      </c>
      <c r="J1211" t="s">
        <v>68</v>
      </c>
      <c r="K1211">
        <v>101138</v>
      </c>
    </row>
    <row r="1212" spans="1:11" x14ac:dyDescent="0.55000000000000004">
      <c r="A1212" t="s">
        <v>4878</v>
      </c>
      <c r="B1212" s="4">
        <v>46026</v>
      </c>
      <c r="C1212" t="s">
        <v>155</v>
      </c>
      <c r="D1212" t="s">
        <v>4879</v>
      </c>
      <c r="E1212" t="s">
        <v>22</v>
      </c>
      <c r="F1212" t="s">
        <v>4880</v>
      </c>
      <c r="G1212" t="s">
        <v>4881</v>
      </c>
      <c r="H1212" s="4">
        <v>46062.045236493053</v>
      </c>
      <c r="I1212" t="s">
        <v>112</v>
      </c>
      <c r="J1212" t="s">
        <v>533</v>
      </c>
    </row>
    <row r="1213" spans="1:11" x14ac:dyDescent="0.55000000000000004">
      <c r="A1213" t="s">
        <v>4882</v>
      </c>
      <c r="B1213" s="4">
        <v>45949</v>
      </c>
      <c r="C1213" t="s">
        <v>43</v>
      </c>
      <c r="D1213" t="s">
        <v>4883</v>
      </c>
      <c r="E1213" t="s">
        <v>22</v>
      </c>
      <c r="F1213" t="s">
        <v>4884</v>
      </c>
      <c r="G1213" t="s">
        <v>4885</v>
      </c>
      <c r="H1213" s="4">
        <v>46064.771625381945</v>
      </c>
      <c r="J1213" t="s">
        <v>37</v>
      </c>
      <c r="K1213">
        <v>100584</v>
      </c>
    </row>
    <row r="1214" spans="1:11" x14ac:dyDescent="0.55000000000000004">
      <c r="A1214" t="s">
        <v>4886</v>
      </c>
      <c r="B1214" s="4">
        <v>46089</v>
      </c>
      <c r="C1214" t="s">
        <v>69</v>
      </c>
      <c r="D1214" t="s">
        <v>4887</v>
      </c>
      <c r="E1214" t="s">
        <v>15</v>
      </c>
      <c r="F1214" t="s">
        <v>4888</v>
      </c>
      <c r="G1214" t="s">
        <v>4889</v>
      </c>
      <c r="H1214" s="4">
        <v>46058.475792060184</v>
      </c>
      <c r="J1214" t="s">
        <v>19</v>
      </c>
      <c r="K1214">
        <v>100931</v>
      </c>
    </row>
    <row r="1215" spans="1:11" x14ac:dyDescent="0.55000000000000004">
      <c r="A1215" t="s">
        <v>4890</v>
      </c>
      <c r="B1215" s="4">
        <v>46097</v>
      </c>
      <c r="C1215" t="s">
        <v>27</v>
      </c>
      <c r="D1215" t="s">
        <v>4891</v>
      </c>
      <c r="E1215" t="s">
        <v>22</v>
      </c>
      <c r="F1215" t="s">
        <v>4892</v>
      </c>
      <c r="G1215" t="s">
        <v>4893</v>
      </c>
      <c r="H1215" s="4">
        <v>46081.805653171294</v>
      </c>
      <c r="J1215" t="s">
        <v>37</v>
      </c>
      <c r="K1215">
        <v>100543</v>
      </c>
    </row>
    <row r="1216" spans="1:11" x14ac:dyDescent="0.55000000000000004">
      <c r="A1216" t="s">
        <v>4894</v>
      </c>
      <c r="B1216" s="4">
        <v>46082</v>
      </c>
      <c r="C1216" t="s">
        <v>270</v>
      </c>
      <c r="D1216" t="s">
        <v>4895</v>
      </c>
      <c r="E1216" t="s">
        <v>15</v>
      </c>
      <c r="F1216" t="s">
        <v>4896</v>
      </c>
      <c r="G1216" t="s">
        <v>4897</v>
      </c>
      <c r="H1216" s="4">
        <v>46054.001486504632</v>
      </c>
      <c r="J1216" t="s">
        <v>19</v>
      </c>
      <c r="K1216">
        <v>100799</v>
      </c>
    </row>
    <row r="1217" spans="1:11" x14ac:dyDescent="0.55000000000000004">
      <c r="A1217" t="s">
        <v>4898</v>
      </c>
      <c r="B1217" s="4">
        <v>45821</v>
      </c>
      <c r="C1217" t="s">
        <v>20</v>
      </c>
      <c r="D1217" t="s">
        <v>4899</v>
      </c>
      <c r="E1217" t="s">
        <v>15</v>
      </c>
      <c r="F1217" t="s">
        <v>4900</v>
      </c>
      <c r="G1217" t="s">
        <v>4901</v>
      </c>
      <c r="H1217" s="4">
        <v>46065.243847627316</v>
      </c>
      <c r="J1217" t="s">
        <v>248</v>
      </c>
      <c r="K1217">
        <v>100004</v>
      </c>
    </row>
    <row r="1218" spans="1:11" x14ac:dyDescent="0.55000000000000004">
      <c r="A1218" t="s">
        <v>4902</v>
      </c>
      <c r="B1218" s="4">
        <v>45948</v>
      </c>
      <c r="C1218" t="s">
        <v>418</v>
      </c>
      <c r="D1218" t="s">
        <v>4903</v>
      </c>
      <c r="E1218" t="s">
        <v>22</v>
      </c>
      <c r="F1218" t="s">
        <v>4904</v>
      </c>
      <c r="G1218" t="s">
        <v>4905</v>
      </c>
      <c r="H1218" s="4">
        <v>46090.265375405092</v>
      </c>
      <c r="J1218" t="s">
        <v>37</v>
      </c>
      <c r="K1218">
        <v>100776</v>
      </c>
    </row>
    <row r="1219" spans="1:11" x14ac:dyDescent="0.55000000000000004">
      <c r="A1219" t="s">
        <v>4906</v>
      </c>
      <c r="B1219" s="4">
        <v>46157</v>
      </c>
      <c r="C1219" t="s">
        <v>343</v>
      </c>
      <c r="D1219" t="s">
        <v>4907</v>
      </c>
      <c r="E1219" t="s">
        <v>22</v>
      </c>
      <c r="F1219" t="s">
        <v>4908</v>
      </c>
      <c r="G1219" t="s">
        <v>4909</v>
      </c>
      <c r="H1219" s="4">
        <v>46079.369542071756</v>
      </c>
      <c r="J1219" t="s">
        <v>248</v>
      </c>
      <c r="K1219">
        <v>100337</v>
      </c>
    </row>
    <row r="1220" spans="1:11" x14ac:dyDescent="0.55000000000000004">
      <c r="A1220" t="s">
        <v>4910</v>
      </c>
      <c r="B1220" s="4">
        <v>45733</v>
      </c>
      <c r="C1220" t="s">
        <v>213</v>
      </c>
      <c r="D1220" t="s">
        <v>4911</v>
      </c>
      <c r="E1220" t="s">
        <v>15</v>
      </c>
      <c r="F1220" t="s">
        <v>4912</v>
      </c>
      <c r="G1220" t="s">
        <v>4913</v>
      </c>
      <c r="H1220" s="4">
        <v>46077.832042083333</v>
      </c>
      <c r="J1220" t="s">
        <v>248</v>
      </c>
      <c r="K1220">
        <v>101277</v>
      </c>
    </row>
    <row r="1221" spans="1:11" x14ac:dyDescent="0.55000000000000004">
      <c r="A1221" t="s">
        <v>4914</v>
      </c>
      <c r="B1221" s="4">
        <v>46154</v>
      </c>
      <c r="C1221" t="s">
        <v>69</v>
      </c>
      <c r="D1221" t="s">
        <v>4915</v>
      </c>
      <c r="E1221" t="s">
        <v>22</v>
      </c>
      <c r="F1221" t="s">
        <v>4916</v>
      </c>
      <c r="G1221" t="s">
        <v>4917</v>
      </c>
      <c r="H1221" s="4">
        <v>46094.240375416666</v>
      </c>
      <c r="J1221" t="s">
        <v>19</v>
      </c>
      <c r="K1221">
        <v>101397</v>
      </c>
    </row>
    <row r="1222" spans="1:11" x14ac:dyDescent="0.55000000000000004">
      <c r="A1222" t="s">
        <v>4918</v>
      </c>
      <c r="B1222" s="4">
        <v>46047</v>
      </c>
      <c r="C1222" t="s">
        <v>49</v>
      </c>
      <c r="D1222" t="s">
        <v>4919</v>
      </c>
      <c r="E1222" t="s">
        <v>22</v>
      </c>
      <c r="F1222" t="s">
        <v>4920</v>
      </c>
      <c r="G1222" t="s">
        <v>4921</v>
      </c>
      <c r="H1222" s="4">
        <v>46091.738986539349</v>
      </c>
      <c r="J1222" t="s">
        <v>37</v>
      </c>
      <c r="K1222">
        <v>100437</v>
      </c>
    </row>
    <row r="1223" spans="1:11" x14ac:dyDescent="0.55000000000000004">
      <c r="A1223" t="s">
        <v>4922</v>
      </c>
      <c r="B1223" s="4">
        <v>46101</v>
      </c>
      <c r="C1223" t="s">
        <v>69</v>
      </c>
      <c r="D1223" t="s">
        <v>4923</v>
      </c>
      <c r="E1223" t="s">
        <v>22</v>
      </c>
      <c r="F1223" t="s">
        <v>4924</v>
      </c>
      <c r="G1223" t="s">
        <v>4925</v>
      </c>
      <c r="H1223" s="4">
        <v>46097.602180983798</v>
      </c>
      <c r="J1223" t="s">
        <v>68</v>
      </c>
      <c r="K1223">
        <v>100985</v>
      </c>
    </row>
    <row r="1224" spans="1:11" x14ac:dyDescent="0.55000000000000004">
      <c r="A1224" t="s">
        <v>4926</v>
      </c>
      <c r="B1224" s="4">
        <v>45983</v>
      </c>
      <c r="C1224" t="s">
        <v>155</v>
      </c>
      <c r="D1224" t="s">
        <v>4927</v>
      </c>
      <c r="E1224" t="s">
        <v>15</v>
      </c>
      <c r="F1224" t="s">
        <v>4928</v>
      </c>
      <c r="G1224" t="s">
        <v>4929</v>
      </c>
      <c r="H1224" s="4">
        <v>46071.570236539352</v>
      </c>
      <c r="J1224" t="s">
        <v>179</v>
      </c>
      <c r="K1224">
        <v>101268</v>
      </c>
    </row>
    <row r="1225" spans="1:11" x14ac:dyDescent="0.55000000000000004">
      <c r="A1225" t="s">
        <v>4930</v>
      </c>
      <c r="B1225" s="4">
        <v>45735</v>
      </c>
      <c r="C1225" t="s">
        <v>317</v>
      </c>
      <c r="D1225" t="s">
        <v>4931</v>
      </c>
      <c r="E1225" t="s">
        <v>22</v>
      </c>
      <c r="F1225" t="s">
        <v>4932</v>
      </c>
      <c r="G1225" t="s">
        <v>4933</v>
      </c>
      <c r="H1225" s="4">
        <v>46083.077180995373</v>
      </c>
      <c r="J1225" t="s">
        <v>19</v>
      </c>
      <c r="K1225">
        <v>100832</v>
      </c>
    </row>
    <row r="1226" spans="1:11" x14ac:dyDescent="0.55000000000000004">
      <c r="A1226" t="s">
        <v>4934</v>
      </c>
      <c r="B1226" s="4">
        <v>45923</v>
      </c>
      <c r="C1226" t="s">
        <v>58</v>
      </c>
      <c r="D1226" t="s">
        <v>4935</v>
      </c>
      <c r="E1226" t="s">
        <v>15</v>
      </c>
      <c r="F1226" t="s">
        <v>4936</v>
      </c>
      <c r="G1226" t="s">
        <v>4937</v>
      </c>
      <c r="H1226" s="4">
        <v>46063.363292106478</v>
      </c>
      <c r="J1226" t="s">
        <v>179</v>
      </c>
      <c r="K1226">
        <v>100340</v>
      </c>
    </row>
    <row r="1227" spans="1:11" x14ac:dyDescent="0.55000000000000004">
      <c r="A1227" t="s">
        <v>4938</v>
      </c>
      <c r="B1227" s="4">
        <v>45956</v>
      </c>
      <c r="C1227" t="s">
        <v>43</v>
      </c>
      <c r="D1227" t="s">
        <v>4939</v>
      </c>
      <c r="E1227" t="s">
        <v>22</v>
      </c>
      <c r="F1227" t="s">
        <v>4940</v>
      </c>
      <c r="G1227" t="s">
        <v>4941</v>
      </c>
      <c r="H1227" s="4">
        <v>46070.738292106478</v>
      </c>
      <c r="J1227" t="s">
        <v>533</v>
      </c>
      <c r="K1227">
        <v>100484</v>
      </c>
    </row>
    <row r="1228" spans="1:11" x14ac:dyDescent="0.55000000000000004">
      <c r="A1228" t="s">
        <v>4942</v>
      </c>
      <c r="B1228" s="4">
        <v>46095</v>
      </c>
      <c r="C1228" t="s">
        <v>155</v>
      </c>
      <c r="D1228" t="s">
        <v>4943</v>
      </c>
      <c r="E1228" t="s">
        <v>15</v>
      </c>
      <c r="F1228" t="s">
        <v>4944</v>
      </c>
      <c r="G1228" t="s">
        <v>4945</v>
      </c>
      <c r="H1228" s="4">
        <v>46079.688986562498</v>
      </c>
      <c r="I1228" t="s">
        <v>217</v>
      </c>
      <c r="K1228">
        <v>101484</v>
      </c>
    </row>
    <row r="1229" spans="1:11" x14ac:dyDescent="0.55000000000000004">
      <c r="A1229" t="s">
        <v>4946</v>
      </c>
      <c r="B1229" s="4">
        <v>45934</v>
      </c>
      <c r="C1229" t="s">
        <v>49</v>
      </c>
      <c r="D1229" t="s">
        <v>4947</v>
      </c>
      <c r="E1229" t="s">
        <v>15</v>
      </c>
      <c r="F1229" t="s">
        <v>224</v>
      </c>
      <c r="G1229" t="s">
        <v>4948</v>
      </c>
      <c r="H1229" s="4">
        <v>46086.798708784721</v>
      </c>
      <c r="J1229" t="s">
        <v>533</v>
      </c>
      <c r="K1229">
        <v>100030</v>
      </c>
    </row>
    <row r="1230" spans="1:11" x14ac:dyDescent="0.55000000000000004">
      <c r="A1230" t="s">
        <v>4949</v>
      </c>
      <c r="B1230" s="4">
        <v>45977</v>
      </c>
      <c r="C1230" t="s">
        <v>83</v>
      </c>
      <c r="D1230" t="s">
        <v>4950</v>
      </c>
      <c r="E1230" t="s">
        <v>22</v>
      </c>
      <c r="F1230" t="s">
        <v>4951</v>
      </c>
      <c r="G1230" t="s">
        <v>4952</v>
      </c>
      <c r="H1230" s="4">
        <v>46062.041764340276</v>
      </c>
      <c r="J1230" t="s">
        <v>248</v>
      </c>
      <c r="K1230">
        <v>101107</v>
      </c>
    </row>
    <row r="1231" spans="1:11" x14ac:dyDescent="0.55000000000000004">
      <c r="A1231" t="s">
        <v>4953</v>
      </c>
      <c r="B1231" s="4">
        <v>45898</v>
      </c>
      <c r="C1231" t="s">
        <v>89</v>
      </c>
      <c r="D1231" t="s">
        <v>4954</v>
      </c>
      <c r="E1231" t="s">
        <v>15</v>
      </c>
      <c r="F1231" t="s">
        <v>4955</v>
      </c>
      <c r="G1231" t="s">
        <v>4956</v>
      </c>
      <c r="H1231" s="4">
        <v>46090.593153240741</v>
      </c>
      <c r="J1231" t="s">
        <v>533</v>
      </c>
      <c r="K1231">
        <v>100103</v>
      </c>
    </row>
    <row r="1232" spans="1:11" x14ac:dyDescent="0.55000000000000004">
      <c r="A1232" t="s">
        <v>4957</v>
      </c>
      <c r="B1232" s="4">
        <v>45796</v>
      </c>
      <c r="C1232" t="s">
        <v>20</v>
      </c>
      <c r="D1232" t="s">
        <v>4958</v>
      </c>
      <c r="E1232" t="s">
        <v>15</v>
      </c>
      <c r="F1232" t="s">
        <v>4959</v>
      </c>
      <c r="G1232" t="s">
        <v>4960</v>
      </c>
      <c r="H1232" s="4">
        <v>46054.409819907407</v>
      </c>
      <c r="J1232" t="s">
        <v>37</v>
      </c>
      <c r="K1232">
        <v>100200</v>
      </c>
    </row>
    <row r="1233" spans="1:11" x14ac:dyDescent="0.55000000000000004">
      <c r="A1233" t="s">
        <v>4961</v>
      </c>
      <c r="B1233" s="4">
        <v>46079</v>
      </c>
      <c r="C1233" t="s">
        <v>89</v>
      </c>
      <c r="D1233" t="s">
        <v>4962</v>
      </c>
      <c r="E1233" t="s">
        <v>15</v>
      </c>
      <c r="F1233" t="s">
        <v>4963</v>
      </c>
      <c r="G1233" t="s">
        <v>4964</v>
      </c>
      <c r="H1233" s="4">
        <v>46070.063292129627</v>
      </c>
      <c r="J1233" t="s">
        <v>37</v>
      </c>
      <c r="K1233">
        <v>101127</v>
      </c>
    </row>
    <row r="1234" spans="1:11" x14ac:dyDescent="0.55000000000000004">
      <c r="A1234" t="s">
        <v>4965</v>
      </c>
      <c r="B1234" s="4">
        <v>45876</v>
      </c>
      <c r="C1234" t="s">
        <v>334</v>
      </c>
      <c r="D1234" t="s">
        <v>4966</v>
      </c>
      <c r="E1234" t="s">
        <v>15</v>
      </c>
      <c r="F1234" t="s">
        <v>4967</v>
      </c>
      <c r="G1234" t="s">
        <v>4968</v>
      </c>
      <c r="H1234" s="4">
        <v>46058.529264363424</v>
      </c>
      <c r="J1234" t="s">
        <v>68</v>
      </c>
      <c r="K1234">
        <v>100907</v>
      </c>
    </row>
    <row r="1235" spans="1:11" x14ac:dyDescent="0.55000000000000004">
      <c r="A1235" t="s">
        <v>4969</v>
      </c>
      <c r="B1235" s="4">
        <v>45827</v>
      </c>
      <c r="C1235" t="s">
        <v>20</v>
      </c>
      <c r="D1235" t="s">
        <v>4970</v>
      </c>
      <c r="E1235" t="s">
        <v>15</v>
      </c>
      <c r="F1235" t="s">
        <v>4971</v>
      </c>
      <c r="G1235" t="s">
        <v>4972</v>
      </c>
      <c r="H1235" s="4">
        <v>46080.749403252317</v>
      </c>
      <c r="J1235" t="s">
        <v>19</v>
      </c>
      <c r="K1235">
        <v>100154</v>
      </c>
    </row>
    <row r="1236" spans="1:11" x14ac:dyDescent="0.55000000000000004">
      <c r="A1236" t="s">
        <v>4973</v>
      </c>
      <c r="B1236" s="4">
        <v>46073</v>
      </c>
      <c r="C1236" t="s">
        <v>418</v>
      </c>
      <c r="D1236" t="s">
        <v>4974</v>
      </c>
      <c r="E1236" t="s">
        <v>15</v>
      </c>
      <c r="F1236" t="s">
        <v>4975</v>
      </c>
      <c r="G1236" t="s">
        <v>4976</v>
      </c>
      <c r="H1236" s="4">
        <v>46053.032042152779</v>
      </c>
      <c r="J1236" t="s">
        <v>248</v>
      </c>
      <c r="K1236">
        <v>100511</v>
      </c>
    </row>
    <row r="1237" spans="1:11" x14ac:dyDescent="0.55000000000000004">
      <c r="A1237" t="s">
        <v>4977</v>
      </c>
      <c r="B1237" s="4">
        <v>45824</v>
      </c>
      <c r="C1237" t="s">
        <v>38</v>
      </c>
      <c r="D1237" t="s">
        <v>4978</v>
      </c>
      <c r="E1237" t="s">
        <v>15</v>
      </c>
      <c r="F1237" t="s">
        <v>4979</v>
      </c>
      <c r="G1237" t="s">
        <v>4980</v>
      </c>
      <c r="H1237" s="4">
        <v>46083.57509770833</v>
      </c>
      <c r="J1237" t="s">
        <v>19</v>
      </c>
      <c r="K1237">
        <v>100947</v>
      </c>
    </row>
    <row r="1238" spans="1:11" x14ac:dyDescent="0.55000000000000004">
      <c r="A1238" t="s">
        <v>4981</v>
      </c>
      <c r="B1238" s="4">
        <v>45937</v>
      </c>
      <c r="C1238" t="s">
        <v>20</v>
      </c>
      <c r="D1238" t="s">
        <v>4982</v>
      </c>
      <c r="E1238" t="s">
        <v>15</v>
      </c>
      <c r="F1238" t="s">
        <v>4983</v>
      </c>
      <c r="G1238" t="s">
        <v>4984</v>
      </c>
      <c r="H1238" s="4">
        <v>46088.139681053239</v>
      </c>
      <c r="J1238" t="s">
        <v>533</v>
      </c>
      <c r="K1238">
        <v>101269</v>
      </c>
    </row>
    <row r="1239" spans="1:11" x14ac:dyDescent="0.55000000000000004">
      <c r="A1239" t="s">
        <v>4985</v>
      </c>
      <c r="B1239" s="4">
        <v>46047</v>
      </c>
      <c r="C1239" t="s">
        <v>155</v>
      </c>
      <c r="D1239" t="s">
        <v>4986</v>
      </c>
      <c r="E1239" t="s">
        <v>15</v>
      </c>
      <c r="F1239" t="s">
        <v>4987</v>
      </c>
      <c r="G1239" t="s">
        <v>4988</v>
      </c>
      <c r="H1239" s="4">
        <v>46073.166764386573</v>
      </c>
      <c r="J1239" t="s">
        <v>37</v>
      </c>
      <c r="K1239">
        <v>100375</v>
      </c>
    </row>
    <row r="1240" spans="1:11" x14ac:dyDescent="0.55000000000000004">
      <c r="A1240" t="s">
        <v>4989</v>
      </c>
      <c r="B1240" s="4">
        <v>45888</v>
      </c>
      <c r="C1240" t="s">
        <v>587</v>
      </c>
      <c r="D1240" t="s">
        <v>4990</v>
      </c>
      <c r="E1240" t="s">
        <v>22</v>
      </c>
      <c r="F1240" t="s">
        <v>4991</v>
      </c>
      <c r="G1240" t="s">
        <v>4992</v>
      </c>
      <c r="H1240" s="4">
        <v>46070.064681053242</v>
      </c>
      <c r="J1240" t="s">
        <v>19</v>
      </c>
      <c r="K1240">
        <v>101363</v>
      </c>
    </row>
    <row r="1241" spans="1:11" x14ac:dyDescent="0.55000000000000004">
      <c r="A1241" t="s">
        <v>4993</v>
      </c>
      <c r="B1241" s="4">
        <v>45993</v>
      </c>
      <c r="C1241" t="s">
        <v>141</v>
      </c>
      <c r="D1241" t="s">
        <v>4994</v>
      </c>
      <c r="E1241" t="s">
        <v>22</v>
      </c>
      <c r="F1241" t="s">
        <v>4995</v>
      </c>
      <c r="G1241" t="s">
        <v>4996</v>
      </c>
      <c r="H1241" s="4">
        <v>46090.363292175927</v>
      </c>
      <c r="J1241" t="s">
        <v>37</v>
      </c>
      <c r="K1241">
        <v>100287</v>
      </c>
    </row>
    <row r="1242" spans="1:11" x14ac:dyDescent="0.55000000000000004">
      <c r="A1242" t="s">
        <v>4997</v>
      </c>
      <c r="B1242" s="4">
        <v>45875</v>
      </c>
      <c r="C1242" t="s">
        <v>757</v>
      </c>
      <c r="D1242" t="s">
        <v>4998</v>
      </c>
      <c r="E1242" t="s">
        <v>15</v>
      </c>
      <c r="F1242" t="s">
        <v>4999</v>
      </c>
      <c r="G1242" t="s">
        <v>5000</v>
      </c>
      <c r="H1242" s="4">
        <v>46077.678569953707</v>
      </c>
      <c r="J1242" t="s">
        <v>68</v>
      </c>
      <c r="K1242">
        <v>100918</v>
      </c>
    </row>
    <row r="1243" spans="1:11" x14ac:dyDescent="0.55000000000000004">
      <c r="A1243" t="s">
        <v>5001</v>
      </c>
      <c r="B1243" s="4">
        <v>45752</v>
      </c>
      <c r="C1243" t="s">
        <v>155</v>
      </c>
      <c r="D1243" t="s">
        <v>5002</v>
      </c>
      <c r="E1243" t="s">
        <v>22</v>
      </c>
      <c r="F1243" t="s">
        <v>5003</v>
      </c>
      <c r="G1243" t="s">
        <v>5004</v>
      </c>
      <c r="H1243" s="4">
        <v>46084.340375520835</v>
      </c>
      <c r="J1243" t="s">
        <v>533</v>
      </c>
      <c r="K1243">
        <v>101448</v>
      </c>
    </row>
    <row r="1244" spans="1:11" x14ac:dyDescent="0.55000000000000004">
      <c r="A1244" t="s">
        <v>5005</v>
      </c>
      <c r="B1244" s="4">
        <v>45875</v>
      </c>
      <c r="C1244" t="s">
        <v>121</v>
      </c>
      <c r="D1244" t="s">
        <v>5006</v>
      </c>
      <c r="E1244" t="s">
        <v>22</v>
      </c>
      <c r="F1244" t="s">
        <v>5007</v>
      </c>
      <c r="G1244" t="s">
        <v>5008</v>
      </c>
      <c r="H1244" s="4">
        <v>46066.229264409725</v>
      </c>
      <c r="J1244" t="s">
        <v>19</v>
      </c>
      <c r="K1244">
        <v>101258</v>
      </c>
    </row>
    <row r="1245" spans="1:11" x14ac:dyDescent="0.55000000000000004">
      <c r="A1245" t="s">
        <v>5009</v>
      </c>
      <c r="B1245" s="4">
        <v>45887</v>
      </c>
      <c r="C1245" t="s">
        <v>155</v>
      </c>
      <c r="D1245" t="s">
        <v>5010</v>
      </c>
      <c r="E1245" t="s">
        <v>15</v>
      </c>
      <c r="F1245" t="s">
        <v>5011</v>
      </c>
      <c r="G1245" t="s">
        <v>5012</v>
      </c>
      <c r="H1245" s="4">
        <v>46053.961208854169</v>
      </c>
      <c r="J1245" t="s">
        <v>68</v>
      </c>
      <c r="K1245">
        <v>100392</v>
      </c>
    </row>
    <row r="1246" spans="1:11" x14ac:dyDescent="0.55000000000000004">
      <c r="A1246" t="s">
        <v>5013</v>
      </c>
      <c r="B1246" s="4">
        <v>45901</v>
      </c>
      <c r="C1246" t="s">
        <v>49</v>
      </c>
      <c r="D1246" t="s">
        <v>5014</v>
      </c>
      <c r="E1246" t="s">
        <v>22</v>
      </c>
      <c r="F1246" t="s">
        <v>5015</v>
      </c>
      <c r="G1246" t="s">
        <v>5016</v>
      </c>
      <c r="H1246" s="4">
        <v>46081.821625532408</v>
      </c>
      <c r="J1246" t="s">
        <v>533</v>
      </c>
      <c r="K1246">
        <v>100509</v>
      </c>
    </row>
    <row r="1247" spans="1:11" x14ac:dyDescent="0.55000000000000004">
      <c r="A1247" t="s">
        <v>5017</v>
      </c>
      <c r="B1247" s="4">
        <v>45839</v>
      </c>
      <c r="C1247" t="s">
        <v>270</v>
      </c>
      <c r="D1247" t="s">
        <v>5018</v>
      </c>
      <c r="E1247" t="s">
        <v>15</v>
      </c>
      <c r="F1247" t="s">
        <v>5019</v>
      </c>
      <c r="G1247" t="s">
        <v>5020</v>
      </c>
      <c r="H1247" s="4">
        <v>46056.890375532406</v>
      </c>
      <c r="J1247" t="s">
        <v>248</v>
      </c>
      <c r="K1247">
        <v>100223</v>
      </c>
    </row>
    <row r="1248" spans="1:11" x14ac:dyDescent="0.55000000000000004">
      <c r="A1248" t="s">
        <v>77</v>
      </c>
      <c r="B1248" s="4">
        <v>45753</v>
      </c>
      <c r="C1248" t="s">
        <v>587</v>
      </c>
      <c r="D1248" t="s">
        <v>5021</v>
      </c>
      <c r="E1248" t="s">
        <v>22</v>
      </c>
      <c r="F1248" t="s">
        <v>5022</v>
      </c>
      <c r="G1248" t="s">
        <v>5023</v>
      </c>
      <c r="H1248" s="4">
        <v>46091.639681099536</v>
      </c>
      <c r="J1248" t="s">
        <v>533</v>
      </c>
      <c r="K1248">
        <v>100694</v>
      </c>
    </row>
    <row r="1249" spans="1:11" x14ac:dyDescent="0.55000000000000004">
      <c r="A1249" t="s">
        <v>5024</v>
      </c>
      <c r="B1249" s="4">
        <v>46048</v>
      </c>
      <c r="C1249" t="s">
        <v>58</v>
      </c>
      <c r="D1249" t="s">
        <v>5025</v>
      </c>
      <c r="E1249" t="s">
        <v>15</v>
      </c>
      <c r="F1249" t="s">
        <v>5026</v>
      </c>
      <c r="G1249" t="s">
        <v>5027</v>
      </c>
      <c r="H1249" s="4">
        <v>46063.527875543979</v>
      </c>
      <c r="I1249" t="s">
        <v>217</v>
      </c>
      <c r="K1249">
        <v>100824</v>
      </c>
    </row>
    <row r="1250" spans="1:11" x14ac:dyDescent="0.55000000000000004">
      <c r="A1250" t="s">
        <v>5028</v>
      </c>
      <c r="B1250" s="4">
        <v>45797</v>
      </c>
      <c r="C1250" t="s">
        <v>69</v>
      </c>
      <c r="D1250" t="s">
        <v>5029</v>
      </c>
      <c r="E1250" t="s">
        <v>22</v>
      </c>
      <c r="F1250" t="s">
        <v>5030</v>
      </c>
      <c r="G1250" t="s">
        <v>5031</v>
      </c>
      <c r="H1250" s="4">
        <v>46062.252181111115</v>
      </c>
      <c r="J1250" t="s">
        <v>37</v>
      </c>
      <c r="K1250">
        <v>100124</v>
      </c>
    </row>
    <row r="1251" spans="1:11" x14ac:dyDescent="0.55000000000000004">
      <c r="A1251" t="s">
        <v>5032</v>
      </c>
      <c r="B1251" s="4">
        <v>45961</v>
      </c>
      <c r="C1251" t="s">
        <v>243</v>
      </c>
      <c r="D1251" t="s">
        <v>5033</v>
      </c>
      <c r="E1251" t="s">
        <v>15</v>
      </c>
      <c r="F1251" t="s">
        <v>5034</v>
      </c>
      <c r="G1251" t="s">
        <v>5035</v>
      </c>
      <c r="H1251" s="4">
        <v>46067.150097777776</v>
      </c>
      <c r="J1251" t="s">
        <v>68</v>
      </c>
      <c r="K1251">
        <v>100201</v>
      </c>
    </row>
    <row r="1252" spans="1:11" x14ac:dyDescent="0.55000000000000004">
      <c r="A1252" t="s">
        <v>5036</v>
      </c>
      <c r="B1252" s="4">
        <v>45989</v>
      </c>
      <c r="C1252" t="s">
        <v>115</v>
      </c>
      <c r="D1252" t="s">
        <v>5037</v>
      </c>
      <c r="E1252" t="s">
        <v>22</v>
      </c>
      <c r="F1252" t="s">
        <v>5038</v>
      </c>
      <c r="G1252" t="s">
        <v>5039</v>
      </c>
      <c r="H1252" s="4">
        <v>46053.562597777774</v>
      </c>
      <c r="J1252" t="s">
        <v>19</v>
      </c>
      <c r="K1252">
        <v>100110</v>
      </c>
    </row>
    <row r="1253" spans="1:11" x14ac:dyDescent="0.55000000000000004">
      <c r="A1253" t="s">
        <v>5040</v>
      </c>
      <c r="B1253" s="4">
        <v>45755</v>
      </c>
      <c r="C1253" t="s">
        <v>121</v>
      </c>
      <c r="D1253" t="s">
        <v>5041</v>
      </c>
      <c r="E1253" t="s">
        <v>22</v>
      </c>
      <c r="F1253" t="s">
        <v>5042</v>
      </c>
      <c r="G1253" t="s">
        <v>5043</v>
      </c>
      <c r="H1253" s="4">
        <v>46053.98898667824</v>
      </c>
      <c r="J1253" t="s">
        <v>68</v>
      </c>
      <c r="K1253">
        <v>100956</v>
      </c>
    </row>
    <row r="1254" spans="1:11" x14ac:dyDescent="0.55000000000000004">
      <c r="A1254" t="s">
        <v>5044</v>
      </c>
      <c r="B1254" s="4">
        <v>45770</v>
      </c>
      <c r="C1254" t="s">
        <v>69</v>
      </c>
      <c r="D1254" t="s">
        <v>5045</v>
      </c>
      <c r="E1254" t="s">
        <v>22</v>
      </c>
      <c r="F1254" t="s">
        <v>5046</v>
      </c>
      <c r="G1254" t="s">
        <v>5047</v>
      </c>
      <c r="H1254" s="4">
        <v>46062.191070011577</v>
      </c>
      <c r="J1254" t="s">
        <v>19</v>
      </c>
      <c r="K1254">
        <v>100841</v>
      </c>
    </row>
    <row r="1255" spans="1:11" x14ac:dyDescent="0.55000000000000004">
      <c r="A1255" t="s">
        <v>5048</v>
      </c>
      <c r="B1255" s="4">
        <v>46042</v>
      </c>
      <c r="C1255" t="s">
        <v>189</v>
      </c>
      <c r="D1255" t="s">
        <v>5049</v>
      </c>
      <c r="E1255" t="s">
        <v>15</v>
      </c>
      <c r="F1255" t="s">
        <v>5050</v>
      </c>
      <c r="G1255" t="s">
        <v>5051</v>
      </c>
      <c r="H1255" s="4">
        <v>46086.932736678238</v>
      </c>
      <c r="J1255" t="s">
        <v>179</v>
      </c>
      <c r="K1255">
        <v>100867</v>
      </c>
    </row>
    <row r="1256" spans="1:11" x14ac:dyDescent="0.55000000000000004">
      <c r="A1256" t="s">
        <v>5052</v>
      </c>
      <c r="B1256" s="4">
        <v>46035</v>
      </c>
      <c r="C1256" t="s">
        <v>270</v>
      </c>
      <c r="D1256" t="s">
        <v>5053</v>
      </c>
      <c r="E1256" t="s">
        <v>22</v>
      </c>
      <c r="F1256" t="s">
        <v>5054</v>
      </c>
      <c r="G1256" t="s">
        <v>5055</v>
      </c>
      <c r="H1256" s="4">
        <v>46078.432736689814</v>
      </c>
      <c r="J1256" t="s">
        <v>248</v>
      </c>
      <c r="K1256">
        <v>100725</v>
      </c>
    </row>
    <row r="1257" spans="1:11" x14ac:dyDescent="0.55000000000000004">
      <c r="A1257" t="s">
        <v>3853</v>
      </c>
      <c r="B1257" s="4">
        <v>46094</v>
      </c>
      <c r="C1257" t="s">
        <v>170</v>
      </c>
      <c r="D1257" t="s">
        <v>5056</v>
      </c>
      <c r="E1257" t="s">
        <v>15</v>
      </c>
      <c r="F1257" t="s">
        <v>5057</v>
      </c>
      <c r="G1257" t="s">
        <v>5058</v>
      </c>
      <c r="H1257" s="4">
        <v>46083.681347800928</v>
      </c>
      <c r="J1257" t="s">
        <v>68</v>
      </c>
      <c r="K1257">
        <v>100882</v>
      </c>
    </row>
    <row r="1258" spans="1:11" x14ac:dyDescent="0.55000000000000004">
      <c r="A1258" t="s">
        <v>5059</v>
      </c>
      <c r="B1258" s="4">
        <v>45853</v>
      </c>
      <c r="C1258" t="s">
        <v>265</v>
      </c>
      <c r="D1258" t="s">
        <v>5060</v>
      </c>
      <c r="E1258" t="s">
        <v>22</v>
      </c>
      <c r="F1258" t="s">
        <v>5061</v>
      </c>
      <c r="G1258" t="s">
        <v>5062</v>
      </c>
      <c r="H1258" s="4">
        <v>46089.361903356483</v>
      </c>
      <c r="J1258" t="s">
        <v>19</v>
      </c>
      <c r="K1258">
        <v>101455</v>
      </c>
    </row>
    <row r="1259" spans="1:11" x14ac:dyDescent="0.55000000000000004">
      <c r="A1259" t="s">
        <v>5063</v>
      </c>
      <c r="B1259" s="4">
        <v>46060</v>
      </c>
      <c r="C1259" t="s">
        <v>115</v>
      </c>
      <c r="D1259" t="s">
        <v>5064</v>
      </c>
      <c r="E1259" t="s">
        <v>15</v>
      </c>
      <c r="F1259" t="s">
        <v>5065</v>
      </c>
      <c r="G1259" t="s">
        <v>5066</v>
      </c>
      <c r="H1259" s="4">
        <v>46096.823708923614</v>
      </c>
      <c r="J1259" t="s">
        <v>37</v>
      </c>
      <c r="K1259">
        <v>100193</v>
      </c>
    </row>
    <row r="1260" spans="1:11" x14ac:dyDescent="0.55000000000000004">
      <c r="A1260" t="s">
        <v>5067</v>
      </c>
      <c r="B1260" s="4">
        <v>46055</v>
      </c>
      <c r="C1260" t="s">
        <v>13</v>
      </c>
      <c r="D1260" t="s">
        <v>5068</v>
      </c>
      <c r="E1260" t="s">
        <v>22</v>
      </c>
      <c r="F1260" t="s">
        <v>5069</v>
      </c>
      <c r="G1260" t="s">
        <v>5070</v>
      </c>
      <c r="H1260" s="4">
        <v>46089.165375590281</v>
      </c>
      <c r="J1260" t="s">
        <v>68</v>
      </c>
      <c r="K1260">
        <v>100389</v>
      </c>
    </row>
    <row r="1261" spans="1:11" x14ac:dyDescent="0.55000000000000004">
      <c r="A1261" t="s">
        <v>5071</v>
      </c>
      <c r="B1261" s="4">
        <v>45882</v>
      </c>
      <c r="C1261" t="s">
        <v>141</v>
      </c>
      <c r="D1261" t="s">
        <v>5072</v>
      </c>
      <c r="E1261" t="s">
        <v>22</v>
      </c>
      <c r="F1261" t="s">
        <v>5073</v>
      </c>
      <c r="G1261" t="s">
        <v>5074</v>
      </c>
      <c r="H1261" s="4">
        <v>46083.348708935184</v>
      </c>
      <c r="J1261" t="s">
        <v>19</v>
      </c>
      <c r="K1261">
        <v>100833</v>
      </c>
    </row>
    <row r="1262" spans="1:11" x14ac:dyDescent="0.55000000000000004">
      <c r="A1262" t="s">
        <v>5075</v>
      </c>
      <c r="B1262" s="4">
        <v>45863</v>
      </c>
      <c r="C1262" t="s">
        <v>38</v>
      </c>
      <c r="D1262" t="s">
        <v>5076</v>
      </c>
      <c r="E1262" t="s">
        <v>15</v>
      </c>
      <c r="F1262" t="s">
        <v>5077</v>
      </c>
      <c r="G1262" t="s">
        <v>5078</v>
      </c>
      <c r="H1262" s="4">
        <v>46053.202875601855</v>
      </c>
      <c r="J1262" t="s">
        <v>533</v>
      </c>
      <c r="K1262">
        <v>101262</v>
      </c>
    </row>
    <row r="1263" spans="1:11" x14ac:dyDescent="0.55000000000000004">
      <c r="A1263" t="s">
        <v>5079</v>
      </c>
      <c r="B1263" s="4">
        <v>46052</v>
      </c>
      <c r="C1263" t="s">
        <v>587</v>
      </c>
      <c r="D1263" t="s">
        <v>5080</v>
      </c>
      <c r="E1263" t="s">
        <v>22</v>
      </c>
      <c r="F1263" t="s">
        <v>5081</v>
      </c>
      <c r="G1263" t="s">
        <v>5082</v>
      </c>
      <c r="H1263" s="4">
        <v>46083.284820057874</v>
      </c>
      <c r="J1263" t="s">
        <v>248</v>
      </c>
      <c r="K1263">
        <v>100497</v>
      </c>
    </row>
    <row r="1264" spans="1:11" x14ac:dyDescent="0.55000000000000004">
      <c r="A1264" t="s">
        <v>5083</v>
      </c>
      <c r="B1264" s="4">
        <v>45836</v>
      </c>
      <c r="C1264" t="s">
        <v>680</v>
      </c>
      <c r="D1264" t="s">
        <v>5084</v>
      </c>
      <c r="E1264" t="s">
        <v>22</v>
      </c>
      <c r="F1264" t="s">
        <v>5085</v>
      </c>
      <c r="G1264" t="s">
        <v>5086</v>
      </c>
      <c r="H1264" s="4">
        <v>46083.129264502313</v>
      </c>
      <c r="J1264" t="s">
        <v>248</v>
      </c>
      <c r="K1264">
        <v>100968</v>
      </c>
    </row>
    <row r="1265" spans="1:11" x14ac:dyDescent="0.55000000000000004">
      <c r="A1265" t="s">
        <v>5087</v>
      </c>
      <c r="B1265" s="4">
        <v>45807</v>
      </c>
      <c r="C1265" t="s">
        <v>334</v>
      </c>
      <c r="D1265" t="s">
        <v>5088</v>
      </c>
      <c r="E1265" t="s">
        <v>15</v>
      </c>
      <c r="F1265" t="s">
        <v>5089</v>
      </c>
      <c r="G1265" t="s">
        <v>5090</v>
      </c>
      <c r="H1265" s="4">
        <v>46068.483431168985</v>
      </c>
      <c r="J1265" t="s">
        <v>68</v>
      </c>
      <c r="K1265">
        <v>101180</v>
      </c>
    </row>
    <row r="1266" spans="1:11" x14ac:dyDescent="0.55000000000000004">
      <c r="A1266" t="s">
        <v>5091</v>
      </c>
      <c r="B1266" s="4">
        <v>45828</v>
      </c>
      <c r="C1266" t="s">
        <v>208</v>
      </c>
      <c r="D1266" t="s">
        <v>5092</v>
      </c>
      <c r="E1266" t="s">
        <v>15</v>
      </c>
      <c r="F1266" t="s">
        <v>5093</v>
      </c>
      <c r="G1266" t="s">
        <v>5094</v>
      </c>
      <c r="H1266" s="4">
        <v>46078.514681180553</v>
      </c>
      <c r="J1266" t="s">
        <v>533</v>
      </c>
      <c r="K1266">
        <v>101169</v>
      </c>
    </row>
    <row r="1267" spans="1:11" x14ac:dyDescent="0.55000000000000004">
      <c r="A1267" t="s">
        <v>5095</v>
      </c>
      <c r="B1267" s="4">
        <v>46150</v>
      </c>
      <c r="C1267" t="s">
        <v>27</v>
      </c>
      <c r="D1267" t="s">
        <v>5096</v>
      </c>
      <c r="E1267" t="s">
        <v>15</v>
      </c>
      <c r="F1267" t="s">
        <v>5097</v>
      </c>
      <c r="G1267" t="s">
        <v>5098</v>
      </c>
      <c r="H1267" s="4">
        <v>46093.542458958334</v>
      </c>
      <c r="J1267" t="s">
        <v>533</v>
      </c>
      <c r="K1267">
        <v>100270</v>
      </c>
    </row>
    <row r="1268" spans="1:11" x14ac:dyDescent="0.55000000000000004">
      <c r="A1268" t="s">
        <v>5099</v>
      </c>
      <c r="B1268" s="4">
        <v>45950</v>
      </c>
      <c r="C1268" t="s">
        <v>69</v>
      </c>
      <c r="D1268" t="s">
        <v>5100</v>
      </c>
      <c r="E1268" t="s">
        <v>22</v>
      </c>
      <c r="F1268" t="s">
        <v>5101</v>
      </c>
      <c r="G1268" t="s">
        <v>5102</v>
      </c>
      <c r="H1268" s="4">
        <v>46090.99732008102</v>
      </c>
      <c r="J1268" t="s">
        <v>37</v>
      </c>
      <c r="K1268">
        <v>101298</v>
      </c>
    </row>
    <row r="1269" spans="1:11" x14ac:dyDescent="0.55000000000000004">
      <c r="A1269" t="s">
        <v>5103</v>
      </c>
      <c r="B1269" s="4">
        <v>46104</v>
      </c>
      <c r="C1269" t="s">
        <v>38</v>
      </c>
      <c r="D1269" t="s">
        <v>5104</v>
      </c>
      <c r="E1269" t="s">
        <v>15</v>
      </c>
      <c r="F1269" t="s">
        <v>5105</v>
      </c>
      <c r="G1269" t="s">
        <v>5106</v>
      </c>
      <c r="H1269" s="4">
        <v>46073.200097858797</v>
      </c>
      <c r="J1269" t="s">
        <v>533</v>
      </c>
      <c r="K1269">
        <v>100438</v>
      </c>
    </row>
    <row r="1270" spans="1:11" x14ac:dyDescent="0.55000000000000004">
      <c r="A1270" t="s">
        <v>5107</v>
      </c>
      <c r="B1270" s="4">
        <v>45788</v>
      </c>
      <c r="C1270" t="s">
        <v>317</v>
      </c>
      <c r="D1270" t="s">
        <v>5108</v>
      </c>
      <c r="E1270" t="s">
        <v>15</v>
      </c>
      <c r="F1270" t="s">
        <v>5109</v>
      </c>
      <c r="G1270" t="s">
        <v>5110</v>
      </c>
      <c r="H1270" s="4">
        <v>46089.393153414348</v>
      </c>
      <c r="J1270" t="s">
        <v>37</v>
      </c>
      <c r="K1270">
        <v>100994</v>
      </c>
    </row>
    <row r="1271" spans="1:11" x14ac:dyDescent="0.55000000000000004">
      <c r="A1271" t="s">
        <v>5111</v>
      </c>
      <c r="B1271" s="4">
        <v>45869</v>
      </c>
      <c r="C1271" t="s">
        <v>317</v>
      </c>
      <c r="D1271" t="s">
        <v>5112</v>
      </c>
      <c r="E1271" t="s">
        <v>15</v>
      </c>
      <c r="F1271" t="s">
        <v>5113</v>
      </c>
      <c r="G1271" t="s">
        <v>5114</v>
      </c>
      <c r="H1271" s="4">
        <v>46097.595236759262</v>
      </c>
      <c r="J1271" t="s">
        <v>37</v>
      </c>
      <c r="K1271">
        <v>100570</v>
      </c>
    </row>
    <row r="1272" spans="1:11" x14ac:dyDescent="0.55000000000000004">
      <c r="A1272" t="s">
        <v>1059</v>
      </c>
      <c r="B1272" s="4">
        <v>46108</v>
      </c>
      <c r="C1272" t="s">
        <v>141</v>
      </c>
      <c r="D1272" t="s">
        <v>5115</v>
      </c>
      <c r="E1272" t="s">
        <v>15</v>
      </c>
      <c r="F1272" t="s">
        <v>5116</v>
      </c>
      <c r="G1272" t="s">
        <v>5117</v>
      </c>
      <c r="H1272" s="4">
        <v>46089.063292314815</v>
      </c>
      <c r="J1272" t="s">
        <v>19</v>
      </c>
      <c r="K1272">
        <v>100487</v>
      </c>
    </row>
    <row r="1273" spans="1:11" x14ac:dyDescent="0.55000000000000004">
      <c r="A1273" t="s">
        <v>5118</v>
      </c>
      <c r="B1273" s="4">
        <v>45959</v>
      </c>
      <c r="C1273" t="s">
        <v>20</v>
      </c>
      <c r="D1273" t="s">
        <v>5119</v>
      </c>
      <c r="E1273" t="s">
        <v>22</v>
      </c>
      <c r="F1273" t="s">
        <v>5120</v>
      </c>
      <c r="G1273" t="s">
        <v>5121</v>
      </c>
      <c r="H1273" s="4">
        <v>46067.526486770832</v>
      </c>
      <c r="J1273" t="s">
        <v>19</v>
      </c>
      <c r="K1273">
        <v>101052</v>
      </c>
    </row>
    <row r="1274" spans="1:11" x14ac:dyDescent="0.55000000000000004">
      <c r="A1274" t="s">
        <v>5122</v>
      </c>
      <c r="B1274" s="4">
        <v>45760</v>
      </c>
      <c r="C1274" t="s">
        <v>13</v>
      </c>
      <c r="D1274" t="s">
        <v>5123</v>
      </c>
      <c r="E1274" t="s">
        <v>15</v>
      </c>
      <c r="F1274" t="s">
        <v>5124</v>
      </c>
      <c r="G1274" t="s">
        <v>5125</v>
      </c>
      <c r="H1274" s="4">
        <v>46095.600097881943</v>
      </c>
      <c r="J1274" t="s">
        <v>248</v>
      </c>
      <c r="K1274">
        <v>101278</v>
      </c>
    </row>
    <row r="1275" spans="1:11" x14ac:dyDescent="0.55000000000000004">
      <c r="A1275" t="s">
        <v>5126</v>
      </c>
      <c r="B1275" s="4">
        <v>45883</v>
      </c>
      <c r="C1275" t="s">
        <v>38</v>
      </c>
      <c r="D1275" t="s">
        <v>5127</v>
      </c>
      <c r="E1275" t="s">
        <v>22</v>
      </c>
      <c r="F1275" t="s">
        <v>5128</v>
      </c>
      <c r="G1275" t="s">
        <v>5129</v>
      </c>
      <c r="H1275" s="4">
        <v>46088.744542326385</v>
      </c>
      <c r="J1275" t="s">
        <v>19</v>
      </c>
      <c r="K1275">
        <v>100676</v>
      </c>
    </row>
    <row r="1276" spans="1:11" x14ac:dyDescent="0.55000000000000004">
      <c r="A1276" t="s">
        <v>5130</v>
      </c>
      <c r="B1276" s="4">
        <v>45744</v>
      </c>
      <c r="C1276" t="s">
        <v>69</v>
      </c>
      <c r="D1276" t="s">
        <v>5131</v>
      </c>
      <c r="E1276" t="s">
        <v>22</v>
      </c>
      <c r="F1276" t="s">
        <v>4246</v>
      </c>
      <c r="G1276" t="s">
        <v>5132</v>
      </c>
      <c r="H1276" s="4">
        <v>46088.243847893522</v>
      </c>
      <c r="J1276" t="s">
        <v>248</v>
      </c>
      <c r="K1276">
        <v>100064</v>
      </c>
    </row>
    <row r="1277" spans="1:11" x14ac:dyDescent="0.55000000000000004">
      <c r="A1277" t="s">
        <v>5133</v>
      </c>
      <c r="B1277" s="4">
        <v>45847</v>
      </c>
      <c r="C1277" t="s">
        <v>243</v>
      </c>
      <c r="D1277" t="s">
        <v>5134</v>
      </c>
      <c r="E1277" t="s">
        <v>15</v>
      </c>
      <c r="F1277" t="s">
        <v>5135</v>
      </c>
      <c r="G1277" t="s">
        <v>5136</v>
      </c>
      <c r="H1277" s="4">
        <v>46090.427181226849</v>
      </c>
      <c r="J1277" t="s">
        <v>68</v>
      </c>
      <c r="K1277">
        <v>100138</v>
      </c>
    </row>
    <row r="1278" spans="1:11" x14ac:dyDescent="0.55000000000000004">
      <c r="A1278" t="s">
        <v>5137</v>
      </c>
      <c r="B1278" s="4">
        <v>45876</v>
      </c>
      <c r="C1278" t="s">
        <v>170</v>
      </c>
      <c r="D1278" t="s">
        <v>5138</v>
      </c>
      <c r="E1278" t="s">
        <v>22</v>
      </c>
      <c r="F1278" t="s">
        <v>5139</v>
      </c>
      <c r="G1278" t="s">
        <v>5140</v>
      </c>
      <c r="H1278" s="4">
        <v>46090.23343122685</v>
      </c>
      <c r="J1278" t="s">
        <v>533</v>
      </c>
      <c r="K1278">
        <v>100468</v>
      </c>
    </row>
    <row r="1279" spans="1:11" x14ac:dyDescent="0.55000000000000004">
      <c r="A1279" t="s">
        <v>5141</v>
      </c>
      <c r="B1279" s="4">
        <v>45754</v>
      </c>
      <c r="C1279" t="s">
        <v>680</v>
      </c>
      <c r="D1279" t="s">
        <v>5142</v>
      </c>
      <c r="E1279" t="s">
        <v>22</v>
      </c>
      <c r="F1279" t="s">
        <v>5143</v>
      </c>
      <c r="G1279" t="s">
        <v>5144</v>
      </c>
      <c r="H1279" s="4">
        <v>46059.488292349539</v>
      </c>
      <c r="J1279" t="s">
        <v>37</v>
      </c>
      <c r="K1279">
        <v>100120</v>
      </c>
    </row>
    <row r="1280" spans="1:11" x14ac:dyDescent="0.55000000000000004">
      <c r="A1280" t="s">
        <v>5145</v>
      </c>
      <c r="B1280" s="4">
        <v>45808</v>
      </c>
      <c r="C1280" t="s">
        <v>126</v>
      </c>
      <c r="D1280" t="s">
        <v>5146</v>
      </c>
      <c r="E1280" t="s">
        <v>22</v>
      </c>
      <c r="F1280" t="s">
        <v>5147</v>
      </c>
      <c r="G1280" t="s">
        <v>5148</v>
      </c>
      <c r="H1280" s="4">
        <v>46091.360514571759</v>
      </c>
      <c r="I1280" t="s">
        <v>217</v>
      </c>
      <c r="K1280">
        <v>100145</v>
      </c>
    </row>
    <row r="1281" spans="1:11" x14ac:dyDescent="0.55000000000000004">
      <c r="A1281" t="s">
        <v>5149</v>
      </c>
      <c r="B1281" s="4">
        <v>46070</v>
      </c>
      <c r="C1281" t="s">
        <v>295</v>
      </c>
      <c r="D1281" t="s">
        <v>5150</v>
      </c>
      <c r="E1281" t="s">
        <v>15</v>
      </c>
      <c r="F1281" t="s">
        <v>5151</v>
      </c>
      <c r="G1281" t="s">
        <v>5152</v>
      </c>
      <c r="H1281" s="4">
        <v>46087.813292349536</v>
      </c>
      <c r="J1281" t="s">
        <v>19</v>
      </c>
      <c r="K1281">
        <v>100014</v>
      </c>
    </row>
    <row r="1282" spans="1:11" x14ac:dyDescent="0.55000000000000004">
      <c r="A1282" t="s">
        <v>5153</v>
      </c>
      <c r="B1282" s="4">
        <v>45895</v>
      </c>
      <c r="C1282" t="s">
        <v>69</v>
      </c>
      <c r="D1282" t="s">
        <v>5154</v>
      </c>
      <c r="E1282" t="s">
        <v>22</v>
      </c>
      <c r="F1282" t="s">
        <v>5155</v>
      </c>
      <c r="G1282" t="s">
        <v>5156</v>
      </c>
      <c r="H1282" s="4">
        <v>46067.650792361113</v>
      </c>
      <c r="J1282" t="s">
        <v>533</v>
      </c>
      <c r="K1282">
        <v>101471</v>
      </c>
    </row>
    <row r="1283" spans="1:11" x14ac:dyDescent="0.55000000000000004">
      <c r="A1283" t="s">
        <v>5157</v>
      </c>
      <c r="B1283" s="4">
        <v>46027</v>
      </c>
      <c r="C1283" t="s">
        <v>49</v>
      </c>
      <c r="D1283" t="s">
        <v>5158</v>
      </c>
      <c r="E1283" t="s">
        <v>15</v>
      </c>
      <c r="F1283" t="s">
        <v>5159</v>
      </c>
      <c r="G1283" t="s">
        <v>5160</v>
      </c>
      <c r="H1283" s="4">
        <v>46092.286903472224</v>
      </c>
      <c r="J1283" t="s">
        <v>533</v>
      </c>
      <c r="K1283">
        <v>101205</v>
      </c>
    </row>
    <row r="1284" spans="1:11" x14ac:dyDescent="0.55000000000000004">
      <c r="A1284" t="s">
        <v>5161</v>
      </c>
      <c r="B1284" s="4">
        <v>45825</v>
      </c>
      <c r="C1284" t="s">
        <v>49</v>
      </c>
      <c r="D1284" t="s">
        <v>5162</v>
      </c>
      <c r="E1284" t="s">
        <v>22</v>
      </c>
      <c r="F1284" t="s">
        <v>5163</v>
      </c>
      <c r="G1284" t="s">
        <v>5164</v>
      </c>
      <c r="H1284" s="4">
        <v>46070.061903483795</v>
      </c>
      <c r="J1284" t="s">
        <v>533</v>
      </c>
      <c r="K1284">
        <v>100471</v>
      </c>
    </row>
    <row r="1285" spans="1:11" x14ac:dyDescent="0.55000000000000004">
      <c r="A1285" t="s">
        <v>5165</v>
      </c>
      <c r="B1285" s="4">
        <v>46040</v>
      </c>
      <c r="C1285" t="s">
        <v>160</v>
      </c>
      <c r="D1285" t="s">
        <v>5166</v>
      </c>
      <c r="E1285" t="s">
        <v>22</v>
      </c>
      <c r="F1285" t="s">
        <v>5167</v>
      </c>
      <c r="G1285" t="s">
        <v>5168</v>
      </c>
      <c r="H1285" s="4">
        <v>46070.964681261576</v>
      </c>
      <c r="J1285" t="s">
        <v>179</v>
      </c>
      <c r="K1285">
        <v>101134</v>
      </c>
    </row>
    <row r="1286" spans="1:11" x14ac:dyDescent="0.55000000000000004">
      <c r="A1286" t="s">
        <v>5169</v>
      </c>
      <c r="B1286" s="4">
        <v>46007</v>
      </c>
      <c r="C1286" t="s">
        <v>43</v>
      </c>
      <c r="D1286" t="s">
        <v>5170</v>
      </c>
      <c r="E1286" t="s">
        <v>22</v>
      </c>
      <c r="F1286" t="s">
        <v>5171</v>
      </c>
      <c r="G1286" t="s">
        <v>5172</v>
      </c>
      <c r="H1286" s="4">
        <v>46091.920236828701</v>
      </c>
      <c r="J1286" t="s">
        <v>19</v>
      </c>
      <c r="K1286">
        <v>101204</v>
      </c>
    </row>
    <row r="1287" spans="1:11" x14ac:dyDescent="0.55000000000000004">
      <c r="A1287" t="s">
        <v>5173</v>
      </c>
      <c r="B1287" s="4">
        <v>46001</v>
      </c>
      <c r="C1287" t="s">
        <v>108</v>
      </c>
      <c r="D1287" t="s">
        <v>5174</v>
      </c>
      <c r="E1287" t="s">
        <v>15</v>
      </c>
      <c r="F1287" t="s">
        <v>5175</v>
      </c>
      <c r="G1287" t="s">
        <v>5176</v>
      </c>
      <c r="H1287" s="4">
        <v>46074.742459050925</v>
      </c>
      <c r="J1287" t="s">
        <v>179</v>
      </c>
      <c r="K1287">
        <v>100043</v>
      </c>
    </row>
    <row r="1288" spans="1:11" x14ac:dyDescent="0.55000000000000004">
      <c r="A1288" t="s">
        <v>5177</v>
      </c>
      <c r="B1288" s="4">
        <v>45740</v>
      </c>
      <c r="C1288" t="s">
        <v>89</v>
      </c>
      <c r="D1288" t="s">
        <v>5178</v>
      </c>
      <c r="E1288" t="s">
        <v>15</v>
      </c>
      <c r="F1288" t="s">
        <v>5179</v>
      </c>
      <c r="G1288" t="s">
        <v>5180</v>
      </c>
      <c r="H1288" s="4">
        <v>46090.661209062499</v>
      </c>
      <c r="J1288" t="s">
        <v>248</v>
      </c>
      <c r="K1288">
        <v>100692</v>
      </c>
    </row>
    <row r="1289" spans="1:11" x14ac:dyDescent="0.55000000000000004">
      <c r="A1289" t="s">
        <v>5181</v>
      </c>
      <c r="B1289" s="4">
        <v>45916</v>
      </c>
      <c r="C1289" t="s">
        <v>20</v>
      </c>
      <c r="D1289" t="s">
        <v>5182</v>
      </c>
      <c r="E1289" t="s">
        <v>22</v>
      </c>
      <c r="F1289" t="s">
        <v>5183</v>
      </c>
      <c r="G1289" t="s">
        <v>5184</v>
      </c>
      <c r="H1289" s="4">
        <v>46087.961903506941</v>
      </c>
      <c r="J1289" t="s">
        <v>68</v>
      </c>
      <c r="K1289">
        <v>100131</v>
      </c>
    </row>
    <row r="1290" spans="1:11" x14ac:dyDescent="0.55000000000000004">
      <c r="A1290" t="s">
        <v>5185</v>
      </c>
      <c r="B1290" s="4">
        <v>45856</v>
      </c>
      <c r="C1290" t="s">
        <v>115</v>
      </c>
      <c r="D1290" t="s">
        <v>5186</v>
      </c>
      <c r="E1290" t="s">
        <v>15</v>
      </c>
      <c r="F1290" t="s">
        <v>5187</v>
      </c>
      <c r="G1290" t="s">
        <v>5188</v>
      </c>
      <c r="H1290" s="4">
        <v>46089.579264629632</v>
      </c>
      <c r="J1290" t="s">
        <v>179</v>
      </c>
      <c r="K1290">
        <v>100460</v>
      </c>
    </row>
    <row r="1291" spans="1:11" x14ac:dyDescent="0.55000000000000004">
      <c r="A1291" t="s">
        <v>5189</v>
      </c>
      <c r="B1291" s="4">
        <v>45925</v>
      </c>
      <c r="C1291" t="s">
        <v>83</v>
      </c>
      <c r="D1291" t="s">
        <v>5190</v>
      </c>
      <c r="E1291" t="s">
        <v>15</v>
      </c>
      <c r="F1291" t="s">
        <v>5191</v>
      </c>
      <c r="G1291" t="s">
        <v>5192</v>
      </c>
      <c r="H1291" s="4">
        <v>46053.595236851848</v>
      </c>
      <c r="J1291" t="s">
        <v>533</v>
      </c>
      <c r="K1291">
        <v>100507</v>
      </c>
    </row>
    <row r="1292" spans="1:11" x14ac:dyDescent="0.55000000000000004">
      <c r="A1292" t="s">
        <v>5193</v>
      </c>
      <c r="B1292" s="4">
        <v>45769</v>
      </c>
      <c r="C1292" t="s">
        <v>409</v>
      </c>
      <c r="D1292" t="s">
        <v>5194</v>
      </c>
      <c r="E1292" t="s">
        <v>15</v>
      </c>
      <c r="F1292" t="s">
        <v>5195</v>
      </c>
      <c r="G1292" t="s">
        <v>5196</v>
      </c>
      <c r="H1292" s="4">
        <v>46088.226486851854</v>
      </c>
      <c r="J1292" t="s">
        <v>19</v>
      </c>
      <c r="K1292">
        <v>100247</v>
      </c>
    </row>
    <row r="1293" spans="1:11" x14ac:dyDescent="0.55000000000000004">
      <c r="A1293" t="s">
        <v>5197</v>
      </c>
      <c r="B1293" s="4">
        <v>45772</v>
      </c>
      <c r="C1293" t="s">
        <v>155</v>
      </c>
      <c r="D1293" t="s">
        <v>5198</v>
      </c>
      <c r="E1293" t="s">
        <v>15</v>
      </c>
      <c r="F1293" t="s">
        <v>5199</v>
      </c>
      <c r="G1293" t="s">
        <v>5200</v>
      </c>
      <c r="H1293" s="4">
        <v>46061.154264641205</v>
      </c>
      <c r="J1293" t="s">
        <v>533</v>
      </c>
      <c r="K1293">
        <v>100924</v>
      </c>
    </row>
    <row r="1294" spans="1:11" x14ac:dyDescent="0.55000000000000004">
      <c r="A1294" t="s">
        <v>5201</v>
      </c>
      <c r="B1294" s="4">
        <v>46123</v>
      </c>
      <c r="C1294" t="s">
        <v>69</v>
      </c>
      <c r="D1294" t="s">
        <v>5202</v>
      </c>
      <c r="E1294" t="s">
        <v>15</v>
      </c>
      <c r="F1294" t="s">
        <v>5203</v>
      </c>
      <c r="G1294" t="s">
        <v>5204</v>
      </c>
      <c r="H1294" s="4">
        <v>46063.752875752318</v>
      </c>
      <c r="J1294" t="s">
        <v>533</v>
      </c>
      <c r="K1294">
        <v>101059</v>
      </c>
    </row>
    <row r="1295" spans="1:11" x14ac:dyDescent="0.55000000000000004">
      <c r="A1295" t="s">
        <v>5205</v>
      </c>
      <c r="B1295" s="4">
        <v>45972</v>
      </c>
      <c r="C1295" t="s">
        <v>49</v>
      </c>
      <c r="D1295" t="s">
        <v>5206</v>
      </c>
      <c r="E1295" t="s">
        <v>22</v>
      </c>
      <c r="F1295" t="s">
        <v>5207</v>
      </c>
      <c r="G1295" t="s">
        <v>5208</v>
      </c>
      <c r="H1295" s="4">
        <v>46055.757736874999</v>
      </c>
      <c r="J1295" t="s">
        <v>68</v>
      </c>
      <c r="K1295">
        <v>100897</v>
      </c>
    </row>
    <row r="1296" spans="1:11" x14ac:dyDescent="0.55000000000000004">
      <c r="A1296" t="s">
        <v>5209</v>
      </c>
      <c r="B1296" s="4">
        <v>45878</v>
      </c>
      <c r="C1296" t="s">
        <v>115</v>
      </c>
      <c r="D1296" t="s">
        <v>5210</v>
      </c>
      <c r="E1296" t="s">
        <v>15</v>
      </c>
      <c r="F1296" t="s">
        <v>5211</v>
      </c>
      <c r="G1296" t="s">
        <v>5212</v>
      </c>
      <c r="H1296" s="4">
        <v>46056.700792430558</v>
      </c>
      <c r="J1296" t="s">
        <v>37</v>
      </c>
      <c r="K1296">
        <v>100764</v>
      </c>
    </row>
    <row r="1297" spans="1:11" x14ac:dyDescent="0.55000000000000004">
      <c r="A1297" t="s">
        <v>5213</v>
      </c>
      <c r="B1297" s="4">
        <v>46116</v>
      </c>
      <c r="C1297" t="s">
        <v>38</v>
      </c>
      <c r="D1297" t="s">
        <v>5214</v>
      </c>
      <c r="E1297" t="s">
        <v>15</v>
      </c>
      <c r="F1297" t="s">
        <v>5215</v>
      </c>
      <c r="G1297" t="s">
        <v>5216</v>
      </c>
      <c r="H1297" s="4">
        <v>46097.182736875002</v>
      </c>
      <c r="J1297" t="s">
        <v>19</v>
      </c>
      <c r="K1297">
        <v>101375</v>
      </c>
    </row>
    <row r="1298" spans="1:11" x14ac:dyDescent="0.55000000000000004">
      <c r="A1298" t="s">
        <v>5217</v>
      </c>
      <c r="B1298" s="4">
        <v>46080</v>
      </c>
      <c r="C1298" t="s">
        <v>467</v>
      </c>
      <c r="D1298" t="s">
        <v>5218</v>
      </c>
      <c r="E1298" t="s">
        <v>22</v>
      </c>
      <c r="F1298" t="s">
        <v>5219</v>
      </c>
      <c r="G1298" t="s">
        <v>5220</v>
      </c>
      <c r="H1298" s="4">
        <v>46052.423014664353</v>
      </c>
      <c r="J1298" t="s">
        <v>179</v>
      </c>
      <c r="K1298">
        <v>100638</v>
      </c>
    </row>
    <row r="1299" spans="1:11" x14ac:dyDescent="0.55000000000000004">
      <c r="A1299" t="s">
        <v>5221</v>
      </c>
      <c r="B1299" s="4">
        <v>45812</v>
      </c>
      <c r="C1299" t="s">
        <v>170</v>
      </c>
      <c r="D1299" t="s">
        <v>4191</v>
      </c>
      <c r="E1299" t="s">
        <v>22</v>
      </c>
      <c r="F1299" t="s">
        <v>5222</v>
      </c>
      <c r="G1299" t="s">
        <v>5223</v>
      </c>
      <c r="H1299" s="4">
        <v>46089.445236886575</v>
      </c>
      <c r="I1299" t="s">
        <v>139</v>
      </c>
      <c r="J1299" t="s">
        <v>179</v>
      </c>
      <c r="K1299">
        <v>101008</v>
      </c>
    </row>
    <row r="1300" spans="1:11" x14ac:dyDescent="0.55000000000000004">
      <c r="A1300" t="s">
        <v>5224</v>
      </c>
      <c r="B1300" s="4">
        <v>46048</v>
      </c>
      <c r="C1300" t="s">
        <v>115</v>
      </c>
      <c r="D1300" t="s">
        <v>5225</v>
      </c>
      <c r="E1300" t="s">
        <v>22</v>
      </c>
      <c r="F1300" t="s">
        <v>5226</v>
      </c>
      <c r="G1300" t="s">
        <v>5227</v>
      </c>
      <c r="H1300" s="4">
        <v>46085.950792453703</v>
      </c>
      <c r="I1300" t="s">
        <v>112</v>
      </c>
      <c r="J1300" t="s">
        <v>179</v>
      </c>
    </row>
    <row r="1301" spans="1:11" x14ac:dyDescent="0.55000000000000004">
      <c r="A1301" t="s">
        <v>5228</v>
      </c>
      <c r="B1301" s="4">
        <v>45771</v>
      </c>
      <c r="C1301" t="s">
        <v>300</v>
      </c>
      <c r="D1301" t="s">
        <v>5229</v>
      </c>
      <c r="E1301" t="s">
        <v>22</v>
      </c>
      <c r="F1301" t="s">
        <v>5230</v>
      </c>
      <c r="G1301" t="s">
        <v>5231</v>
      </c>
      <c r="H1301" s="4">
        <v>46073.511903564817</v>
      </c>
      <c r="J1301" t="s">
        <v>19</v>
      </c>
      <c r="K1301">
        <v>100433</v>
      </c>
    </row>
    <row r="1302" spans="1:11" x14ac:dyDescent="0.55000000000000004">
      <c r="A1302" t="s">
        <v>5232</v>
      </c>
      <c r="B1302" s="4">
        <v>46143</v>
      </c>
      <c r="C1302" t="s">
        <v>757</v>
      </c>
      <c r="D1302" t="s">
        <v>5233</v>
      </c>
      <c r="E1302" t="s">
        <v>15</v>
      </c>
      <c r="F1302" t="s">
        <v>5234</v>
      </c>
      <c r="G1302" t="s">
        <v>5235</v>
      </c>
      <c r="H1302" s="4">
        <v>46080.591764675926</v>
      </c>
      <c r="J1302" t="s">
        <v>37</v>
      </c>
      <c r="K1302">
        <v>100866</v>
      </c>
    </row>
    <row r="1303" spans="1:11" x14ac:dyDescent="0.55000000000000004">
      <c r="A1303" t="s">
        <v>5236</v>
      </c>
      <c r="B1303" s="4">
        <v>45771</v>
      </c>
      <c r="C1303" t="s">
        <v>467</v>
      </c>
      <c r="D1303" t="s">
        <v>5237</v>
      </c>
      <c r="E1303" t="s">
        <v>15</v>
      </c>
      <c r="F1303" t="s">
        <v>5238</v>
      </c>
      <c r="G1303" t="s">
        <v>5239</v>
      </c>
      <c r="H1303" s="4">
        <v>46082.345236909721</v>
      </c>
      <c r="J1303" t="s">
        <v>533</v>
      </c>
      <c r="K1303">
        <v>101242</v>
      </c>
    </row>
    <row r="1304" spans="1:11" x14ac:dyDescent="0.55000000000000004">
      <c r="A1304" t="s">
        <v>5240</v>
      </c>
      <c r="B1304" s="4">
        <v>46009</v>
      </c>
      <c r="C1304" t="s">
        <v>155</v>
      </c>
      <c r="D1304" t="s">
        <v>5241</v>
      </c>
      <c r="E1304" t="s">
        <v>15</v>
      </c>
      <c r="F1304" t="s">
        <v>5242</v>
      </c>
      <c r="G1304" t="s">
        <v>5243</v>
      </c>
      <c r="H1304" s="4">
        <v>46059.730653576386</v>
      </c>
      <c r="J1304" t="s">
        <v>533</v>
      </c>
      <c r="K1304">
        <v>101080</v>
      </c>
    </row>
    <row r="1305" spans="1:11" x14ac:dyDescent="0.55000000000000004">
      <c r="A1305" t="s">
        <v>5244</v>
      </c>
      <c r="B1305" s="4">
        <v>45828</v>
      </c>
      <c r="C1305" t="s">
        <v>108</v>
      </c>
      <c r="D1305" t="s">
        <v>5245</v>
      </c>
      <c r="E1305" t="s">
        <v>22</v>
      </c>
      <c r="F1305" t="s">
        <v>5246</v>
      </c>
      <c r="G1305" t="s">
        <v>5247</v>
      </c>
      <c r="H1305" s="4">
        <v>46091.935514699071</v>
      </c>
      <c r="J1305" t="s">
        <v>68</v>
      </c>
      <c r="K1305">
        <v>101384</v>
      </c>
    </row>
    <row r="1306" spans="1:11" x14ac:dyDescent="0.55000000000000004">
      <c r="A1306" t="s">
        <v>3714</v>
      </c>
      <c r="B1306" s="4">
        <v>45754</v>
      </c>
      <c r="C1306" t="s">
        <v>270</v>
      </c>
      <c r="D1306" t="s">
        <v>5248</v>
      </c>
      <c r="E1306" t="s">
        <v>22</v>
      </c>
      <c r="F1306" t="s">
        <v>5249</v>
      </c>
      <c r="G1306" t="s">
        <v>5250</v>
      </c>
      <c r="H1306" s="4">
        <v>46092.307042476852</v>
      </c>
      <c r="J1306" t="s">
        <v>19</v>
      </c>
      <c r="K1306">
        <v>100338</v>
      </c>
    </row>
    <row r="1307" spans="1:11" x14ac:dyDescent="0.55000000000000004">
      <c r="A1307" t="s">
        <v>5251</v>
      </c>
      <c r="B1307" s="4">
        <v>45914</v>
      </c>
      <c r="C1307" t="s">
        <v>89</v>
      </c>
      <c r="D1307" t="s">
        <v>5252</v>
      </c>
      <c r="E1307" t="s">
        <v>15</v>
      </c>
      <c r="F1307" t="s">
        <v>5253</v>
      </c>
      <c r="G1307" t="s">
        <v>5254</v>
      </c>
      <c r="H1307" s="4">
        <v>46077.19037582176</v>
      </c>
      <c r="J1307" t="s">
        <v>37</v>
      </c>
      <c r="K1307">
        <v>101125</v>
      </c>
    </row>
    <row r="1308" spans="1:11" x14ac:dyDescent="0.55000000000000004">
      <c r="A1308" t="s">
        <v>5255</v>
      </c>
      <c r="B1308" s="4">
        <v>45798</v>
      </c>
      <c r="C1308" t="s">
        <v>13</v>
      </c>
      <c r="D1308" t="s">
        <v>5256</v>
      </c>
      <c r="E1308" t="s">
        <v>22</v>
      </c>
      <c r="F1308" t="s">
        <v>5257</v>
      </c>
      <c r="G1308" t="s">
        <v>5258</v>
      </c>
      <c r="H1308" s="4">
        <v>46065.602875821758</v>
      </c>
      <c r="J1308" t="s">
        <v>68</v>
      </c>
      <c r="K1308">
        <v>100973</v>
      </c>
    </row>
    <row r="1309" spans="1:11" x14ac:dyDescent="0.55000000000000004">
      <c r="A1309" t="s">
        <v>5259</v>
      </c>
      <c r="B1309" s="4">
        <v>46145</v>
      </c>
      <c r="C1309" t="s">
        <v>155</v>
      </c>
      <c r="D1309" t="s">
        <v>5260</v>
      </c>
      <c r="E1309" t="s">
        <v>22</v>
      </c>
      <c r="F1309" t="s">
        <v>5261</v>
      </c>
      <c r="G1309" t="s">
        <v>5262</v>
      </c>
      <c r="H1309" s="4">
        <v>46066.912598055555</v>
      </c>
      <c r="J1309" t="s">
        <v>19</v>
      </c>
      <c r="K1309">
        <v>100262</v>
      </c>
    </row>
    <row r="1310" spans="1:11" x14ac:dyDescent="0.55000000000000004">
      <c r="A1310" t="s">
        <v>5263</v>
      </c>
      <c r="B1310" s="4">
        <v>45880</v>
      </c>
      <c r="C1310" t="s">
        <v>115</v>
      </c>
      <c r="D1310" t="s">
        <v>5264</v>
      </c>
      <c r="E1310" t="s">
        <v>22</v>
      </c>
      <c r="F1310" t="s">
        <v>5265</v>
      </c>
      <c r="G1310" t="s">
        <v>5266</v>
      </c>
      <c r="H1310" s="4">
        <v>46091.856348055553</v>
      </c>
      <c r="J1310" t="s">
        <v>37</v>
      </c>
      <c r="K1310">
        <v>100257</v>
      </c>
    </row>
    <row r="1311" spans="1:11" x14ac:dyDescent="0.55000000000000004">
      <c r="A1311" t="s">
        <v>5267</v>
      </c>
      <c r="B1311" s="4">
        <v>46099</v>
      </c>
      <c r="C1311" t="s">
        <v>115</v>
      </c>
      <c r="D1311" t="s">
        <v>5268</v>
      </c>
      <c r="E1311" t="s">
        <v>15</v>
      </c>
      <c r="F1311" t="s">
        <v>5269</v>
      </c>
      <c r="G1311" t="s">
        <v>5270</v>
      </c>
      <c r="H1311" s="4">
        <v>46052.517459166666</v>
      </c>
      <c r="J1311" t="s">
        <v>37</v>
      </c>
      <c r="K1311">
        <v>101090</v>
      </c>
    </row>
    <row r="1312" spans="1:11" x14ac:dyDescent="0.55000000000000004">
      <c r="A1312" t="s">
        <v>5271</v>
      </c>
      <c r="B1312" s="4">
        <v>45996</v>
      </c>
      <c r="C1312" t="s">
        <v>126</v>
      </c>
      <c r="D1312" t="s">
        <v>5272</v>
      </c>
      <c r="E1312" t="s">
        <v>22</v>
      </c>
      <c r="F1312" t="s">
        <v>5273</v>
      </c>
      <c r="G1312" t="s">
        <v>5274</v>
      </c>
      <c r="H1312" s="4">
        <v>46089.263986956015</v>
      </c>
      <c r="J1312" t="s">
        <v>19</v>
      </c>
      <c r="K1312">
        <v>100141</v>
      </c>
    </row>
    <row r="1313" spans="1:11" x14ac:dyDescent="0.55000000000000004">
      <c r="A1313" t="s">
        <v>5275</v>
      </c>
      <c r="B1313" s="4">
        <v>45916</v>
      </c>
      <c r="C1313" t="s">
        <v>243</v>
      </c>
      <c r="D1313" t="s">
        <v>5276</v>
      </c>
      <c r="E1313" t="s">
        <v>15</v>
      </c>
      <c r="F1313" t="s">
        <v>5277</v>
      </c>
      <c r="G1313" t="s">
        <v>5278</v>
      </c>
      <c r="H1313" s="4">
        <v>46083.877875844904</v>
      </c>
      <c r="J1313" t="s">
        <v>68</v>
      </c>
      <c r="K1313">
        <v>100995</v>
      </c>
    </row>
    <row r="1314" spans="1:11" x14ac:dyDescent="0.55000000000000004">
      <c r="A1314" t="s">
        <v>5279</v>
      </c>
      <c r="B1314" s="4">
        <v>45770</v>
      </c>
      <c r="C1314" t="s">
        <v>38</v>
      </c>
      <c r="D1314" t="s">
        <v>5280</v>
      </c>
      <c r="E1314" t="s">
        <v>22</v>
      </c>
      <c r="F1314" t="s">
        <v>5281</v>
      </c>
      <c r="G1314" t="s">
        <v>5282</v>
      </c>
      <c r="H1314" s="4">
        <v>46091.725098078707</v>
      </c>
      <c r="J1314" t="s">
        <v>19</v>
      </c>
      <c r="K1314">
        <v>100175</v>
      </c>
    </row>
    <row r="1315" spans="1:11" x14ac:dyDescent="0.55000000000000004">
      <c r="A1315" t="s">
        <v>5283</v>
      </c>
      <c r="B1315" s="4">
        <v>46124</v>
      </c>
      <c r="C1315" t="s">
        <v>170</v>
      </c>
      <c r="D1315" t="s">
        <v>5284</v>
      </c>
      <c r="E1315" t="s">
        <v>22</v>
      </c>
      <c r="F1315" t="s">
        <v>5285</v>
      </c>
      <c r="G1315" t="s">
        <v>5286</v>
      </c>
      <c r="H1315" s="4">
        <v>46091.09940363426</v>
      </c>
      <c r="J1315" t="s">
        <v>533</v>
      </c>
      <c r="K1315">
        <v>101445</v>
      </c>
    </row>
    <row r="1316" spans="1:11" x14ac:dyDescent="0.55000000000000004">
      <c r="A1316" t="s">
        <v>5287</v>
      </c>
      <c r="B1316" s="4">
        <v>45818</v>
      </c>
      <c r="C1316" t="s">
        <v>265</v>
      </c>
      <c r="D1316" t="s">
        <v>5288</v>
      </c>
      <c r="E1316" t="s">
        <v>22</v>
      </c>
      <c r="F1316" t="s">
        <v>5289</v>
      </c>
      <c r="G1316" t="s">
        <v>5290</v>
      </c>
      <c r="H1316" s="4">
        <v>46061.229264745372</v>
      </c>
      <c r="J1316" t="s">
        <v>68</v>
      </c>
      <c r="K1316">
        <v>101393</v>
      </c>
    </row>
    <row r="1317" spans="1:11" x14ac:dyDescent="0.55000000000000004">
      <c r="A1317" t="s">
        <v>5291</v>
      </c>
      <c r="B1317" s="4">
        <v>45777</v>
      </c>
      <c r="C1317" t="s">
        <v>115</v>
      </c>
      <c r="D1317" t="s">
        <v>5292</v>
      </c>
      <c r="E1317" t="s">
        <v>22</v>
      </c>
      <c r="F1317" t="s">
        <v>5293</v>
      </c>
      <c r="G1317" t="s">
        <v>5294</v>
      </c>
      <c r="H1317" s="4">
        <v>46081.073014756941</v>
      </c>
      <c r="J1317" t="s">
        <v>68</v>
      </c>
      <c r="K1317">
        <v>100493</v>
      </c>
    </row>
    <row r="1318" spans="1:11" x14ac:dyDescent="0.55000000000000004">
      <c r="A1318" t="s">
        <v>5295</v>
      </c>
      <c r="B1318" s="4">
        <v>46122</v>
      </c>
      <c r="C1318" t="s">
        <v>189</v>
      </c>
      <c r="D1318" t="s">
        <v>5296</v>
      </c>
      <c r="E1318" t="s">
        <v>15</v>
      </c>
      <c r="F1318" t="s">
        <v>5297</v>
      </c>
      <c r="G1318" t="s">
        <v>5298</v>
      </c>
      <c r="H1318" s="4">
        <v>46061.052181423613</v>
      </c>
      <c r="J1318" t="s">
        <v>248</v>
      </c>
      <c r="K1318">
        <v>100118</v>
      </c>
    </row>
    <row r="1319" spans="1:11" x14ac:dyDescent="0.55000000000000004">
      <c r="A1319" t="s">
        <v>5299</v>
      </c>
      <c r="B1319" s="4">
        <v>45918</v>
      </c>
      <c r="C1319" t="s">
        <v>757</v>
      </c>
      <c r="D1319" t="s">
        <v>5300</v>
      </c>
      <c r="E1319" t="s">
        <v>15</v>
      </c>
      <c r="F1319" t="s">
        <v>5301</v>
      </c>
      <c r="G1319" t="s">
        <v>5302</v>
      </c>
      <c r="H1319" s="4">
        <v>46069.224403645836</v>
      </c>
      <c r="J1319" t="s">
        <v>37</v>
      </c>
      <c r="K1319">
        <v>100490</v>
      </c>
    </row>
    <row r="1320" spans="1:11" x14ac:dyDescent="0.55000000000000004">
      <c r="A1320" t="s">
        <v>5303</v>
      </c>
      <c r="B1320" s="4">
        <v>46051</v>
      </c>
      <c r="C1320" t="s">
        <v>295</v>
      </c>
      <c r="D1320" t="s">
        <v>5304</v>
      </c>
      <c r="E1320" t="s">
        <v>22</v>
      </c>
      <c r="F1320" t="s">
        <v>5305</v>
      </c>
      <c r="G1320" t="s">
        <v>5306</v>
      </c>
      <c r="H1320" s="4">
        <v>46065.10634810185</v>
      </c>
      <c r="J1320" t="s">
        <v>19</v>
      </c>
      <c r="K1320">
        <v>100629</v>
      </c>
    </row>
    <row r="1321" spans="1:11" x14ac:dyDescent="0.55000000000000004">
      <c r="A1321" t="s">
        <v>5307</v>
      </c>
      <c r="B1321" s="4">
        <v>46081</v>
      </c>
      <c r="C1321" t="s">
        <v>38</v>
      </c>
      <c r="D1321" t="s">
        <v>5308</v>
      </c>
      <c r="E1321" t="s">
        <v>15</v>
      </c>
      <c r="F1321" t="s">
        <v>5309</v>
      </c>
      <c r="G1321" t="s">
        <v>5310</v>
      </c>
      <c r="H1321" s="4">
        <v>46081.7507925463</v>
      </c>
      <c r="J1321" t="s">
        <v>248</v>
      </c>
      <c r="K1321">
        <v>100743</v>
      </c>
    </row>
    <row r="1322" spans="1:11" x14ac:dyDescent="0.55000000000000004">
      <c r="A1322" t="s">
        <v>5311</v>
      </c>
      <c r="B1322" s="4">
        <v>45736</v>
      </c>
      <c r="C1322" t="s">
        <v>155</v>
      </c>
      <c r="D1322" t="s">
        <v>5312</v>
      </c>
      <c r="E1322" t="s">
        <v>22</v>
      </c>
      <c r="F1322" t="s">
        <v>5313</v>
      </c>
      <c r="G1322" t="s">
        <v>5314</v>
      </c>
      <c r="H1322" s="4">
        <v>46073.520931446757</v>
      </c>
      <c r="J1322" t="s">
        <v>19</v>
      </c>
      <c r="K1322">
        <v>100229</v>
      </c>
    </row>
    <row r="1323" spans="1:11" x14ac:dyDescent="0.55000000000000004">
      <c r="A1323" t="s">
        <v>5315</v>
      </c>
      <c r="B1323" s="4">
        <v>45936</v>
      </c>
      <c r="C1323" t="s">
        <v>115</v>
      </c>
      <c r="D1323" t="s">
        <v>5316</v>
      </c>
      <c r="E1323" t="s">
        <v>22</v>
      </c>
      <c r="F1323" t="s">
        <v>5317</v>
      </c>
      <c r="G1323" t="s">
        <v>5318</v>
      </c>
      <c r="H1323" s="4">
        <v>46067.794542557873</v>
      </c>
      <c r="J1323" t="s">
        <v>19</v>
      </c>
      <c r="K1323">
        <v>100039</v>
      </c>
    </row>
    <row r="1324" spans="1:11" x14ac:dyDescent="0.55000000000000004">
      <c r="A1324" t="s">
        <v>5319</v>
      </c>
      <c r="B1324" s="4">
        <v>45910</v>
      </c>
      <c r="C1324" t="s">
        <v>89</v>
      </c>
      <c r="D1324" t="s">
        <v>5320</v>
      </c>
      <c r="E1324" t="s">
        <v>22</v>
      </c>
      <c r="F1324" t="s">
        <v>5321</v>
      </c>
      <c r="G1324" t="s">
        <v>5322</v>
      </c>
      <c r="H1324" s="4">
        <v>46091.624403668982</v>
      </c>
      <c r="J1324" t="s">
        <v>37</v>
      </c>
      <c r="K1324">
        <v>101000</v>
      </c>
    </row>
    <row r="1325" spans="1:11" x14ac:dyDescent="0.55000000000000004">
      <c r="A1325" t="s">
        <v>5323</v>
      </c>
      <c r="B1325" s="4">
        <v>46106</v>
      </c>
      <c r="C1325" t="s">
        <v>69</v>
      </c>
      <c r="D1325" t="s">
        <v>5324</v>
      </c>
      <c r="E1325" t="s">
        <v>22</v>
      </c>
      <c r="F1325" t="s">
        <v>5325</v>
      </c>
      <c r="G1325" t="s">
        <v>5326</v>
      </c>
      <c r="H1325" s="4">
        <v>46085.175098125001</v>
      </c>
      <c r="J1325" t="s">
        <v>533</v>
      </c>
      <c r="K1325">
        <v>100663</v>
      </c>
    </row>
    <row r="1326" spans="1:11" x14ac:dyDescent="0.55000000000000004">
      <c r="A1326" t="s">
        <v>5327</v>
      </c>
      <c r="B1326" s="4">
        <v>45765</v>
      </c>
      <c r="C1326" t="s">
        <v>467</v>
      </c>
      <c r="D1326" t="s">
        <v>5328</v>
      </c>
      <c r="E1326" t="s">
        <v>22</v>
      </c>
      <c r="F1326" t="s">
        <v>5329</v>
      </c>
      <c r="G1326" t="s">
        <v>5330</v>
      </c>
      <c r="H1326" s="4">
        <v>46083.747320347225</v>
      </c>
      <c r="J1326" t="s">
        <v>68</v>
      </c>
      <c r="K1326">
        <v>101226</v>
      </c>
    </row>
    <row r="1327" spans="1:11" x14ac:dyDescent="0.55000000000000004">
      <c r="A1327" t="s">
        <v>5331</v>
      </c>
      <c r="B1327" s="4">
        <v>45790</v>
      </c>
      <c r="C1327" t="s">
        <v>334</v>
      </c>
      <c r="D1327" t="s">
        <v>5332</v>
      </c>
      <c r="E1327" t="s">
        <v>15</v>
      </c>
      <c r="F1327" t="s">
        <v>5333</v>
      </c>
      <c r="G1327" t="s">
        <v>5334</v>
      </c>
      <c r="H1327" s="4">
        <v>46067.53898701389</v>
      </c>
      <c r="J1327" t="s">
        <v>19</v>
      </c>
      <c r="K1327">
        <v>100001</v>
      </c>
    </row>
    <row r="1328" spans="1:11" x14ac:dyDescent="0.55000000000000004">
      <c r="A1328" t="s">
        <v>5335</v>
      </c>
      <c r="B1328" s="4">
        <v>45895</v>
      </c>
      <c r="C1328" t="s">
        <v>270</v>
      </c>
      <c r="D1328" t="s">
        <v>5336</v>
      </c>
      <c r="E1328" t="s">
        <v>15</v>
      </c>
      <c r="F1328" t="s">
        <v>5337</v>
      </c>
      <c r="G1328" t="s">
        <v>5338</v>
      </c>
      <c r="H1328" s="4">
        <v>46074.134820358799</v>
      </c>
      <c r="J1328" t="s">
        <v>248</v>
      </c>
      <c r="K1328">
        <v>101086</v>
      </c>
    </row>
    <row r="1329" spans="1:11" x14ac:dyDescent="0.55000000000000004">
      <c r="A1329" t="s">
        <v>5339</v>
      </c>
      <c r="B1329" s="4">
        <v>45841</v>
      </c>
      <c r="C1329" t="s">
        <v>115</v>
      </c>
      <c r="D1329" t="s">
        <v>5340</v>
      </c>
      <c r="E1329" t="s">
        <v>15</v>
      </c>
      <c r="F1329" t="s">
        <v>5341</v>
      </c>
      <c r="G1329" t="s">
        <v>5342</v>
      </c>
      <c r="H1329" s="4">
        <v>46054.144542581016</v>
      </c>
      <c r="J1329" t="s">
        <v>19</v>
      </c>
      <c r="K1329">
        <v>101104</v>
      </c>
    </row>
    <row r="1330" spans="1:11" x14ac:dyDescent="0.55000000000000004">
      <c r="A1330" t="s">
        <v>5343</v>
      </c>
      <c r="B1330" s="4">
        <v>45861</v>
      </c>
      <c r="C1330" t="s">
        <v>108</v>
      </c>
      <c r="D1330" t="s">
        <v>5344</v>
      </c>
      <c r="E1330" t="s">
        <v>15</v>
      </c>
      <c r="F1330" t="s">
        <v>5345</v>
      </c>
      <c r="G1330" t="s">
        <v>5346</v>
      </c>
      <c r="H1330" s="4">
        <v>46080.17023703704</v>
      </c>
      <c r="J1330" t="s">
        <v>248</v>
      </c>
      <c r="K1330">
        <v>100330</v>
      </c>
    </row>
    <row r="1331" spans="1:11" x14ac:dyDescent="0.55000000000000004">
      <c r="A1331" t="s">
        <v>5347</v>
      </c>
      <c r="B1331" s="4">
        <v>45884</v>
      </c>
      <c r="C1331" t="s">
        <v>680</v>
      </c>
      <c r="D1331" t="s">
        <v>5348</v>
      </c>
      <c r="E1331" t="s">
        <v>22</v>
      </c>
      <c r="F1331" t="s">
        <v>5349</v>
      </c>
      <c r="G1331" t="s">
        <v>5350</v>
      </c>
      <c r="H1331" s="4">
        <v>46086.669542592594</v>
      </c>
      <c r="J1331" t="s">
        <v>37</v>
      </c>
      <c r="K1331">
        <v>100765</v>
      </c>
    </row>
    <row r="1332" spans="1:11" x14ac:dyDescent="0.55000000000000004">
      <c r="A1332" t="s">
        <v>5351</v>
      </c>
      <c r="B1332" s="4">
        <v>45951</v>
      </c>
      <c r="C1332" t="s">
        <v>356</v>
      </c>
      <c r="D1332" t="s">
        <v>5352</v>
      </c>
      <c r="E1332" t="s">
        <v>15</v>
      </c>
      <c r="F1332" t="s">
        <v>5353</v>
      </c>
      <c r="G1332" t="s">
        <v>5354</v>
      </c>
      <c r="H1332" s="4">
        <v>46075.150098148151</v>
      </c>
      <c r="J1332" t="s">
        <v>37</v>
      </c>
      <c r="K1332">
        <v>101366</v>
      </c>
    </row>
    <row r="1333" spans="1:11" x14ac:dyDescent="0.55000000000000004">
      <c r="A1333" t="s">
        <v>5355</v>
      </c>
      <c r="B1333" s="4">
        <v>45975</v>
      </c>
      <c r="C1333" t="s">
        <v>680</v>
      </c>
      <c r="D1333" t="s">
        <v>5356</v>
      </c>
      <c r="E1333" t="s">
        <v>22</v>
      </c>
      <c r="F1333" t="s">
        <v>5357</v>
      </c>
      <c r="G1333" t="s">
        <v>5358</v>
      </c>
      <c r="H1333" s="4">
        <v>46052.934820381946</v>
      </c>
      <c r="J1333" t="s">
        <v>19</v>
      </c>
      <c r="K1333">
        <v>101477</v>
      </c>
    </row>
    <row r="1334" spans="1:11" x14ac:dyDescent="0.55000000000000004">
      <c r="A1334" t="s">
        <v>5359</v>
      </c>
      <c r="B1334" s="4">
        <v>46153</v>
      </c>
      <c r="C1334" t="s">
        <v>38</v>
      </c>
      <c r="D1334" t="s">
        <v>5360</v>
      </c>
      <c r="E1334" t="s">
        <v>15</v>
      </c>
      <c r="F1334" t="s">
        <v>5361</v>
      </c>
      <c r="G1334" t="s">
        <v>5362</v>
      </c>
      <c r="H1334" s="4">
        <v>46092.796625937503</v>
      </c>
      <c r="J1334" t="s">
        <v>179</v>
      </c>
      <c r="K1334">
        <v>101415</v>
      </c>
    </row>
    <row r="1335" spans="1:11" x14ac:dyDescent="0.55000000000000004">
      <c r="A1335" t="s">
        <v>2005</v>
      </c>
      <c r="B1335" s="4">
        <v>46047</v>
      </c>
      <c r="C1335" t="s">
        <v>20</v>
      </c>
      <c r="D1335" t="s">
        <v>5363</v>
      </c>
      <c r="E1335" t="s">
        <v>22</v>
      </c>
      <c r="F1335" t="s">
        <v>5364</v>
      </c>
      <c r="G1335" t="s">
        <v>5365</v>
      </c>
      <c r="H1335" s="4">
        <v>46097.532042604165</v>
      </c>
      <c r="J1335" t="s">
        <v>19</v>
      </c>
      <c r="K1335">
        <v>101338</v>
      </c>
    </row>
    <row r="1336" spans="1:11" x14ac:dyDescent="0.55000000000000004">
      <c r="A1336" t="s">
        <v>5366</v>
      </c>
      <c r="B1336" s="4">
        <v>45807</v>
      </c>
      <c r="C1336" t="s">
        <v>295</v>
      </c>
      <c r="D1336" t="s">
        <v>5367</v>
      </c>
      <c r="E1336" t="s">
        <v>22</v>
      </c>
      <c r="F1336" t="s">
        <v>5368</v>
      </c>
      <c r="G1336" t="s">
        <v>5369</v>
      </c>
      <c r="H1336" s="4">
        <v>46081.005653726854</v>
      </c>
      <c r="J1336" t="s">
        <v>179</v>
      </c>
      <c r="K1336">
        <v>101308</v>
      </c>
    </row>
    <row r="1337" spans="1:11" x14ac:dyDescent="0.55000000000000004">
      <c r="A1337" t="s">
        <v>5370</v>
      </c>
      <c r="B1337" s="4">
        <v>45962</v>
      </c>
      <c r="C1337" t="s">
        <v>317</v>
      </c>
      <c r="D1337" t="s">
        <v>5371</v>
      </c>
      <c r="E1337" t="s">
        <v>22</v>
      </c>
      <c r="F1337" t="s">
        <v>5372</v>
      </c>
      <c r="G1337" t="s">
        <v>5373</v>
      </c>
      <c r="H1337" s="4">
        <v>46056.923709282404</v>
      </c>
      <c r="J1337" t="s">
        <v>37</v>
      </c>
      <c r="K1337">
        <v>100611</v>
      </c>
    </row>
    <row r="1338" spans="1:11" x14ac:dyDescent="0.55000000000000004">
      <c r="A1338" t="s">
        <v>5374</v>
      </c>
      <c r="B1338" s="4">
        <v>45750</v>
      </c>
      <c r="C1338" t="s">
        <v>317</v>
      </c>
      <c r="D1338" t="s">
        <v>5375</v>
      </c>
      <c r="E1338" t="s">
        <v>15</v>
      </c>
      <c r="F1338" t="s">
        <v>5376</v>
      </c>
      <c r="G1338" t="s">
        <v>5377</v>
      </c>
      <c r="H1338" s="4">
        <v>46070.755653738423</v>
      </c>
      <c r="J1338" t="s">
        <v>533</v>
      </c>
      <c r="K1338">
        <v>101280</v>
      </c>
    </row>
    <row r="1339" spans="1:11" x14ac:dyDescent="0.55000000000000004">
      <c r="A1339" t="s">
        <v>5378</v>
      </c>
      <c r="B1339" s="4">
        <v>46128</v>
      </c>
      <c r="C1339" t="s">
        <v>38</v>
      </c>
      <c r="D1339" t="s">
        <v>5379</v>
      </c>
      <c r="E1339" t="s">
        <v>22</v>
      </c>
      <c r="F1339" t="s">
        <v>5380</v>
      </c>
      <c r="G1339" t="s">
        <v>5381</v>
      </c>
      <c r="H1339" s="4">
        <v>46084.251487071757</v>
      </c>
      <c r="J1339" t="s">
        <v>19</v>
      </c>
      <c r="K1339">
        <v>100217</v>
      </c>
    </row>
    <row r="1340" spans="1:11" x14ac:dyDescent="0.55000000000000004">
      <c r="A1340" t="s">
        <v>5382</v>
      </c>
      <c r="B1340" s="4">
        <v>45829</v>
      </c>
      <c r="C1340" t="s">
        <v>343</v>
      </c>
      <c r="D1340" t="s">
        <v>5383</v>
      </c>
      <c r="E1340" t="s">
        <v>22</v>
      </c>
      <c r="F1340" t="s">
        <v>5384</v>
      </c>
      <c r="G1340" t="s">
        <v>5385</v>
      </c>
      <c r="H1340" s="4">
        <v>46096.316764849536</v>
      </c>
      <c r="J1340" t="s">
        <v>248</v>
      </c>
      <c r="K1340">
        <v>101039</v>
      </c>
    </row>
    <row r="1341" spans="1:11" x14ac:dyDescent="0.55000000000000004">
      <c r="A1341" t="s">
        <v>5386</v>
      </c>
      <c r="B1341" s="4">
        <v>45989</v>
      </c>
      <c r="C1341" t="s">
        <v>317</v>
      </c>
      <c r="D1341" t="s">
        <v>5387</v>
      </c>
      <c r="E1341" t="s">
        <v>22</v>
      </c>
      <c r="F1341" t="s">
        <v>5388</v>
      </c>
      <c r="G1341" t="s">
        <v>5389</v>
      </c>
      <c r="H1341" s="4">
        <v>46056.098014861112</v>
      </c>
      <c r="J1341" t="s">
        <v>68</v>
      </c>
      <c r="K1341">
        <v>100365</v>
      </c>
    </row>
    <row r="1342" spans="1:11" x14ac:dyDescent="0.55000000000000004">
      <c r="A1342" t="s">
        <v>5390</v>
      </c>
      <c r="B1342" s="4">
        <v>45942</v>
      </c>
      <c r="C1342" t="s">
        <v>467</v>
      </c>
      <c r="D1342" t="s">
        <v>5391</v>
      </c>
      <c r="E1342" t="s">
        <v>22</v>
      </c>
      <c r="F1342" t="s">
        <v>5392</v>
      </c>
      <c r="G1342" t="s">
        <v>5393</v>
      </c>
      <c r="H1342" s="4">
        <v>46064.268848194442</v>
      </c>
      <c r="J1342" t="s">
        <v>179</v>
      </c>
      <c r="K1342">
        <v>101025</v>
      </c>
    </row>
    <row r="1343" spans="1:11" x14ac:dyDescent="0.55000000000000004">
      <c r="A1343" t="s">
        <v>5394</v>
      </c>
      <c r="B1343" s="4">
        <v>45822</v>
      </c>
      <c r="C1343" t="s">
        <v>58</v>
      </c>
      <c r="D1343" t="s">
        <v>5395</v>
      </c>
      <c r="E1343" t="s">
        <v>15</v>
      </c>
      <c r="F1343" t="s">
        <v>5396</v>
      </c>
      <c r="G1343" t="s">
        <v>5397</v>
      </c>
      <c r="H1343" s="4">
        <v>46061.900098194441</v>
      </c>
      <c r="J1343" t="s">
        <v>533</v>
      </c>
      <c r="K1343">
        <v>100539</v>
      </c>
    </row>
    <row r="1344" spans="1:11" x14ac:dyDescent="0.55000000000000004">
      <c r="A1344" t="s">
        <v>5398</v>
      </c>
      <c r="B1344" s="4">
        <v>46009</v>
      </c>
      <c r="C1344" t="s">
        <v>58</v>
      </c>
      <c r="D1344" t="s">
        <v>5399</v>
      </c>
      <c r="E1344" t="s">
        <v>22</v>
      </c>
      <c r="F1344" t="s">
        <v>5400</v>
      </c>
      <c r="G1344" t="s">
        <v>5401</v>
      </c>
      <c r="H1344" s="4">
        <v>46057.343153761576</v>
      </c>
      <c r="J1344" t="s">
        <v>533</v>
      </c>
      <c r="K1344">
        <v>100006</v>
      </c>
    </row>
    <row r="1345" spans="1:11" x14ac:dyDescent="0.55000000000000004">
      <c r="A1345" t="s">
        <v>5402</v>
      </c>
      <c r="B1345" s="4">
        <v>45782</v>
      </c>
      <c r="C1345" t="s">
        <v>155</v>
      </c>
      <c r="D1345" t="s">
        <v>5403</v>
      </c>
      <c r="E1345" t="s">
        <v>15</v>
      </c>
      <c r="F1345" t="s">
        <v>5404</v>
      </c>
      <c r="G1345" t="s">
        <v>5405</v>
      </c>
      <c r="H1345" s="4">
        <v>46056.723014872689</v>
      </c>
      <c r="J1345" t="s">
        <v>19</v>
      </c>
      <c r="K1345">
        <v>100929</v>
      </c>
    </row>
    <row r="1346" spans="1:11" x14ac:dyDescent="0.55000000000000004">
      <c r="A1346" t="s">
        <v>5406</v>
      </c>
      <c r="B1346" s="4">
        <v>45942</v>
      </c>
      <c r="C1346" t="s">
        <v>69</v>
      </c>
      <c r="D1346" t="s">
        <v>5407</v>
      </c>
      <c r="E1346" t="s">
        <v>15</v>
      </c>
      <c r="F1346" t="s">
        <v>5408</v>
      </c>
      <c r="G1346" t="s">
        <v>5409</v>
      </c>
      <c r="H1346" s="4">
        <v>46057.114681550927</v>
      </c>
      <c r="J1346" t="s">
        <v>19</v>
      </c>
      <c r="K1346">
        <v>100323</v>
      </c>
    </row>
    <row r="1347" spans="1:11" x14ac:dyDescent="0.55000000000000004">
      <c r="A1347" t="s">
        <v>5410</v>
      </c>
      <c r="B1347" s="4">
        <v>46029</v>
      </c>
      <c r="C1347" t="s">
        <v>317</v>
      </c>
      <c r="D1347" t="s">
        <v>5411</v>
      </c>
      <c r="E1347" t="s">
        <v>22</v>
      </c>
      <c r="F1347" t="s">
        <v>5412</v>
      </c>
      <c r="G1347" t="s">
        <v>5413</v>
      </c>
      <c r="H1347" s="4">
        <v>46071.445237106484</v>
      </c>
      <c r="J1347" t="s">
        <v>19</v>
      </c>
      <c r="K1347">
        <v>100890</v>
      </c>
    </row>
    <row r="1348" spans="1:11" x14ac:dyDescent="0.55000000000000004">
      <c r="A1348" t="s">
        <v>5414</v>
      </c>
      <c r="B1348" s="4">
        <v>46129</v>
      </c>
      <c r="C1348" t="s">
        <v>89</v>
      </c>
      <c r="D1348" t="s">
        <v>5415</v>
      </c>
      <c r="E1348" t="s">
        <v>15</v>
      </c>
      <c r="F1348" t="s">
        <v>5416</v>
      </c>
      <c r="G1348" t="s">
        <v>5417</v>
      </c>
      <c r="H1348" s="4">
        <v>46085.078570439815</v>
      </c>
      <c r="J1348" t="s">
        <v>248</v>
      </c>
      <c r="K1348">
        <v>100601</v>
      </c>
    </row>
    <row r="1349" spans="1:11" x14ac:dyDescent="0.55000000000000004">
      <c r="A1349" t="s">
        <v>5418</v>
      </c>
      <c r="B1349" s="4">
        <v>45911</v>
      </c>
      <c r="C1349" t="s">
        <v>757</v>
      </c>
      <c r="D1349" t="s">
        <v>260</v>
      </c>
      <c r="E1349" t="s">
        <v>15</v>
      </c>
      <c r="F1349" t="s">
        <v>5419</v>
      </c>
      <c r="G1349" t="s">
        <v>5420</v>
      </c>
      <c r="H1349" s="4">
        <v>46074.427876006943</v>
      </c>
      <c r="J1349" t="s">
        <v>533</v>
      </c>
      <c r="K1349">
        <v>101498</v>
      </c>
    </row>
    <row r="1350" spans="1:11" x14ac:dyDescent="0.55000000000000004">
      <c r="A1350" t="s">
        <v>5421</v>
      </c>
      <c r="B1350" s="4">
        <v>45877</v>
      </c>
      <c r="C1350" t="s">
        <v>49</v>
      </c>
      <c r="D1350" t="s">
        <v>5422</v>
      </c>
      <c r="E1350" t="s">
        <v>22</v>
      </c>
      <c r="F1350" t="s">
        <v>5423</v>
      </c>
      <c r="G1350" t="s">
        <v>5424</v>
      </c>
      <c r="H1350" s="4">
        <v>46070.788987118052</v>
      </c>
      <c r="I1350" t="s">
        <v>139</v>
      </c>
      <c r="J1350" t="s">
        <v>19</v>
      </c>
      <c r="K1350">
        <v>101171</v>
      </c>
    </row>
    <row r="1351" spans="1:11" x14ac:dyDescent="0.55000000000000004">
      <c r="A1351" t="s">
        <v>5425</v>
      </c>
      <c r="B1351" s="4">
        <v>45734</v>
      </c>
      <c r="C1351" t="s">
        <v>141</v>
      </c>
      <c r="D1351" t="s">
        <v>5426</v>
      </c>
      <c r="E1351" t="s">
        <v>15</v>
      </c>
      <c r="F1351" t="s">
        <v>5427</v>
      </c>
      <c r="G1351" t="s">
        <v>5428</v>
      </c>
      <c r="H1351" s="4">
        <v>46088.213987118055</v>
      </c>
      <c r="J1351" t="s">
        <v>248</v>
      </c>
      <c r="K1351">
        <v>101312</v>
      </c>
    </row>
    <row r="1352" spans="1:11" x14ac:dyDescent="0.55000000000000004">
      <c r="A1352" t="s">
        <v>5429</v>
      </c>
      <c r="B1352" s="4">
        <v>46151</v>
      </c>
      <c r="C1352" t="s">
        <v>126</v>
      </c>
      <c r="D1352" t="s">
        <v>5430</v>
      </c>
      <c r="E1352" t="s">
        <v>15</v>
      </c>
      <c r="F1352" t="s">
        <v>5431</v>
      </c>
      <c r="G1352" t="s">
        <v>5432</v>
      </c>
      <c r="H1352" s="4">
        <v>46061.134820462961</v>
      </c>
      <c r="J1352" t="s">
        <v>19</v>
      </c>
      <c r="K1352">
        <v>101419</v>
      </c>
    </row>
    <row r="1353" spans="1:11" x14ac:dyDescent="0.55000000000000004">
      <c r="A1353" t="s">
        <v>5433</v>
      </c>
      <c r="B1353" s="4">
        <v>46016</v>
      </c>
      <c r="C1353" t="s">
        <v>409</v>
      </c>
      <c r="D1353" t="s">
        <v>5434</v>
      </c>
      <c r="E1353" t="s">
        <v>22</v>
      </c>
      <c r="F1353" t="s">
        <v>5435</v>
      </c>
      <c r="G1353" t="s">
        <v>5436</v>
      </c>
      <c r="H1353" s="4">
        <v>46093.9244037963</v>
      </c>
      <c r="J1353" t="s">
        <v>248</v>
      </c>
      <c r="K1353">
        <v>101099</v>
      </c>
    </row>
    <row r="1354" spans="1:11" x14ac:dyDescent="0.55000000000000004">
      <c r="A1354" t="s">
        <v>5437</v>
      </c>
      <c r="B1354" s="4">
        <v>45797</v>
      </c>
      <c r="C1354" t="s">
        <v>680</v>
      </c>
      <c r="D1354" t="s">
        <v>5438</v>
      </c>
      <c r="E1354" t="s">
        <v>22</v>
      </c>
      <c r="F1354" t="s">
        <v>5439</v>
      </c>
      <c r="G1354" t="s">
        <v>5440</v>
      </c>
      <c r="H1354" s="4">
        <v>46064.520931574072</v>
      </c>
      <c r="J1354" t="s">
        <v>179</v>
      </c>
      <c r="K1354">
        <v>100234</v>
      </c>
    </row>
    <row r="1355" spans="1:11" x14ac:dyDescent="0.55000000000000004">
      <c r="A1355" t="s">
        <v>5441</v>
      </c>
      <c r="B1355" s="4">
        <v>45850</v>
      </c>
      <c r="C1355" t="s">
        <v>317</v>
      </c>
      <c r="D1355" t="s">
        <v>5442</v>
      </c>
      <c r="E1355" t="s">
        <v>15</v>
      </c>
      <c r="F1355" t="s">
        <v>5443</v>
      </c>
      <c r="G1355" t="s">
        <v>5444</v>
      </c>
      <c r="H1355" s="4">
        <v>46065.577876030089</v>
      </c>
      <c r="J1355" t="s">
        <v>179</v>
      </c>
      <c r="K1355">
        <v>100023</v>
      </c>
    </row>
    <row r="1356" spans="1:11" x14ac:dyDescent="0.55000000000000004">
      <c r="A1356" t="s">
        <v>5445</v>
      </c>
      <c r="B1356" s="4">
        <v>46133</v>
      </c>
      <c r="C1356" t="s">
        <v>49</v>
      </c>
      <c r="D1356" t="s">
        <v>5446</v>
      </c>
      <c r="E1356" t="s">
        <v>15</v>
      </c>
      <c r="F1356" t="s">
        <v>5447</v>
      </c>
      <c r="G1356" t="s">
        <v>5448</v>
      </c>
      <c r="H1356" s="4">
        <v>46077.456348252315</v>
      </c>
      <c r="J1356" t="s">
        <v>19</v>
      </c>
      <c r="K1356">
        <v>101133</v>
      </c>
    </row>
    <row r="1357" spans="1:11" x14ac:dyDescent="0.55000000000000004">
      <c r="A1357" t="s">
        <v>5449</v>
      </c>
      <c r="B1357" s="4">
        <v>45779</v>
      </c>
      <c r="C1357" t="s">
        <v>69</v>
      </c>
      <c r="D1357" t="s">
        <v>5450</v>
      </c>
      <c r="E1357" t="s">
        <v>15</v>
      </c>
      <c r="F1357" t="s">
        <v>5451</v>
      </c>
      <c r="G1357" t="s">
        <v>5452</v>
      </c>
      <c r="H1357" s="4">
        <v>46056.902181597223</v>
      </c>
      <c r="J1357" t="s">
        <v>37</v>
      </c>
      <c r="K1357">
        <v>100514</v>
      </c>
    </row>
    <row r="1358" spans="1:11" x14ac:dyDescent="0.55000000000000004">
      <c r="A1358" t="s">
        <v>5453</v>
      </c>
      <c r="B1358" s="4">
        <v>45746</v>
      </c>
      <c r="C1358" t="s">
        <v>184</v>
      </c>
      <c r="D1358" t="s">
        <v>5454</v>
      </c>
      <c r="E1358" t="s">
        <v>22</v>
      </c>
      <c r="F1358" t="s">
        <v>5455</v>
      </c>
      <c r="G1358" t="s">
        <v>5456</v>
      </c>
      <c r="H1358" s="4">
        <v>46096.560514930556</v>
      </c>
      <c r="J1358" t="s">
        <v>533</v>
      </c>
      <c r="K1358">
        <v>101083</v>
      </c>
    </row>
    <row r="1359" spans="1:11" x14ac:dyDescent="0.55000000000000004">
      <c r="A1359" t="s">
        <v>5457</v>
      </c>
      <c r="B1359" s="4">
        <v>46056</v>
      </c>
      <c r="C1359" t="s">
        <v>160</v>
      </c>
      <c r="D1359" t="s">
        <v>5458</v>
      </c>
      <c r="E1359" t="s">
        <v>15</v>
      </c>
      <c r="F1359" t="s">
        <v>5459</v>
      </c>
      <c r="G1359" t="s">
        <v>5460</v>
      </c>
      <c r="H1359" s="4">
        <v>46078.470931597221</v>
      </c>
      <c r="J1359" t="s">
        <v>179</v>
      </c>
      <c r="K1359">
        <v>100958</v>
      </c>
    </row>
    <row r="1360" spans="1:11" x14ac:dyDescent="0.55000000000000004">
      <c r="A1360" t="s">
        <v>5461</v>
      </c>
      <c r="B1360" s="4">
        <v>45857</v>
      </c>
      <c r="C1360" t="s">
        <v>83</v>
      </c>
      <c r="D1360" t="s">
        <v>5462</v>
      </c>
      <c r="E1360" t="s">
        <v>22</v>
      </c>
      <c r="F1360" t="s">
        <v>5463</v>
      </c>
      <c r="G1360" t="s">
        <v>5464</v>
      </c>
      <c r="H1360" s="4">
        <v>46092.541764942129</v>
      </c>
      <c r="J1360" t="s">
        <v>19</v>
      </c>
      <c r="K1360">
        <v>101220</v>
      </c>
    </row>
    <row r="1361" spans="1:11" x14ac:dyDescent="0.55000000000000004">
      <c r="A1361" t="s">
        <v>5465</v>
      </c>
      <c r="B1361" s="4">
        <v>46058</v>
      </c>
      <c r="C1361" t="s">
        <v>243</v>
      </c>
      <c r="D1361" t="s">
        <v>5466</v>
      </c>
      <c r="E1361" t="s">
        <v>15</v>
      </c>
      <c r="F1361" t="s">
        <v>5467</v>
      </c>
      <c r="G1361" t="s">
        <v>5468</v>
      </c>
      <c r="H1361" s="4">
        <v>46091.544542719908</v>
      </c>
      <c r="J1361" t="s">
        <v>37</v>
      </c>
      <c r="K1361">
        <v>100781</v>
      </c>
    </row>
    <row r="1362" spans="1:11" x14ac:dyDescent="0.55000000000000004">
      <c r="A1362" t="s">
        <v>5469</v>
      </c>
      <c r="B1362" s="4">
        <v>45866</v>
      </c>
      <c r="C1362" t="s">
        <v>155</v>
      </c>
      <c r="D1362" t="s">
        <v>5470</v>
      </c>
      <c r="E1362" t="s">
        <v>15</v>
      </c>
      <c r="F1362" t="s">
        <v>5471</v>
      </c>
      <c r="G1362" t="s">
        <v>5472</v>
      </c>
      <c r="H1362" s="4">
        <v>46066.232042719908</v>
      </c>
      <c r="J1362" t="s">
        <v>68</v>
      </c>
      <c r="K1362">
        <v>100788</v>
      </c>
    </row>
    <row r="1363" spans="1:11" x14ac:dyDescent="0.55000000000000004">
      <c r="A1363" t="s">
        <v>5473</v>
      </c>
      <c r="B1363" s="4">
        <v>45932</v>
      </c>
      <c r="C1363" t="s">
        <v>69</v>
      </c>
      <c r="D1363" t="s">
        <v>5474</v>
      </c>
      <c r="E1363" t="s">
        <v>15</v>
      </c>
      <c r="F1363" t="s">
        <v>5475</v>
      </c>
      <c r="G1363" t="s">
        <v>5476</v>
      </c>
      <c r="H1363" s="4">
        <v>46071.641764953703</v>
      </c>
      <c r="J1363" t="s">
        <v>248</v>
      </c>
      <c r="K1363">
        <v>100130</v>
      </c>
    </row>
    <row r="1364" spans="1:11" x14ac:dyDescent="0.55000000000000004">
      <c r="A1364" t="s">
        <v>5477</v>
      </c>
      <c r="B1364" s="4">
        <v>46052</v>
      </c>
      <c r="C1364" t="s">
        <v>115</v>
      </c>
      <c r="D1364" t="s">
        <v>5478</v>
      </c>
      <c r="E1364" t="s">
        <v>22</v>
      </c>
      <c r="F1364" t="s">
        <v>5479</v>
      </c>
      <c r="G1364" t="s">
        <v>5480</v>
      </c>
      <c r="H1364" s="4">
        <v>46073.300098287036</v>
      </c>
      <c r="J1364" t="s">
        <v>19</v>
      </c>
      <c r="K1364">
        <v>101221</v>
      </c>
    </row>
    <row r="1365" spans="1:11" x14ac:dyDescent="0.55000000000000004">
      <c r="A1365" t="s">
        <v>5481</v>
      </c>
      <c r="B1365" s="4">
        <v>46145</v>
      </c>
      <c r="C1365" t="s">
        <v>115</v>
      </c>
      <c r="D1365" t="s">
        <v>5482</v>
      </c>
      <c r="E1365" t="s">
        <v>22</v>
      </c>
      <c r="F1365" t="s">
        <v>5483</v>
      </c>
      <c r="G1365" t="s">
        <v>5484</v>
      </c>
      <c r="H1365" s="4">
        <v>46097.492459409725</v>
      </c>
      <c r="J1365" t="s">
        <v>179</v>
      </c>
      <c r="K1365">
        <v>101487</v>
      </c>
    </row>
    <row r="1366" spans="1:11" x14ac:dyDescent="0.55000000000000004">
      <c r="A1366" t="s">
        <v>5485</v>
      </c>
      <c r="B1366" s="4">
        <v>46055</v>
      </c>
      <c r="C1366" t="s">
        <v>13</v>
      </c>
      <c r="D1366" t="s">
        <v>5486</v>
      </c>
      <c r="E1366" t="s">
        <v>22</v>
      </c>
      <c r="F1366" t="s">
        <v>5487</v>
      </c>
      <c r="G1366" t="s">
        <v>5488</v>
      </c>
      <c r="H1366" s="4">
        <v>46066.873014965277</v>
      </c>
      <c r="J1366" t="s">
        <v>19</v>
      </c>
      <c r="K1366">
        <v>100327</v>
      </c>
    </row>
    <row r="1367" spans="1:11" x14ac:dyDescent="0.55000000000000004">
      <c r="A1367" t="s">
        <v>5489</v>
      </c>
      <c r="B1367" s="4">
        <v>46011</v>
      </c>
      <c r="C1367" t="s">
        <v>115</v>
      </c>
      <c r="D1367" t="s">
        <v>5490</v>
      </c>
      <c r="E1367" t="s">
        <v>22</v>
      </c>
      <c r="F1367" t="s">
        <v>5491</v>
      </c>
      <c r="G1367" t="s">
        <v>5492</v>
      </c>
      <c r="H1367" s="4">
        <v>46090.472320520836</v>
      </c>
      <c r="J1367" t="s">
        <v>19</v>
      </c>
      <c r="K1367">
        <v>101285</v>
      </c>
    </row>
    <row r="1368" spans="1:11" x14ac:dyDescent="0.55000000000000004">
      <c r="A1368" t="s">
        <v>5493</v>
      </c>
      <c r="B1368" s="4">
        <v>45747</v>
      </c>
      <c r="C1368" t="s">
        <v>528</v>
      </c>
      <c r="D1368" t="s">
        <v>5494</v>
      </c>
      <c r="E1368" t="s">
        <v>15</v>
      </c>
      <c r="F1368" t="s">
        <v>5495</v>
      </c>
      <c r="G1368" t="s">
        <v>5496</v>
      </c>
      <c r="H1368" s="4">
        <v>46074.582737199074</v>
      </c>
      <c r="J1368" t="s">
        <v>19</v>
      </c>
      <c r="K1368">
        <v>100313</v>
      </c>
    </row>
    <row r="1369" spans="1:11" x14ac:dyDescent="0.55000000000000004">
      <c r="A1369" t="s">
        <v>5497</v>
      </c>
      <c r="B1369" s="4">
        <v>45747</v>
      </c>
      <c r="C1369" t="s">
        <v>189</v>
      </c>
      <c r="D1369" t="s">
        <v>5498</v>
      </c>
      <c r="E1369" t="s">
        <v>15</v>
      </c>
      <c r="F1369" t="s">
        <v>5499</v>
      </c>
      <c r="G1369" t="s">
        <v>5500</v>
      </c>
      <c r="H1369" s="4">
        <v>46053.566070532404</v>
      </c>
      <c r="J1369" t="s">
        <v>248</v>
      </c>
      <c r="K1369">
        <v>100224</v>
      </c>
    </row>
    <row r="1370" spans="1:11" x14ac:dyDescent="0.55000000000000004">
      <c r="A1370" t="s">
        <v>5501</v>
      </c>
      <c r="B1370" s="4">
        <v>45872</v>
      </c>
      <c r="C1370" t="s">
        <v>265</v>
      </c>
      <c r="D1370" t="s">
        <v>5502</v>
      </c>
      <c r="E1370" t="s">
        <v>22</v>
      </c>
      <c r="F1370" t="s">
        <v>5503</v>
      </c>
      <c r="G1370" t="s">
        <v>5504</v>
      </c>
      <c r="H1370" s="4">
        <v>46051.961903877316</v>
      </c>
      <c r="J1370" t="s">
        <v>248</v>
      </c>
      <c r="K1370">
        <v>100096</v>
      </c>
    </row>
    <row r="1371" spans="1:11" x14ac:dyDescent="0.55000000000000004">
      <c r="A1371" t="s">
        <v>5505</v>
      </c>
      <c r="B1371" s="4">
        <v>45971</v>
      </c>
      <c r="C1371" t="s">
        <v>213</v>
      </c>
      <c r="D1371" t="s">
        <v>5506</v>
      </c>
      <c r="E1371" t="s">
        <v>15</v>
      </c>
      <c r="F1371" t="s">
        <v>5507</v>
      </c>
      <c r="G1371" t="s">
        <v>5508</v>
      </c>
      <c r="H1371" s="4">
        <v>46081.500098321761</v>
      </c>
      <c r="J1371" t="s">
        <v>68</v>
      </c>
      <c r="K1371">
        <v>100186</v>
      </c>
    </row>
    <row r="1372" spans="1:11" x14ac:dyDescent="0.55000000000000004">
      <c r="A1372" t="s">
        <v>5509</v>
      </c>
      <c r="B1372" s="4">
        <v>46083</v>
      </c>
      <c r="C1372" t="s">
        <v>83</v>
      </c>
      <c r="D1372" t="s">
        <v>5510</v>
      </c>
      <c r="E1372" t="s">
        <v>22</v>
      </c>
      <c r="F1372" t="s">
        <v>5511</v>
      </c>
      <c r="G1372" t="s">
        <v>5512</v>
      </c>
      <c r="H1372" s="4">
        <v>46087.453570543985</v>
      </c>
      <c r="J1372" t="s">
        <v>248</v>
      </c>
      <c r="K1372">
        <v>101010</v>
      </c>
    </row>
    <row r="1373" spans="1:11" x14ac:dyDescent="0.55000000000000004">
      <c r="A1373" t="s">
        <v>5513</v>
      </c>
      <c r="B1373" s="4">
        <v>45953</v>
      </c>
      <c r="C1373" t="s">
        <v>89</v>
      </c>
      <c r="D1373" t="s">
        <v>5514</v>
      </c>
      <c r="E1373" t="s">
        <v>22</v>
      </c>
      <c r="F1373" t="s">
        <v>5515</v>
      </c>
      <c r="G1373" t="s">
        <v>5516</v>
      </c>
      <c r="H1373" s="4">
        <v>46076.860515</v>
      </c>
      <c r="J1373" t="s">
        <v>19</v>
      </c>
      <c r="K1373">
        <v>101043</v>
      </c>
    </row>
    <row r="1374" spans="1:11" x14ac:dyDescent="0.55000000000000004">
      <c r="A1374" t="s">
        <v>2937</v>
      </c>
      <c r="B1374" s="4">
        <v>46042</v>
      </c>
      <c r="C1374" t="s">
        <v>418</v>
      </c>
      <c r="D1374" t="s">
        <v>5517</v>
      </c>
      <c r="E1374" t="s">
        <v>22</v>
      </c>
      <c r="F1374" t="s">
        <v>5518</v>
      </c>
      <c r="G1374" t="s">
        <v>5519</v>
      </c>
      <c r="H1374" s="4">
        <v>46073.84662611111</v>
      </c>
      <c r="J1374" t="s">
        <v>533</v>
      </c>
      <c r="K1374">
        <v>100283</v>
      </c>
    </row>
    <row r="1375" spans="1:11" x14ac:dyDescent="0.55000000000000004">
      <c r="A1375" t="s">
        <v>5520</v>
      </c>
      <c r="B1375" s="4">
        <v>45962</v>
      </c>
      <c r="C1375" t="s">
        <v>155</v>
      </c>
      <c r="D1375" t="s">
        <v>5521</v>
      </c>
      <c r="E1375" t="s">
        <v>22</v>
      </c>
      <c r="F1375" t="s">
        <v>5522</v>
      </c>
      <c r="G1375" t="s">
        <v>5523</v>
      </c>
      <c r="H1375" s="4">
        <v>46060.163292789352</v>
      </c>
      <c r="J1375" t="s">
        <v>37</v>
      </c>
      <c r="K1375">
        <v>101404</v>
      </c>
    </row>
    <row r="1376" spans="1:11" x14ac:dyDescent="0.55000000000000004">
      <c r="A1376" t="s">
        <v>5524</v>
      </c>
      <c r="B1376" s="4">
        <v>46041</v>
      </c>
      <c r="C1376" t="s">
        <v>495</v>
      </c>
      <c r="D1376" t="s">
        <v>5525</v>
      </c>
      <c r="E1376" t="s">
        <v>15</v>
      </c>
      <c r="F1376" t="s">
        <v>5526</v>
      </c>
      <c r="G1376" t="s">
        <v>5527</v>
      </c>
      <c r="H1376" s="4">
        <v>46090.490376122689</v>
      </c>
      <c r="J1376" t="s">
        <v>68</v>
      </c>
      <c r="K1376">
        <v>100741</v>
      </c>
    </row>
    <row r="1377" spans="1:11" x14ac:dyDescent="0.55000000000000004">
      <c r="A1377" t="s">
        <v>5528</v>
      </c>
      <c r="B1377" s="4">
        <v>45951</v>
      </c>
      <c r="C1377" t="s">
        <v>20</v>
      </c>
      <c r="D1377" t="s">
        <v>5529</v>
      </c>
      <c r="E1377" t="s">
        <v>15</v>
      </c>
      <c r="F1377" t="s">
        <v>5530</v>
      </c>
      <c r="G1377" t="s">
        <v>5531</v>
      </c>
      <c r="H1377" s="4">
        <v>46093.440376122686</v>
      </c>
      <c r="I1377" t="s">
        <v>217</v>
      </c>
      <c r="K1377">
        <v>100817</v>
      </c>
    </row>
    <row r="1378" spans="1:11" x14ac:dyDescent="0.55000000000000004">
      <c r="A1378" t="s">
        <v>5532</v>
      </c>
      <c r="B1378" s="4">
        <v>45922</v>
      </c>
      <c r="C1378" t="s">
        <v>20</v>
      </c>
      <c r="D1378" t="s">
        <v>5533</v>
      </c>
      <c r="E1378" t="s">
        <v>15</v>
      </c>
      <c r="F1378" t="s">
        <v>5534</v>
      </c>
      <c r="G1378" t="s">
        <v>5535</v>
      </c>
      <c r="H1378" s="4">
        <v>46097.29315391204</v>
      </c>
      <c r="J1378" t="s">
        <v>68</v>
      </c>
      <c r="K1378">
        <v>101195</v>
      </c>
    </row>
    <row r="1379" spans="1:11" x14ac:dyDescent="0.55000000000000004">
      <c r="A1379" t="s">
        <v>5536</v>
      </c>
      <c r="B1379" s="4">
        <v>46099</v>
      </c>
      <c r="C1379" t="s">
        <v>418</v>
      </c>
      <c r="D1379" t="s">
        <v>5537</v>
      </c>
      <c r="E1379" t="s">
        <v>22</v>
      </c>
      <c r="F1379" t="s">
        <v>5538</v>
      </c>
      <c r="G1379" t="s">
        <v>5539</v>
      </c>
      <c r="H1379" s="4">
        <v>46082.947320578707</v>
      </c>
      <c r="J1379" t="s">
        <v>37</v>
      </c>
      <c r="K1379">
        <v>100877</v>
      </c>
    </row>
    <row r="1380" spans="1:11" x14ac:dyDescent="0.55000000000000004">
      <c r="A1380" t="s">
        <v>5540</v>
      </c>
      <c r="B1380" s="4">
        <v>45929</v>
      </c>
      <c r="C1380" t="s">
        <v>409</v>
      </c>
      <c r="D1380" t="s">
        <v>5541</v>
      </c>
      <c r="E1380" t="s">
        <v>15</v>
      </c>
      <c r="F1380" t="s">
        <v>5542</v>
      </c>
      <c r="G1380" t="s">
        <v>5543</v>
      </c>
      <c r="H1380" s="4">
        <v>46090.948709467593</v>
      </c>
      <c r="J1380" t="s">
        <v>37</v>
      </c>
      <c r="K1380">
        <v>101197</v>
      </c>
    </row>
    <row r="1381" spans="1:11" x14ac:dyDescent="0.55000000000000004">
      <c r="A1381" t="s">
        <v>5544</v>
      </c>
      <c r="B1381" s="4">
        <v>46098</v>
      </c>
      <c r="C1381" t="s">
        <v>243</v>
      </c>
      <c r="D1381" t="s">
        <v>5545</v>
      </c>
      <c r="E1381" t="s">
        <v>22</v>
      </c>
      <c r="F1381" t="s">
        <v>5546</v>
      </c>
      <c r="G1381" t="s">
        <v>5547</v>
      </c>
      <c r="H1381" s="4">
        <v>46077.291070590276</v>
      </c>
      <c r="J1381" t="s">
        <v>248</v>
      </c>
      <c r="K1381">
        <v>100538</v>
      </c>
    </row>
    <row r="1382" spans="1:11" x14ac:dyDescent="0.55000000000000004">
      <c r="A1382" t="s">
        <v>5548</v>
      </c>
      <c r="B1382" s="4">
        <v>45832</v>
      </c>
      <c r="C1382" t="s">
        <v>69</v>
      </c>
      <c r="D1382" t="s">
        <v>5549</v>
      </c>
      <c r="E1382" t="s">
        <v>22</v>
      </c>
      <c r="F1382" t="s">
        <v>5550</v>
      </c>
      <c r="G1382" t="s">
        <v>5551</v>
      </c>
      <c r="H1382" s="4">
        <v>46095.355653923609</v>
      </c>
      <c r="J1382" t="s">
        <v>248</v>
      </c>
      <c r="K1382">
        <v>101103</v>
      </c>
    </row>
    <row r="1383" spans="1:11" x14ac:dyDescent="0.55000000000000004">
      <c r="A1383" t="s">
        <v>5552</v>
      </c>
      <c r="B1383" s="4">
        <v>45793</v>
      </c>
      <c r="C1383" t="s">
        <v>69</v>
      </c>
      <c r="D1383" t="s">
        <v>5553</v>
      </c>
      <c r="E1383" t="s">
        <v>15</v>
      </c>
      <c r="F1383" t="s">
        <v>5554</v>
      </c>
      <c r="G1383" t="s">
        <v>5555</v>
      </c>
      <c r="H1383" s="4">
        <v>46059.281348368058</v>
      </c>
      <c r="J1383" t="s">
        <v>179</v>
      </c>
      <c r="K1383">
        <v>101478</v>
      </c>
    </row>
    <row r="1384" spans="1:11" x14ac:dyDescent="0.55000000000000004">
      <c r="A1384" t="s">
        <v>5556</v>
      </c>
      <c r="B1384" s="4">
        <v>45928</v>
      </c>
      <c r="C1384" t="s">
        <v>38</v>
      </c>
      <c r="D1384" t="s">
        <v>5557</v>
      </c>
      <c r="E1384" t="s">
        <v>15</v>
      </c>
      <c r="F1384" t="s">
        <v>5558</v>
      </c>
      <c r="G1384" t="s">
        <v>5559</v>
      </c>
      <c r="H1384" s="4">
        <v>46079.72093171296</v>
      </c>
      <c r="J1384" t="s">
        <v>19</v>
      </c>
      <c r="K1384">
        <v>100505</v>
      </c>
    </row>
    <row r="1385" spans="1:11" x14ac:dyDescent="0.55000000000000004">
      <c r="A1385" t="s">
        <v>5560</v>
      </c>
      <c r="B1385" s="4">
        <v>45734</v>
      </c>
      <c r="C1385" t="s">
        <v>356</v>
      </c>
      <c r="D1385" t="s">
        <v>5561</v>
      </c>
      <c r="E1385" t="s">
        <v>22</v>
      </c>
      <c r="F1385" t="s">
        <v>5562</v>
      </c>
      <c r="G1385" t="s">
        <v>5563</v>
      </c>
      <c r="H1385" s="4">
        <v>46094.98759837963</v>
      </c>
      <c r="J1385" t="s">
        <v>19</v>
      </c>
      <c r="K1385">
        <v>101493</v>
      </c>
    </row>
    <row r="1386" spans="1:11" x14ac:dyDescent="0.55000000000000004">
      <c r="A1386" t="s">
        <v>5564</v>
      </c>
      <c r="B1386" s="4">
        <v>45752</v>
      </c>
      <c r="C1386" t="s">
        <v>141</v>
      </c>
      <c r="D1386" t="s">
        <v>5565</v>
      </c>
      <c r="E1386" t="s">
        <v>15</v>
      </c>
      <c r="F1386" t="s">
        <v>5566</v>
      </c>
      <c r="G1386" t="s">
        <v>5567</v>
      </c>
      <c r="H1386" s="4">
        <v>46067.611209502313</v>
      </c>
      <c r="J1386" t="s">
        <v>19</v>
      </c>
      <c r="K1386">
        <v>100542</v>
      </c>
    </row>
    <row r="1387" spans="1:11" x14ac:dyDescent="0.55000000000000004">
      <c r="A1387" t="s">
        <v>5568</v>
      </c>
      <c r="B1387" s="4">
        <v>46102</v>
      </c>
      <c r="C1387" t="s">
        <v>49</v>
      </c>
      <c r="D1387" t="s">
        <v>5569</v>
      </c>
      <c r="E1387" t="s">
        <v>22</v>
      </c>
      <c r="F1387" t="s">
        <v>5570</v>
      </c>
      <c r="G1387" t="s">
        <v>5571</v>
      </c>
      <c r="H1387" s="4">
        <v>46072.632737280095</v>
      </c>
      <c r="J1387" t="s">
        <v>179</v>
      </c>
      <c r="K1387">
        <v>100292</v>
      </c>
    </row>
    <row r="1388" spans="1:11" x14ac:dyDescent="0.55000000000000004">
      <c r="A1388" t="s">
        <v>5572</v>
      </c>
      <c r="B1388" s="4">
        <v>46128</v>
      </c>
      <c r="C1388" t="s">
        <v>89</v>
      </c>
      <c r="D1388" t="s">
        <v>5573</v>
      </c>
      <c r="E1388" t="s">
        <v>15</v>
      </c>
      <c r="F1388" t="s">
        <v>5574</v>
      </c>
      <c r="G1388" t="s">
        <v>5575</v>
      </c>
      <c r="H1388" s="4">
        <v>46072.321626168981</v>
      </c>
      <c r="J1388" t="s">
        <v>19</v>
      </c>
      <c r="K1388">
        <v>100939</v>
      </c>
    </row>
    <row r="1389" spans="1:11" x14ac:dyDescent="0.55000000000000004">
      <c r="A1389" t="s">
        <v>5576</v>
      </c>
      <c r="B1389" s="4">
        <v>45984</v>
      </c>
      <c r="C1389" t="s">
        <v>13</v>
      </c>
      <c r="D1389" t="s">
        <v>5577</v>
      </c>
      <c r="E1389" t="s">
        <v>15</v>
      </c>
      <c r="F1389" t="s">
        <v>5578</v>
      </c>
      <c r="G1389" t="s">
        <v>5579</v>
      </c>
      <c r="H1389" s="4">
        <v>46083.678570625001</v>
      </c>
      <c r="J1389" t="s">
        <v>179</v>
      </c>
      <c r="K1389">
        <v>101316</v>
      </c>
    </row>
    <row r="1390" spans="1:11" x14ac:dyDescent="0.55000000000000004">
      <c r="A1390" t="s">
        <v>5580</v>
      </c>
      <c r="B1390" s="4">
        <v>45803</v>
      </c>
      <c r="C1390" t="s">
        <v>20</v>
      </c>
      <c r="D1390" t="s">
        <v>5581</v>
      </c>
      <c r="E1390" t="s">
        <v>22</v>
      </c>
      <c r="F1390" t="s">
        <v>5582</v>
      </c>
      <c r="G1390" t="s">
        <v>5583</v>
      </c>
      <c r="H1390" s="4">
        <v>46083.504265069445</v>
      </c>
      <c r="J1390" t="s">
        <v>37</v>
      </c>
      <c r="K1390">
        <v>100810</v>
      </c>
    </row>
    <row r="1391" spans="1:11" x14ac:dyDescent="0.55000000000000004">
      <c r="A1391" t="s">
        <v>5584</v>
      </c>
      <c r="B1391" s="4">
        <v>45829</v>
      </c>
      <c r="C1391" t="s">
        <v>343</v>
      </c>
      <c r="D1391" t="s">
        <v>5585</v>
      </c>
      <c r="E1391" t="s">
        <v>15</v>
      </c>
      <c r="F1391" t="s">
        <v>5586</v>
      </c>
      <c r="G1391" t="s">
        <v>5587</v>
      </c>
      <c r="H1391" s="4">
        <v>46081.684820625</v>
      </c>
      <c r="J1391" t="s">
        <v>37</v>
      </c>
      <c r="K1391">
        <v>101022</v>
      </c>
    </row>
    <row r="1392" spans="1:11" x14ac:dyDescent="0.55000000000000004">
      <c r="A1392" t="s">
        <v>5588</v>
      </c>
      <c r="B1392" s="4">
        <v>45756</v>
      </c>
      <c r="C1392" t="s">
        <v>295</v>
      </c>
      <c r="D1392" t="s">
        <v>5589</v>
      </c>
      <c r="E1392" t="s">
        <v>22</v>
      </c>
      <c r="F1392" t="s">
        <v>5590</v>
      </c>
      <c r="G1392" t="s">
        <v>5591</v>
      </c>
      <c r="H1392" s="4">
        <v>46052.875098414355</v>
      </c>
      <c r="J1392" t="s">
        <v>533</v>
      </c>
      <c r="K1392">
        <v>101342</v>
      </c>
    </row>
    <row r="1393" spans="1:11" x14ac:dyDescent="0.55000000000000004">
      <c r="A1393" t="s">
        <v>6041</v>
      </c>
      <c r="B1393" s="4">
        <v>45870</v>
      </c>
      <c r="C1393" t="s">
        <v>680</v>
      </c>
      <c r="D1393" t="s">
        <v>5593</v>
      </c>
      <c r="E1393" t="s">
        <v>15</v>
      </c>
      <c r="F1393" t="s">
        <v>5594</v>
      </c>
      <c r="G1393" t="s">
        <v>5595</v>
      </c>
      <c r="H1393" s="4">
        <v>46089.292459525466</v>
      </c>
      <c r="I1393" t="s">
        <v>119</v>
      </c>
      <c r="J1393" t="s">
        <v>179</v>
      </c>
      <c r="K1393">
        <v>100435</v>
      </c>
    </row>
    <row r="1394" spans="1:11" x14ac:dyDescent="0.55000000000000004">
      <c r="A1394" t="s">
        <v>5596</v>
      </c>
      <c r="B1394" s="4">
        <v>46117</v>
      </c>
      <c r="C1394" t="s">
        <v>243</v>
      </c>
      <c r="D1394" t="s">
        <v>5597</v>
      </c>
      <c r="E1394" t="s">
        <v>15</v>
      </c>
      <c r="F1394" t="s">
        <v>5598</v>
      </c>
      <c r="G1394" t="s">
        <v>5599</v>
      </c>
      <c r="H1394" s="4">
        <v>46061.066765081021</v>
      </c>
      <c r="J1394" t="s">
        <v>533</v>
      </c>
      <c r="K1394">
        <v>100644</v>
      </c>
    </row>
    <row r="1395" spans="1:11" x14ac:dyDescent="0.55000000000000004">
      <c r="A1395" t="s">
        <v>5600</v>
      </c>
      <c r="B1395" s="4">
        <v>45875</v>
      </c>
      <c r="C1395" t="s">
        <v>757</v>
      </c>
      <c r="D1395" t="s">
        <v>5601</v>
      </c>
      <c r="E1395" t="s">
        <v>15</v>
      </c>
      <c r="F1395" t="s">
        <v>5602</v>
      </c>
      <c r="G1395" t="s">
        <v>5603</v>
      </c>
      <c r="H1395" s="4">
        <v>46092.370931759258</v>
      </c>
      <c r="J1395" t="s">
        <v>19</v>
      </c>
      <c r="K1395">
        <v>101161</v>
      </c>
    </row>
    <row r="1396" spans="1:11" x14ac:dyDescent="0.55000000000000004">
      <c r="A1396" t="s">
        <v>5604</v>
      </c>
      <c r="B1396" s="4">
        <v>46096</v>
      </c>
      <c r="C1396" t="s">
        <v>20</v>
      </c>
      <c r="D1396" t="s">
        <v>5605</v>
      </c>
      <c r="E1396" t="s">
        <v>15</v>
      </c>
      <c r="F1396" t="s">
        <v>5606</v>
      </c>
      <c r="G1396" t="s">
        <v>5607</v>
      </c>
      <c r="H1396" s="4">
        <v>46054.825792870368</v>
      </c>
      <c r="J1396" t="s">
        <v>68</v>
      </c>
      <c r="K1396">
        <v>100432</v>
      </c>
    </row>
    <row r="1397" spans="1:11" x14ac:dyDescent="0.55000000000000004">
      <c r="A1397" t="s">
        <v>5608</v>
      </c>
      <c r="B1397" s="4">
        <v>46087</v>
      </c>
      <c r="C1397" t="s">
        <v>155</v>
      </c>
      <c r="D1397" t="s">
        <v>5609</v>
      </c>
      <c r="E1397" t="s">
        <v>22</v>
      </c>
      <c r="F1397" t="s">
        <v>5610</v>
      </c>
      <c r="G1397" t="s">
        <v>5611</v>
      </c>
      <c r="H1397" s="4">
        <v>46094.443848425923</v>
      </c>
      <c r="J1397" t="s">
        <v>248</v>
      </c>
      <c r="K1397">
        <v>100135</v>
      </c>
    </row>
    <row r="1398" spans="1:11" x14ac:dyDescent="0.55000000000000004">
      <c r="A1398" t="s">
        <v>5612</v>
      </c>
      <c r="B1398" s="4">
        <v>46075</v>
      </c>
      <c r="C1398" t="s">
        <v>69</v>
      </c>
      <c r="D1398" t="s">
        <v>5613</v>
      </c>
      <c r="E1398" t="s">
        <v>22</v>
      </c>
      <c r="F1398" t="s">
        <v>5614</v>
      </c>
      <c r="G1398" t="s">
        <v>5615</v>
      </c>
      <c r="H1398" s="4">
        <v>46085.052876215275</v>
      </c>
      <c r="J1398" t="s">
        <v>37</v>
      </c>
      <c r="K1398">
        <v>100548</v>
      </c>
    </row>
    <row r="1399" spans="1:11" x14ac:dyDescent="0.55000000000000004">
      <c r="A1399" t="s">
        <v>1583</v>
      </c>
      <c r="B1399" s="4">
        <v>45906</v>
      </c>
      <c r="C1399" t="s">
        <v>38</v>
      </c>
      <c r="D1399" t="s">
        <v>5616</v>
      </c>
      <c r="E1399" t="s">
        <v>22</v>
      </c>
      <c r="F1399" t="s">
        <v>5617</v>
      </c>
      <c r="G1399" t="s">
        <v>5618</v>
      </c>
      <c r="H1399" s="4">
        <v>46078.100792881945</v>
      </c>
      <c r="J1399" t="s">
        <v>533</v>
      </c>
      <c r="K1399">
        <v>100821</v>
      </c>
    </row>
    <row r="1400" spans="1:11" x14ac:dyDescent="0.55000000000000004">
      <c r="A1400" t="s">
        <v>5619</v>
      </c>
      <c r="B1400" s="4">
        <v>45990</v>
      </c>
      <c r="C1400" t="s">
        <v>115</v>
      </c>
      <c r="D1400" t="s">
        <v>5620</v>
      </c>
      <c r="E1400" t="s">
        <v>15</v>
      </c>
      <c r="F1400" t="s">
        <v>5621</v>
      </c>
      <c r="G1400" t="s">
        <v>5622</v>
      </c>
      <c r="H1400" s="4">
        <v>46074.19801511574</v>
      </c>
      <c r="J1400" t="s">
        <v>533</v>
      </c>
      <c r="K1400">
        <v>100646</v>
      </c>
    </row>
    <row r="1401" spans="1:11" x14ac:dyDescent="0.55000000000000004">
      <c r="A1401" t="s">
        <v>5623</v>
      </c>
      <c r="B1401" s="4">
        <v>46049</v>
      </c>
      <c r="C1401" t="s">
        <v>680</v>
      </c>
      <c r="D1401" t="s">
        <v>5624</v>
      </c>
      <c r="E1401" t="s">
        <v>15</v>
      </c>
      <c r="F1401" t="s">
        <v>5625</v>
      </c>
      <c r="G1401" t="s">
        <v>5626</v>
      </c>
      <c r="H1401" s="4">
        <v>46080.144542893519</v>
      </c>
      <c r="J1401" t="s">
        <v>179</v>
      </c>
      <c r="K1401">
        <v>101486</v>
      </c>
    </row>
    <row r="1402" spans="1:11" x14ac:dyDescent="0.55000000000000004">
      <c r="A1402" t="s">
        <v>5627</v>
      </c>
      <c r="B1402" s="4">
        <v>46083</v>
      </c>
      <c r="C1402" t="s">
        <v>170</v>
      </c>
      <c r="D1402" t="s">
        <v>5628</v>
      </c>
      <c r="E1402" t="s">
        <v>15</v>
      </c>
      <c r="F1402" t="s">
        <v>5629</v>
      </c>
      <c r="G1402" t="s">
        <v>5630</v>
      </c>
      <c r="H1402" s="4">
        <v>46068.593848449076</v>
      </c>
      <c r="J1402" t="s">
        <v>533</v>
      </c>
      <c r="K1402">
        <v>100469</v>
      </c>
    </row>
    <row r="1403" spans="1:11" x14ac:dyDescent="0.55000000000000004">
      <c r="A1403" t="s">
        <v>5631</v>
      </c>
      <c r="B1403" s="4">
        <v>45855</v>
      </c>
      <c r="C1403" t="s">
        <v>69</v>
      </c>
      <c r="D1403" t="s">
        <v>5632</v>
      </c>
      <c r="E1403" t="s">
        <v>15</v>
      </c>
      <c r="F1403" t="s">
        <v>5633</v>
      </c>
      <c r="G1403" t="s">
        <v>5634</v>
      </c>
      <c r="H1403" s="4">
        <v>46080.705654016201</v>
      </c>
      <c r="J1403" t="s">
        <v>533</v>
      </c>
      <c r="K1403">
        <v>100114</v>
      </c>
    </row>
    <row r="1404" spans="1:11" x14ac:dyDescent="0.55000000000000004">
      <c r="A1404" t="s">
        <v>5635</v>
      </c>
      <c r="B1404" s="4">
        <v>46070</v>
      </c>
      <c r="C1404" t="s">
        <v>495</v>
      </c>
      <c r="D1404" t="s">
        <v>5636</v>
      </c>
      <c r="E1404" t="s">
        <v>15</v>
      </c>
      <c r="F1404" t="s">
        <v>5637</v>
      </c>
      <c r="G1404" t="s">
        <v>5638</v>
      </c>
      <c r="H1404" s="4">
        <v>46062.626487349538</v>
      </c>
      <c r="J1404" t="s">
        <v>19</v>
      </c>
      <c r="K1404">
        <v>100664</v>
      </c>
    </row>
    <row r="1405" spans="1:11" x14ac:dyDescent="0.55000000000000004">
      <c r="A1405" t="s">
        <v>5639</v>
      </c>
      <c r="B1405" s="4">
        <v>45952</v>
      </c>
      <c r="C1405" t="s">
        <v>115</v>
      </c>
      <c r="D1405" t="s">
        <v>5640</v>
      </c>
      <c r="E1405" t="s">
        <v>22</v>
      </c>
      <c r="F1405" t="s">
        <v>5641</v>
      </c>
      <c r="G1405" t="s">
        <v>5642</v>
      </c>
      <c r="H1405" s="4">
        <v>46065.133431793984</v>
      </c>
      <c r="J1405" t="s">
        <v>68</v>
      </c>
      <c r="K1405">
        <v>101402</v>
      </c>
    </row>
    <row r="1406" spans="1:11" x14ac:dyDescent="0.55000000000000004">
      <c r="A1406" t="s">
        <v>5643</v>
      </c>
      <c r="B1406" s="4">
        <v>45902</v>
      </c>
      <c r="C1406" t="s">
        <v>69</v>
      </c>
      <c r="D1406" t="s">
        <v>5644</v>
      </c>
      <c r="E1406" t="s">
        <v>22</v>
      </c>
      <c r="F1406" t="s">
        <v>5645</v>
      </c>
      <c r="G1406" t="s">
        <v>5646</v>
      </c>
      <c r="H1406" s="4">
        <v>46074.607042916665</v>
      </c>
      <c r="J1406" t="s">
        <v>19</v>
      </c>
      <c r="K1406">
        <v>100449</v>
      </c>
    </row>
    <row r="1407" spans="1:11" x14ac:dyDescent="0.55000000000000004">
      <c r="A1407" t="s">
        <v>5647</v>
      </c>
      <c r="B1407" s="4">
        <v>46064</v>
      </c>
      <c r="C1407" t="s">
        <v>757</v>
      </c>
      <c r="D1407" t="s">
        <v>5648</v>
      </c>
      <c r="E1407" t="s">
        <v>15</v>
      </c>
      <c r="F1407" t="s">
        <v>5649</v>
      </c>
      <c r="G1407" t="s">
        <v>5650</v>
      </c>
      <c r="H1407" s="4">
        <v>46079.477181805552</v>
      </c>
      <c r="J1407" t="s">
        <v>37</v>
      </c>
      <c r="K1407">
        <v>101140</v>
      </c>
    </row>
    <row r="1408" spans="1:11" x14ac:dyDescent="0.55000000000000004">
      <c r="A1408" t="s">
        <v>5651</v>
      </c>
      <c r="B1408" s="4">
        <v>45822</v>
      </c>
      <c r="C1408" t="s">
        <v>495</v>
      </c>
      <c r="D1408" t="s">
        <v>5652</v>
      </c>
      <c r="E1408" t="s">
        <v>22</v>
      </c>
      <c r="F1408" t="s">
        <v>5653</v>
      </c>
      <c r="G1408" t="s">
        <v>5654</v>
      </c>
      <c r="H1408" s="4">
        <v>46090.777181805555</v>
      </c>
      <c r="J1408" t="s">
        <v>179</v>
      </c>
      <c r="K1408">
        <v>101310</v>
      </c>
    </row>
    <row r="1409" spans="1:11" x14ac:dyDescent="0.55000000000000004">
      <c r="A1409" t="s">
        <v>5655</v>
      </c>
      <c r="B1409" s="4">
        <v>46062</v>
      </c>
      <c r="C1409" t="s">
        <v>155</v>
      </c>
      <c r="D1409" t="s">
        <v>5656</v>
      </c>
      <c r="E1409" t="s">
        <v>15</v>
      </c>
      <c r="F1409" t="s">
        <v>5657</v>
      </c>
      <c r="G1409" t="s">
        <v>5658</v>
      </c>
      <c r="H1409" s="4">
        <v>46090.670931817127</v>
      </c>
      <c r="J1409" t="s">
        <v>37</v>
      </c>
      <c r="K1409">
        <v>100552</v>
      </c>
    </row>
    <row r="1410" spans="1:11" x14ac:dyDescent="0.55000000000000004">
      <c r="A1410" t="s">
        <v>6042</v>
      </c>
      <c r="B1410" s="4">
        <v>46026</v>
      </c>
      <c r="C1410" t="s">
        <v>265</v>
      </c>
      <c r="D1410" t="s">
        <v>5660</v>
      </c>
      <c r="E1410" t="s">
        <v>15</v>
      </c>
      <c r="F1410" t="s">
        <v>5661</v>
      </c>
      <c r="G1410" t="s">
        <v>5662</v>
      </c>
      <c r="H1410" s="4">
        <v>46080.424404039353</v>
      </c>
      <c r="I1410" t="s">
        <v>119</v>
      </c>
      <c r="J1410" t="s">
        <v>37</v>
      </c>
      <c r="K1410">
        <v>100777</v>
      </c>
    </row>
    <row r="1411" spans="1:11" x14ac:dyDescent="0.55000000000000004">
      <c r="A1411" t="s">
        <v>5663</v>
      </c>
      <c r="B1411" s="4">
        <v>46090</v>
      </c>
      <c r="C1411" t="s">
        <v>213</v>
      </c>
      <c r="D1411" t="s">
        <v>5664</v>
      </c>
      <c r="E1411" t="s">
        <v>15</v>
      </c>
      <c r="F1411" t="s">
        <v>5665</v>
      </c>
      <c r="G1411" t="s">
        <v>5666</v>
      </c>
      <c r="H1411" s="4">
        <v>46082.762598483794</v>
      </c>
      <c r="J1411" t="s">
        <v>19</v>
      </c>
      <c r="K1411">
        <v>100946</v>
      </c>
    </row>
    <row r="1412" spans="1:11" x14ac:dyDescent="0.55000000000000004">
      <c r="A1412" t="s">
        <v>5667</v>
      </c>
      <c r="B1412" s="4">
        <v>45985</v>
      </c>
      <c r="C1412" t="s">
        <v>115</v>
      </c>
      <c r="D1412" t="s">
        <v>5668</v>
      </c>
      <c r="E1412" t="s">
        <v>15</v>
      </c>
      <c r="F1412" t="s">
        <v>5669</v>
      </c>
      <c r="G1412" t="s">
        <v>5670</v>
      </c>
      <c r="H1412" s="4">
        <v>46074.840376273147</v>
      </c>
      <c r="I1412" t="s">
        <v>112</v>
      </c>
      <c r="J1412" t="s">
        <v>248</v>
      </c>
    </row>
    <row r="1413" spans="1:11" x14ac:dyDescent="0.55000000000000004">
      <c r="A1413" t="s">
        <v>5671</v>
      </c>
      <c r="B1413" s="4">
        <v>46093</v>
      </c>
      <c r="C1413" t="s">
        <v>343</v>
      </c>
      <c r="D1413" t="s">
        <v>5672</v>
      </c>
      <c r="E1413" t="s">
        <v>15</v>
      </c>
      <c r="F1413" t="s">
        <v>5673</v>
      </c>
      <c r="G1413" t="s">
        <v>5674</v>
      </c>
      <c r="H1413" s="4">
        <v>46064.750098495373</v>
      </c>
      <c r="J1413" t="s">
        <v>68</v>
      </c>
      <c r="K1413">
        <v>101495</v>
      </c>
    </row>
    <row r="1414" spans="1:11" x14ac:dyDescent="0.55000000000000004">
      <c r="A1414" t="s">
        <v>5675</v>
      </c>
      <c r="B1414" s="4">
        <v>45976</v>
      </c>
      <c r="C1414" t="s">
        <v>160</v>
      </c>
      <c r="D1414" t="s">
        <v>5676</v>
      </c>
      <c r="E1414" t="s">
        <v>22</v>
      </c>
      <c r="F1414" t="s">
        <v>5677</v>
      </c>
      <c r="G1414" t="s">
        <v>5678</v>
      </c>
      <c r="H1414" s="4">
        <v>46054.647320717595</v>
      </c>
      <c r="J1414" t="s">
        <v>19</v>
      </c>
      <c r="K1414">
        <v>101093</v>
      </c>
    </row>
    <row r="1415" spans="1:11" x14ac:dyDescent="0.55000000000000004">
      <c r="A1415" t="s">
        <v>5679</v>
      </c>
      <c r="B1415" s="4">
        <v>45827</v>
      </c>
      <c r="C1415" t="s">
        <v>418</v>
      </c>
      <c r="D1415" t="s">
        <v>5680</v>
      </c>
      <c r="E1415" t="s">
        <v>15</v>
      </c>
      <c r="F1415" t="s">
        <v>5681</v>
      </c>
      <c r="G1415" t="s">
        <v>5682</v>
      </c>
      <c r="H1415" s="4">
        <v>46055.07162628472</v>
      </c>
      <c r="J1415" t="s">
        <v>533</v>
      </c>
      <c r="K1415">
        <v>100350</v>
      </c>
    </row>
    <row r="1416" spans="1:11" x14ac:dyDescent="0.55000000000000004">
      <c r="A1416" t="s">
        <v>5683</v>
      </c>
      <c r="B1416" s="4">
        <v>45903</v>
      </c>
      <c r="C1416" t="s">
        <v>115</v>
      </c>
      <c r="D1416" t="s">
        <v>5684</v>
      </c>
      <c r="E1416" t="s">
        <v>22</v>
      </c>
      <c r="F1416" t="s">
        <v>5685</v>
      </c>
      <c r="G1416" t="s">
        <v>5686</v>
      </c>
      <c r="H1416" s="4">
        <v>46093.503570729168</v>
      </c>
      <c r="J1416" t="s">
        <v>179</v>
      </c>
      <c r="K1416">
        <v>101300</v>
      </c>
    </row>
    <row r="1417" spans="1:11" x14ac:dyDescent="0.55000000000000004">
      <c r="A1417" t="s">
        <v>5687</v>
      </c>
      <c r="B1417" s="4">
        <v>46036</v>
      </c>
      <c r="C1417" t="s">
        <v>89</v>
      </c>
      <c r="D1417" t="s">
        <v>5688</v>
      </c>
      <c r="E1417" t="s">
        <v>15</v>
      </c>
      <c r="F1417" t="s">
        <v>5689</v>
      </c>
      <c r="G1417" t="s">
        <v>5690</v>
      </c>
      <c r="H1417" s="4">
        <v>46066.39454296296</v>
      </c>
      <c r="J1417" t="s">
        <v>37</v>
      </c>
      <c r="K1417">
        <v>101247</v>
      </c>
    </row>
    <row r="1418" spans="1:11" x14ac:dyDescent="0.55000000000000004">
      <c r="A1418" t="s">
        <v>5691</v>
      </c>
      <c r="B1418" s="4">
        <v>45788</v>
      </c>
      <c r="C1418" t="s">
        <v>155</v>
      </c>
      <c r="D1418" t="s">
        <v>5692</v>
      </c>
      <c r="E1418" t="s">
        <v>22</v>
      </c>
      <c r="F1418" t="s">
        <v>5693</v>
      </c>
      <c r="G1418" t="s">
        <v>5694</v>
      </c>
      <c r="H1418" s="4">
        <v>46082.999404074071</v>
      </c>
      <c r="J1418" t="s">
        <v>19</v>
      </c>
      <c r="K1418">
        <v>100146</v>
      </c>
    </row>
    <row r="1419" spans="1:11" x14ac:dyDescent="0.55000000000000004">
      <c r="A1419" t="s">
        <v>5695</v>
      </c>
      <c r="B1419" s="4">
        <v>45817</v>
      </c>
      <c r="C1419" t="s">
        <v>155</v>
      </c>
      <c r="D1419" t="s">
        <v>5696</v>
      </c>
      <c r="E1419" t="s">
        <v>15</v>
      </c>
      <c r="F1419" t="s">
        <v>5697</v>
      </c>
      <c r="G1419" t="s">
        <v>5698</v>
      </c>
      <c r="H1419" s="4">
        <v>46078.26884853009</v>
      </c>
      <c r="J1419" t="s">
        <v>19</v>
      </c>
      <c r="K1419">
        <v>101327</v>
      </c>
    </row>
    <row r="1420" spans="1:11" x14ac:dyDescent="0.55000000000000004">
      <c r="A1420" t="s">
        <v>5699</v>
      </c>
      <c r="B1420" s="4">
        <v>45983</v>
      </c>
      <c r="C1420" t="s">
        <v>126</v>
      </c>
      <c r="D1420" t="s">
        <v>5700</v>
      </c>
      <c r="E1420" t="s">
        <v>22</v>
      </c>
      <c r="F1420" t="s">
        <v>5701</v>
      </c>
      <c r="G1420" t="s">
        <v>5702</v>
      </c>
      <c r="H1420" s="4">
        <v>46081.227876307872</v>
      </c>
      <c r="J1420" t="s">
        <v>179</v>
      </c>
      <c r="K1420">
        <v>101399</v>
      </c>
    </row>
    <row r="1421" spans="1:11" x14ac:dyDescent="0.55000000000000004">
      <c r="A1421" t="s">
        <v>377</v>
      </c>
      <c r="B1421" s="4">
        <v>45738</v>
      </c>
      <c r="C1421" t="s">
        <v>49</v>
      </c>
      <c r="D1421" t="s">
        <v>5703</v>
      </c>
      <c r="E1421" t="s">
        <v>22</v>
      </c>
      <c r="F1421" t="s">
        <v>5704</v>
      </c>
      <c r="G1421" t="s">
        <v>5705</v>
      </c>
      <c r="H1421" s="4">
        <v>46090.36259853009</v>
      </c>
      <c r="J1421" t="s">
        <v>179</v>
      </c>
      <c r="K1421">
        <v>100546</v>
      </c>
    </row>
    <row r="1422" spans="1:11" x14ac:dyDescent="0.55000000000000004">
      <c r="A1422" t="s">
        <v>5706</v>
      </c>
      <c r="B1422" s="4">
        <v>46104</v>
      </c>
      <c r="C1422" t="s">
        <v>121</v>
      </c>
      <c r="D1422" t="s">
        <v>5707</v>
      </c>
      <c r="E1422" t="s">
        <v>15</v>
      </c>
      <c r="F1422" t="s">
        <v>5708</v>
      </c>
      <c r="G1422" t="s">
        <v>5709</v>
      </c>
      <c r="H1422" s="4">
        <v>46055.544542986114</v>
      </c>
      <c r="I1422" t="s">
        <v>112</v>
      </c>
      <c r="J1422" t="s">
        <v>19</v>
      </c>
    </row>
    <row r="1423" spans="1:11" x14ac:dyDescent="0.55000000000000004">
      <c r="A1423" t="s">
        <v>5710</v>
      </c>
      <c r="B1423" s="4">
        <v>45986</v>
      </c>
      <c r="C1423" t="s">
        <v>115</v>
      </c>
      <c r="D1423" t="s">
        <v>5711</v>
      </c>
      <c r="E1423" t="s">
        <v>22</v>
      </c>
      <c r="F1423" t="s">
        <v>5712</v>
      </c>
      <c r="G1423" t="s">
        <v>5713</v>
      </c>
      <c r="H1423" s="4">
        <v>46074.452876319447</v>
      </c>
      <c r="J1423" t="s">
        <v>68</v>
      </c>
      <c r="K1423">
        <v>100429</v>
      </c>
    </row>
    <row r="1424" spans="1:11" x14ac:dyDescent="0.55000000000000004">
      <c r="A1424" t="s">
        <v>5714</v>
      </c>
      <c r="B1424" s="4">
        <v>45831</v>
      </c>
      <c r="C1424" t="s">
        <v>141</v>
      </c>
      <c r="D1424" t="s">
        <v>5715</v>
      </c>
      <c r="E1424" t="s">
        <v>22</v>
      </c>
      <c r="F1424" t="s">
        <v>5716</v>
      </c>
      <c r="G1424" t="s">
        <v>5717</v>
      </c>
      <c r="H1424" s="4">
        <v>46056.780654108799</v>
      </c>
      <c r="J1424" t="s">
        <v>37</v>
      </c>
      <c r="K1424">
        <v>100727</v>
      </c>
    </row>
    <row r="1425" spans="1:11" x14ac:dyDescent="0.55000000000000004">
      <c r="A1425" t="s">
        <v>5718</v>
      </c>
      <c r="B1425" s="4">
        <v>45962</v>
      </c>
      <c r="C1425" t="s">
        <v>160</v>
      </c>
      <c r="D1425" t="s">
        <v>5719</v>
      </c>
      <c r="E1425" t="s">
        <v>22</v>
      </c>
      <c r="F1425" t="s">
        <v>5720</v>
      </c>
      <c r="G1425" t="s">
        <v>5721</v>
      </c>
      <c r="H1425" s="4">
        <v>46071.908431886572</v>
      </c>
      <c r="J1425" t="s">
        <v>19</v>
      </c>
      <c r="K1425">
        <v>100758</v>
      </c>
    </row>
    <row r="1426" spans="1:11" x14ac:dyDescent="0.55000000000000004">
      <c r="A1426" t="s">
        <v>5722</v>
      </c>
      <c r="B1426" s="4">
        <v>45873</v>
      </c>
      <c r="C1426" t="s">
        <v>265</v>
      </c>
      <c r="D1426" t="s">
        <v>5723</v>
      </c>
      <c r="E1426" t="s">
        <v>22</v>
      </c>
      <c r="F1426" t="s">
        <v>5724</v>
      </c>
      <c r="G1426" t="s">
        <v>5725</v>
      </c>
      <c r="H1426" s="4">
        <v>46058.571626331017</v>
      </c>
      <c r="J1426" t="s">
        <v>179</v>
      </c>
      <c r="K1426">
        <v>100333</v>
      </c>
    </row>
    <row r="1427" spans="1:11" x14ac:dyDescent="0.55000000000000004">
      <c r="A1427" t="s">
        <v>5726</v>
      </c>
      <c r="B1427" s="4">
        <v>46139</v>
      </c>
      <c r="C1427" t="s">
        <v>467</v>
      </c>
      <c r="D1427" t="s">
        <v>5727</v>
      </c>
      <c r="E1427" t="s">
        <v>22</v>
      </c>
      <c r="F1427" t="s">
        <v>5728</v>
      </c>
      <c r="G1427" t="s">
        <v>5729</v>
      </c>
      <c r="H1427" s="4">
        <v>46090.734126342591</v>
      </c>
      <c r="I1427" t="s">
        <v>217</v>
      </c>
      <c r="K1427">
        <v>100747</v>
      </c>
    </row>
    <row r="1428" spans="1:11" x14ac:dyDescent="0.55000000000000004">
      <c r="A1428" t="s">
        <v>5730</v>
      </c>
      <c r="B1428" s="4">
        <v>46082</v>
      </c>
      <c r="C1428" t="s">
        <v>69</v>
      </c>
      <c r="D1428" t="s">
        <v>5731</v>
      </c>
      <c r="E1428" t="s">
        <v>15</v>
      </c>
      <c r="F1428" t="s">
        <v>5732</v>
      </c>
      <c r="G1428" t="s">
        <v>5733</v>
      </c>
      <c r="H1428" s="4">
        <v>46064.33412634259</v>
      </c>
      <c r="J1428" t="s">
        <v>19</v>
      </c>
      <c r="K1428">
        <v>101301</v>
      </c>
    </row>
    <row r="1429" spans="1:11" x14ac:dyDescent="0.55000000000000004">
      <c r="A1429" t="s">
        <v>3020</v>
      </c>
      <c r="B1429" s="4">
        <v>46017</v>
      </c>
      <c r="C1429" t="s">
        <v>208</v>
      </c>
      <c r="D1429" t="s">
        <v>5734</v>
      </c>
      <c r="E1429" t="s">
        <v>22</v>
      </c>
      <c r="F1429" t="s">
        <v>5735</v>
      </c>
      <c r="G1429" t="s">
        <v>5736</v>
      </c>
      <c r="H1429" s="4">
        <v>46093.327181898145</v>
      </c>
      <c r="J1429" t="s">
        <v>19</v>
      </c>
      <c r="K1429">
        <v>100928</v>
      </c>
    </row>
    <row r="1430" spans="1:11" x14ac:dyDescent="0.55000000000000004">
      <c r="A1430" t="s">
        <v>5737</v>
      </c>
      <c r="B1430" s="4">
        <v>45964</v>
      </c>
      <c r="C1430" t="s">
        <v>115</v>
      </c>
      <c r="D1430" t="s">
        <v>5738</v>
      </c>
      <c r="E1430" t="s">
        <v>22</v>
      </c>
      <c r="F1430" t="s">
        <v>5739</v>
      </c>
      <c r="G1430" t="s">
        <v>5740</v>
      </c>
      <c r="H1430" s="4">
        <v>46060.570931909722</v>
      </c>
      <c r="J1430" t="s">
        <v>37</v>
      </c>
      <c r="K1430">
        <v>101462</v>
      </c>
    </row>
    <row r="1431" spans="1:11" x14ac:dyDescent="0.55000000000000004">
      <c r="A1431" t="s">
        <v>6043</v>
      </c>
      <c r="B1431" s="4">
        <v>45982</v>
      </c>
      <c r="C1431" t="s">
        <v>334</v>
      </c>
      <c r="D1431" t="s">
        <v>5742</v>
      </c>
      <c r="E1431" t="s">
        <v>22</v>
      </c>
      <c r="F1431" t="s">
        <v>5743</v>
      </c>
      <c r="G1431" t="s">
        <v>5744</v>
      </c>
      <c r="H1431" s="4">
        <v>46055.745237465278</v>
      </c>
      <c r="I1431" t="s">
        <v>119</v>
      </c>
      <c r="J1431" t="s">
        <v>37</v>
      </c>
      <c r="K1431">
        <v>101456</v>
      </c>
    </row>
    <row r="1432" spans="1:11" x14ac:dyDescent="0.55000000000000004">
      <c r="A1432" t="s">
        <v>5745</v>
      </c>
      <c r="B1432" s="4">
        <v>45860</v>
      </c>
      <c r="C1432" t="s">
        <v>20</v>
      </c>
      <c r="D1432" t="s">
        <v>5746</v>
      </c>
      <c r="E1432" t="s">
        <v>22</v>
      </c>
      <c r="F1432" t="s">
        <v>5747</v>
      </c>
      <c r="G1432" t="s">
        <v>5748</v>
      </c>
      <c r="H1432" s="4">
        <v>46064.800098576387</v>
      </c>
      <c r="I1432" t="s">
        <v>217</v>
      </c>
      <c r="K1432">
        <v>100206</v>
      </c>
    </row>
    <row r="1433" spans="1:11" x14ac:dyDescent="0.55000000000000004">
      <c r="A1433" t="s">
        <v>5749</v>
      </c>
      <c r="B1433" s="4">
        <v>45811</v>
      </c>
      <c r="C1433" t="s">
        <v>317</v>
      </c>
      <c r="D1433" t="s">
        <v>5750</v>
      </c>
      <c r="E1433" t="s">
        <v>22</v>
      </c>
      <c r="F1433" t="s">
        <v>5751</v>
      </c>
      <c r="G1433" t="s">
        <v>5752</v>
      </c>
      <c r="H1433" s="4">
        <v>46088.466765254627</v>
      </c>
      <c r="J1433" t="s">
        <v>19</v>
      </c>
      <c r="K1433">
        <v>101482</v>
      </c>
    </row>
    <row r="1434" spans="1:11" x14ac:dyDescent="0.55000000000000004">
      <c r="A1434" t="s">
        <v>5753</v>
      </c>
      <c r="B1434" s="4">
        <v>46031</v>
      </c>
      <c r="C1434" t="s">
        <v>20</v>
      </c>
      <c r="D1434" t="s">
        <v>5754</v>
      </c>
      <c r="E1434" t="s">
        <v>15</v>
      </c>
      <c r="F1434" t="s">
        <v>5755</v>
      </c>
      <c r="G1434" t="s">
        <v>5756</v>
      </c>
      <c r="H1434" s="4">
        <v>46095.073015254631</v>
      </c>
      <c r="J1434" t="s">
        <v>179</v>
      </c>
      <c r="K1434">
        <v>100163</v>
      </c>
    </row>
    <row r="1435" spans="1:11" x14ac:dyDescent="0.55000000000000004">
      <c r="A1435" t="s">
        <v>5757</v>
      </c>
      <c r="B1435" s="4">
        <v>45859</v>
      </c>
      <c r="C1435" t="s">
        <v>213</v>
      </c>
      <c r="D1435" t="s">
        <v>5758</v>
      </c>
      <c r="E1435" t="s">
        <v>22</v>
      </c>
      <c r="F1435" t="s">
        <v>5759</v>
      </c>
      <c r="G1435" t="s">
        <v>5760</v>
      </c>
      <c r="H1435" s="4">
        <v>46091.37440414352</v>
      </c>
      <c r="J1435" t="s">
        <v>68</v>
      </c>
      <c r="K1435">
        <v>100592</v>
      </c>
    </row>
    <row r="1436" spans="1:11" x14ac:dyDescent="0.55000000000000004">
      <c r="A1436" t="s">
        <v>5761</v>
      </c>
      <c r="B1436" s="4">
        <v>46037</v>
      </c>
      <c r="C1436" t="s">
        <v>409</v>
      </c>
      <c r="D1436" t="s">
        <v>5762</v>
      </c>
      <c r="E1436" t="s">
        <v>22</v>
      </c>
      <c r="F1436" t="s">
        <v>5763</v>
      </c>
      <c r="G1436" t="s">
        <v>5764</v>
      </c>
      <c r="H1436" s="4">
        <v>46054.287598599534</v>
      </c>
      <c r="J1436" t="s">
        <v>68</v>
      </c>
      <c r="K1436">
        <v>100466</v>
      </c>
    </row>
    <row r="1437" spans="1:11" x14ac:dyDescent="0.55000000000000004">
      <c r="A1437" t="s">
        <v>5765</v>
      </c>
      <c r="B1437" s="4">
        <v>45803</v>
      </c>
      <c r="C1437" t="s">
        <v>562</v>
      </c>
      <c r="D1437" t="s">
        <v>5766</v>
      </c>
      <c r="E1437" t="s">
        <v>22</v>
      </c>
      <c r="F1437" t="s">
        <v>5767</v>
      </c>
      <c r="G1437" t="s">
        <v>5768</v>
      </c>
      <c r="H1437" s="4">
        <v>46062.462598599537</v>
      </c>
      <c r="J1437" t="s">
        <v>19</v>
      </c>
      <c r="K1437">
        <v>101354</v>
      </c>
    </row>
    <row r="1438" spans="1:11" x14ac:dyDescent="0.55000000000000004">
      <c r="A1438" t="s">
        <v>5769</v>
      </c>
      <c r="B1438" s="4">
        <v>45888</v>
      </c>
      <c r="C1438" t="s">
        <v>20</v>
      </c>
      <c r="D1438" t="s">
        <v>5770</v>
      </c>
      <c r="E1438" t="s">
        <v>22</v>
      </c>
      <c r="F1438" t="s">
        <v>5771</v>
      </c>
      <c r="G1438" t="s">
        <v>5772</v>
      </c>
      <c r="H1438" s="4">
        <v>46063.485515266206</v>
      </c>
      <c r="I1438" t="s">
        <v>112</v>
      </c>
      <c r="J1438" t="s">
        <v>68</v>
      </c>
    </row>
    <row r="1439" spans="1:11" x14ac:dyDescent="0.55000000000000004">
      <c r="A1439" t="s">
        <v>5773</v>
      </c>
      <c r="B1439" s="4">
        <v>46132</v>
      </c>
      <c r="C1439" t="s">
        <v>265</v>
      </c>
      <c r="D1439" t="s">
        <v>5774</v>
      </c>
      <c r="E1439" t="s">
        <v>22</v>
      </c>
      <c r="F1439" t="s">
        <v>5775</v>
      </c>
      <c r="G1439" t="s">
        <v>5776</v>
      </c>
      <c r="H1439" s="4">
        <v>46053.300793055554</v>
      </c>
      <c r="J1439" t="s">
        <v>179</v>
      </c>
      <c r="K1439">
        <v>100142</v>
      </c>
    </row>
    <row r="1440" spans="1:11" x14ac:dyDescent="0.55000000000000004">
      <c r="A1440" t="s">
        <v>5777</v>
      </c>
      <c r="B1440" s="4">
        <v>46082</v>
      </c>
      <c r="C1440" t="s">
        <v>300</v>
      </c>
      <c r="D1440" t="s">
        <v>5778</v>
      </c>
      <c r="E1440" t="s">
        <v>22</v>
      </c>
      <c r="F1440" t="s">
        <v>5779</v>
      </c>
      <c r="G1440" t="s">
        <v>5780</v>
      </c>
      <c r="H1440" s="4">
        <v>46068.14801527778</v>
      </c>
      <c r="J1440" t="s">
        <v>19</v>
      </c>
      <c r="K1440">
        <v>100393</v>
      </c>
    </row>
    <row r="1441" spans="1:11" x14ac:dyDescent="0.55000000000000004">
      <c r="A1441" t="s">
        <v>5781</v>
      </c>
      <c r="B1441" s="4">
        <v>45968</v>
      </c>
      <c r="C1441" t="s">
        <v>38</v>
      </c>
      <c r="D1441" t="s">
        <v>5782</v>
      </c>
      <c r="E1441" t="s">
        <v>15</v>
      </c>
      <c r="F1441" t="s">
        <v>5783</v>
      </c>
      <c r="G1441" t="s">
        <v>5784</v>
      </c>
      <c r="H1441" s="4">
        <v>46071.620237511575</v>
      </c>
      <c r="J1441" t="s">
        <v>179</v>
      </c>
      <c r="K1441">
        <v>101182</v>
      </c>
    </row>
    <row r="1442" spans="1:11" x14ac:dyDescent="0.55000000000000004">
      <c r="A1442" t="s">
        <v>5785</v>
      </c>
      <c r="B1442" s="4">
        <v>46046</v>
      </c>
      <c r="C1442" t="s">
        <v>409</v>
      </c>
      <c r="D1442" t="s">
        <v>5786</v>
      </c>
      <c r="E1442" t="s">
        <v>22</v>
      </c>
      <c r="F1442" t="s">
        <v>5787</v>
      </c>
      <c r="G1442" t="s">
        <v>5788</v>
      </c>
      <c r="H1442" s="4">
        <v>46088.86329306713</v>
      </c>
      <c r="J1442" t="s">
        <v>533</v>
      </c>
      <c r="K1442">
        <v>100740</v>
      </c>
    </row>
    <row r="1443" spans="1:11" x14ac:dyDescent="0.55000000000000004">
      <c r="A1443" t="s">
        <v>5789</v>
      </c>
      <c r="B1443" s="4">
        <v>46021</v>
      </c>
      <c r="C1443" t="s">
        <v>334</v>
      </c>
      <c r="D1443" t="s">
        <v>5790</v>
      </c>
      <c r="E1443" t="s">
        <v>15</v>
      </c>
      <c r="F1443" t="s">
        <v>5791</v>
      </c>
      <c r="G1443" t="s">
        <v>5792</v>
      </c>
      <c r="H1443" s="4">
        <v>46071.793154178238</v>
      </c>
      <c r="J1443" t="s">
        <v>19</v>
      </c>
      <c r="K1443">
        <v>101266</v>
      </c>
    </row>
    <row r="1444" spans="1:11" x14ac:dyDescent="0.55000000000000004">
      <c r="A1444" t="s">
        <v>5793</v>
      </c>
      <c r="B1444" s="4">
        <v>45968</v>
      </c>
      <c r="C1444" t="s">
        <v>270</v>
      </c>
      <c r="D1444" t="s">
        <v>5794</v>
      </c>
      <c r="E1444" t="s">
        <v>15</v>
      </c>
      <c r="F1444" t="s">
        <v>5795</v>
      </c>
      <c r="G1444" t="s">
        <v>5796</v>
      </c>
      <c r="H1444" s="4">
        <v>46079.822320856481</v>
      </c>
      <c r="J1444" t="s">
        <v>37</v>
      </c>
      <c r="K1444">
        <v>101287</v>
      </c>
    </row>
    <row r="1445" spans="1:11" x14ac:dyDescent="0.55000000000000004">
      <c r="A1445" t="s">
        <v>5797</v>
      </c>
      <c r="B1445" s="4">
        <v>45902</v>
      </c>
      <c r="C1445" t="s">
        <v>83</v>
      </c>
      <c r="D1445" t="s">
        <v>5798</v>
      </c>
      <c r="E1445" t="s">
        <v>22</v>
      </c>
      <c r="F1445" t="s">
        <v>5799</v>
      </c>
      <c r="G1445" t="s">
        <v>5800</v>
      </c>
      <c r="H1445" s="4">
        <v>46094.573709745368</v>
      </c>
      <c r="J1445" t="s">
        <v>533</v>
      </c>
      <c r="K1445">
        <v>100600</v>
      </c>
    </row>
    <row r="1446" spans="1:11" x14ac:dyDescent="0.55000000000000004">
      <c r="A1446" t="s">
        <v>5801</v>
      </c>
      <c r="B1446" s="4">
        <v>46077</v>
      </c>
      <c r="C1446" t="s">
        <v>108</v>
      </c>
      <c r="D1446" t="s">
        <v>5802</v>
      </c>
      <c r="E1446" t="s">
        <v>15</v>
      </c>
      <c r="F1446" t="s">
        <v>5803</v>
      </c>
      <c r="G1446" t="s">
        <v>5804</v>
      </c>
      <c r="H1446" s="4">
        <v>46062.041765300928</v>
      </c>
      <c r="J1446" t="s">
        <v>19</v>
      </c>
      <c r="K1446">
        <v>101130</v>
      </c>
    </row>
    <row r="1447" spans="1:11" x14ac:dyDescent="0.55000000000000004">
      <c r="A1447" t="s">
        <v>5805</v>
      </c>
      <c r="B1447" s="4">
        <v>45846</v>
      </c>
      <c r="C1447" t="s">
        <v>562</v>
      </c>
      <c r="D1447" t="s">
        <v>5806</v>
      </c>
      <c r="E1447" t="s">
        <v>22</v>
      </c>
      <c r="F1447" t="s">
        <v>5807</v>
      </c>
      <c r="G1447" t="s">
        <v>5808</v>
      </c>
      <c r="H1447" s="4">
        <v>46097.056348645834</v>
      </c>
      <c r="J1447" t="s">
        <v>533</v>
      </c>
      <c r="K1447">
        <v>100161</v>
      </c>
    </row>
    <row r="1448" spans="1:11" x14ac:dyDescent="0.55000000000000004">
      <c r="A1448" t="s">
        <v>5809</v>
      </c>
      <c r="B1448" s="4">
        <v>46084</v>
      </c>
      <c r="C1448" t="s">
        <v>155</v>
      </c>
      <c r="D1448" t="s">
        <v>5810</v>
      </c>
      <c r="E1448" t="s">
        <v>15</v>
      </c>
      <c r="F1448" t="s">
        <v>5811</v>
      </c>
      <c r="G1448" t="s">
        <v>5812</v>
      </c>
      <c r="H1448" s="4">
        <v>46097.528570868053</v>
      </c>
      <c r="J1448" t="s">
        <v>19</v>
      </c>
      <c r="K1448">
        <v>100775</v>
      </c>
    </row>
    <row r="1449" spans="1:11" x14ac:dyDescent="0.55000000000000004">
      <c r="A1449" t="s">
        <v>5813</v>
      </c>
      <c r="B1449" s="4">
        <v>45793</v>
      </c>
      <c r="C1449" t="s">
        <v>528</v>
      </c>
      <c r="D1449" t="s">
        <v>5814</v>
      </c>
      <c r="E1449" t="s">
        <v>15</v>
      </c>
      <c r="F1449" t="s">
        <v>5815</v>
      </c>
      <c r="G1449" t="s">
        <v>5816</v>
      </c>
      <c r="H1449" s="4">
        <v>46067.711209756948</v>
      </c>
      <c r="J1449" t="s">
        <v>19</v>
      </c>
      <c r="K1449">
        <v>100255</v>
      </c>
    </row>
    <row r="1450" spans="1:11" x14ac:dyDescent="0.55000000000000004">
      <c r="A1450" t="s">
        <v>5817</v>
      </c>
      <c r="B1450" s="4">
        <v>45959</v>
      </c>
      <c r="C1450" t="s">
        <v>141</v>
      </c>
      <c r="D1450" t="s">
        <v>5818</v>
      </c>
      <c r="E1450" t="s">
        <v>22</v>
      </c>
      <c r="F1450" t="s">
        <v>5819</v>
      </c>
      <c r="G1450" t="s">
        <v>5820</v>
      </c>
      <c r="H1450" s="4">
        <v>46072.058431990743</v>
      </c>
      <c r="J1450" t="s">
        <v>19</v>
      </c>
      <c r="K1450">
        <v>101098</v>
      </c>
    </row>
    <row r="1451" spans="1:11" x14ac:dyDescent="0.55000000000000004">
      <c r="A1451" t="s">
        <v>5821</v>
      </c>
      <c r="B1451" s="4">
        <v>46151</v>
      </c>
      <c r="C1451" t="s">
        <v>38</v>
      </c>
      <c r="D1451" t="s">
        <v>5822</v>
      </c>
      <c r="E1451" t="s">
        <v>22</v>
      </c>
      <c r="F1451" t="s">
        <v>5823</v>
      </c>
      <c r="G1451" t="s">
        <v>5824</v>
      </c>
      <c r="H1451" s="4">
        <v>46057.777181990743</v>
      </c>
      <c r="J1451" t="s">
        <v>533</v>
      </c>
      <c r="K1451">
        <v>100940</v>
      </c>
    </row>
    <row r="1452" spans="1:11" x14ac:dyDescent="0.55000000000000004">
      <c r="A1452" t="s">
        <v>5825</v>
      </c>
      <c r="B1452" s="4">
        <v>46068</v>
      </c>
      <c r="C1452" t="s">
        <v>121</v>
      </c>
      <c r="D1452" t="s">
        <v>5826</v>
      </c>
      <c r="E1452" t="s">
        <v>15</v>
      </c>
      <c r="F1452" t="s">
        <v>5827</v>
      </c>
      <c r="G1452" t="s">
        <v>5828</v>
      </c>
      <c r="H1452" s="4">
        <v>46086.544543113429</v>
      </c>
      <c r="J1452" t="s">
        <v>179</v>
      </c>
      <c r="K1452">
        <v>100088</v>
      </c>
    </row>
    <row r="1453" spans="1:11" x14ac:dyDescent="0.55000000000000004">
      <c r="A1453" t="s">
        <v>5829</v>
      </c>
      <c r="B1453" s="4">
        <v>45819</v>
      </c>
      <c r="C1453" t="s">
        <v>587</v>
      </c>
      <c r="D1453" t="s">
        <v>5830</v>
      </c>
      <c r="E1453" t="s">
        <v>22</v>
      </c>
      <c r="F1453" t="s">
        <v>5831</v>
      </c>
      <c r="G1453" t="s">
        <v>5832</v>
      </c>
      <c r="H1453" s="4">
        <v>46067.33412644676</v>
      </c>
      <c r="J1453" t="s">
        <v>248</v>
      </c>
      <c r="K1453">
        <v>100541</v>
      </c>
    </row>
    <row r="1454" spans="1:11" x14ac:dyDescent="0.55000000000000004">
      <c r="A1454" t="s">
        <v>5833</v>
      </c>
      <c r="B1454" s="4">
        <v>46073</v>
      </c>
      <c r="C1454" t="s">
        <v>38</v>
      </c>
      <c r="D1454" t="s">
        <v>5834</v>
      </c>
      <c r="E1454" t="s">
        <v>22</v>
      </c>
      <c r="F1454" t="s">
        <v>5835</v>
      </c>
      <c r="G1454" t="s">
        <v>5836</v>
      </c>
      <c r="H1454" s="4">
        <v>46073.796626446761</v>
      </c>
      <c r="J1454" t="s">
        <v>68</v>
      </c>
      <c r="K1454">
        <v>101236</v>
      </c>
    </row>
    <row r="1455" spans="1:11" x14ac:dyDescent="0.55000000000000004">
      <c r="A1455" t="s">
        <v>5837</v>
      </c>
      <c r="B1455" s="4">
        <v>45932</v>
      </c>
      <c r="C1455" t="s">
        <v>141</v>
      </c>
      <c r="D1455" t="s">
        <v>5838</v>
      </c>
      <c r="E1455" t="s">
        <v>22</v>
      </c>
      <c r="F1455" t="s">
        <v>5839</v>
      </c>
      <c r="G1455" t="s">
        <v>5840</v>
      </c>
      <c r="H1455" s="4">
        <v>46071.141765347224</v>
      </c>
      <c r="J1455" t="s">
        <v>248</v>
      </c>
      <c r="K1455">
        <v>100704</v>
      </c>
    </row>
    <row r="1456" spans="1:11" x14ac:dyDescent="0.55000000000000004">
      <c r="A1456" t="s">
        <v>5841</v>
      </c>
      <c r="B1456" s="4">
        <v>45746</v>
      </c>
      <c r="C1456" t="s">
        <v>334</v>
      </c>
      <c r="D1456" t="s">
        <v>5842</v>
      </c>
      <c r="E1456" t="s">
        <v>22</v>
      </c>
      <c r="F1456" t="s">
        <v>5843</v>
      </c>
      <c r="G1456" t="s">
        <v>5844</v>
      </c>
      <c r="H1456" s="4">
        <v>46096.920932013891</v>
      </c>
      <c r="J1456" t="s">
        <v>533</v>
      </c>
      <c r="K1456">
        <v>100735</v>
      </c>
    </row>
    <row r="1457" spans="1:11" x14ac:dyDescent="0.55000000000000004">
      <c r="A1457" t="s">
        <v>5845</v>
      </c>
      <c r="B1457" s="4">
        <v>45749</v>
      </c>
      <c r="C1457" t="s">
        <v>213</v>
      </c>
      <c r="D1457" t="s">
        <v>5846</v>
      </c>
      <c r="E1457" t="s">
        <v>15</v>
      </c>
      <c r="F1457" t="s">
        <v>5847</v>
      </c>
      <c r="G1457" t="s">
        <v>5848</v>
      </c>
      <c r="H1457" s="4">
        <v>46075.548015347224</v>
      </c>
      <c r="J1457" t="s">
        <v>68</v>
      </c>
      <c r="K1457">
        <v>100198</v>
      </c>
    </row>
    <row r="1458" spans="1:11" x14ac:dyDescent="0.55000000000000004">
      <c r="A1458" t="s">
        <v>5849</v>
      </c>
      <c r="B1458" s="4">
        <v>46102</v>
      </c>
      <c r="C1458" t="s">
        <v>295</v>
      </c>
      <c r="D1458" t="s">
        <v>5850</v>
      </c>
      <c r="E1458" t="s">
        <v>15</v>
      </c>
      <c r="F1458" t="s">
        <v>5851</v>
      </c>
      <c r="G1458" t="s">
        <v>5852</v>
      </c>
      <c r="H1458" s="4">
        <v>46075.034126469909</v>
      </c>
      <c r="J1458" t="s">
        <v>179</v>
      </c>
      <c r="K1458">
        <v>100778</v>
      </c>
    </row>
    <row r="1459" spans="1:11" x14ac:dyDescent="0.55000000000000004">
      <c r="A1459" t="s">
        <v>5853</v>
      </c>
      <c r="B1459" s="4">
        <v>45839</v>
      </c>
      <c r="C1459" t="s">
        <v>27</v>
      </c>
      <c r="D1459" t="s">
        <v>5854</v>
      </c>
      <c r="E1459" t="s">
        <v>22</v>
      </c>
      <c r="F1459" t="s">
        <v>5855</v>
      </c>
      <c r="G1459" t="s">
        <v>5856</v>
      </c>
      <c r="H1459" s="4">
        <v>46065.657043136576</v>
      </c>
      <c r="J1459" t="s">
        <v>19</v>
      </c>
      <c r="K1459">
        <v>100189</v>
      </c>
    </row>
    <row r="1460" spans="1:11" x14ac:dyDescent="0.55000000000000004">
      <c r="A1460" t="s">
        <v>5857</v>
      </c>
      <c r="B1460" s="4">
        <v>46067</v>
      </c>
      <c r="C1460" t="s">
        <v>20</v>
      </c>
      <c r="D1460" t="s">
        <v>5858</v>
      </c>
      <c r="E1460" t="s">
        <v>22</v>
      </c>
      <c r="F1460" t="s">
        <v>5859</v>
      </c>
      <c r="G1460" t="s">
        <v>5860</v>
      </c>
      <c r="H1460" s="4">
        <v>46068.547320914353</v>
      </c>
      <c r="J1460" t="s">
        <v>533</v>
      </c>
      <c r="K1460">
        <v>101492</v>
      </c>
    </row>
    <row r="1461" spans="1:11" x14ac:dyDescent="0.55000000000000004">
      <c r="A1461" t="s">
        <v>5861</v>
      </c>
      <c r="B1461" s="4">
        <v>46133</v>
      </c>
      <c r="C1461" t="s">
        <v>83</v>
      </c>
      <c r="D1461" t="s">
        <v>5862</v>
      </c>
      <c r="E1461" t="s">
        <v>22</v>
      </c>
      <c r="F1461" t="s">
        <v>5863</v>
      </c>
      <c r="G1461" t="s">
        <v>5864</v>
      </c>
      <c r="H1461" s="4">
        <v>46073.075098703703</v>
      </c>
      <c r="J1461" t="s">
        <v>248</v>
      </c>
      <c r="K1461">
        <v>100689</v>
      </c>
    </row>
    <row r="1462" spans="1:11" x14ac:dyDescent="0.55000000000000004">
      <c r="A1462" t="s">
        <v>5865</v>
      </c>
      <c r="B1462" s="4">
        <v>46069</v>
      </c>
      <c r="C1462" t="s">
        <v>38</v>
      </c>
      <c r="D1462" t="s">
        <v>2249</v>
      </c>
      <c r="E1462" t="s">
        <v>22</v>
      </c>
      <c r="F1462" t="s">
        <v>5866</v>
      </c>
      <c r="G1462" t="s">
        <v>5867</v>
      </c>
      <c r="H1462" s="4">
        <v>46088.753570925925</v>
      </c>
      <c r="J1462" t="s">
        <v>19</v>
      </c>
      <c r="K1462">
        <v>100440</v>
      </c>
    </row>
    <row r="1463" spans="1:11" x14ac:dyDescent="0.55000000000000004">
      <c r="A1463" t="s">
        <v>5868</v>
      </c>
      <c r="B1463" s="4">
        <v>46033</v>
      </c>
      <c r="C1463" t="s">
        <v>495</v>
      </c>
      <c r="D1463" t="s">
        <v>5869</v>
      </c>
      <c r="E1463" t="s">
        <v>15</v>
      </c>
      <c r="F1463" t="s">
        <v>5870</v>
      </c>
      <c r="G1463" t="s">
        <v>5871</v>
      </c>
      <c r="H1463" s="4">
        <v>46095.704265381944</v>
      </c>
      <c r="J1463" t="s">
        <v>68</v>
      </c>
      <c r="K1463">
        <v>100318</v>
      </c>
    </row>
    <row r="1464" spans="1:11" x14ac:dyDescent="0.55000000000000004">
      <c r="A1464" t="s">
        <v>5872</v>
      </c>
      <c r="B1464" s="4">
        <v>45850</v>
      </c>
      <c r="C1464" t="s">
        <v>317</v>
      </c>
      <c r="D1464" t="s">
        <v>5873</v>
      </c>
      <c r="E1464" t="s">
        <v>15</v>
      </c>
      <c r="F1464" t="s">
        <v>5874</v>
      </c>
      <c r="G1464" t="s">
        <v>5875</v>
      </c>
      <c r="H1464" s="4">
        <v>46065.779959826388</v>
      </c>
      <c r="J1464" t="s">
        <v>533</v>
      </c>
      <c r="K1464">
        <v>101468</v>
      </c>
    </row>
    <row r="1465" spans="1:11" x14ac:dyDescent="0.55000000000000004">
      <c r="A1465" t="s">
        <v>5876</v>
      </c>
      <c r="B1465" s="4">
        <v>45897</v>
      </c>
      <c r="C1465" t="s">
        <v>317</v>
      </c>
      <c r="D1465" t="s">
        <v>5877</v>
      </c>
      <c r="E1465" t="s">
        <v>15</v>
      </c>
      <c r="F1465" t="s">
        <v>5878</v>
      </c>
      <c r="G1465" t="s">
        <v>5879</v>
      </c>
      <c r="H1465" s="4">
        <v>46091.498709826388</v>
      </c>
      <c r="J1465" t="s">
        <v>19</v>
      </c>
      <c r="K1465">
        <v>100696</v>
      </c>
    </row>
    <row r="1466" spans="1:11" x14ac:dyDescent="0.55000000000000004">
      <c r="A1466" t="s">
        <v>5880</v>
      </c>
      <c r="B1466" s="4">
        <v>46118</v>
      </c>
      <c r="C1466" t="s">
        <v>141</v>
      </c>
      <c r="D1466" t="s">
        <v>5881</v>
      </c>
      <c r="E1466" t="s">
        <v>22</v>
      </c>
      <c r="F1466" t="s">
        <v>5882</v>
      </c>
      <c r="G1466" t="s">
        <v>5883</v>
      </c>
      <c r="H1466" s="4">
        <v>46090.69315428241</v>
      </c>
      <c r="J1466" t="s">
        <v>179</v>
      </c>
      <c r="K1466">
        <v>100865</v>
      </c>
    </row>
    <row r="1467" spans="1:11" x14ac:dyDescent="0.55000000000000004">
      <c r="A1467" t="s">
        <v>5884</v>
      </c>
      <c r="B1467" s="4">
        <v>45958</v>
      </c>
      <c r="C1467" t="s">
        <v>170</v>
      </c>
      <c r="D1467" t="s">
        <v>5885</v>
      </c>
      <c r="E1467" t="s">
        <v>15</v>
      </c>
      <c r="F1467" t="s">
        <v>5886</v>
      </c>
      <c r="G1467" t="s">
        <v>5887</v>
      </c>
      <c r="H1467" s="4">
        <v>46077.593154282411</v>
      </c>
      <c r="J1467" t="s">
        <v>37</v>
      </c>
      <c r="K1467">
        <v>101429</v>
      </c>
    </row>
    <row r="1468" spans="1:11" x14ac:dyDescent="0.55000000000000004">
      <c r="A1468" t="s">
        <v>5888</v>
      </c>
      <c r="B1468" s="4">
        <v>45925</v>
      </c>
      <c r="C1468" t="s">
        <v>317</v>
      </c>
      <c r="D1468" t="s">
        <v>5889</v>
      </c>
      <c r="E1468" t="s">
        <v>15</v>
      </c>
      <c r="F1468" t="s">
        <v>5890</v>
      </c>
      <c r="G1468" t="s">
        <v>5891</v>
      </c>
      <c r="H1468" s="4">
        <v>46085.386904282408</v>
      </c>
      <c r="J1468" t="s">
        <v>179</v>
      </c>
      <c r="K1468">
        <v>100326</v>
      </c>
    </row>
    <row r="1469" spans="1:11" x14ac:dyDescent="0.55000000000000004">
      <c r="A1469" t="s">
        <v>5892</v>
      </c>
      <c r="B1469" s="4">
        <v>45956</v>
      </c>
      <c r="C1469" t="s">
        <v>160</v>
      </c>
      <c r="D1469" t="s">
        <v>5893</v>
      </c>
      <c r="E1469" t="s">
        <v>15</v>
      </c>
      <c r="F1469" t="s">
        <v>5894</v>
      </c>
      <c r="G1469" t="s">
        <v>5895</v>
      </c>
      <c r="H1469" s="4">
        <v>46069.994543182867</v>
      </c>
      <c r="J1469" t="s">
        <v>19</v>
      </c>
      <c r="K1469">
        <v>100013</v>
      </c>
    </row>
    <row r="1470" spans="1:11" x14ac:dyDescent="0.55000000000000004">
      <c r="A1470" t="s">
        <v>5896</v>
      </c>
      <c r="B1470" s="4">
        <v>45776</v>
      </c>
      <c r="C1470" t="s">
        <v>108</v>
      </c>
      <c r="D1470" t="s">
        <v>5897</v>
      </c>
      <c r="E1470" t="s">
        <v>15</v>
      </c>
      <c r="F1470" t="s">
        <v>5898</v>
      </c>
      <c r="G1470" t="s">
        <v>5899</v>
      </c>
      <c r="H1470" s="4">
        <v>46089.738987627316</v>
      </c>
      <c r="J1470" t="s">
        <v>248</v>
      </c>
      <c r="K1470">
        <v>100569</v>
      </c>
    </row>
    <row r="1471" spans="1:11" x14ac:dyDescent="0.55000000000000004">
      <c r="A1471" t="s">
        <v>5900</v>
      </c>
      <c r="B1471" s="4">
        <v>46128</v>
      </c>
      <c r="C1471" t="s">
        <v>27</v>
      </c>
      <c r="D1471" t="s">
        <v>5901</v>
      </c>
      <c r="E1471" t="s">
        <v>15</v>
      </c>
      <c r="F1471" t="s">
        <v>5902</v>
      </c>
      <c r="G1471" t="s">
        <v>5903</v>
      </c>
      <c r="H1471" s="4">
        <v>46076.482737627317</v>
      </c>
      <c r="J1471" t="s">
        <v>68</v>
      </c>
      <c r="K1471">
        <v>101206</v>
      </c>
    </row>
    <row r="1472" spans="1:11" x14ac:dyDescent="0.55000000000000004">
      <c r="A1472" t="s">
        <v>5904</v>
      </c>
      <c r="B1472" s="4">
        <v>45986</v>
      </c>
      <c r="C1472" t="s">
        <v>115</v>
      </c>
      <c r="D1472" t="s">
        <v>5905</v>
      </c>
      <c r="E1472" t="s">
        <v>22</v>
      </c>
      <c r="F1472" t="s">
        <v>5906</v>
      </c>
      <c r="G1472" t="s">
        <v>5907</v>
      </c>
      <c r="H1472" s="4">
        <v>46065.24523763889</v>
      </c>
      <c r="J1472" t="s">
        <v>19</v>
      </c>
      <c r="K1472">
        <v>100919</v>
      </c>
    </row>
    <row r="1473" spans="1:11" x14ac:dyDescent="0.55000000000000004">
      <c r="A1473" t="s">
        <v>5908</v>
      </c>
      <c r="B1473" s="4">
        <v>46048</v>
      </c>
      <c r="C1473" t="s">
        <v>121</v>
      </c>
      <c r="D1473" t="s">
        <v>5909</v>
      </c>
      <c r="E1473" t="s">
        <v>22</v>
      </c>
      <c r="F1473" t="s">
        <v>5910</v>
      </c>
      <c r="G1473" t="s">
        <v>5911</v>
      </c>
      <c r="H1473" s="4">
        <v>46057.211209861111</v>
      </c>
      <c r="J1473" t="s">
        <v>68</v>
      </c>
      <c r="K1473">
        <v>100451</v>
      </c>
    </row>
    <row r="1474" spans="1:11" x14ac:dyDescent="0.55000000000000004">
      <c r="A1474" t="s">
        <v>5912</v>
      </c>
      <c r="B1474" s="4">
        <v>46023</v>
      </c>
      <c r="C1474" t="s">
        <v>115</v>
      </c>
      <c r="D1474" t="s">
        <v>5913</v>
      </c>
      <c r="E1474" t="s">
        <v>22</v>
      </c>
      <c r="F1474" t="s">
        <v>5914</v>
      </c>
      <c r="G1474" t="s">
        <v>5915</v>
      </c>
      <c r="H1474" s="4">
        <v>46091.578570972219</v>
      </c>
      <c r="J1474" t="s">
        <v>37</v>
      </c>
      <c r="K1474">
        <v>100859</v>
      </c>
    </row>
    <row r="1475" spans="1:11" x14ac:dyDescent="0.55000000000000004">
      <c r="A1475" t="s">
        <v>5916</v>
      </c>
      <c r="B1475" s="4">
        <v>45850</v>
      </c>
      <c r="C1475" t="s">
        <v>38</v>
      </c>
      <c r="D1475" t="s">
        <v>5917</v>
      </c>
      <c r="E1475" t="s">
        <v>22</v>
      </c>
      <c r="F1475" t="s">
        <v>5918</v>
      </c>
      <c r="G1475" t="s">
        <v>5919</v>
      </c>
      <c r="H1475" s="4">
        <v>46096.427876539354</v>
      </c>
      <c r="J1475" t="s">
        <v>19</v>
      </c>
      <c r="K1475">
        <v>101490</v>
      </c>
    </row>
    <row r="1476" spans="1:11" x14ac:dyDescent="0.55000000000000004">
      <c r="A1476" t="s">
        <v>5920</v>
      </c>
      <c r="B1476" s="4">
        <v>46156</v>
      </c>
      <c r="C1476" t="s">
        <v>58</v>
      </c>
      <c r="D1476" t="s">
        <v>5921</v>
      </c>
      <c r="E1476" t="s">
        <v>15</v>
      </c>
      <c r="F1476" t="s">
        <v>5922</v>
      </c>
      <c r="G1476" t="s">
        <v>5923</v>
      </c>
      <c r="H1476" s="4">
        <v>46087.336904317126</v>
      </c>
      <c r="J1476" t="s">
        <v>68</v>
      </c>
      <c r="K1476">
        <v>101436</v>
      </c>
    </row>
    <row r="1477" spans="1:11" x14ac:dyDescent="0.55000000000000004">
      <c r="A1477" t="s">
        <v>5924</v>
      </c>
      <c r="B1477" s="4">
        <v>46005</v>
      </c>
      <c r="C1477" t="s">
        <v>160</v>
      </c>
      <c r="D1477" t="s">
        <v>4286</v>
      </c>
      <c r="E1477" t="s">
        <v>22</v>
      </c>
      <c r="F1477" t="s">
        <v>5925</v>
      </c>
      <c r="G1477" t="s">
        <v>5926</v>
      </c>
      <c r="H1477" s="4">
        <v>46058.665376550925</v>
      </c>
      <c r="J1477" t="s">
        <v>37</v>
      </c>
      <c r="K1477">
        <v>101330</v>
      </c>
    </row>
    <row r="1478" spans="1:11" x14ac:dyDescent="0.55000000000000004">
      <c r="A1478" t="s">
        <v>5927</v>
      </c>
      <c r="B1478" s="4">
        <v>46089</v>
      </c>
      <c r="C1478" t="s">
        <v>38</v>
      </c>
      <c r="D1478" t="s">
        <v>5928</v>
      </c>
      <c r="E1478" t="s">
        <v>22</v>
      </c>
      <c r="F1478" t="s">
        <v>5929</v>
      </c>
      <c r="G1478" t="s">
        <v>5930</v>
      </c>
      <c r="H1478" s="4">
        <v>46080.81745988426</v>
      </c>
      <c r="J1478" t="s">
        <v>19</v>
      </c>
      <c r="K1478">
        <v>101466</v>
      </c>
    </row>
    <row r="1479" spans="1:11" x14ac:dyDescent="0.55000000000000004">
      <c r="A1479" t="s">
        <v>5931</v>
      </c>
      <c r="B1479" s="4">
        <v>45748</v>
      </c>
      <c r="C1479" t="s">
        <v>58</v>
      </c>
      <c r="D1479" t="s">
        <v>5932</v>
      </c>
      <c r="E1479" t="s">
        <v>15</v>
      </c>
      <c r="F1479" t="s">
        <v>5933</v>
      </c>
      <c r="G1479" t="s">
        <v>5934</v>
      </c>
      <c r="H1479" s="4">
        <v>46076.661904328706</v>
      </c>
      <c r="J1479" t="s">
        <v>37</v>
      </c>
      <c r="K1479">
        <v>100407</v>
      </c>
    </row>
    <row r="1480" spans="1:11" x14ac:dyDescent="0.55000000000000004">
      <c r="A1480" t="s">
        <v>5935</v>
      </c>
      <c r="B1480" s="4">
        <v>45836</v>
      </c>
      <c r="C1480" t="s">
        <v>13</v>
      </c>
      <c r="D1480" t="s">
        <v>5936</v>
      </c>
      <c r="E1480" t="s">
        <v>15</v>
      </c>
      <c r="F1480" t="s">
        <v>5937</v>
      </c>
      <c r="G1480" t="s">
        <v>5938</v>
      </c>
      <c r="H1480" s="4">
        <v>46066.642459895833</v>
      </c>
      <c r="J1480" t="s">
        <v>533</v>
      </c>
      <c r="K1480">
        <v>101149</v>
      </c>
    </row>
    <row r="1481" spans="1:11" x14ac:dyDescent="0.55000000000000004">
      <c r="A1481" t="s">
        <v>5939</v>
      </c>
      <c r="B1481" s="4">
        <v>46044</v>
      </c>
      <c r="C1481" t="s">
        <v>13</v>
      </c>
      <c r="D1481" t="s">
        <v>5940</v>
      </c>
      <c r="E1481" t="s">
        <v>22</v>
      </c>
      <c r="F1481" t="s">
        <v>5941</v>
      </c>
      <c r="G1481" t="s">
        <v>5942</v>
      </c>
      <c r="H1481" s="4">
        <v>46058.875098784723</v>
      </c>
      <c r="J1481" t="s">
        <v>19</v>
      </c>
      <c r="K1481">
        <v>100054</v>
      </c>
    </row>
    <row r="1482" spans="1:11" x14ac:dyDescent="0.55000000000000004">
      <c r="A1482" t="s">
        <v>5943</v>
      </c>
      <c r="B1482" s="4">
        <v>46014</v>
      </c>
      <c r="C1482" t="s">
        <v>356</v>
      </c>
      <c r="D1482" t="s">
        <v>5944</v>
      </c>
      <c r="E1482" t="s">
        <v>15</v>
      </c>
      <c r="F1482" t="s">
        <v>5945</v>
      </c>
      <c r="G1482" t="s">
        <v>5946</v>
      </c>
      <c r="H1482" s="4">
        <v>46091.695932118055</v>
      </c>
      <c r="J1482" t="s">
        <v>37</v>
      </c>
      <c r="K1482">
        <v>101232</v>
      </c>
    </row>
    <row r="1483" spans="1:11" x14ac:dyDescent="0.55000000000000004">
      <c r="A1483" t="s">
        <v>5947</v>
      </c>
      <c r="B1483" s="4">
        <v>45991</v>
      </c>
      <c r="C1483" t="s">
        <v>317</v>
      </c>
      <c r="D1483" t="s">
        <v>5948</v>
      </c>
      <c r="E1483" t="s">
        <v>22</v>
      </c>
      <c r="F1483" t="s">
        <v>5949</v>
      </c>
      <c r="G1483" t="s">
        <v>5950</v>
      </c>
      <c r="H1483" s="4">
        <v>46070.066765462965</v>
      </c>
      <c r="J1483" t="s">
        <v>19</v>
      </c>
      <c r="K1483">
        <v>101034</v>
      </c>
    </row>
    <row r="1484" spans="1:11" x14ac:dyDescent="0.55000000000000004">
      <c r="A1484" t="s">
        <v>5951</v>
      </c>
      <c r="B1484" s="4">
        <v>46132</v>
      </c>
      <c r="C1484" t="s">
        <v>155</v>
      </c>
      <c r="D1484" t="s">
        <v>5952</v>
      </c>
      <c r="E1484" t="s">
        <v>15</v>
      </c>
      <c r="F1484" t="s">
        <v>5953</v>
      </c>
      <c r="G1484" t="s">
        <v>5954</v>
      </c>
      <c r="H1484" s="4">
        <v>46096.467459907406</v>
      </c>
      <c r="J1484" t="s">
        <v>68</v>
      </c>
      <c r="K1484">
        <v>100476</v>
      </c>
    </row>
    <row r="1485" spans="1:11" x14ac:dyDescent="0.55000000000000004">
      <c r="A1485" t="s">
        <v>5955</v>
      </c>
      <c r="B1485" s="4">
        <v>46043</v>
      </c>
      <c r="C1485" t="s">
        <v>141</v>
      </c>
      <c r="D1485" t="s">
        <v>5956</v>
      </c>
      <c r="E1485" t="s">
        <v>22</v>
      </c>
      <c r="F1485" t="s">
        <v>5957</v>
      </c>
      <c r="G1485" t="s">
        <v>5958</v>
      </c>
      <c r="H1485" s="4">
        <v>46094.195932141207</v>
      </c>
      <c r="J1485" t="s">
        <v>19</v>
      </c>
      <c r="K1485">
        <v>100447</v>
      </c>
    </row>
    <row r="1486" spans="1:11" x14ac:dyDescent="0.55000000000000004">
      <c r="A1486" t="s">
        <v>3726</v>
      </c>
      <c r="B1486" s="4">
        <v>46088</v>
      </c>
      <c r="C1486" t="s">
        <v>69</v>
      </c>
      <c r="D1486" t="s">
        <v>5959</v>
      </c>
      <c r="E1486" t="s">
        <v>22</v>
      </c>
      <c r="F1486" t="s">
        <v>5960</v>
      </c>
      <c r="G1486" t="s">
        <v>5961</v>
      </c>
      <c r="H1486" s="4">
        <v>46062.550098807871</v>
      </c>
      <c r="J1486" t="s">
        <v>179</v>
      </c>
      <c r="K1486">
        <v>100191</v>
      </c>
    </row>
    <row r="1487" spans="1:11" x14ac:dyDescent="0.55000000000000004">
      <c r="A1487" t="s">
        <v>5962</v>
      </c>
      <c r="B1487" s="4">
        <v>45956</v>
      </c>
      <c r="C1487" t="s">
        <v>38</v>
      </c>
      <c r="D1487" t="s">
        <v>5963</v>
      </c>
      <c r="E1487" t="s">
        <v>22</v>
      </c>
      <c r="F1487" t="s">
        <v>5964</v>
      </c>
      <c r="G1487" t="s">
        <v>5965</v>
      </c>
      <c r="H1487" s="4">
        <v>46075.470932141201</v>
      </c>
      <c r="J1487" t="s">
        <v>533</v>
      </c>
      <c r="K1487">
        <v>100061</v>
      </c>
    </row>
    <row r="1488" spans="1:11" x14ac:dyDescent="0.55000000000000004">
      <c r="A1488" t="s">
        <v>5966</v>
      </c>
      <c r="B1488" s="4">
        <v>45955</v>
      </c>
      <c r="C1488" t="s">
        <v>115</v>
      </c>
      <c r="D1488" t="s">
        <v>5967</v>
      </c>
      <c r="E1488" t="s">
        <v>15</v>
      </c>
      <c r="F1488" t="s">
        <v>5968</v>
      </c>
      <c r="G1488" t="s">
        <v>5969</v>
      </c>
      <c r="H1488" s="4">
        <v>46091.909126597224</v>
      </c>
      <c r="J1488" t="s">
        <v>68</v>
      </c>
      <c r="K1488">
        <v>100065</v>
      </c>
    </row>
    <row r="1489" spans="1:11" x14ac:dyDescent="0.55000000000000004">
      <c r="A1489" t="s">
        <v>5970</v>
      </c>
      <c r="B1489" s="4">
        <v>45848</v>
      </c>
      <c r="C1489" t="s">
        <v>27</v>
      </c>
      <c r="D1489" t="s">
        <v>5971</v>
      </c>
      <c r="E1489" t="s">
        <v>15</v>
      </c>
      <c r="F1489" t="s">
        <v>5972</v>
      </c>
      <c r="G1489" t="s">
        <v>5973</v>
      </c>
      <c r="H1489" s="4">
        <v>46097.391071041668</v>
      </c>
      <c r="J1489" t="s">
        <v>37</v>
      </c>
      <c r="K1489">
        <v>100864</v>
      </c>
    </row>
    <row r="1490" spans="1:11" x14ac:dyDescent="0.55000000000000004">
      <c r="A1490" t="s">
        <v>5974</v>
      </c>
      <c r="B1490" s="4">
        <v>45771</v>
      </c>
      <c r="C1490" t="s">
        <v>115</v>
      </c>
      <c r="D1490" t="s">
        <v>5975</v>
      </c>
      <c r="E1490" t="s">
        <v>22</v>
      </c>
      <c r="F1490" t="s">
        <v>5976</v>
      </c>
      <c r="G1490" t="s">
        <v>5977</v>
      </c>
      <c r="H1490" s="4">
        <v>46086.344543263891</v>
      </c>
      <c r="J1490" t="s">
        <v>37</v>
      </c>
      <c r="K1490">
        <v>101209</v>
      </c>
    </row>
    <row r="1491" spans="1:11" x14ac:dyDescent="0.55000000000000004">
      <c r="A1491" t="s">
        <v>5978</v>
      </c>
      <c r="B1491" s="4">
        <v>45892</v>
      </c>
      <c r="C1491" t="s">
        <v>409</v>
      </c>
      <c r="D1491" t="s">
        <v>5979</v>
      </c>
      <c r="E1491" t="s">
        <v>22</v>
      </c>
      <c r="F1491" t="s">
        <v>5980</v>
      </c>
      <c r="G1491" t="s">
        <v>5981</v>
      </c>
      <c r="H1491" s="4">
        <v>46088.884126608798</v>
      </c>
      <c r="J1491" t="s">
        <v>37</v>
      </c>
      <c r="K1491">
        <v>100178</v>
      </c>
    </row>
    <row r="1492" spans="1:11" x14ac:dyDescent="0.55000000000000004">
      <c r="A1492" t="s">
        <v>5982</v>
      </c>
      <c r="B1492" s="4">
        <v>45977</v>
      </c>
      <c r="C1492" t="s">
        <v>184</v>
      </c>
      <c r="D1492" t="s">
        <v>5983</v>
      </c>
      <c r="E1492" t="s">
        <v>22</v>
      </c>
      <c r="F1492" t="s">
        <v>5984</v>
      </c>
      <c r="G1492" t="s">
        <v>5985</v>
      </c>
      <c r="H1492" s="4">
        <v>46063.453571053244</v>
      </c>
      <c r="J1492" t="s">
        <v>179</v>
      </c>
      <c r="K1492">
        <v>101116</v>
      </c>
    </row>
    <row r="1493" spans="1:11" x14ac:dyDescent="0.55000000000000004">
      <c r="A1493" t="s">
        <v>5986</v>
      </c>
      <c r="B1493" s="4">
        <v>46093</v>
      </c>
      <c r="C1493" t="s">
        <v>208</v>
      </c>
      <c r="D1493" t="s">
        <v>5987</v>
      </c>
      <c r="E1493" t="s">
        <v>22</v>
      </c>
      <c r="F1493" t="s">
        <v>5988</v>
      </c>
      <c r="G1493" t="s">
        <v>5989</v>
      </c>
      <c r="H1493" s="4">
        <v>46073.961904386575</v>
      </c>
      <c r="J1493" t="s">
        <v>19</v>
      </c>
      <c r="K1493">
        <v>101385</v>
      </c>
    </row>
    <row r="1494" spans="1:11" x14ac:dyDescent="0.55000000000000004">
      <c r="A1494" t="s">
        <v>5990</v>
      </c>
      <c r="B1494" s="4">
        <v>46066</v>
      </c>
      <c r="C1494" t="s">
        <v>38</v>
      </c>
      <c r="D1494" t="s">
        <v>5991</v>
      </c>
      <c r="E1494" t="s">
        <v>22</v>
      </c>
      <c r="F1494" t="s">
        <v>5992</v>
      </c>
      <c r="G1494" t="s">
        <v>5993</v>
      </c>
      <c r="H1494" s="4">
        <v>46076.753571064815</v>
      </c>
      <c r="J1494" t="s">
        <v>68</v>
      </c>
      <c r="K1494">
        <v>100209</v>
      </c>
    </row>
    <row r="1495" spans="1:11" x14ac:dyDescent="0.55000000000000004">
      <c r="A1495" t="s">
        <v>5994</v>
      </c>
      <c r="B1495" s="4">
        <v>45989</v>
      </c>
      <c r="C1495" t="s">
        <v>155</v>
      </c>
      <c r="D1495" t="s">
        <v>5995</v>
      </c>
      <c r="E1495" t="s">
        <v>22</v>
      </c>
      <c r="F1495" t="s">
        <v>5996</v>
      </c>
      <c r="G1495" t="s">
        <v>5997</v>
      </c>
      <c r="H1495" s="4">
        <v>46070.861904398145</v>
      </c>
      <c r="J1495" t="s">
        <v>19</v>
      </c>
      <c r="K1495">
        <v>100285</v>
      </c>
    </row>
    <row r="1496" spans="1:11" x14ac:dyDescent="0.55000000000000004">
      <c r="A1496" t="s">
        <v>5998</v>
      </c>
      <c r="B1496" s="4">
        <v>45875</v>
      </c>
      <c r="C1496" t="s">
        <v>115</v>
      </c>
      <c r="D1496" t="s">
        <v>5999</v>
      </c>
      <c r="E1496" t="s">
        <v>15</v>
      </c>
      <c r="F1496" t="s">
        <v>6000</v>
      </c>
      <c r="G1496" t="s">
        <v>6001</v>
      </c>
      <c r="H1496" s="4">
        <v>46064.418154398147</v>
      </c>
      <c r="J1496" t="s">
        <v>19</v>
      </c>
      <c r="K1496">
        <v>100457</v>
      </c>
    </row>
    <row r="1497" spans="1:11" x14ac:dyDescent="0.55000000000000004">
      <c r="A1497" t="s">
        <v>6002</v>
      </c>
      <c r="B1497" s="4">
        <v>46111</v>
      </c>
      <c r="C1497" t="s">
        <v>199</v>
      </c>
      <c r="D1497" t="s">
        <v>6003</v>
      </c>
      <c r="E1497" t="s">
        <v>15</v>
      </c>
      <c r="F1497" t="s">
        <v>6004</v>
      </c>
      <c r="G1497" t="s">
        <v>6005</v>
      </c>
      <c r="H1497" s="4">
        <v>46095.411904409724</v>
      </c>
      <c r="J1497" t="s">
        <v>68</v>
      </c>
      <c r="K1497">
        <v>100501</v>
      </c>
    </row>
    <row r="1498" spans="1:11" x14ac:dyDescent="0.55000000000000004">
      <c r="A1498" t="s">
        <v>6006</v>
      </c>
      <c r="B1498" s="4">
        <v>46064</v>
      </c>
      <c r="C1498" t="s">
        <v>141</v>
      </c>
      <c r="D1498" t="s">
        <v>6007</v>
      </c>
      <c r="E1498" t="s">
        <v>22</v>
      </c>
      <c r="F1498" t="s">
        <v>6008</v>
      </c>
      <c r="G1498" t="s">
        <v>6009</v>
      </c>
      <c r="H1498" s="4">
        <v>46095.361904409721</v>
      </c>
      <c r="J1498" t="s">
        <v>179</v>
      </c>
      <c r="K1498">
        <v>100563</v>
      </c>
    </row>
    <row r="1499" spans="1:11" x14ac:dyDescent="0.55000000000000004">
      <c r="A1499" t="s">
        <v>6010</v>
      </c>
      <c r="B1499" s="4">
        <v>46033</v>
      </c>
      <c r="C1499" t="s">
        <v>295</v>
      </c>
      <c r="D1499" t="s">
        <v>6011</v>
      </c>
      <c r="E1499" t="s">
        <v>15</v>
      </c>
      <c r="F1499" t="s">
        <v>6012</v>
      </c>
      <c r="G1499" t="s">
        <v>6013</v>
      </c>
      <c r="H1499" s="4">
        <v>46079.879265520831</v>
      </c>
      <c r="J1499" t="s">
        <v>248</v>
      </c>
      <c r="K1499">
        <v>100051</v>
      </c>
    </row>
    <row r="1500" spans="1:11" x14ac:dyDescent="0.55000000000000004">
      <c r="A1500" t="s">
        <v>6014</v>
      </c>
      <c r="B1500" s="4">
        <v>45985</v>
      </c>
      <c r="C1500" t="s">
        <v>69</v>
      </c>
      <c r="D1500" t="s">
        <v>6015</v>
      </c>
      <c r="E1500" t="s">
        <v>22</v>
      </c>
      <c r="F1500" t="s">
        <v>6016</v>
      </c>
      <c r="G1500" t="s">
        <v>6017</v>
      </c>
      <c r="H1500" s="4">
        <v>46069.683432199075</v>
      </c>
      <c r="J1500" t="s">
        <v>179</v>
      </c>
      <c r="K1500">
        <v>100228</v>
      </c>
    </row>
    <row r="1501" spans="1:11" x14ac:dyDescent="0.55000000000000004">
      <c r="A1501" t="s">
        <v>6018</v>
      </c>
      <c r="B1501" s="4">
        <v>45837</v>
      </c>
      <c r="C1501" t="s">
        <v>418</v>
      </c>
      <c r="D1501" t="s">
        <v>6019</v>
      </c>
      <c r="E1501" t="s">
        <v>15</v>
      </c>
      <c r="F1501" t="s">
        <v>6020</v>
      </c>
      <c r="G1501" t="s">
        <v>6021</v>
      </c>
      <c r="H1501" s="4">
        <v>46055.312604166669</v>
      </c>
      <c r="J1501" t="s">
        <v>248</v>
      </c>
      <c r="K1501">
        <v>101309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DCAAB7-5C54-45A5-A03F-30E1AC2E79E0}">
  <sheetPr codeName="Sheet7">
    <tabColor theme="8" tint="-0.499984740745262"/>
  </sheetPr>
  <dimension ref="A1"/>
  <sheetViews>
    <sheetView workbookViewId="0">
      <selection sqref="A1:N1504"/>
    </sheetView>
  </sheetViews>
  <sheetFormatPr defaultRowHeight="14.4" x14ac:dyDescent="0.55000000000000004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ED416A-EBB8-479D-AED2-6E0B2CFC09DA}">
  <sheetPr codeName="Sheet11">
    <tabColor theme="8"/>
  </sheetPr>
  <dimension ref="A1:C17"/>
  <sheetViews>
    <sheetView workbookViewId="0">
      <selection activeCell="B13" sqref="B13"/>
    </sheetView>
  </sheetViews>
  <sheetFormatPr defaultRowHeight="14.4" x14ac:dyDescent="0.55000000000000004"/>
  <cols>
    <col min="1" max="1" width="26.20703125" customWidth="1"/>
    <col min="2" max="2" width="43.578125" customWidth="1"/>
  </cols>
  <sheetData>
    <row r="1" spans="1:3" ht="21.3" x14ac:dyDescent="0.85">
      <c r="A1" s="18" t="s">
        <v>6076</v>
      </c>
    </row>
    <row r="3" spans="1:3" x14ac:dyDescent="0.55000000000000004">
      <c r="A3" s="17" t="s">
        <v>6077</v>
      </c>
      <c r="B3" t="s">
        <v>1027</v>
      </c>
    </row>
    <row r="5" spans="1:3" x14ac:dyDescent="0.55000000000000004">
      <c r="A5" s="19" t="s">
        <v>0</v>
      </c>
      <c r="B5" s="14" t="str">
        <f>IF(B3="","",B3)</f>
        <v>Ronald Williams</v>
      </c>
    </row>
    <row r="6" spans="1:3" x14ac:dyDescent="0.55000000000000004">
      <c r="A6" s="19" t="s">
        <v>6064</v>
      </c>
      <c r="B6" s="14" t="str">
        <f>IF(B3="","",_xlfn.XLOOKUP(B3,tbl_missing_action_source[Employee Name],tbl_missing_action_source[Employee Email],""))</f>
        <v>oblack@example.org</v>
      </c>
    </row>
    <row r="7" spans="1:3" x14ac:dyDescent="0.55000000000000004">
      <c r="A7" s="19" t="s">
        <v>2</v>
      </c>
      <c r="B7" s="14" t="str">
        <f>IF(B3="","",IF(_xlfn.XLOOKUP(B3,tbl_missing_action_source[Employee Name], tbl_missing_action_source[Department],"")=0,"Information Missing",_xlfn.XLOOKUP(B3,tbl_missing_action_source[Employee Name],tbl_missing_action_source[Department],"")))</f>
        <v>Engineering</v>
      </c>
    </row>
    <row r="8" spans="1:3" x14ac:dyDescent="0.55000000000000004">
      <c r="A8" s="19" t="s">
        <v>1</v>
      </c>
      <c r="B8" s="14" t="str">
        <f>IF(B3="","",IF(_xlfn.XLOOKUP(B3,tbl_missing_action_source[Employee Name],tbl_missing_action_source[Employee ID],"")=0,"Information Missing",_xlfn.XLOOKUP(B3, tbl_missing_action_source[Employee Name],tbl_missing_action_source[Employee ID],"")))</f>
        <v>Information Missing</v>
      </c>
    </row>
    <row r="9" spans="1:3" x14ac:dyDescent="0.55000000000000004">
      <c r="A9" s="19" t="s">
        <v>6062</v>
      </c>
      <c r="B9" s="14" t="str">
        <f>IF(B3="","",_xlfn.XLOOKUP(B3,tbl_missing_action_source[Employee Name],tbl_missing_action_source[Missing Field],""))</f>
        <v>Employee ID</v>
      </c>
    </row>
    <row r="11" spans="1:3" x14ac:dyDescent="0.55000000000000004">
      <c r="A11" s="17" t="s">
        <v>6078</v>
      </c>
    </row>
    <row r="12" spans="1:3" x14ac:dyDescent="0.55000000000000004">
      <c r="A12" s="19" t="s">
        <v>6079</v>
      </c>
    </row>
    <row r="13" spans="1:3" x14ac:dyDescent="0.55000000000000004">
      <c r="A13" s="19" t="s">
        <v>6080</v>
      </c>
    </row>
    <row r="14" spans="1:3" x14ac:dyDescent="0.55000000000000004">
      <c r="A14" s="19" t="s">
        <v>6083</v>
      </c>
      <c r="C14" t="s">
        <v>6085</v>
      </c>
    </row>
    <row r="16" spans="1:3" x14ac:dyDescent="0.55000000000000004">
      <c r="A16" t="s">
        <v>6084</v>
      </c>
    </row>
    <row r="17" spans="1:1" x14ac:dyDescent="0.55000000000000004">
      <c r="A17" t="s">
        <v>6086</v>
      </c>
    </row>
  </sheetData>
  <conditionalFormatting sqref="B7:B8">
    <cfRule type="cellIs" dxfId="4" priority="6" operator="equal">
      <formula>"Information Missing"</formula>
    </cfRule>
  </conditionalFormatting>
  <conditionalFormatting sqref="B12">
    <cfRule type="expression" dxfId="3" priority="2">
      <formula>$B$9="Employee ID"</formula>
    </cfRule>
    <cfRule type="expression" dxfId="2" priority="5">
      <formula>$B$9="Department"</formula>
    </cfRule>
  </conditionalFormatting>
  <conditionalFormatting sqref="B13">
    <cfRule type="expression" dxfId="1" priority="1">
      <formula>$B$9="Department"</formula>
    </cfRule>
    <cfRule type="expression" dxfId="0" priority="4">
      <formula>$B$9="Employee ID"</formula>
    </cfRule>
  </conditionalFormatting>
  <dataValidations count="3">
    <dataValidation type="list" errorStyle="information" allowBlank="1" showInputMessage="1" showErrorMessage="1" errorTitle="Select Existing Employee Name" error="Click on the arrow on the right of this cell to select a name from the dropdown." promptTitle="Select Existing Employee" prompt="Refer to the dropdown menu via arrow on the right hand side." sqref="B3" xr:uid="{7CF60413-AA91-4800-A6C7-354534D2A5FF}">
      <formula1>Employee_List</formula1>
    </dataValidation>
    <dataValidation type="list" allowBlank="1" showInputMessage="1" showErrorMessage="1" sqref="B12" xr:uid="{579BF201-96B5-4D09-8EC6-0CB5D955360D}">
      <formula1>"Engineering,Marketing,Finance,HR,Operations,IT"</formula1>
    </dataValidation>
    <dataValidation type="whole" allowBlank="1" showInputMessage="1" showErrorMessage="1" sqref="B13" xr:uid="{0EA75CE3-5774-4A34-A4FD-267432DC4168}">
      <formula1>99999</formula1>
      <formula2>999999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22" r:id="rId3" name="Button 10">
              <controlPr defaultSize="0" print="0" autoFill="0" autoPict="0" macro="[0]!SubmitCorrection">
                <anchor moveWithCells="1">
                  <from>
                    <xdr:col>0</xdr:col>
                    <xdr:colOff>83820</xdr:colOff>
                    <xdr:row>17</xdr:row>
                    <xdr:rowOff>102870</xdr:rowOff>
                  </from>
                  <to>
                    <xdr:col>1</xdr:col>
                    <xdr:colOff>3482340</xdr:colOff>
                    <xdr:row>19</xdr:row>
                    <xdr:rowOff>110490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067106-1971-4701-AC44-08823AFDDFC7}">
  <sheetPr codeName="Sheet5">
    <tabColor theme="8"/>
  </sheetPr>
  <dimension ref="A1:B9"/>
  <sheetViews>
    <sheetView zoomScale="118" workbookViewId="0">
      <selection activeCell="A11" sqref="A11"/>
    </sheetView>
  </sheetViews>
  <sheetFormatPr defaultRowHeight="14.4" x14ac:dyDescent="0.55000000000000004"/>
  <cols>
    <col min="1" max="1" width="32.1015625" customWidth="1"/>
    <col min="2" max="2" width="21.1015625" customWidth="1"/>
  </cols>
  <sheetData>
    <row r="1" spans="1:2" ht="31.8" customHeight="1" x14ac:dyDescent="0.55000000000000004">
      <c r="A1" s="20" t="s">
        <v>6093</v>
      </c>
      <c r="B1" s="20"/>
    </row>
    <row r="2" spans="1:2" x14ac:dyDescent="0.55000000000000004">
      <c r="A2" s="9" t="s">
        <v>6051</v>
      </c>
      <c r="B2" s="10" t="s">
        <v>6044</v>
      </c>
    </row>
    <row r="3" spans="1:2" x14ac:dyDescent="0.55000000000000004">
      <c r="A3" s="5" t="s">
        <v>6045</v>
      </c>
      <c r="B3" s="6">
        <f>ROWS(tbl_final_resolved_data[Employee Name])</f>
        <v>1500</v>
      </c>
    </row>
    <row r="4" spans="1:2" x14ac:dyDescent="0.55000000000000004">
      <c r="A4" s="5" t="s">
        <v>6046</v>
      </c>
      <c r="B4" s="6">
        <f>COUNTBLANK(tbl_final_resolved_data[Employee ID])</f>
        <v>21</v>
      </c>
    </row>
    <row r="5" spans="1:2" x14ac:dyDescent="0.55000000000000004">
      <c r="A5" s="5" t="s">
        <v>6047</v>
      </c>
      <c r="B5" s="6" cm="1">
        <f t="array" ref="B5">SUMPRODUCT((COUNTIF(tbl_final_resolved_data[Employee ID], tbl_final_resolved_data[Employee ID])&gt;1)*(tbl_final_resolved_data[Employee ID]&lt;&gt;""))</f>
        <v>44</v>
      </c>
    </row>
    <row r="6" spans="1:2" x14ac:dyDescent="0.55000000000000004">
      <c r="A6" s="5" t="s">
        <v>6048</v>
      </c>
      <c r="B6" s="6">
        <f>COUNTBLANK(tbl_final_resolved_data[Department])</f>
        <v>21</v>
      </c>
    </row>
    <row r="7" spans="1:2" x14ac:dyDescent="0.55000000000000004">
      <c r="A7" s="5" t="s">
        <v>6092</v>
      </c>
      <c r="B7" s="6">
        <f>COUNTIF(tbl_final_resolved_data[Data Issue Flag], "&lt;&gt;")</f>
        <v>91</v>
      </c>
    </row>
    <row r="8" spans="1:2" x14ac:dyDescent="0.55000000000000004">
      <c r="A8" s="5" t="s">
        <v>6049</v>
      </c>
      <c r="B8" s="6">
        <f>COUNTIF(tbl_final_resolved_data[Training Required], "Yes")</f>
        <v>746</v>
      </c>
    </row>
    <row r="9" spans="1:2" x14ac:dyDescent="0.55000000000000004">
      <c r="A9" s="7" t="s">
        <v>6050</v>
      </c>
      <c r="B9" s="8">
        <f>COUNTIF(tbl_final_resolved_data[Training Required], "No")</f>
        <v>754</v>
      </c>
    </row>
  </sheetData>
  <mergeCells count="1">
    <mergeCell ref="A1:B1"/>
  </mergeCells>
  <pageMargins left="0.7" right="0.7" top="0.75" bottom="0.75" header="0.3" footer="0.3"/>
  <pageSetup orientation="portrait"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C143FF-C9DA-4916-86DB-873BE0C5AD2B}">
  <sheetPr codeName="Sheet6">
    <tabColor theme="8"/>
  </sheetPr>
  <dimension ref="A1:F22"/>
  <sheetViews>
    <sheetView workbookViewId="0">
      <selection activeCell="H18" sqref="H18"/>
    </sheetView>
  </sheetViews>
  <sheetFormatPr defaultRowHeight="14.4" x14ac:dyDescent="0.55000000000000004"/>
  <cols>
    <col min="1" max="1" width="13.1015625" bestFit="1" customWidth="1"/>
    <col min="2" max="2" width="19.15625" bestFit="1" customWidth="1"/>
    <col min="3" max="3" width="13.5234375" customWidth="1"/>
    <col min="4" max="4" width="17.89453125" customWidth="1"/>
    <col min="5" max="5" width="12.62890625" bestFit="1" customWidth="1"/>
    <col min="6" max="6" width="15.26171875" customWidth="1"/>
  </cols>
  <sheetData>
    <row r="1" spans="1:6" x14ac:dyDescent="0.55000000000000004">
      <c r="A1" s="15" t="s">
        <v>6052</v>
      </c>
      <c r="B1" s="15" t="s">
        <v>6053</v>
      </c>
      <c r="C1" s="15" t="s">
        <v>6054</v>
      </c>
      <c r="D1" s="15" t="s">
        <v>6055</v>
      </c>
    </row>
    <row r="2" spans="1:6" ht="26.4" x14ac:dyDescent="1">
      <c r="A2" s="11">
        <f>Data_Quality_Checks!B3</f>
        <v>1500</v>
      </c>
      <c r="B2" s="11">
        <f>Data_Quality_Checks!B4</f>
        <v>21</v>
      </c>
      <c r="C2" s="11">
        <f>Data_Quality_Checks!B5</f>
        <v>44</v>
      </c>
      <c r="D2" s="12">
        <f>(Data_Quality_Checks!B8)/(Data_Quality_Checks!B3)</f>
        <v>0.49733333333333335</v>
      </c>
    </row>
    <row r="5" spans="1:6" x14ac:dyDescent="0.55000000000000004">
      <c r="A5" s="13" t="s">
        <v>6056</v>
      </c>
      <c r="B5" t="s">
        <v>6060</v>
      </c>
      <c r="E5" s="13" t="s">
        <v>6056</v>
      </c>
      <c r="F5" t="s">
        <v>6059</v>
      </c>
    </row>
    <row r="6" spans="1:6" x14ac:dyDescent="0.55000000000000004">
      <c r="A6" s="14" t="s">
        <v>37</v>
      </c>
      <c r="B6">
        <v>229</v>
      </c>
      <c r="E6" s="14" t="s">
        <v>22</v>
      </c>
      <c r="F6">
        <v>74960680</v>
      </c>
    </row>
    <row r="7" spans="1:6" x14ac:dyDescent="0.55000000000000004">
      <c r="A7" s="14" t="s">
        <v>248</v>
      </c>
      <c r="B7">
        <v>185</v>
      </c>
      <c r="E7" s="14" t="s">
        <v>15</v>
      </c>
      <c r="F7">
        <v>73945830</v>
      </c>
    </row>
    <row r="8" spans="1:6" x14ac:dyDescent="0.55000000000000004">
      <c r="A8" s="14" t="s">
        <v>68</v>
      </c>
      <c r="B8">
        <v>223</v>
      </c>
      <c r="E8" s="14" t="s">
        <v>6058</v>
      </c>
      <c r="F8">
        <v>148906510</v>
      </c>
    </row>
    <row r="9" spans="1:6" x14ac:dyDescent="0.55000000000000004">
      <c r="A9" s="14" t="s">
        <v>19</v>
      </c>
      <c r="B9">
        <v>377</v>
      </c>
    </row>
    <row r="10" spans="1:6" x14ac:dyDescent="0.55000000000000004">
      <c r="A10" s="14" t="s">
        <v>533</v>
      </c>
      <c r="B10">
        <v>224</v>
      </c>
    </row>
    <row r="11" spans="1:6" x14ac:dyDescent="0.55000000000000004">
      <c r="A11" s="14" t="s">
        <v>179</v>
      </c>
      <c r="B11">
        <v>219</v>
      </c>
    </row>
    <row r="12" spans="1:6" x14ac:dyDescent="0.55000000000000004">
      <c r="A12" s="14" t="s">
        <v>6057</v>
      </c>
      <c r="B12">
        <v>21</v>
      </c>
    </row>
    <row r="13" spans="1:6" x14ac:dyDescent="0.55000000000000004">
      <c r="A13" s="14" t="s">
        <v>6058</v>
      </c>
      <c r="B13">
        <v>1478</v>
      </c>
    </row>
    <row r="15" spans="1:6" x14ac:dyDescent="0.55000000000000004">
      <c r="A15" s="13" t="s">
        <v>6056</v>
      </c>
      <c r="B15" t="s">
        <v>6060</v>
      </c>
    </row>
    <row r="16" spans="1:6" x14ac:dyDescent="0.55000000000000004">
      <c r="A16" s="14" t="s">
        <v>317</v>
      </c>
      <c r="B16">
        <v>479</v>
      </c>
    </row>
    <row r="17" spans="1:2" x14ac:dyDescent="0.55000000000000004">
      <c r="A17" s="14" t="s">
        <v>38</v>
      </c>
      <c r="B17">
        <v>494</v>
      </c>
    </row>
    <row r="18" spans="1:2" x14ac:dyDescent="0.55000000000000004">
      <c r="A18" s="14" t="s">
        <v>20</v>
      </c>
      <c r="B18">
        <v>498</v>
      </c>
    </row>
    <row r="19" spans="1:2" x14ac:dyDescent="0.55000000000000004">
      <c r="A19" s="14" t="s">
        <v>155</v>
      </c>
      <c r="B19">
        <v>476</v>
      </c>
    </row>
    <row r="20" spans="1:2" x14ac:dyDescent="0.55000000000000004">
      <c r="A20" s="14" t="s">
        <v>115</v>
      </c>
      <c r="B20">
        <v>470</v>
      </c>
    </row>
    <row r="21" spans="1:2" x14ac:dyDescent="0.55000000000000004">
      <c r="A21" s="14" t="s">
        <v>69</v>
      </c>
      <c r="B21">
        <v>516</v>
      </c>
    </row>
    <row r="22" spans="1:2" x14ac:dyDescent="0.55000000000000004">
      <c r="A22" s="14" t="s">
        <v>6058</v>
      </c>
      <c r="B22">
        <v>2933</v>
      </c>
    </row>
  </sheetData>
  <pageMargins left="0.7" right="0.7" top="0.75" bottom="0.75" header="0.3" footer="0.3"/>
  <drawing r:id="rId4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3DF80B6-9CE8-4406-A5A4-778084E871B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1</vt:i4>
      </vt:variant>
    </vt:vector>
  </HeadingPairs>
  <TitlesOfParts>
    <vt:vector size="18" baseType="lpstr">
      <vt:lpstr>Sheet1</vt:lpstr>
      <vt:lpstr>Raw_Data</vt:lpstr>
      <vt:lpstr>Equipment_Data</vt:lpstr>
      <vt:lpstr>Cleaned_Data</vt:lpstr>
      <vt:lpstr>Correction_App_Source</vt:lpstr>
      <vt:lpstr>Missing_Data_Action</vt:lpstr>
      <vt:lpstr>Missing_Data_Action_Current</vt:lpstr>
      <vt:lpstr>tbl_corrections_form_responses</vt:lpstr>
      <vt:lpstr>Corrections_Form_Responses</vt:lpstr>
      <vt:lpstr>EmployeeID_Corrections_Query</vt:lpstr>
      <vt:lpstr>Department_Corrections_Query</vt:lpstr>
      <vt:lpstr>Corrections_Log_Query</vt:lpstr>
      <vt:lpstr>Final_Resolved_Data</vt:lpstr>
      <vt:lpstr>Validated_Data</vt:lpstr>
      <vt:lpstr>Correction_Mini_App</vt:lpstr>
      <vt:lpstr>Data_Quality_Checks</vt:lpstr>
      <vt:lpstr>HR_Dashboard_Original_Intake</vt:lpstr>
      <vt:lpstr>Employee_List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Shreya Garg</dc:creator>
  <cp:lastModifiedBy>Shreya Garg</cp:lastModifiedBy>
  <dcterms:created xsi:type="dcterms:W3CDTF">2026-03-16T22:11:58Z</dcterms:created>
  <dcterms:modified xsi:type="dcterms:W3CDTF">2026-03-18T22:04:25Z</dcterms:modified>
</cp:coreProperties>
</file>